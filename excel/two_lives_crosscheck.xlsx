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prathamsood/Actuary/Github/odds-of-a-lifetime/odds-of-a-lifetime/excel/"/>
    </mc:Choice>
  </mc:AlternateContent>
  <xr:revisionPtr revIDLastSave="0" documentId="13_ncr:1_{F6672BCB-858C-4E45-8094-9BDBBEE3DFAD}" xr6:coauthVersionLast="47" xr6:coauthVersionMax="47" xr10:uidLastSave="{00000000-0000-0000-0000-000000000000}"/>
  <bookViews>
    <workbookView xWindow="0" yWindow="680" windowWidth="34200" windowHeight="21460" tabRatio="500" activeTab="4" xr2:uid="{00000000-000D-0000-FFFF-FFFF00000000}"/>
  </bookViews>
  <sheets>
    <sheet name="Guide" sheetId="1" r:id="rId1"/>
    <sheet name="Assumptions" sheetId="2" r:id="rId2"/>
    <sheet name="Life table" sheetId="3" r:id="rId3"/>
    <sheet name="Cross-check" sheetId="4" r:id="rId4"/>
    <sheet name="Experi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5" l="1"/>
  <c r="F34" i="5"/>
  <c r="H33" i="5"/>
  <c r="F33" i="5"/>
  <c r="H32" i="5"/>
  <c r="F32" i="5"/>
  <c r="H31" i="5"/>
  <c r="F31" i="5"/>
  <c r="H30" i="5"/>
  <c r="F30" i="5"/>
  <c r="H29" i="5"/>
  <c r="F29" i="5"/>
  <c r="H28" i="5"/>
  <c r="F28" i="5"/>
  <c r="H27" i="5"/>
  <c r="F27" i="5"/>
  <c r="H26" i="5"/>
  <c r="F26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L6" i="5"/>
  <c r="H6" i="5"/>
  <c r="F6" i="5"/>
  <c r="H5" i="5"/>
  <c r="G5" i="5"/>
  <c r="F5" i="5"/>
  <c r="K78" i="3"/>
  <c r="E78" i="3"/>
  <c r="F78" i="3" s="1"/>
  <c r="C78" i="3"/>
  <c r="D78" i="3" s="1"/>
  <c r="K77" i="3"/>
  <c r="E77" i="3"/>
  <c r="F77" i="3" s="1"/>
  <c r="C77" i="3"/>
  <c r="D77" i="3" s="1"/>
  <c r="K76" i="3"/>
  <c r="E76" i="3"/>
  <c r="F76" i="3" s="1"/>
  <c r="C76" i="3"/>
  <c r="D76" i="3" s="1"/>
  <c r="K75" i="3"/>
  <c r="E75" i="3"/>
  <c r="F75" i="3" s="1"/>
  <c r="C75" i="3"/>
  <c r="D75" i="3" s="1"/>
  <c r="K74" i="3"/>
  <c r="E74" i="3"/>
  <c r="F74" i="3" s="1"/>
  <c r="C74" i="3"/>
  <c r="D74" i="3" s="1"/>
  <c r="K73" i="3"/>
  <c r="E73" i="3"/>
  <c r="F73" i="3" s="1"/>
  <c r="C73" i="3"/>
  <c r="D73" i="3" s="1"/>
  <c r="K72" i="3"/>
  <c r="E72" i="3"/>
  <c r="F72" i="3" s="1"/>
  <c r="C72" i="3"/>
  <c r="D72" i="3" s="1"/>
  <c r="K71" i="3"/>
  <c r="E71" i="3"/>
  <c r="F71" i="3" s="1"/>
  <c r="C71" i="3"/>
  <c r="D71" i="3" s="1"/>
  <c r="K70" i="3"/>
  <c r="E70" i="3"/>
  <c r="F70" i="3" s="1"/>
  <c r="C70" i="3"/>
  <c r="D70" i="3" s="1"/>
  <c r="K69" i="3"/>
  <c r="E69" i="3"/>
  <c r="F69" i="3" s="1"/>
  <c r="C69" i="3"/>
  <c r="D69" i="3" s="1"/>
  <c r="K68" i="3"/>
  <c r="E68" i="3"/>
  <c r="F68" i="3" s="1"/>
  <c r="C68" i="3"/>
  <c r="D68" i="3" s="1"/>
  <c r="K67" i="3"/>
  <c r="E67" i="3"/>
  <c r="F67" i="3" s="1"/>
  <c r="C67" i="3"/>
  <c r="D67" i="3" s="1"/>
  <c r="K66" i="3"/>
  <c r="E66" i="3"/>
  <c r="F66" i="3" s="1"/>
  <c r="C66" i="3"/>
  <c r="D66" i="3" s="1"/>
  <c r="K65" i="3"/>
  <c r="E65" i="3"/>
  <c r="F65" i="3" s="1"/>
  <c r="C65" i="3"/>
  <c r="D65" i="3" s="1"/>
  <c r="K64" i="3"/>
  <c r="E64" i="3"/>
  <c r="F64" i="3" s="1"/>
  <c r="C64" i="3"/>
  <c r="D64" i="3" s="1"/>
  <c r="K63" i="3"/>
  <c r="E63" i="3"/>
  <c r="F63" i="3" s="1"/>
  <c r="C63" i="3"/>
  <c r="D63" i="3" s="1"/>
  <c r="K62" i="3"/>
  <c r="E62" i="3"/>
  <c r="F62" i="3" s="1"/>
  <c r="C62" i="3"/>
  <c r="D62" i="3" s="1"/>
  <c r="K61" i="3"/>
  <c r="E61" i="3"/>
  <c r="F61" i="3" s="1"/>
  <c r="C61" i="3"/>
  <c r="D61" i="3" s="1"/>
  <c r="K60" i="3"/>
  <c r="E60" i="3"/>
  <c r="F60" i="3" s="1"/>
  <c r="C60" i="3"/>
  <c r="D60" i="3" s="1"/>
  <c r="K59" i="3"/>
  <c r="E59" i="3"/>
  <c r="F59" i="3" s="1"/>
  <c r="C59" i="3"/>
  <c r="D59" i="3" s="1"/>
  <c r="K58" i="3"/>
  <c r="E58" i="3"/>
  <c r="F58" i="3" s="1"/>
  <c r="C58" i="3"/>
  <c r="D58" i="3" s="1"/>
  <c r="K57" i="3"/>
  <c r="E57" i="3"/>
  <c r="F57" i="3" s="1"/>
  <c r="C57" i="3"/>
  <c r="D57" i="3" s="1"/>
  <c r="K56" i="3"/>
  <c r="E56" i="3"/>
  <c r="F56" i="3" s="1"/>
  <c r="C56" i="3"/>
  <c r="D56" i="3" s="1"/>
  <c r="K55" i="3"/>
  <c r="E55" i="3"/>
  <c r="F55" i="3" s="1"/>
  <c r="C55" i="3"/>
  <c r="D55" i="3" s="1"/>
  <c r="K54" i="3"/>
  <c r="E54" i="3"/>
  <c r="F54" i="3" s="1"/>
  <c r="C54" i="3"/>
  <c r="D54" i="3" s="1"/>
  <c r="K53" i="3"/>
  <c r="E53" i="3"/>
  <c r="F53" i="3" s="1"/>
  <c r="C53" i="3"/>
  <c r="D53" i="3" s="1"/>
  <c r="K52" i="3"/>
  <c r="E52" i="3"/>
  <c r="F52" i="3" s="1"/>
  <c r="C52" i="3"/>
  <c r="D52" i="3" s="1"/>
  <c r="K51" i="3"/>
  <c r="E51" i="3"/>
  <c r="F51" i="3" s="1"/>
  <c r="C51" i="3"/>
  <c r="D51" i="3" s="1"/>
  <c r="K50" i="3"/>
  <c r="E50" i="3"/>
  <c r="F50" i="3" s="1"/>
  <c r="C50" i="3"/>
  <c r="D50" i="3" s="1"/>
  <c r="K49" i="3"/>
  <c r="E49" i="3"/>
  <c r="F49" i="3" s="1"/>
  <c r="D49" i="3"/>
  <c r="C49" i="3"/>
  <c r="K48" i="3"/>
  <c r="E48" i="3"/>
  <c r="F48" i="3" s="1"/>
  <c r="C48" i="3"/>
  <c r="D48" i="3" s="1"/>
  <c r="K47" i="3"/>
  <c r="E47" i="3"/>
  <c r="F47" i="3" s="1"/>
  <c r="C47" i="3"/>
  <c r="D47" i="3" s="1"/>
  <c r="K46" i="3"/>
  <c r="E46" i="3"/>
  <c r="F46" i="3" s="1"/>
  <c r="C46" i="3"/>
  <c r="D46" i="3" s="1"/>
  <c r="K45" i="3"/>
  <c r="E45" i="3"/>
  <c r="F45" i="3" s="1"/>
  <c r="C45" i="3"/>
  <c r="D45" i="3" s="1"/>
  <c r="K44" i="3"/>
  <c r="E44" i="3"/>
  <c r="F44" i="3" s="1"/>
  <c r="C44" i="3"/>
  <c r="D44" i="3" s="1"/>
  <c r="K43" i="3"/>
  <c r="E43" i="3"/>
  <c r="F43" i="3" s="1"/>
  <c r="C43" i="3"/>
  <c r="D43" i="3" s="1"/>
  <c r="K42" i="3"/>
  <c r="E42" i="3"/>
  <c r="F42" i="3" s="1"/>
  <c r="C42" i="3"/>
  <c r="D42" i="3" s="1"/>
  <c r="K41" i="3"/>
  <c r="E41" i="3"/>
  <c r="F41" i="3" s="1"/>
  <c r="D41" i="3"/>
  <c r="C41" i="3"/>
  <c r="K40" i="3"/>
  <c r="E40" i="3"/>
  <c r="F40" i="3" s="1"/>
  <c r="C40" i="3"/>
  <c r="D40" i="3" s="1"/>
  <c r="K39" i="3"/>
  <c r="E39" i="3"/>
  <c r="F39" i="3" s="1"/>
  <c r="C39" i="3"/>
  <c r="D39" i="3" s="1"/>
  <c r="K38" i="3"/>
  <c r="E38" i="3"/>
  <c r="F38" i="3" s="1"/>
  <c r="C38" i="3"/>
  <c r="D38" i="3" s="1"/>
  <c r="K37" i="3"/>
  <c r="E37" i="3"/>
  <c r="F37" i="3" s="1"/>
  <c r="C37" i="3"/>
  <c r="D37" i="3" s="1"/>
  <c r="K36" i="3"/>
  <c r="E36" i="3"/>
  <c r="F36" i="3" s="1"/>
  <c r="C36" i="3"/>
  <c r="D36" i="3" s="1"/>
  <c r="K35" i="3"/>
  <c r="E35" i="3"/>
  <c r="F35" i="3" s="1"/>
  <c r="C35" i="3"/>
  <c r="D35" i="3" s="1"/>
  <c r="K34" i="3"/>
  <c r="E34" i="3"/>
  <c r="F34" i="3" s="1"/>
  <c r="C34" i="3"/>
  <c r="D34" i="3" s="1"/>
  <c r="K33" i="3"/>
  <c r="E33" i="3"/>
  <c r="F33" i="3" s="1"/>
  <c r="C33" i="3"/>
  <c r="D33" i="3" s="1"/>
  <c r="K32" i="3"/>
  <c r="E32" i="3"/>
  <c r="F32" i="3" s="1"/>
  <c r="C32" i="3"/>
  <c r="D32" i="3" s="1"/>
  <c r="K31" i="3"/>
  <c r="E31" i="3"/>
  <c r="F31" i="3" s="1"/>
  <c r="C31" i="3"/>
  <c r="D31" i="3" s="1"/>
  <c r="B31" i="3"/>
  <c r="K30" i="3"/>
  <c r="E30" i="3"/>
  <c r="F30" i="3" s="1"/>
  <c r="C30" i="3"/>
  <c r="D30" i="3" s="1"/>
  <c r="B30" i="3"/>
  <c r="K29" i="3"/>
  <c r="E29" i="3"/>
  <c r="F29" i="3" s="1"/>
  <c r="D29" i="3"/>
  <c r="C29" i="3"/>
  <c r="B29" i="3"/>
  <c r="K28" i="3"/>
  <c r="E28" i="3"/>
  <c r="F28" i="3" s="1"/>
  <c r="C28" i="3"/>
  <c r="D28" i="3" s="1"/>
  <c r="B28" i="3"/>
  <c r="K27" i="3"/>
  <c r="E27" i="3"/>
  <c r="F27" i="3" s="1"/>
  <c r="C27" i="3"/>
  <c r="D27" i="3" s="1"/>
  <c r="B27" i="3"/>
  <c r="K26" i="3"/>
  <c r="E26" i="3"/>
  <c r="F26" i="3" s="1"/>
  <c r="C26" i="3"/>
  <c r="D26" i="3" s="1"/>
  <c r="B26" i="3"/>
  <c r="K25" i="3"/>
  <c r="E25" i="3"/>
  <c r="F25" i="3" s="1"/>
  <c r="D25" i="3"/>
  <c r="C25" i="3"/>
  <c r="B25" i="3"/>
  <c r="K24" i="3"/>
  <c r="E24" i="3"/>
  <c r="F24" i="3" s="1"/>
  <c r="C24" i="3"/>
  <c r="D24" i="3" s="1"/>
  <c r="B24" i="3"/>
  <c r="K23" i="3"/>
  <c r="E23" i="3"/>
  <c r="F23" i="3" s="1"/>
  <c r="C23" i="3"/>
  <c r="D23" i="3" s="1"/>
  <c r="K22" i="3"/>
  <c r="E22" i="3"/>
  <c r="F22" i="3" s="1"/>
  <c r="C22" i="3"/>
  <c r="D22" i="3" s="1"/>
  <c r="K21" i="3"/>
  <c r="E21" i="3"/>
  <c r="F21" i="3" s="1"/>
  <c r="C21" i="3"/>
  <c r="D21" i="3" s="1"/>
  <c r="K20" i="3"/>
  <c r="E20" i="3"/>
  <c r="F20" i="3" s="1"/>
  <c r="C20" i="3"/>
  <c r="D20" i="3" s="1"/>
  <c r="K19" i="3"/>
  <c r="E19" i="3"/>
  <c r="F19" i="3" s="1"/>
  <c r="C19" i="3"/>
  <c r="D19" i="3" s="1"/>
  <c r="K18" i="3"/>
  <c r="E18" i="3"/>
  <c r="F18" i="3" s="1"/>
  <c r="C18" i="3"/>
  <c r="D18" i="3" s="1"/>
  <c r="K17" i="3"/>
  <c r="E17" i="3"/>
  <c r="F17" i="3" s="1"/>
  <c r="C17" i="3"/>
  <c r="D17" i="3" s="1"/>
  <c r="K16" i="3"/>
  <c r="E16" i="3"/>
  <c r="F16" i="3" s="1"/>
  <c r="C16" i="3"/>
  <c r="D16" i="3" s="1"/>
  <c r="B16" i="3"/>
  <c r="K15" i="3"/>
  <c r="E15" i="3"/>
  <c r="F15" i="3" s="1"/>
  <c r="C15" i="3"/>
  <c r="D15" i="3" s="1"/>
  <c r="K14" i="3"/>
  <c r="E14" i="3"/>
  <c r="F14" i="3" s="1"/>
  <c r="C14" i="3"/>
  <c r="D14" i="3" s="1"/>
  <c r="K13" i="3"/>
  <c r="E13" i="3"/>
  <c r="F13" i="3" s="1"/>
  <c r="C13" i="3"/>
  <c r="D13" i="3" s="1"/>
  <c r="K12" i="3"/>
  <c r="E12" i="3"/>
  <c r="F12" i="3" s="1"/>
  <c r="C12" i="3"/>
  <c r="D12" i="3" s="1"/>
  <c r="K11" i="3"/>
  <c r="E11" i="3"/>
  <c r="F11" i="3" s="1"/>
  <c r="C11" i="3"/>
  <c r="D11" i="3" s="1"/>
  <c r="K10" i="3"/>
  <c r="E10" i="3"/>
  <c r="F10" i="3" s="1"/>
  <c r="C10" i="3"/>
  <c r="D10" i="3" s="1"/>
  <c r="K9" i="3"/>
  <c r="E9" i="3"/>
  <c r="F9" i="3" s="1"/>
  <c r="C9" i="3"/>
  <c r="D9" i="3" s="1"/>
  <c r="K8" i="3"/>
  <c r="I8" i="3"/>
  <c r="E8" i="3"/>
  <c r="F8" i="3" s="1"/>
  <c r="H9" i="3" s="1"/>
  <c r="H10" i="3" s="1"/>
  <c r="H11" i="3" s="1"/>
  <c r="H12" i="3" s="1"/>
  <c r="H13" i="3" s="1"/>
  <c r="C8" i="3"/>
  <c r="D8" i="3" s="1"/>
  <c r="G9" i="3" s="1"/>
  <c r="B15" i="2"/>
  <c r="B14" i="2"/>
  <c r="J8" i="3" l="1"/>
  <c r="I5" i="5" s="1"/>
  <c r="I9" i="3"/>
  <c r="G6" i="5" s="1"/>
  <c r="J9" i="3"/>
  <c r="I6" i="5" s="1"/>
  <c r="G10" i="3"/>
  <c r="B72" i="3"/>
  <c r="B21" i="3"/>
  <c r="B71" i="3"/>
  <c r="B23" i="3"/>
  <c r="B70" i="3"/>
  <c r="B34" i="3"/>
  <c r="B22" i="3"/>
  <c r="B69" i="3"/>
  <c r="B68" i="3"/>
  <c r="B35" i="3"/>
  <c r="B67" i="3"/>
  <c r="B66" i="3"/>
  <c r="B20" i="3"/>
  <c r="B36" i="3"/>
  <c r="B65" i="3"/>
  <c r="B19" i="3"/>
  <c r="B59" i="3"/>
  <c r="B37" i="3"/>
  <c r="B18" i="3"/>
  <c r="B57" i="3"/>
  <c r="B48" i="3"/>
  <c r="B17" i="3"/>
  <c r="B38" i="3"/>
  <c r="B64" i="3"/>
  <c r="B39" i="3"/>
  <c r="B63" i="3"/>
  <c r="B62" i="3"/>
  <c r="B61" i="3"/>
  <c r="B60" i="3"/>
  <c r="B74" i="3"/>
  <c r="B75" i="3"/>
  <c r="B76" i="3"/>
  <c r="B58" i="3"/>
  <c r="B56" i="3"/>
  <c r="B15" i="3"/>
  <c r="B43" i="3"/>
  <c r="B50" i="3"/>
  <c r="B14" i="3"/>
  <c r="B49" i="3"/>
  <c r="B44" i="3"/>
  <c r="B13" i="3"/>
  <c r="B42" i="3"/>
  <c r="B45" i="3"/>
  <c r="B12" i="3"/>
  <c r="B54" i="3"/>
  <c r="B46" i="3"/>
  <c r="B11" i="3"/>
  <c r="B53" i="3"/>
  <c r="B52" i="3"/>
  <c r="B10" i="3"/>
  <c r="B47" i="3"/>
  <c r="B51" i="3"/>
  <c r="B9" i="3"/>
  <c r="B73" i="3"/>
  <c r="B41" i="3"/>
  <c r="B40" i="3"/>
  <c r="B8" i="3"/>
  <c r="B77" i="3"/>
  <c r="B78" i="3"/>
  <c r="B32" i="3"/>
  <c r="B55" i="3"/>
  <c r="B33" i="3"/>
  <c r="H14" i="3"/>
  <c r="H15" i="3" s="1"/>
  <c r="H16" i="3" s="1"/>
  <c r="I10" i="3" l="1"/>
  <c r="J10" i="3"/>
  <c r="G11" i="3"/>
  <c r="L11" i="3" s="1"/>
  <c r="M72" i="3"/>
  <c r="M21" i="3"/>
  <c r="M71" i="3"/>
  <c r="M23" i="3"/>
  <c r="M70" i="3"/>
  <c r="M34" i="3"/>
  <c r="M22" i="3"/>
  <c r="M69" i="3"/>
  <c r="M68" i="3"/>
  <c r="M35" i="3"/>
  <c r="M67" i="3"/>
  <c r="M66" i="3"/>
  <c r="M20" i="3"/>
  <c r="M36" i="3"/>
  <c r="M65" i="3"/>
  <c r="M19" i="3"/>
  <c r="M59" i="3"/>
  <c r="M37" i="3"/>
  <c r="M18" i="3"/>
  <c r="M57" i="3"/>
  <c r="M48" i="3"/>
  <c r="M17" i="3"/>
  <c r="M38" i="3"/>
  <c r="M64" i="3"/>
  <c r="M39" i="3"/>
  <c r="M63" i="3"/>
  <c r="M62" i="3"/>
  <c r="M61" i="3"/>
  <c r="M60" i="3"/>
  <c r="M74" i="3"/>
  <c r="M75" i="3"/>
  <c r="M76" i="3"/>
  <c r="M58" i="3"/>
  <c r="M56" i="3"/>
  <c r="M15" i="3"/>
  <c r="M43" i="3"/>
  <c r="M50" i="3"/>
  <c r="M14" i="3"/>
  <c r="M49" i="3"/>
  <c r="M44" i="3"/>
  <c r="M13" i="3"/>
  <c r="M42" i="3"/>
  <c r="M45" i="3"/>
  <c r="M12" i="3"/>
  <c r="M54" i="3"/>
  <c r="M46" i="3"/>
  <c r="M11" i="3"/>
  <c r="M53" i="3"/>
  <c r="M52" i="3"/>
  <c r="L10" i="3"/>
  <c r="M10" i="3"/>
  <c r="M47" i="3"/>
  <c r="M51" i="3"/>
  <c r="L9" i="3"/>
  <c r="M9" i="3"/>
  <c r="N9" i="3"/>
  <c r="O9" i="3"/>
  <c r="P9" i="3"/>
  <c r="M73" i="3"/>
  <c r="M41" i="3"/>
  <c r="M40" i="3"/>
  <c r="L8" i="3"/>
  <c r="M8" i="3"/>
  <c r="N8" i="3"/>
  <c r="O8" i="3"/>
  <c r="P8" i="3"/>
  <c r="M77" i="3"/>
  <c r="M78" i="3"/>
  <c r="M32" i="3"/>
  <c r="M55" i="3"/>
  <c r="M33" i="3"/>
  <c r="H17" i="3"/>
  <c r="H18" i="3" s="1"/>
  <c r="H19" i="3" s="1"/>
  <c r="H20" i="3" s="1"/>
  <c r="H21" i="3" s="1"/>
  <c r="H22" i="3" s="1"/>
  <c r="H23" i="3" s="1"/>
  <c r="H24" i="3" s="1"/>
  <c r="M16" i="3"/>
  <c r="G7" i="5" l="1"/>
  <c r="I11" i="3"/>
  <c r="J11" i="3"/>
  <c r="G12" i="3"/>
  <c r="M24" i="3"/>
  <c r="H25" i="3"/>
  <c r="N10" i="3"/>
  <c r="P10" i="3"/>
  <c r="I7" i="5"/>
  <c r="O10" i="3"/>
  <c r="P11" i="3" l="1"/>
  <c r="N11" i="3"/>
  <c r="G8" i="5"/>
  <c r="O11" i="3"/>
  <c r="I8" i="5"/>
  <c r="L12" i="3"/>
  <c r="I12" i="3"/>
  <c r="J12" i="3"/>
  <c r="G13" i="3"/>
  <c r="M25" i="3"/>
  <c r="H26" i="3"/>
  <c r="P12" i="3" l="1"/>
  <c r="N12" i="3"/>
  <c r="G9" i="5"/>
  <c r="O12" i="3"/>
  <c r="I9" i="5"/>
  <c r="L13" i="3"/>
  <c r="I13" i="3"/>
  <c r="J13" i="3"/>
  <c r="G14" i="3"/>
  <c r="M26" i="3"/>
  <c r="H27" i="3"/>
  <c r="P13" i="3" l="1"/>
  <c r="N13" i="3"/>
  <c r="G10" i="5"/>
  <c r="O13" i="3"/>
  <c r="I10" i="5"/>
  <c r="L14" i="3"/>
  <c r="I14" i="3"/>
  <c r="J14" i="3"/>
  <c r="G15" i="3"/>
  <c r="M27" i="3"/>
  <c r="H28" i="3"/>
  <c r="P14" i="3" l="1"/>
  <c r="N14" i="3"/>
  <c r="G11" i="5"/>
  <c r="O14" i="3"/>
  <c r="I11" i="5"/>
  <c r="L15" i="3"/>
  <c r="I15" i="3"/>
  <c r="J15" i="3"/>
  <c r="G16" i="3"/>
  <c r="M28" i="3"/>
  <c r="H29" i="3"/>
  <c r="P15" i="3" l="1"/>
  <c r="N15" i="3"/>
  <c r="G12" i="5"/>
  <c r="O15" i="3"/>
  <c r="I12" i="5"/>
  <c r="L16" i="3"/>
  <c r="I16" i="3"/>
  <c r="J16" i="3"/>
  <c r="G17" i="3"/>
  <c r="M29" i="3"/>
  <c r="H30" i="3"/>
  <c r="P16" i="3" l="1"/>
  <c r="N16" i="3"/>
  <c r="G13" i="5"/>
  <c r="O16" i="3"/>
  <c r="I13" i="5"/>
  <c r="L17" i="3"/>
  <c r="I17" i="3"/>
  <c r="J17" i="3"/>
  <c r="G18" i="3"/>
  <c r="M30" i="3"/>
  <c r="H31" i="3"/>
  <c r="P17" i="3" l="1"/>
  <c r="N17" i="3"/>
  <c r="G14" i="5"/>
  <c r="O17" i="3"/>
  <c r="I14" i="5"/>
  <c r="L18" i="3"/>
  <c r="I18" i="3"/>
  <c r="J18" i="3"/>
  <c r="G19" i="3"/>
  <c r="M31" i="3"/>
  <c r="S9" i="3" s="1"/>
  <c r="H32" i="3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P18" i="3" l="1"/>
  <c r="N18" i="3"/>
  <c r="G15" i="5"/>
  <c r="O18" i="3"/>
  <c r="I15" i="5"/>
  <c r="L19" i="3"/>
  <c r="I19" i="3"/>
  <c r="J19" i="3" s="1"/>
  <c r="G20" i="3"/>
  <c r="C10" i="4"/>
  <c r="D10" i="4" s="1"/>
  <c r="P19" i="3" l="1"/>
  <c r="N19" i="3"/>
  <c r="G16" i="5"/>
  <c r="O19" i="3"/>
  <c r="I16" i="5"/>
  <c r="L20" i="3"/>
  <c r="I20" i="3"/>
  <c r="J20" i="3"/>
  <c r="G21" i="3"/>
  <c r="P20" i="3" l="1"/>
  <c r="N20" i="3"/>
  <c r="G17" i="5"/>
  <c r="O20" i="3"/>
  <c r="I17" i="5"/>
  <c r="L21" i="3"/>
  <c r="I21" i="3"/>
  <c r="J21" i="3"/>
  <c r="G22" i="3"/>
  <c r="P21" i="3" l="1"/>
  <c r="N21" i="3"/>
  <c r="G18" i="5"/>
  <c r="O21" i="3"/>
  <c r="I18" i="5"/>
  <c r="L22" i="3"/>
  <c r="I22" i="3"/>
  <c r="J22" i="3"/>
  <c r="G23" i="3"/>
  <c r="P22" i="3" l="1"/>
  <c r="N22" i="3"/>
  <c r="G19" i="5"/>
  <c r="O22" i="3"/>
  <c r="I19" i="5"/>
  <c r="L23" i="3"/>
  <c r="I23" i="3"/>
  <c r="J23" i="3"/>
  <c r="G24" i="3"/>
  <c r="N23" i="3" l="1"/>
  <c r="P23" i="3"/>
  <c r="G20" i="5"/>
  <c r="O23" i="3"/>
  <c r="I20" i="5"/>
  <c r="L24" i="3"/>
  <c r="I24" i="3"/>
  <c r="J24" i="3"/>
  <c r="G25" i="3"/>
  <c r="P24" i="3" l="1"/>
  <c r="N24" i="3"/>
  <c r="G21" i="5"/>
  <c r="O24" i="3"/>
  <c r="I21" i="5"/>
  <c r="L25" i="3"/>
  <c r="I25" i="3"/>
  <c r="J25" i="3" s="1"/>
  <c r="G26" i="3"/>
  <c r="O25" i="3" l="1"/>
  <c r="I22" i="5"/>
  <c r="P25" i="3"/>
  <c r="N25" i="3"/>
  <c r="G22" i="5"/>
  <c r="L26" i="3"/>
  <c r="I26" i="3"/>
  <c r="G27" i="3"/>
  <c r="J26" i="3"/>
  <c r="N26" i="3" l="1"/>
  <c r="P26" i="3"/>
  <c r="G23" i="5"/>
  <c r="L27" i="3"/>
  <c r="I27" i="3"/>
  <c r="J27" i="3" s="1"/>
  <c r="G28" i="3"/>
  <c r="O26" i="3"/>
  <c r="I23" i="5"/>
  <c r="O27" i="3" l="1"/>
  <c r="I24" i="5"/>
  <c r="N27" i="3"/>
  <c r="P27" i="3"/>
  <c r="G24" i="5"/>
  <c r="L28" i="3"/>
  <c r="G29" i="3"/>
  <c r="I28" i="3"/>
  <c r="J28" i="3"/>
  <c r="L29" i="3" l="1"/>
  <c r="G30" i="3"/>
  <c r="I29" i="3"/>
  <c r="J29" i="3" s="1"/>
  <c r="N28" i="3"/>
  <c r="P28" i="3"/>
  <c r="G25" i="5"/>
  <c r="O28" i="3"/>
  <c r="I25" i="5"/>
  <c r="L30" i="3" l="1"/>
  <c r="I30" i="3"/>
  <c r="G31" i="3"/>
  <c r="J30" i="3"/>
  <c r="O29" i="3"/>
  <c r="I26" i="5"/>
  <c r="P29" i="3"/>
  <c r="N29" i="3"/>
  <c r="G26" i="5"/>
  <c r="N30" i="3" l="1"/>
  <c r="P30" i="3"/>
  <c r="G27" i="5"/>
  <c r="L31" i="3"/>
  <c r="G32" i="3"/>
  <c r="I31" i="3"/>
  <c r="J31" i="3" s="1"/>
  <c r="O30" i="3"/>
  <c r="I27" i="5"/>
  <c r="L32" i="3" l="1"/>
  <c r="I32" i="3"/>
  <c r="G33" i="3"/>
  <c r="J32" i="3"/>
  <c r="O31" i="3"/>
  <c r="I28" i="5"/>
  <c r="P31" i="3"/>
  <c r="N31" i="3"/>
  <c r="G28" i="5"/>
  <c r="P32" i="3" l="1"/>
  <c r="N32" i="3"/>
  <c r="G29" i="5"/>
  <c r="L33" i="3"/>
  <c r="I33" i="3"/>
  <c r="J33" i="3"/>
  <c r="G34" i="3"/>
  <c r="O32" i="3"/>
  <c r="I29" i="5"/>
  <c r="P33" i="3" l="1"/>
  <c r="N33" i="3"/>
  <c r="G30" i="5"/>
  <c r="O33" i="3"/>
  <c r="I30" i="5"/>
  <c r="L34" i="3"/>
  <c r="I34" i="3"/>
  <c r="J34" i="3"/>
  <c r="G35" i="3"/>
  <c r="N34" i="3" l="1"/>
  <c r="P34" i="3"/>
  <c r="G31" i="5"/>
  <c r="O34" i="3"/>
  <c r="I31" i="5"/>
  <c r="L35" i="3"/>
  <c r="I35" i="3"/>
  <c r="J35" i="3"/>
  <c r="G36" i="3"/>
  <c r="P35" i="3" l="1"/>
  <c r="N35" i="3"/>
  <c r="G32" i="5"/>
  <c r="O35" i="3"/>
  <c r="I32" i="5"/>
  <c r="L36" i="3"/>
  <c r="I36" i="3"/>
  <c r="J36" i="3"/>
  <c r="G37" i="3"/>
  <c r="N36" i="3" l="1"/>
  <c r="P36" i="3"/>
  <c r="G33" i="5"/>
  <c r="O36" i="3"/>
  <c r="I33" i="5"/>
  <c r="L37" i="3"/>
  <c r="I37" i="3"/>
  <c r="J37" i="3"/>
  <c r="G38" i="3"/>
  <c r="P37" i="3" l="1"/>
  <c r="N37" i="3"/>
  <c r="G34" i="5"/>
  <c r="O37" i="3"/>
  <c r="I34" i="5"/>
  <c r="L38" i="3"/>
  <c r="I38" i="3"/>
  <c r="J38" i="3"/>
  <c r="O38" i="3" s="1"/>
  <c r="G39" i="3"/>
  <c r="P38" i="3" l="1"/>
  <c r="N38" i="3"/>
  <c r="L39" i="3"/>
  <c r="I39" i="3"/>
  <c r="J39" i="3"/>
  <c r="O39" i="3" s="1"/>
  <c r="G40" i="3"/>
  <c r="P39" i="3" l="1"/>
  <c r="N39" i="3"/>
  <c r="L40" i="3"/>
  <c r="I40" i="3"/>
  <c r="G41" i="3"/>
  <c r="J40" i="3"/>
  <c r="O40" i="3" s="1"/>
  <c r="P40" i="3" l="1"/>
  <c r="N40" i="3"/>
  <c r="L41" i="3"/>
  <c r="G42" i="3"/>
  <c r="I41" i="3"/>
  <c r="J41" i="3" s="1"/>
  <c r="O41" i="3" s="1"/>
  <c r="L42" i="3" l="1"/>
  <c r="I42" i="3"/>
  <c r="J42" i="3"/>
  <c r="O42" i="3" s="1"/>
  <c r="G43" i="3"/>
  <c r="P41" i="3"/>
  <c r="N41" i="3"/>
  <c r="P42" i="3" l="1"/>
  <c r="N42" i="3"/>
  <c r="L43" i="3"/>
  <c r="I43" i="3"/>
  <c r="J43" i="3"/>
  <c r="O43" i="3" s="1"/>
  <c r="G44" i="3"/>
  <c r="P43" i="3" l="1"/>
  <c r="N43" i="3"/>
  <c r="L44" i="3"/>
  <c r="I44" i="3"/>
  <c r="J44" i="3"/>
  <c r="O44" i="3" s="1"/>
  <c r="G45" i="3"/>
  <c r="P44" i="3" l="1"/>
  <c r="N44" i="3"/>
  <c r="L45" i="3"/>
  <c r="I45" i="3"/>
  <c r="J45" i="3"/>
  <c r="O45" i="3" s="1"/>
  <c r="G46" i="3"/>
  <c r="P45" i="3" l="1"/>
  <c r="N45" i="3"/>
  <c r="L46" i="3"/>
  <c r="I46" i="3"/>
  <c r="J46" i="3" s="1"/>
  <c r="O46" i="3" s="1"/>
  <c r="G47" i="3"/>
  <c r="P46" i="3" l="1"/>
  <c r="N46" i="3"/>
  <c r="L47" i="3"/>
  <c r="I47" i="3"/>
  <c r="J47" i="3"/>
  <c r="O47" i="3" s="1"/>
  <c r="G48" i="3"/>
  <c r="P47" i="3" l="1"/>
  <c r="N47" i="3"/>
  <c r="L48" i="3"/>
  <c r="I48" i="3"/>
  <c r="J48" i="3" s="1"/>
  <c r="O48" i="3" s="1"/>
  <c r="G49" i="3"/>
  <c r="P48" i="3" l="1"/>
  <c r="N48" i="3"/>
  <c r="L49" i="3"/>
  <c r="I49" i="3"/>
  <c r="J49" i="3"/>
  <c r="O49" i="3" s="1"/>
  <c r="G50" i="3"/>
  <c r="P49" i="3" l="1"/>
  <c r="N49" i="3"/>
  <c r="L50" i="3"/>
  <c r="I50" i="3"/>
  <c r="J50" i="3" s="1"/>
  <c r="O50" i="3" s="1"/>
  <c r="G51" i="3"/>
  <c r="P50" i="3" l="1"/>
  <c r="N50" i="3"/>
  <c r="L51" i="3"/>
  <c r="I51" i="3"/>
  <c r="J51" i="3"/>
  <c r="O51" i="3" s="1"/>
  <c r="G52" i="3"/>
  <c r="P51" i="3" l="1"/>
  <c r="N51" i="3"/>
  <c r="L52" i="3"/>
  <c r="I52" i="3"/>
  <c r="J52" i="3"/>
  <c r="O52" i="3" s="1"/>
  <c r="G53" i="3"/>
  <c r="P52" i="3" l="1"/>
  <c r="N52" i="3"/>
  <c r="L53" i="3"/>
  <c r="I53" i="3"/>
  <c r="J53" i="3"/>
  <c r="O53" i="3" s="1"/>
  <c r="G54" i="3"/>
  <c r="P53" i="3" l="1"/>
  <c r="N53" i="3"/>
  <c r="L54" i="3"/>
  <c r="I54" i="3"/>
  <c r="J54" i="3"/>
  <c r="O54" i="3" s="1"/>
  <c r="G55" i="3"/>
  <c r="N54" i="3" l="1"/>
  <c r="P54" i="3"/>
  <c r="L55" i="3"/>
  <c r="I55" i="3"/>
  <c r="J55" i="3"/>
  <c r="O55" i="3" s="1"/>
  <c r="G56" i="3"/>
  <c r="P55" i="3" l="1"/>
  <c r="N55" i="3"/>
  <c r="L56" i="3"/>
  <c r="I56" i="3"/>
  <c r="J56" i="3"/>
  <c r="O56" i="3" s="1"/>
  <c r="G57" i="3"/>
  <c r="P56" i="3" l="1"/>
  <c r="N56" i="3"/>
  <c r="L57" i="3"/>
  <c r="I57" i="3"/>
  <c r="J57" i="3" s="1"/>
  <c r="O57" i="3" s="1"/>
  <c r="G58" i="3"/>
  <c r="P57" i="3" l="1"/>
  <c r="N57" i="3"/>
  <c r="L58" i="3"/>
  <c r="I58" i="3"/>
  <c r="J58" i="3"/>
  <c r="O58" i="3" s="1"/>
  <c r="G59" i="3"/>
  <c r="P58" i="3" l="1"/>
  <c r="N58" i="3"/>
  <c r="L59" i="3"/>
  <c r="I59" i="3"/>
  <c r="J59" i="3"/>
  <c r="O59" i="3" s="1"/>
  <c r="G60" i="3"/>
  <c r="P59" i="3" l="1"/>
  <c r="N59" i="3"/>
  <c r="L60" i="3"/>
  <c r="I60" i="3"/>
  <c r="J60" i="3" s="1"/>
  <c r="O60" i="3" s="1"/>
  <c r="G61" i="3"/>
  <c r="N60" i="3" l="1"/>
  <c r="P60" i="3"/>
  <c r="L61" i="3"/>
  <c r="I61" i="3"/>
  <c r="J61" i="3"/>
  <c r="O61" i="3" s="1"/>
  <c r="G62" i="3"/>
  <c r="P61" i="3" l="1"/>
  <c r="N61" i="3"/>
  <c r="L62" i="3"/>
  <c r="I62" i="3"/>
  <c r="J62" i="3" s="1"/>
  <c r="O62" i="3" s="1"/>
  <c r="G63" i="3"/>
  <c r="P62" i="3" l="1"/>
  <c r="N62" i="3"/>
  <c r="L63" i="3"/>
  <c r="I63" i="3"/>
  <c r="J63" i="3"/>
  <c r="O63" i="3" s="1"/>
  <c r="G64" i="3"/>
  <c r="P63" i="3" l="1"/>
  <c r="N63" i="3"/>
  <c r="L64" i="3"/>
  <c r="I64" i="3"/>
  <c r="J64" i="3"/>
  <c r="O64" i="3" s="1"/>
  <c r="G65" i="3"/>
  <c r="P64" i="3" l="1"/>
  <c r="N64" i="3"/>
  <c r="L65" i="3"/>
  <c r="I65" i="3"/>
  <c r="J65" i="3" s="1"/>
  <c r="O65" i="3" s="1"/>
  <c r="G66" i="3"/>
  <c r="P65" i="3" l="1"/>
  <c r="N65" i="3"/>
  <c r="L66" i="3"/>
  <c r="I66" i="3"/>
  <c r="J66" i="3"/>
  <c r="O66" i="3" s="1"/>
  <c r="G67" i="3"/>
  <c r="P66" i="3" l="1"/>
  <c r="N66" i="3"/>
  <c r="L67" i="3"/>
  <c r="I67" i="3"/>
  <c r="J67" i="3"/>
  <c r="O67" i="3" s="1"/>
  <c r="G68" i="3"/>
  <c r="P67" i="3" l="1"/>
  <c r="N67" i="3"/>
  <c r="L68" i="3"/>
  <c r="I68" i="3"/>
  <c r="J68" i="3" s="1"/>
  <c r="O68" i="3" s="1"/>
  <c r="G69" i="3"/>
  <c r="N68" i="3" l="1"/>
  <c r="P68" i="3"/>
  <c r="L69" i="3"/>
  <c r="I69" i="3"/>
  <c r="J69" i="3"/>
  <c r="O69" i="3" s="1"/>
  <c r="G70" i="3"/>
  <c r="N69" i="3" l="1"/>
  <c r="P69" i="3"/>
  <c r="L70" i="3"/>
  <c r="I70" i="3"/>
  <c r="J70" i="3"/>
  <c r="O70" i="3" s="1"/>
  <c r="G71" i="3"/>
  <c r="P70" i="3" l="1"/>
  <c r="N70" i="3"/>
  <c r="L71" i="3"/>
  <c r="I71" i="3"/>
  <c r="J71" i="3"/>
  <c r="O71" i="3" s="1"/>
  <c r="G72" i="3"/>
  <c r="P71" i="3" l="1"/>
  <c r="N71" i="3"/>
  <c r="L72" i="3"/>
  <c r="I72" i="3"/>
  <c r="J72" i="3"/>
  <c r="O72" i="3" s="1"/>
  <c r="G73" i="3"/>
  <c r="P72" i="3" l="1"/>
  <c r="N72" i="3"/>
  <c r="L73" i="3"/>
  <c r="I73" i="3"/>
  <c r="J73" i="3"/>
  <c r="O73" i="3" s="1"/>
  <c r="G74" i="3"/>
  <c r="N73" i="3" l="1"/>
  <c r="P73" i="3"/>
  <c r="L74" i="3"/>
  <c r="I74" i="3"/>
  <c r="J74" i="3"/>
  <c r="O74" i="3" s="1"/>
  <c r="G75" i="3"/>
  <c r="N74" i="3" l="1"/>
  <c r="P74" i="3"/>
  <c r="L75" i="3"/>
  <c r="I75" i="3"/>
  <c r="J75" i="3" s="1"/>
  <c r="O75" i="3" s="1"/>
  <c r="G76" i="3"/>
  <c r="N75" i="3" l="1"/>
  <c r="P75" i="3"/>
  <c r="L76" i="3"/>
  <c r="I76" i="3"/>
  <c r="J76" i="3"/>
  <c r="O76" i="3" s="1"/>
  <c r="G77" i="3"/>
  <c r="P76" i="3" l="1"/>
  <c r="N76" i="3"/>
  <c r="L77" i="3"/>
  <c r="I77" i="3"/>
  <c r="J77" i="3"/>
  <c r="O77" i="3" s="1"/>
  <c r="G78" i="3"/>
  <c r="P77" i="3" l="1"/>
  <c r="N77" i="3"/>
  <c r="L78" i="3"/>
  <c r="S8" i="3" s="1"/>
  <c r="I78" i="3"/>
  <c r="J78" i="3"/>
  <c r="O78" i="3" s="1"/>
  <c r="S11" i="3" s="1"/>
  <c r="C16" i="4" l="1"/>
  <c r="D16" i="4" s="1"/>
  <c r="C9" i="4"/>
  <c r="D9" i="4" s="1"/>
  <c r="M6" i="5"/>
  <c r="P78" i="3"/>
  <c r="S17" i="3" s="1"/>
  <c r="N78" i="3"/>
  <c r="S10" i="3" s="1"/>
  <c r="C12" i="4"/>
  <c r="D12" i="4" s="1"/>
  <c r="S14" i="3"/>
  <c r="C6" i="4" s="1"/>
  <c r="D6" i="4" s="1"/>
  <c r="S13" i="3"/>
  <c r="C5" i="4" s="1"/>
  <c r="D5" i="4" s="1"/>
  <c r="S12" i="3" l="1"/>
  <c r="S16" i="3" s="1"/>
  <c r="C8" i="4" s="1"/>
  <c r="D8" i="4" s="1"/>
  <c r="S18" i="3"/>
  <c r="C11" i="4"/>
  <c r="D11" i="4" s="1"/>
  <c r="S15" i="3"/>
  <c r="C7" i="4" s="1"/>
  <c r="D7" i="4" s="1"/>
  <c r="B1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8" authorId="0" shapeId="0" xr:uid="{00000000-0006-0000-0200-000001000000}">
      <text>
        <r>
          <rPr>
            <sz val="10"/>
            <rFont val="Arial"/>
            <family val="2"/>
          </rPr>
          <t>Starting value: both lives alive today.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300-000001000000}">
      <text>
        <r>
          <rPr>
            <sz val="10"/>
            <rFont val="Arial"/>
            <family val="2"/>
          </rPr>
          <t>Source: Shiny calculator, Chapter 3 tab, default assumptions.</t>
        </r>
      </text>
    </comment>
    <comment ref="B16" authorId="0" shapeId="0" xr:uid="{00000000-0006-0000-0300-000002000000}">
      <text>
        <r>
          <rPr>
            <sz val="10"/>
            <rFont val="Arial"/>
            <family val="2"/>
          </rPr>
          <t>Source: SOA Standard Ultimate Life Table, a-double-dot at age 65, i = 5%. Valid only when the first life is 65 and i = 5%.</t>
        </r>
      </text>
    </comment>
  </commentList>
</comments>
</file>

<file path=xl/sharedStrings.xml><?xml version="1.0" encoding="utf-8"?>
<sst xmlns="http://schemas.openxmlformats.org/spreadsheetml/2006/main" count="97" uniqueCount="85">
  <si>
    <t>Chapter 3: Two Lives, Excel cross-check</t>
  </si>
  <si>
    <t>Part of The Odds of a Lifetime. This workbook rebuilds the Chapter 3 calculations independently in spreadsheet formulas.</t>
  </si>
  <si>
    <t>Sheets</t>
  </si>
  <si>
    <t>Assumptions: the couple, the pension and the Makeham mortality parameters (SOA Standard Ultimate Life Table).</t>
  </si>
  <si>
    <t>Life table: one-year death rates for each life, survival of each life, the joint-life and last-survivor statuses, and the annuities.</t>
  </si>
  <si>
    <t>Cross-check: R calculator results side by side with Excel, plus a check against the published SOA table.</t>
  </si>
  <si>
    <t>Experience: the SQL couples study from R, compared with the model.</t>
  </si>
  <si>
    <t>Legend</t>
  </si>
  <si>
    <t>Blue text on yellow = input you can change</t>
  </si>
  <si>
    <t>Black text = formula</t>
  </si>
  <si>
    <t>Green text = value pulled from another sheet</t>
  </si>
  <si>
    <t>Illustrative assumptions only, not calibrated to real data and not a pricing basis.</t>
  </si>
  <si>
    <t>Assumptions</t>
  </si>
  <si>
    <t>Two independent lives. Income paid at the start of each year, up to age 120 for the younger life.</t>
  </si>
  <si>
    <t>Item</t>
  </si>
  <si>
    <t>Value</t>
  </si>
  <si>
    <t>Note</t>
  </si>
  <si>
    <t>Age of first life (x)</t>
  </si>
  <si>
    <t>Between 50 and 85.</t>
  </si>
  <si>
    <t>Age of second life (y)</t>
  </si>
  <si>
    <t>Annual income</t>
  </si>
  <si>
    <t>Paid at the start of each year.</t>
  </si>
  <si>
    <t>Survivor's share after the first death</t>
  </si>
  <si>
    <t>Share of the income paid to whoever survives.</t>
  </si>
  <si>
    <t>Annual interest rate i</t>
  </si>
  <si>
    <t>Effective rate.</t>
  </si>
  <si>
    <t>Makeham A</t>
  </si>
  <si>
    <t>SOA Standard Ultimate Life Table.</t>
  </si>
  <si>
    <t>Makeham B</t>
  </si>
  <si>
    <t>Makeham c</t>
  </si>
  <si>
    <t>Years of payments n = 120 - younger age</t>
  </si>
  <si>
    <t>Ages within range?</t>
  </si>
  <si>
    <t>Life table for the couple</t>
  </si>
  <si>
    <t>Makeham: q = 1 - exp(-A - B c^age (c - 1) / ln c). Joint life: kp_xy = kp_x kp_y. Last survivor: kp_x + kp_y - kp_xy. Annuities sum v^k kp for k = 0 to n - 1.</t>
  </si>
  <si>
    <t>Year k</t>
  </si>
  <si>
    <t>Within payments (1/0)</t>
  </si>
  <si>
    <t>Age of x</t>
  </si>
  <si>
    <t>q for x</t>
  </si>
  <si>
    <t>Age of y</t>
  </si>
  <si>
    <t>q for y</t>
  </si>
  <si>
    <t>kp_x</t>
  </si>
  <si>
    <t>kp_y</t>
  </si>
  <si>
    <t>kp_xy (both alive)</t>
  </si>
  <si>
    <t>kp last survivor (at least one alive)</t>
  </si>
  <si>
    <t>Discount v^k</t>
  </si>
  <si>
    <t>Annuity term x</t>
  </si>
  <si>
    <t>Annuity term y</t>
  </si>
  <si>
    <t>Annuity term joint</t>
  </si>
  <si>
    <t>Annuity term last survivor</t>
  </si>
  <si>
    <t>(x) dies first in year k+1</t>
  </si>
  <si>
    <t>Results</t>
  </si>
  <si>
    <t>Annuity factor, x</t>
  </si>
  <si>
    <t>Annuity factor, y</t>
  </si>
  <si>
    <t>Annuity factor, joint life</t>
  </si>
  <si>
    <t>Annuity factor, last survivor</t>
  </si>
  <si>
    <t>Reversionary annuity to (y) after (x) dies</t>
  </si>
  <si>
    <t>Cost of a joint and survivor pension</t>
  </si>
  <si>
    <t>Cost if income continues in full to the survivor</t>
  </si>
  <si>
    <t>Cost if income stops at the first death</t>
  </si>
  <si>
    <t>Cost of income to (y) only after (x) dies</t>
  </si>
  <si>
    <t>Probability that (x) dies first</t>
  </si>
  <si>
    <t>Check: joint + last survivor = x + y</t>
  </si>
  <si>
    <t>R calculator vs Excel</t>
  </si>
  <si>
    <t>R values were read off the calculator's Chapter 3 tab at the default assumptions (ages 65 and 62, $20,000, 60%, 5%). If you change the assumptions, re-enter the R values from the app.</t>
  </si>
  <si>
    <t>R calculator</t>
  </si>
  <si>
    <t>Excel</t>
  </si>
  <si>
    <t>R minus Excel</t>
  </si>
  <si>
    <t>R and Excel agree (to the rounding shown in the app)?</t>
  </si>
  <si>
    <t>Published SOA Standard Ultimate Life Table: annuity-due at age 65, 5%</t>
  </si>
  <si>
    <t>Couples study from the SQL experience data</t>
  </si>
  <si>
    <t>Year</t>
  </si>
  <si>
    <t>Both alive at start</t>
  </si>
  <si>
    <t>At least one alive at start</t>
  </si>
  <si>
    <t>(x) dies first</t>
  </si>
  <si>
    <t>(y) dies first</t>
  </si>
  <si>
    <t>Both alive: observed</t>
  </si>
  <si>
    <t>Both alive: model</t>
  </si>
  <si>
    <t>At least one alive: observed</t>
  </si>
  <si>
    <t>At least one alive: model</t>
  </si>
  <si>
    <t>(x) dies first within 30 years</t>
  </si>
  <si>
    <t>Measure</t>
  </si>
  <si>
    <t>Observed</t>
  </si>
  <si>
    <t>Model</t>
  </si>
  <si>
    <t>Proportion of couples</t>
  </si>
  <si>
    <t>Values below are the SQL couples study: 20,000 simulated couples aged 65 and 62, followed for 30 years (seed 2026). The model uses the Life table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</si>
</sst>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0.0%"/>
    <numFmt numFmtId="166" formatCode="0.00000"/>
    <numFmt numFmtId="167" formatCode="0.0000000"/>
    <numFmt numFmtId="168" formatCode="0.000"/>
    <numFmt numFmtId="169" formatCode="0.000000"/>
    <numFmt numFmtId="170" formatCode="0.0000"/>
    <numFmt numFmtId="171" formatCode="\$#,##0.00"/>
    <numFmt numFmtId="172" formatCode="\$#,##0.00;&quot;($&quot;#,##0.00\);\-"/>
    <numFmt numFmtId="173" formatCode="0.0000;\(0.0000\);\-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595959"/>
      <name val="Arial"/>
      <family val="2"/>
    </font>
    <font>
      <sz val="1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vertical="center" wrapText="1"/>
    </xf>
    <xf numFmtId="0" fontId="9" fillId="0" borderId="0" xfId="0" applyFont="1"/>
    <xf numFmtId="164" fontId="5" fillId="2" borderId="0" xfId="0" applyNumberFormat="1" applyFont="1" applyFill="1"/>
    <xf numFmtId="9" fontId="5" fillId="2" borderId="0" xfId="0" applyNumberFormat="1" applyFont="1" applyFill="1"/>
    <xf numFmtId="165" fontId="5" fillId="2" borderId="0" xfId="0" applyNumberFormat="1" applyFont="1" applyFill="1"/>
    <xf numFmtId="166" fontId="5" fillId="2" borderId="0" xfId="0" applyNumberFormat="1" applyFont="1" applyFill="1"/>
    <xf numFmtId="167" fontId="5" fillId="2" borderId="0" xfId="0" applyNumberFormat="1" applyFont="1" applyFill="1"/>
    <xf numFmtId="168" fontId="5" fillId="2" borderId="0" xfId="0" applyNumberFormat="1" applyFont="1" applyFill="1"/>
    <xf numFmtId="169" fontId="3" fillId="0" borderId="0" xfId="0" applyNumberFormat="1" applyFont="1"/>
    <xf numFmtId="169" fontId="5" fillId="0" borderId="0" xfId="0" applyNumberFormat="1" applyFont="1"/>
    <xf numFmtId="170" fontId="3" fillId="0" borderId="0" xfId="0" applyNumberFormat="1" applyFont="1"/>
    <xf numFmtId="171" fontId="4" fillId="0" borderId="0" xfId="0" applyNumberFormat="1" applyFont="1"/>
    <xf numFmtId="171" fontId="3" fillId="0" borderId="0" xfId="0" applyNumberFormat="1" applyFont="1"/>
    <xf numFmtId="165" fontId="3" fillId="0" borderId="0" xfId="0" applyNumberFormat="1" applyFont="1"/>
    <xf numFmtId="172" fontId="5" fillId="2" borderId="0" xfId="0" applyNumberFormat="1" applyFont="1" applyFill="1"/>
    <xf numFmtId="172" fontId="6" fillId="0" borderId="0" xfId="0" applyNumberFormat="1" applyFont="1"/>
    <xf numFmtId="172" fontId="3" fillId="0" borderId="0" xfId="0" applyNumberFormat="1" applyFont="1"/>
    <xf numFmtId="173" fontId="5" fillId="2" borderId="0" xfId="0" applyNumberFormat="1" applyFont="1" applyFill="1"/>
    <xf numFmtId="173" fontId="6" fillId="0" borderId="0" xfId="0" applyNumberFormat="1" applyFont="1"/>
    <xf numFmtId="173" fontId="3" fillId="0" borderId="0" xfId="0" applyNumberFormat="1" applyFont="1"/>
    <xf numFmtId="170" fontId="5" fillId="2" borderId="0" xfId="0" applyNumberFormat="1" applyFont="1" applyFill="1"/>
    <xf numFmtId="170" fontId="6" fillId="0" borderId="0" xfId="0" applyNumberFormat="1" applyFont="1"/>
    <xf numFmtId="173" fontId="0" fillId="0" borderId="0" xfId="0" applyNumberFormat="1"/>
    <xf numFmtId="3" fontId="5" fillId="2" borderId="0" xfId="0" applyNumberFormat="1" applyFont="1" applyFill="1"/>
    <xf numFmtId="165" fontId="6" fillId="0" borderId="0" xfId="0" applyNumberFormat="1" applyFont="1"/>
    <xf numFmtId="0" fontId="8" fillId="3" borderId="0" xfId="0" applyFont="1" applyFill="1"/>
    <xf numFmtId="165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8.6640625" defaultRowHeight="15" x14ac:dyDescent="0.2"/>
  <cols>
    <col min="1" max="1" width="125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/>
    </row>
    <row r="10" spans="1:1" x14ac:dyDescent="0.2">
      <c r="A10" s="3" t="s">
        <v>7</v>
      </c>
    </row>
    <row r="11" spans="1:1" x14ac:dyDescent="0.2">
      <c r="A11" s="4" t="s">
        <v>8</v>
      </c>
    </row>
    <row r="12" spans="1:1" x14ac:dyDescent="0.2">
      <c r="A12" s="2" t="s">
        <v>9</v>
      </c>
    </row>
    <row r="13" spans="1:1" x14ac:dyDescent="0.2">
      <c r="A13" s="5" t="s">
        <v>10</v>
      </c>
    </row>
    <row r="14" spans="1:1" x14ac:dyDescent="0.2">
      <c r="A14" s="2"/>
    </row>
    <row r="15" spans="1:1" x14ac:dyDescent="0.2">
      <c r="A15" s="6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4" customWidth="1"/>
    <col min="3" max="3" width="50" customWidth="1"/>
  </cols>
  <sheetData>
    <row r="1" spans="1:3" ht="18" x14ac:dyDescent="0.2">
      <c r="A1" s="1" t="s">
        <v>12</v>
      </c>
    </row>
    <row r="2" spans="1:3" x14ac:dyDescent="0.2">
      <c r="A2" s="6" t="s">
        <v>13</v>
      </c>
    </row>
    <row r="4" spans="1:3" ht="19.5" customHeight="1" x14ac:dyDescent="0.2">
      <c r="A4" s="7" t="s">
        <v>14</v>
      </c>
      <c r="B4" s="7" t="s">
        <v>15</v>
      </c>
      <c r="C4" s="7" t="s">
        <v>16</v>
      </c>
    </row>
    <row r="5" spans="1:3" x14ac:dyDescent="0.2">
      <c r="A5" s="2" t="s">
        <v>17</v>
      </c>
      <c r="B5" s="4">
        <v>65</v>
      </c>
      <c r="C5" s="8" t="s">
        <v>18</v>
      </c>
    </row>
    <row r="6" spans="1:3" x14ac:dyDescent="0.2">
      <c r="A6" s="2" t="s">
        <v>19</v>
      </c>
      <c r="B6" s="4">
        <v>62</v>
      </c>
      <c r="C6" s="8" t="s">
        <v>18</v>
      </c>
    </row>
    <row r="7" spans="1:3" x14ac:dyDescent="0.2">
      <c r="A7" s="2" t="s">
        <v>20</v>
      </c>
      <c r="B7" s="9">
        <v>20000</v>
      </c>
      <c r="C7" s="8" t="s">
        <v>21</v>
      </c>
    </row>
    <row r="8" spans="1:3" x14ac:dyDescent="0.2">
      <c r="A8" s="2" t="s">
        <v>22</v>
      </c>
      <c r="B8" s="10">
        <v>0.6</v>
      </c>
      <c r="C8" s="8" t="s">
        <v>23</v>
      </c>
    </row>
    <row r="9" spans="1:3" x14ac:dyDescent="0.2">
      <c r="A9" s="2" t="s">
        <v>24</v>
      </c>
      <c r="B9" s="11">
        <v>0.05</v>
      </c>
      <c r="C9" s="8" t="s">
        <v>25</v>
      </c>
    </row>
    <row r="10" spans="1:3" x14ac:dyDescent="0.2">
      <c r="A10" s="2" t="s">
        <v>26</v>
      </c>
      <c r="B10" s="12">
        <v>2.2000000000000001E-4</v>
      </c>
      <c r="C10" s="8" t="s">
        <v>27</v>
      </c>
    </row>
    <row r="11" spans="1:3" x14ac:dyDescent="0.2">
      <c r="A11" s="2" t="s">
        <v>28</v>
      </c>
      <c r="B11" s="13">
        <v>2.7E-6</v>
      </c>
      <c r="C11" s="8" t="s">
        <v>27</v>
      </c>
    </row>
    <row r="12" spans="1:3" x14ac:dyDescent="0.2">
      <c r="A12" s="2" t="s">
        <v>29</v>
      </c>
      <c r="B12" s="14">
        <v>1.1240000000000001</v>
      </c>
      <c r="C12" s="8" t="s">
        <v>27</v>
      </c>
    </row>
    <row r="14" spans="1:3" x14ac:dyDescent="0.2">
      <c r="A14" s="2" t="s">
        <v>30</v>
      </c>
      <c r="B14">
        <f>120-MIN(B5,B6)</f>
        <v>58</v>
      </c>
    </row>
    <row r="15" spans="1:3" x14ac:dyDescent="0.2">
      <c r="A15" s="2" t="s">
        <v>31</v>
      </c>
      <c r="B15" s="3" t="str">
        <f>IF(AND(B5&gt;=50,B5&lt;=85,B6&gt;=50,B6&lt;=85),"OK","Ages must be 50 to 85")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7" customWidth="1"/>
    <col min="2" max="2" width="9" customWidth="1"/>
    <col min="3" max="3" width="7" customWidth="1"/>
    <col min="4" max="4" width="11" customWidth="1"/>
    <col min="5" max="5" width="7" customWidth="1"/>
    <col min="6" max="8" width="11" customWidth="1"/>
    <col min="9" max="9" width="12" customWidth="1"/>
    <col min="10" max="10" width="13" customWidth="1"/>
    <col min="11" max="11" width="10" customWidth="1"/>
    <col min="12" max="14" width="11" customWidth="1"/>
    <col min="15" max="16" width="12" customWidth="1"/>
    <col min="17" max="17" width="2" customWidth="1"/>
    <col min="18" max="18" width="44" customWidth="1"/>
    <col min="19" max="19" width="15" customWidth="1"/>
  </cols>
  <sheetData>
    <row r="1" spans="1:19" ht="18" x14ac:dyDescent="0.2">
      <c r="A1" s="1" t="s">
        <v>32</v>
      </c>
    </row>
    <row r="2" spans="1:19" x14ac:dyDescent="0.2">
      <c r="A2" s="6" t="s">
        <v>33</v>
      </c>
    </row>
    <row r="7" spans="1:19" ht="45" customHeight="1" x14ac:dyDescent="0.2">
      <c r="A7" s="7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42</v>
      </c>
      <c r="J7" s="7" t="s">
        <v>43</v>
      </c>
      <c r="K7" s="7" t="s">
        <v>44</v>
      </c>
      <c r="L7" s="7" t="s">
        <v>45</v>
      </c>
      <c r="M7" s="7" t="s">
        <v>46</v>
      </c>
      <c r="N7" s="7" t="s">
        <v>47</v>
      </c>
      <c r="O7" s="7" t="s">
        <v>48</v>
      </c>
      <c r="P7" s="7" t="s">
        <v>49</v>
      </c>
      <c r="R7" s="3" t="s">
        <v>50</v>
      </c>
    </row>
    <row r="8" spans="1:19" x14ac:dyDescent="0.2">
      <c r="A8" s="2">
        <v>0</v>
      </c>
      <c r="B8" s="2">
        <f>IF(A8&lt;Assumptions!$B$14,1,0)</f>
        <v>1</v>
      </c>
      <c r="C8" s="2">
        <f>Assumptions!$B$5+A8</f>
        <v>65</v>
      </c>
      <c r="D8" s="15">
        <f>1-EXP(-Assumptions!$B$10-Assumptions!$B$11*Assumptions!$B$12^C8*(Assumptions!$B$12-1)/LN(Assumptions!$B$12))</f>
        <v>5.9146520295545457E-3</v>
      </c>
      <c r="E8" s="2">
        <f>Assumptions!$B$6+A8</f>
        <v>62</v>
      </c>
      <c r="F8" s="15">
        <f>1-EXP(-Assumptions!$B$10-Assumptions!$B$11*Assumptions!$B$12^E8*(Assumptions!$B$12-1)/LN(Assumptions!$B$12))</f>
        <v>4.233599972717883E-3</v>
      </c>
      <c r="G8" s="16">
        <v>1</v>
      </c>
      <c r="H8" s="16">
        <v>1</v>
      </c>
      <c r="I8" s="15">
        <f t="shared" ref="I8:I39" si="0">G8*H8</f>
        <v>1</v>
      </c>
      <c r="J8" s="15">
        <f t="shared" ref="J8:J39" si="1">G8+H8-I8</f>
        <v>1</v>
      </c>
      <c r="K8" s="15">
        <f>(1+Assumptions!$B$9)^-A8</f>
        <v>1</v>
      </c>
      <c r="L8" s="15">
        <f t="shared" ref="L8:L39" si="2">B8*K8*G8</f>
        <v>1</v>
      </c>
      <c r="M8" s="15">
        <f t="shared" ref="M8:M39" si="3">B8*K8*H8</f>
        <v>1</v>
      </c>
      <c r="N8" s="15">
        <f t="shared" ref="N8:N39" si="4">B8*K8*I8</f>
        <v>1</v>
      </c>
      <c r="O8" s="15">
        <f t="shared" ref="O8:O39" si="5">B8*K8*J8</f>
        <v>1</v>
      </c>
      <c r="P8" s="15">
        <f t="shared" ref="P8:P39" si="6">B8*I8*D8*(1-F8/2)</f>
        <v>5.9021318942190665E-3</v>
      </c>
      <c r="R8" s="2" t="s">
        <v>51</v>
      </c>
      <c r="S8" s="17">
        <f>SUM(L8:L78)</f>
        <v>13.549790037743085</v>
      </c>
    </row>
    <row r="9" spans="1:19" x14ac:dyDescent="0.2">
      <c r="A9" s="2">
        <v>1</v>
      </c>
      <c r="B9" s="2">
        <f>IF(A9&lt;Assumptions!$B$14,1,0)</f>
        <v>1</v>
      </c>
      <c r="C9" s="2">
        <f>Assumptions!$B$5+A9</f>
        <v>66</v>
      </c>
      <c r="D9" s="15">
        <f>1-EXP(-Assumptions!$B$10-Assumptions!$B$11*Assumptions!$B$12^C9*(Assumptions!$B$12-1)/LN(Assumptions!$B$12))</f>
        <v>6.6185276792443126E-3</v>
      </c>
      <c r="E9" s="2">
        <f>Assumptions!$B$6+A9</f>
        <v>63</v>
      </c>
      <c r="F9" s="15">
        <f>1-EXP(-Assumptions!$B$10-Assumptions!$B$11*Assumptions!$B$12^E9*(Assumptions!$B$12-1)/LN(Assumptions!$B$12))</f>
        <v>4.7301651877017514E-3</v>
      </c>
      <c r="G9" s="15">
        <f t="shared" ref="G9:G40" si="7">G8*(1-D8)</f>
        <v>0.99408534797044545</v>
      </c>
      <c r="H9" s="15">
        <f t="shared" ref="H9:H40" si="8">H8*(1-F8)</f>
        <v>0.99576640002728212</v>
      </c>
      <c r="I9" s="15">
        <f t="shared" si="0"/>
        <v>0.98987678826839853</v>
      </c>
      <c r="J9" s="15">
        <f t="shared" si="1"/>
        <v>0.99997495972932904</v>
      </c>
      <c r="K9" s="15">
        <f>(1+Assumptions!$B$9)^-A9</f>
        <v>0.95238095238095233</v>
      </c>
      <c r="L9" s="15">
        <f t="shared" si="2"/>
        <v>0.94674795044804327</v>
      </c>
      <c r="M9" s="15">
        <f t="shared" si="3"/>
        <v>0.94834895240693529</v>
      </c>
      <c r="N9" s="15">
        <f t="shared" si="4"/>
        <v>0.94273979835085564</v>
      </c>
      <c r="O9" s="15">
        <f t="shared" si="5"/>
        <v>0.95235710450412281</v>
      </c>
      <c r="P9" s="15">
        <f t="shared" si="6"/>
        <v>6.5360320199090265E-3</v>
      </c>
      <c r="R9" s="2" t="s">
        <v>52</v>
      </c>
      <c r="S9" s="17">
        <f>SUM(M8:M78)</f>
        <v>14.386057830097537</v>
      </c>
    </row>
    <row r="10" spans="1:19" x14ac:dyDescent="0.2">
      <c r="A10" s="2">
        <v>2</v>
      </c>
      <c r="B10" s="2">
        <f>IF(A10&lt;Assumptions!$B$14,1,0)</f>
        <v>1</v>
      </c>
      <c r="C10" s="2">
        <f>Assumptions!$B$5+A10</f>
        <v>67</v>
      </c>
      <c r="D10" s="15">
        <f>1-EXP(-Assumptions!$B$10-Assumptions!$B$11*Assumptions!$B$12^C10*(Assumptions!$B$12-1)/LN(Assumptions!$B$12))</f>
        <v>7.4090890062679104E-3</v>
      </c>
      <c r="E10" s="2">
        <f>Assumptions!$B$6+A10</f>
        <v>64</v>
      </c>
      <c r="F10" s="15">
        <f>1-EXP(-Assumptions!$B$10-Assumptions!$B$11*Assumptions!$B$12^E10*(Assumptions!$B$12-1)/LN(Assumptions!$B$12))</f>
        <v>5.2880089080169501E-3</v>
      </c>
      <c r="G10" s="15">
        <f t="shared" si="7"/>
        <v>0.98750596657937184</v>
      </c>
      <c r="H10" s="15">
        <f t="shared" si="8"/>
        <v>0.99105626046678996</v>
      </c>
      <c r="I10" s="15">
        <f t="shared" si="0"/>
        <v>0.97867397042679516</v>
      </c>
      <c r="J10" s="15">
        <f t="shared" si="1"/>
        <v>0.99988825661936664</v>
      </c>
      <c r="K10" s="15">
        <f>(1+Assumptions!$B$9)^-A10</f>
        <v>0.90702947845804982</v>
      </c>
      <c r="L10" s="15">
        <f t="shared" si="2"/>
        <v>0.89569702184069999</v>
      </c>
      <c r="M10" s="15">
        <f t="shared" si="3"/>
        <v>0.89891724305377763</v>
      </c>
      <c r="N10" s="15">
        <f t="shared" si="4"/>
        <v>0.88768614097668486</v>
      </c>
      <c r="O10" s="15">
        <f t="shared" si="5"/>
        <v>0.90692812391779276</v>
      </c>
      <c r="P10" s="15">
        <f t="shared" si="6"/>
        <v>7.2319106604379051E-3</v>
      </c>
      <c r="R10" s="2" t="s">
        <v>53</v>
      </c>
      <c r="S10" s="17">
        <f>SUM(N8:N78)</f>
        <v>12.128319390770208</v>
      </c>
    </row>
    <row r="11" spans="1:19" x14ac:dyDescent="0.2">
      <c r="A11" s="2">
        <v>3</v>
      </c>
      <c r="B11" s="2">
        <f>IF(A11&lt;Assumptions!$B$14,1,0)</f>
        <v>1</v>
      </c>
      <c r="C11" s="2">
        <f>Assumptions!$B$5+A11</f>
        <v>68</v>
      </c>
      <c r="D11" s="15">
        <f>1-EXP(-Assumptions!$B$10-Assumptions!$B$11*Assumptions!$B$12^C11*(Assumptions!$B$12-1)/LN(Assumptions!$B$12))</f>
        <v>8.2969289522332179E-3</v>
      </c>
      <c r="E11" s="2">
        <f>Assumptions!$B$6+A11</f>
        <v>65</v>
      </c>
      <c r="F11" s="15">
        <f>1-EXP(-Assumptions!$B$10-Assumptions!$B$11*Assumptions!$B$12^E11*(Assumptions!$B$12-1)/LN(Assumptions!$B$12))</f>
        <v>5.9146520295545457E-3</v>
      </c>
      <c r="G11" s="15">
        <f t="shared" si="7"/>
        <v>0.98018944697876464</v>
      </c>
      <c r="H11" s="15">
        <f t="shared" si="8"/>
        <v>0.98581554613309563</v>
      </c>
      <c r="I11" s="15">
        <f t="shared" si="0"/>
        <v>0.96628599498726786</v>
      </c>
      <c r="J11" s="15">
        <f t="shared" si="1"/>
        <v>0.99971899812459231</v>
      </c>
      <c r="K11" s="15">
        <f>(1+Assumptions!$B$9)^-A11</f>
        <v>0.86383759853147601</v>
      </c>
      <c r="L11" s="15">
        <f t="shared" si="2"/>
        <v>0.8467244979840316</v>
      </c>
      <c r="M11" s="15">
        <f t="shared" si="3"/>
        <v>0.85158453396660883</v>
      </c>
      <c r="N11" s="15">
        <f t="shared" si="4"/>
        <v>0.83471417340439935</v>
      </c>
      <c r="O11" s="15">
        <f t="shared" si="5"/>
        <v>0.86359485854624096</v>
      </c>
      <c r="P11" s="15">
        <f t="shared" si="6"/>
        <v>7.9934967553444564E-3</v>
      </c>
      <c r="R11" s="2" t="s">
        <v>54</v>
      </c>
      <c r="S11" s="17">
        <f>SUM(O8:O78)</f>
        <v>15.807528477070417</v>
      </c>
    </row>
    <row r="12" spans="1:19" x14ac:dyDescent="0.2">
      <c r="A12" s="2">
        <v>4</v>
      </c>
      <c r="B12" s="2">
        <f>IF(A12&lt;Assumptions!$B$14,1,0)</f>
        <v>1</v>
      </c>
      <c r="C12" s="2">
        <f>Assumptions!$B$5+A12</f>
        <v>69</v>
      </c>
      <c r="D12" s="15">
        <f>1-EXP(-Assumptions!$B$10-Assumptions!$B$11*Assumptions!$B$12^C12*(Assumptions!$B$12-1)/LN(Assumptions!$B$12))</f>
        <v>9.2939131268063857E-3</v>
      </c>
      <c r="E12" s="2">
        <f>Assumptions!$B$6+A12</f>
        <v>66</v>
      </c>
      <c r="F12" s="15">
        <f>1-EXP(-Assumptions!$B$10-Assumptions!$B$11*Assumptions!$B$12^E12*(Assumptions!$B$12-1)/LN(Assumptions!$B$12))</f>
        <v>6.6185276792443126E-3</v>
      </c>
      <c r="G12" s="15">
        <f t="shared" si="7"/>
        <v>0.97205688477745311</v>
      </c>
      <c r="H12" s="15">
        <f t="shared" si="8"/>
        <v>0.97998479021239304</v>
      </c>
      <c r="I12" s="15">
        <f t="shared" si="0"/>
        <v>0.95260096230314473</v>
      </c>
      <c r="J12" s="15">
        <f t="shared" si="1"/>
        <v>0.99944071268670143</v>
      </c>
      <c r="K12" s="15">
        <f>(1+Assumptions!$B$9)^-A12</f>
        <v>0.82270247479188197</v>
      </c>
      <c r="L12" s="15">
        <f t="shared" si="2"/>
        <v>0.79971360474489794</v>
      </c>
      <c r="M12" s="15">
        <f t="shared" si="3"/>
        <v>0.80623591216613899</v>
      </c>
      <c r="N12" s="15">
        <f t="shared" si="4"/>
        <v>0.78370716917592542</v>
      </c>
      <c r="O12" s="15">
        <f t="shared" si="5"/>
        <v>0.82224234773511151</v>
      </c>
      <c r="P12" s="15">
        <f t="shared" si="6"/>
        <v>8.8240923828261496E-3</v>
      </c>
      <c r="R12" s="2" t="s">
        <v>55</v>
      </c>
      <c r="S12" s="17">
        <f>S9-S10</f>
        <v>2.2577384393273281</v>
      </c>
    </row>
    <row r="13" spans="1:19" x14ac:dyDescent="0.2">
      <c r="A13" s="2">
        <v>5</v>
      </c>
      <c r="B13" s="2">
        <f>IF(A13&lt;Assumptions!$B$14,1,0)</f>
        <v>1</v>
      </c>
      <c r="C13" s="2">
        <f>Assumptions!$B$5+A13</f>
        <v>70</v>
      </c>
      <c r="D13" s="15">
        <f>1-EXP(-Assumptions!$B$10-Assumptions!$B$11*Assumptions!$B$12^C13*(Assumptions!$B$12-1)/LN(Assumptions!$B$12))</f>
        <v>1.041332696314734E-2</v>
      </c>
      <c r="E13" s="2">
        <f>Assumptions!$B$6+A13</f>
        <v>67</v>
      </c>
      <c r="F13" s="15">
        <f>1-EXP(-Assumptions!$B$10-Assumptions!$B$11*Assumptions!$B$12^E13*(Assumptions!$B$12-1)/LN(Assumptions!$B$12))</f>
        <v>7.4090890062679104E-3</v>
      </c>
      <c r="G13" s="15">
        <f t="shared" si="7"/>
        <v>0.96302267253601737</v>
      </c>
      <c r="H13" s="15">
        <f t="shared" si="8"/>
        <v>0.97349873375313389</v>
      </c>
      <c r="I13" s="15">
        <f t="shared" si="0"/>
        <v>0.93750135228937181</v>
      </c>
      <c r="J13" s="15">
        <f t="shared" si="1"/>
        <v>0.99902005399977933</v>
      </c>
      <c r="K13" s="15">
        <f>(1+Assumptions!$B$9)^-A13</f>
        <v>0.78352616646845896</v>
      </c>
      <c r="L13" s="15">
        <f t="shared" si="2"/>
        <v>0.75455346283435576</v>
      </c>
      <c r="M13" s="15">
        <f t="shared" si="3"/>
        <v>0.76276173091949195</v>
      </c>
      <c r="N13" s="15">
        <f t="shared" si="4"/>
        <v>0.73455684061828774</v>
      </c>
      <c r="O13" s="15">
        <f t="shared" si="5"/>
        <v>0.78275835313555997</v>
      </c>
      <c r="P13" s="15">
        <f t="shared" si="6"/>
        <v>9.726342464027116E-3</v>
      </c>
      <c r="R13" s="2" t="s">
        <v>56</v>
      </c>
      <c r="S13" s="18">
        <f>Assumptions!$B$7*(Assumptions!$B$8*S11+(1-Assumptions!$B$8)*S10)</f>
        <v>286716.89685100666</v>
      </c>
    </row>
    <row r="14" spans="1:19" x14ac:dyDescent="0.2">
      <c r="A14" s="2">
        <v>6</v>
      </c>
      <c r="B14" s="2">
        <f>IF(A14&lt;Assumptions!$B$14,1,0)</f>
        <v>1</v>
      </c>
      <c r="C14" s="2">
        <f>Assumptions!$B$5+A14</f>
        <v>71</v>
      </c>
      <c r="D14" s="15">
        <f>1-EXP(-Assumptions!$B$10-Assumptions!$B$11*Assumptions!$B$12^C14*(Assumptions!$B$12-1)/LN(Assumptions!$B$12))</f>
        <v>1.1670038358202683E-2</v>
      </c>
      <c r="E14" s="2">
        <f>Assumptions!$B$6+A14</f>
        <v>68</v>
      </c>
      <c r="F14" s="15">
        <f>1-EXP(-Assumptions!$B$10-Assumptions!$B$11*Assumptions!$B$12^E14*(Assumptions!$B$12-1)/LN(Assumptions!$B$12))</f>
        <v>8.2969289522332179E-3</v>
      </c>
      <c r="G14" s="15">
        <f t="shared" si="7"/>
        <v>0.95299440257397583</v>
      </c>
      <c r="H14" s="15">
        <f t="shared" si="8"/>
        <v>0.96628599498726786</v>
      </c>
      <c r="I14" s="15">
        <f t="shared" si="0"/>
        <v>0.92086514450849111</v>
      </c>
      <c r="J14" s="15">
        <f t="shared" si="1"/>
        <v>0.99841525305275247</v>
      </c>
      <c r="K14" s="15">
        <f>(1+Assumptions!$B$9)^-A14</f>
        <v>0.74621539663662761</v>
      </c>
      <c r="L14" s="15">
        <f t="shared" si="2"/>
        <v>0.71113909610922532</v>
      </c>
      <c r="M14" s="15">
        <f t="shared" si="3"/>
        <v>0.72105748701384242</v>
      </c>
      <c r="N14" s="15">
        <f t="shared" si="4"/>
        <v>0.68716374905824906</v>
      </c>
      <c r="O14" s="15">
        <f t="shared" si="5"/>
        <v>0.74503283406481857</v>
      </c>
      <c r="P14" s="15">
        <f t="shared" si="6"/>
        <v>1.0701949954731366E-2</v>
      </c>
      <c r="R14" s="2" t="s">
        <v>57</v>
      </c>
      <c r="S14" s="19">
        <f>Assumptions!$B$7*S11</f>
        <v>316150.56954140833</v>
      </c>
    </row>
    <row r="15" spans="1:19" x14ac:dyDescent="0.2">
      <c r="A15" s="2">
        <v>7</v>
      </c>
      <c r="B15" s="2">
        <f>IF(A15&lt;Assumptions!$B$14,1,0)</f>
        <v>1</v>
      </c>
      <c r="C15" s="2">
        <f>Assumptions!$B$5+A15</f>
        <v>72</v>
      </c>
      <c r="D15" s="15">
        <f>1-EXP(-Assumptions!$B$10-Assumptions!$B$11*Assumptions!$B$12^C15*(Assumptions!$B$12-1)/LN(Assumptions!$B$12))</f>
        <v>1.3080677008737163E-2</v>
      </c>
      <c r="E15" s="2">
        <f>Assumptions!$B$6+A15</f>
        <v>69</v>
      </c>
      <c r="F15" s="15">
        <f>1-EXP(-Assumptions!$B$10-Assumptions!$B$11*Assumptions!$B$12^E15*(Assumptions!$B$12-1)/LN(Assumptions!$B$12))</f>
        <v>9.2939131268063857E-3</v>
      </c>
      <c r="G15" s="15">
        <f t="shared" si="7"/>
        <v>0.94187292134078504</v>
      </c>
      <c r="H15" s="15">
        <f t="shared" si="8"/>
        <v>0.95826878873932053</v>
      </c>
      <c r="I15" s="15">
        <f t="shared" si="0"/>
        <v>0.9025674234795994</v>
      </c>
      <c r="J15" s="15">
        <f t="shared" si="1"/>
        <v>0.99757428660050607</v>
      </c>
      <c r="K15" s="15">
        <f>(1+Assumptions!$B$9)^-A15</f>
        <v>0.71068133013012147</v>
      </c>
      <c r="L15" s="15">
        <f t="shared" si="2"/>
        <v>0.66937150055201233</v>
      </c>
      <c r="M15" s="15">
        <f t="shared" si="3"/>
        <v>0.68102373740344069</v>
      </c>
      <c r="N15" s="15">
        <f t="shared" si="4"/>
        <v>0.64143781705059832</v>
      </c>
      <c r="O15" s="15">
        <f t="shared" si="5"/>
        <v>0.7089574209048547</v>
      </c>
      <c r="P15" s="15">
        <f t="shared" si="6"/>
        <v>1.1751330079349488E-2</v>
      </c>
      <c r="R15" s="2" t="s">
        <v>58</v>
      </c>
      <c r="S15" s="19">
        <f>Assumptions!$B$7*S10</f>
        <v>242566.38781540416</v>
      </c>
    </row>
    <row r="16" spans="1:19" x14ac:dyDescent="0.2">
      <c r="A16" s="2">
        <v>8</v>
      </c>
      <c r="B16" s="2">
        <f>IF(A16&lt;Assumptions!$B$14,1,0)</f>
        <v>1</v>
      </c>
      <c r="C16" s="2">
        <f>Assumptions!$B$5+A16</f>
        <v>73</v>
      </c>
      <c r="D16" s="15">
        <f>1-EXP(-Assumptions!$B$10-Assumptions!$B$11*Assumptions!$B$12^C16*(Assumptions!$B$12-1)/LN(Assumptions!$B$12))</f>
        <v>1.4663831624937118E-2</v>
      </c>
      <c r="E16" s="2">
        <f>Assumptions!$B$6+A16</f>
        <v>70</v>
      </c>
      <c r="F16" s="15">
        <f>1-EXP(-Assumptions!$B$10-Assumptions!$B$11*Assumptions!$B$12^E16*(Assumptions!$B$12-1)/LN(Assumptions!$B$12))</f>
        <v>1.041332696314734E-2</v>
      </c>
      <c r="G16" s="15">
        <f t="shared" si="7"/>
        <v>0.92955258587345058</v>
      </c>
      <c r="H16" s="15">
        <f t="shared" si="8"/>
        <v>0.94936272186464732</v>
      </c>
      <c r="I16" s="15">
        <f t="shared" si="0"/>
        <v>0.88248257304114031</v>
      </c>
      <c r="J16" s="15">
        <f t="shared" si="1"/>
        <v>0.99643273469695748</v>
      </c>
      <c r="K16" s="15">
        <f>(1+Assumptions!$B$9)^-A16</f>
        <v>0.67683936202868722</v>
      </c>
      <c r="L16" s="15">
        <f t="shared" si="2"/>
        <v>0.62915777919470273</v>
      </c>
      <c r="M16" s="15">
        <f t="shared" si="3"/>
        <v>0.64256605900068586</v>
      </c>
      <c r="N16" s="15">
        <f t="shared" si="4"/>
        <v>0.59729894173859976</v>
      </c>
      <c r="O16" s="15">
        <f t="shared" si="5"/>
        <v>0.67442489645678882</v>
      </c>
      <c r="P16" s="15">
        <f t="shared" si="6"/>
        <v>1.287319863924005E-2</v>
      </c>
      <c r="R16" s="2" t="s">
        <v>59</v>
      </c>
      <c r="S16" s="19">
        <f>Assumptions!$B$7*S12</f>
        <v>45154.768786546563</v>
      </c>
    </row>
    <row r="17" spans="1:19" x14ac:dyDescent="0.2">
      <c r="A17" s="2">
        <v>9</v>
      </c>
      <c r="B17" s="2">
        <f>IF(A17&lt;Assumptions!$B$14,1,0)</f>
        <v>1</v>
      </c>
      <c r="C17" s="2">
        <f>Assumptions!$B$5+A17</f>
        <v>74</v>
      </c>
      <c r="D17" s="15">
        <f>1-EXP(-Assumptions!$B$10-Assumptions!$B$11*Assumptions!$B$12^C17*(Assumptions!$B$12-1)/LN(Assumptions!$B$12))</f>
        <v>1.6440266126718006E-2</v>
      </c>
      <c r="E17" s="2">
        <f>Assumptions!$B$6+A17</f>
        <v>71</v>
      </c>
      <c r="F17" s="15">
        <f>1-EXP(-Assumptions!$B$10-Assumptions!$B$11*Assumptions!$B$12^E17*(Assumptions!$B$12-1)/LN(Assumptions!$B$12))</f>
        <v>1.1670038358202683E-2</v>
      </c>
      <c r="G17" s="15">
        <f t="shared" si="7"/>
        <v>0.91592178326767737</v>
      </c>
      <c r="H17" s="15">
        <f t="shared" si="8"/>
        <v>0.9394766974352472</v>
      </c>
      <c r="I17" s="15">
        <f t="shared" si="0"/>
        <v>0.86048717205331982</v>
      </c>
      <c r="J17" s="15">
        <f t="shared" si="1"/>
        <v>0.99491130864960486</v>
      </c>
      <c r="K17" s="15">
        <f>(1+Assumptions!$B$9)^-A17</f>
        <v>0.64460891621779726</v>
      </c>
      <c r="L17" s="15">
        <f t="shared" si="2"/>
        <v>0.59041134805244966</v>
      </c>
      <c r="M17" s="15">
        <f t="shared" si="3"/>
        <v>0.60559505574561012</v>
      </c>
      <c r="N17" s="15">
        <f t="shared" si="4"/>
        <v>0.55467770339660771</v>
      </c>
      <c r="O17" s="15">
        <f t="shared" si="5"/>
        <v>0.64132870040145218</v>
      </c>
      <c r="P17" s="15">
        <f t="shared" si="6"/>
        <v>1.406409220250834E-2</v>
      </c>
      <c r="R17" s="2" t="s">
        <v>60</v>
      </c>
      <c r="S17" s="20">
        <f>SUM(P8:P78)</f>
        <v>0.58596176541104483</v>
      </c>
    </row>
    <row r="18" spans="1:19" x14ac:dyDescent="0.2">
      <c r="A18" s="2">
        <v>10</v>
      </c>
      <c r="B18" s="2">
        <f>IF(A18&lt;Assumptions!$B$14,1,0)</f>
        <v>1</v>
      </c>
      <c r="C18" s="2">
        <f>Assumptions!$B$5+A18</f>
        <v>75</v>
      </c>
      <c r="D18" s="15">
        <f>1-EXP(-Assumptions!$B$10-Assumptions!$B$11*Assumptions!$B$12^C18*(Assumptions!$B$12-1)/LN(Assumptions!$B$12))</f>
        <v>1.8433155787278888E-2</v>
      </c>
      <c r="E18" s="2">
        <f>Assumptions!$B$6+A18</f>
        <v>72</v>
      </c>
      <c r="F18" s="15">
        <f>1-EXP(-Assumptions!$B$10-Assumptions!$B$11*Assumptions!$B$12^E18*(Assumptions!$B$12-1)/LN(Assumptions!$B$12))</f>
        <v>1.3080677008737163E-2</v>
      </c>
      <c r="G18" s="15">
        <f t="shared" si="7"/>
        <v>0.90086378539949863</v>
      </c>
      <c r="H18" s="15">
        <f t="shared" si="8"/>
        <v>0.92851296833954033</v>
      </c>
      <c r="I18" s="15">
        <f t="shared" si="0"/>
        <v>0.83646370745088316</v>
      </c>
      <c r="J18" s="15">
        <f t="shared" si="1"/>
        <v>0.99291304628815591</v>
      </c>
      <c r="K18" s="15">
        <f>(1+Assumptions!$B$9)^-A18</f>
        <v>0.61391325354075932</v>
      </c>
      <c r="L18" s="15">
        <f t="shared" si="2"/>
        <v>0.55305221749165057</v>
      </c>
      <c r="M18" s="15">
        <f t="shared" si="3"/>
        <v>0.57002641734811521</v>
      </c>
      <c r="N18" s="15">
        <f t="shared" si="4"/>
        <v>0.51351615610993762</v>
      </c>
      <c r="O18" s="15">
        <f t="shared" si="5"/>
        <v>0.60956247872982838</v>
      </c>
      <c r="P18" s="15">
        <f t="shared" si="6"/>
        <v>1.5317822536034063E-2</v>
      </c>
      <c r="R18" s="2" t="s">
        <v>61</v>
      </c>
      <c r="S18" s="2" t="str">
        <f>IF(ABS(S10+S11-S8-S9)&lt;0.000001,"OK","Mismatch")</f>
        <v>OK</v>
      </c>
    </row>
    <row r="19" spans="1:19" x14ac:dyDescent="0.2">
      <c r="A19" s="2">
        <v>11</v>
      </c>
      <c r="B19" s="2">
        <f>IF(A19&lt;Assumptions!$B$14,1,0)</f>
        <v>1</v>
      </c>
      <c r="C19" s="2">
        <f>Assumptions!$B$5+A19</f>
        <v>76</v>
      </c>
      <c r="D19" s="15">
        <f>1-EXP(-Assumptions!$B$10-Assumptions!$B$11*Assumptions!$B$12^C19*(Assumptions!$B$12-1)/LN(Assumptions!$B$12))</f>
        <v>2.0668344063542565E-2</v>
      </c>
      <c r="E19" s="2">
        <f>Assumptions!$B$6+A19</f>
        <v>73</v>
      </c>
      <c r="F19" s="15">
        <f>1-EXP(-Assumptions!$B$10-Assumptions!$B$11*Assumptions!$B$12^E19*(Assumptions!$B$12-1)/LN(Assumptions!$B$12))</f>
        <v>1.4663831624937118E-2</v>
      </c>
      <c r="G19" s="15">
        <f t="shared" si="7"/>
        <v>0.88425802290011191</v>
      </c>
      <c r="H19" s="15">
        <f t="shared" si="8"/>
        <v>0.91636739010226698</v>
      </c>
      <c r="I19" s="15">
        <f t="shared" si="0"/>
        <v>0.8103052166219662</v>
      </c>
      <c r="J19" s="15">
        <f t="shared" si="1"/>
        <v>0.99032019638041269</v>
      </c>
      <c r="K19" s="15">
        <f>(1+Assumptions!$B$9)^-A19</f>
        <v>0.5846792890864374</v>
      </c>
      <c r="L19" s="15">
        <f t="shared" si="2"/>
        <v>0.51700735219821614</v>
      </c>
      <c r="M19" s="15">
        <f t="shared" si="3"/>
        <v>0.53578103418698753</v>
      </c>
      <c r="N19" s="15">
        <f t="shared" si="4"/>
        <v>0.47376867799756284</v>
      </c>
      <c r="O19" s="15">
        <f t="shared" si="5"/>
        <v>0.57901970838764072</v>
      </c>
      <c r="P19" s="15">
        <f t="shared" si="6"/>
        <v>1.6624874529027025E-2</v>
      </c>
    </row>
    <row r="20" spans="1:19" x14ac:dyDescent="0.2">
      <c r="A20" s="2">
        <v>12</v>
      </c>
      <c r="B20" s="2">
        <f>IF(A20&lt;Assumptions!$B$14,1,0)</f>
        <v>1</v>
      </c>
      <c r="C20" s="2">
        <f>Assumptions!$B$5+A20</f>
        <v>77</v>
      </c>
      <c r="D20" s="15">
        <f>1-EXP(-Assumptions!$B$10-Assumptions!$B$11*Assumptions!$B$12^C20*(Assumptions!$B$12-1)/LN(Assumptions!$B$12))</f>
        <v>2.3174620518370936E-2</v>
      </c>
      <c r="E20" s="2">
        <f>Assumptions!$B$6+A20</f>
        <v>74</v>
      </c>
      <c r="F20" s="15">
        <f>1-EXP(-Assumptions!$B$10-Assumptions!$B$11*Assumptions!$B$12^E20*(Assumptions!$B$12-1)/LN(Assumptions!$B$12))</f>
        <v>1.6440266126718006E-2</v>
      </c>
      <c r="G20" s="15">
        <f t="shared" si="7"/>
        <v>0.86598187384186454</v>
      </c>
      <c r="H20" s="15">
        <f t="shared" si="8"/>
        <v>0.90292993298722424</v>
      </c>
      <c r="I20" s="15">
        <f t="shared" si="0"/>
        <v>0.78192095531618566</v>
      </c>
      <c r="J20" s="15">
        <f t="shared" si="1"/>
        <v>0.98699085151290311</v>
      </c>
      <c r="K20" s="15">
        <f>(1+Assumptions!$B$9)^-A20</f>
        <v>0.5568374181775595</v>
      </c>
      <c r="L20" s="15">
        <f t="shared" si="2"/>
        <v>0.48221111081866891</v>
      </c>
      <c r="M20" s="15">
        <f t="shared" si="3"/>
        <v>0.5027851726798428</v>
      </c>
      <c r="N20" s="15">
        <f t="shared" si="4"/>
        <v>0.4354028459771957</v>
      </c>
      <c r="O20" s="15">
        <f t="shared" si="5"/>
        <v>0.54959343752131595</v>
      </c>
      <c r="P20" s="15">
        <f t="shared" si="6"/>
        <v>1.7971766673580847E-2</v>
      </c>
    </row>
    <row r="21" spans="1:19" x14ac:dyDescent="0.2">
      <c r="A21" s="2">
        <v>13</v>
      </c>
      <c r="B21" s="2">
        <f>IF(A21&lt;Assumptions!$B$14,1,0)</f>
        <v>1</v>
      </c>
      <c r="C21" s="2">
        <f>Assumptions!$B$5+A21</f>
        <v>78</v>
      </c>
      <c r="D21" s="15">
        <f>1-EXP(-Assumptions!$B$10-Assumptions!$B$11*Assumptions!$B$12^C21*(Assumptions!$B$12-1)/LN(Assumptions!$B$12))</f>
        <v>2.5984019763202637E-2</v>
      </c>
      <c r="E21" s="2">
        <f>Assumptions!$B$6+A21</f>
        <v>75</v>
      </c>
      <c r="F21" s="15">
        <f>1-EXP(-Assumptions!$B$10-Assumptions!$B$11*Assumptions!$B$12^E21*(Assumptions!$B$12-1)/LN(Assumptions!$B$12))</f>
        <v>1.8433155787278888E-2</v>
      </c>
      <c r="G21" s="15">
        <f t="shared" si="7"/>
        <v>0.84591307253979153</v>
      </c>
      <c r="H21" s="15">
        <f t="shared" si="8"/>
        <v>0.88808552459513457</v>
      </c>
      <c r="I21" s="15">
        <f t="shared" si="0"/>
        <v>0.75124315478838288</v>
      </c>
      <c r="J21" s="15">
        <f t="shared" si="1"/>
        <v>0.98275544234654322</v>
      </c>
      <c r="K21" s="15">
        <f>(1+Assumptions!$B$9)^-A21</f>
        <v>0.53032135064529462</v>
      </c>
      <c r="L21" s="15">
        <f t="shared" si="2"/>
        <v>0.44860576315781331</v>
      </c>
      <c r="M21" s="15">
        <f t="shared" si="3"/>
        <v>0.47097071489182679</v>
      </c>
      <c r="N21" s="15">
        <f t="shared" si="4"/>
        <v>0.39840028451040732</v>
      </c>
      <c r="O21" s="15">
        <f t="shared" si="5"/>
        <v>0.52117619353923272</v>
      </c>
      <c r="P21" s="15">
        <f t="shared" si="6"/>
        <v>1.9340406459028191E-2</v>
      </c>
    </row>
    <row r="22" spans="1:19" x14ac:dyDescent="0.2">
      <c r="A22" s="2">
        <v>14</v>
      </c>
      <c r="B22" s="2">
        <f>IF(A22&lt;Assumptions!$B$14,1,0)</f>
        <v>1</v>
      </c>
      <c r="C22" s="2">
        <f>Assumptions!$B$5+A22</f>
        <v>79</v>
      </c>
      <c r="D22" s="15">
        <f>1-EXP(-Assumptions!$B$10-Assumptions!$B$11*Assumptions!$B$12^C22*(Assumptions!$B$12-1)/LN(Assumptions!$B$12))</f>
        <v>2.9132140693127417E-2</v>
      </c>
      <c r="E22" s="2">
        <f>Assumptions!$B$6+A22</f>
        <v>76</v>
      </c>
      <c r="F22" s="15">
        <f>1-EXP(-Assumptions!$B$10-Assumptions!$B$11*Assumptions!$B$12^E22*(Assumptions!$B$12-1)/LN(Assumptions!$B$12))</f>
        <v>2.0668344063542565E-2</v>
      </c>
      <c r="G22" s="15">
        <f t="shared" si="7"/>
        <v>0.82393285054496612</v>
      </c>
      <c r="H22" s="15">
        <f t="shared" si="8"/>
        <v>0.87171530576784517</v>
      </c>
      <c r="I22" s="15">
        <f t="shared" si="0"/>
        <v>0.71823487674497744</v>
      </c>
      <c r="J22" s="15">
        <f t="shared" si="1"/>
        <v>0.97741327956783397</v>
      </c>
      <c r="K22" s="15">
        <f>(1+Assumptions!$B$9)^-A22</f>
        <v>0.50506795299551888</v>
      </c>
      <c r="L22" s="15">
        <f t="shared" si="2"/>
        <v>0.41614207823050881</v>
      </c>
      <c r="M22" s="15">
        <f t="shared" si="3"/>
        <v>0.44027546507902837</v>
      </c>
      <c r="N22" s="15">
        <f t="shared" si="4"/>
        <v>0.36275741896757457</v>
      </c>
      <c r="O22" s="15">
        <f t="shared" si="5"/>
        <v>0.49366012434196271</v>
      </c>
      <c r="P22" s="15">
        <f t="shared" si="6"/>
        <v>2.0707490163394394E-2</v>
      </c>
    </row>
    <row r="23" spans="1:19" x14ac:dyDescent="0.2">
      <c r="A23" s="2">
        <v>15</v>
      </c>
      <c r="B23" s="2">
        <f>IF(A23&lt;Assumptions!$B$14,1,0)</f>
        <v>1</v>
      </c>
      <c r="C23" s="2">
        <f>Assumptions!$B$5+A23</f>
        <v>80</v>
      </c>
      <c r="D23" s="15">
        <f>1-EXP(-Assumptions!$B$10-Assumptions!$B$11*Assumptions!$B$12^C23*(Assumptions!$B$12-1)/LN(Assumptions!$B$12))</f>
        <v>3.2658484402023236E-2</v>
      </c>
      <c r="E23" s="2">
        <f>Assumptions!$B$6+A23</f>
        <v>77</v>
      </c>
      <c r="F23" s="15">
        <f>1-EXP(-Assumptions!$B$10-Assumptions!$B$11*Assumptions!$B$12^E23*(Assumptions!$B$12-1)/LN(Assumptions!$B$12))</f>
        <v>2.3174620518370936E-2</v>
      </c>
      <c r="G23" s="15">
        <f t="shared" si="7"/>
        <v>0.79992992282120068</v>
      </c>
      <c r="H23" s="15">
        <f t="shared" si="8"/>
        <v>0.85369839390277913</v>
      </c>
      <c r="I23" s="15">
        <f t="shared" si="0"/>
        <v>0.68289889034723306</v>
      </c>
      <c r="J23" s="15">
        <f t="shared" si="1"/>
        <v>0.97072942637674675</v>
      </c>
      <c r="K23" s="15">
        <f>(1+Assumptions!$B$9)^-A23</f>
        <v>0.48101709809097021</v>
      </c>
      <c r="L23" s="15">
        <f t="shared" si="2"/>
        <v>0.38477997015158771</v>
      </c>
      <c r="M23" s="15">
        <f t="shared" si="3"/>
        <v>0.41064352408003685</v>
      </c>
      <c r="N23" s="15">
        <f t="shared" si="4"/>
        <v>0.32848604252436969</v>
      </c>
      <c r="O23" s="15">
        <f t="shared" si="5"/>
        <v>0.46693745170725481</v>
      </c>
      <c r="P23" s="15">
        <f t="shared" si="6"/>
        <v>2.2044017434782879E-2</v>
      </c>
    </row>
    <row r="24" spans="1:19" x14ac:dyDescent="0.2">
      <c r="A24" s="2">
        <v>16</v>
      </c>
      <c r="B24" s="2">
        <f>IF(A24&lt;Assumptions!$B$14,1,0)</f>
        <v>1</v>
      </c>
      <c r="C24" s="2">
        <f>Assumptions!$B$5+A24</f>
        <v>81</v>
      </c>
      <c r="D24" s="15">
        <f>1-EXP(-Assumptions!$B$10-Assumptions!$B$11*Assumptions!$B$12^C24*(Assumptions!$B$12-1)/LN(Assumptions!$B$12))</f>
        <v>3.6606807996160229E-2</v>
      </c>
      <c r="E24" s="2">
        <f>Assumptions!$B$6+A24</f>
        <v>78</v>
      </c>
      <c r="F24" s="15">
        <f>1-EXP(-Assumptions!$B$10-Assumptions!$B$11*Assumptions!$B$12^E24*(Assumptions!$B$12-1)/LN(Assumptions!$B$12))</f>
        <v>2.5984019763202637E-2</v>
      </c>
      <c r="G24" s="15">
        <f t="shared" si="7"/>
        <v>0.77380542391403284</v>
      </c>
      <c r="H24" s="15">
        <f t="shared" si="8"/>
        <v>0.83391425758693949</v>
      </c>
      <c r="I24" s="15">
        <f t="shared" si="0"/>
        <v>0.6452873756000177</v>
      </c>
      <c r="J24" s="15">
        <f t="shared" si="1"/>
        <v>0.96243230590095474</v>
      </c>
      <c r="K24" s="15">
        <f>(1+Assumptions!$B$9)^-A24</f>
        <v>0.45811152199140021</v>
      </c>
      <c r="L24" s="15">
        <f t="shared" si="2"/>
        <v>0.35448918047445821</v>
      </c>
      <c r="M24" s="15">
        <f t="shared" si="3"/>
        <v>0.38202572975348142</v>
      </c>
      <c r="N24" s="15">
        <f t="shared" si="4"/>
        <v>0.29561358175796043</v>
      </c>
      <c r="O24" s="15">
        <f t="shared" si="5"/>
        <v>0.44090132846997926</v>
      </c>
      <c r="P24" s="15">
        <f t="shared" si="6"/>
        <v>2.3315014959009988E-2</v>
      </c>
    </row>
    <row r="25" spans="1:19" x14ac:dyDescent="0.2">
      <c r="A25" s="2">
        <v>17</v>
      </c>
      <c r="B25" s="2">
        <f>IF(A25&lt;Assumptions!$B$14,1,0)</f>
        <v>1</v>
      </c>
      <c r="C25" s="2">
        <f>Assumptions!$B$5+A25</f>
        <v>82</v>
      </c>
      <c r="D25" s="15">
        <f>1-EXP(-Assumptions!$B$10-Assumptions!$B$11*Assumptions!$B$12^C25*(Assumptions!$B$12-1)/LN(Assumptions!$B$12))</f>
        <v>4.1025490002634779E-2</v>
      </c>
      <c r="E25" s="2">
        <f>Assumptions!$B$6+A25</f>
        <v>79</v>
      </c>
      <c r="F25" s="15">
        <f>1-EXP(-Assumptions!$B$10-Assumptions!$B$11*Assumptions!$B$12^E25*(Assumptions!$B$12-1)/LN(Assumptions!$B$12))</f>
        <v>2.9132140693127417E-2</v>
      </c>
      <c r="G25" s="15">
        <f t="shared" si="7"/>
        <v>0.74547887733442442</v>
      </c>
      <c r="H25" s="15">
        <f t="shared" si="8"/>
        <v>0.81224581303698395</v>
      </c>
      <c r="I25" s="15">
        <f t="shared" si="0"/>
        <v>0.60551209682239759</v>
      </c>
      <c r="J25" s="15">
        <f t="shared" si="1"/>
        <v>0.95221259354901078</v>
      </c>
      <c r="K25" s="15">
        <f>(1+Assumptions!$B$9)^-A25</f>
        <v>0.43629668761085727</v>
      </c>
      <c r="L25" s="15">
        <f t="shared" si="2"/>
        <v>0.32524996486486996</v>
      </c>
      <c r="M25" s="15">
        <f t="shared" si="3"/>
        <v>0.35438015775382375</v>
      </c>
      <c r="N25" s="15">
        <f t="shared" si="4"/>
        <v>0.26418292215191674</v>
      </c>
      <c r="O25" s="15">
        <f t="shared" si="5"/>
        <v>0.41544720046677697</v>
      </c>
      <c r="P25" s="15">
        <f t="shared" si="6"/>
        <v>2.44795884508585E-2</v>
      </c>
    </row>
    <row r="26" spans="1:19" x14ac:dyDescent="0.2">
      <c r="A26" s="2">
        <v>18</v>
      </c>
      <c r="B26" s="2">
        <f>IF(A26&lt;Assumptions!$B$14,1,0)</f>
        <v>1</v>
      </c>
      <c r="C26" s="2">
        <f>Assumptions!$B$5+A26</f>
        <v>83</v>
      </c>
      <c r="D26" s="15">
        <f>1-EXP(-Assumptions!$B$10-Assumptions!$B$11*Assumptions!$B$12^C26*(Assumptions!$B$12-1)/LN(Assumptions!$B$12))</f>
        <v>4.5967901114349563E-2</v>
      </c>
      <c r="E26" s="2">
        <f>Assumptions!$B$6+A26</f>
        <v>80</v>
      </c>
      <c r="F26" s="15">
        <f>1-EXP(-Assumptions!$B$10-Assumptions!$B$11*Assumptions!$B$12^E26*(Assumptions!$B$12-1)/LN(Assumptions!$B$12))</f>
        <v>3.2658484402023236E-2</v>
      </c>
      <c r="G26" s="15">
        <f t="shared" si="7"/>
        <v>0.71489524110516556</v>
      </c>
      <c r="H26" s="15">
        <f t="shared" si="8"/>
        <v>0.78858335373418686</v>
      </c>
      <c r="I26" s="15">
        <f t="shared" si="0"/>
        <v>0.56375448679932161</v>
      </c>
      <c r="J26" s="15">
        <f t="shared" si="1"/>
        <v>0.9397241080400307</v>
      </c>
      <c r="K26" s="15">
        <f>(1+Assumptions!$B$9)^-A26</f>
        <v>0.41552065486748313</v>
      </c>
      <c r="L26" s="15">
        <f t="shared" si="2"/>
        <v>0.29705373874566565</v>
      </c>
      <c r="M26" s="15">
        <f t="shared" si="3"/>
        <v>0.32767267156122543</v>
      </c>
      <c r="N26" s="15">
        <f t="shared" si="4"/>
        <v>0.23425163353933598</v>
      </c>
      <c r="O26" s="15">
        <f t="shared" si="5"/>
        <v>0.39047477676755504</v>
      </c>
      <c r="P26" s="15">
        <f t="shared" si="6"/>
        <v>2.5491444550530682E-2</v>
      </c>
    </row>
    <row r="27" spans="1:19" x14ac:dyDescent="0.2">
      <c r="A27" s="2">
        <v>19</v>
      </c>
      <c r="B27" s="2">
        <f>IF(A27&lt;Assumptions!$B$14,1,0)</f>
        <v>1</v>
      </c>
      <c r="C27" s="2">
        <f>Assumptions!$B$5+A27</f>
        <v>84</v>
      </c>
      <c r="D27" s="15">
        <f>1-EXP(-Assumptions!$B$10-Assumptions!$B$11*Assumptions!$B$12^C27*(Assumptions!$B$12-1)/LN(Assumptions!$B$12))</f>
        <v>5.1492771533953374E-2</v>
      </c>
      <c r="E27" s="2">
        <f>Assumptions!$B$6+A27</f>
        <v>81</v>
      </c>
      <c r="F27" s="15">
        <f>1-EXP(-Assumptions!$B$10-Assumptions!$B$11*Assumptions!$B$12^E27*(Assumptions!$B$12-1)/LN(Assumptions!$B$12))</f>
        <v>3.6606807996160229E-2</v>
      </c>
      <c r="G27" s="15">
        <f t="shared" si="7"/>
        <v>0.68203300735492423</v>
      </c>
      <c r="H27" s="15">
        <f t="shared" si="8"/>
        <v>0.76282941657656378</v>
      </c>
      <c r="I27" s="15">
        <f t="shared" si="0"/>
        <v>0.52027484108651612</v>
      </c>
      <c r="J27" s="15">
        <f t="shared" si="1"/>
        <v>0.92458758284497189</v>
      </c>
      <c r="K27" s="15">
        <f>(1+Assumptions!$B$9)^-A27</f>
        <v>0.39573395701665059</v>
      </c>
      <c r="L27" s="15">
        <f t="shared" si="2"/>
        <v>0.26990362081653052</v>
      </c>
      <c r="M27" s="15">
        <f t="shared" si="3"/>
        <v>0.30187750355054654</v>
      </c>
      <c r="N27" s="15">
        <f t="shared" si="4"/>
        <v>0.20589042159937609</v>
      </c>
      <c r="O27" s="15">
        <f t="shared" si="5"/>
        <v>0.36589070276770097</v>
      </c>
      <c r="P27" s="15">
        <f t="shared" si="6"/>
        <v>2.6300038130940888E-2</v>
      </c>
    </row>
    <row r="28" spans="1:19" x14ac:dyDescent="0.2">
      <c r="A28" s="2">
        <v>20</v>
      </c>
      <c r="B28" s="2">
        <f>IF(A28&lt;Assumptions!$B$14,1,0)</f>
        <v>1</v>
      </c>
      <c r="C28" s="2">
        <f>Assumptions!$B$5+A28</f>
        <v>85</v>
      </c>
      <c r="D28" s="15">
        <f>1-EXP(-Assumptions!$B$10-Assumptions!$B$11*Assumptions!$B$12^C28*(Assumptions!$B$12-1)/LN(Assumptions!$B$12))</f>
        <v>5.7664543071334173E-2</v>
      </c>
      <c r="E28" s="2">
        <f>Assumptions!$B$6+A28</f>
        <v>82</v>
      </c>
      <c r="F28" s="15">
        <f>1-EXP(-Assumptions!$B$10-Assumptions!$B$11*Assumptions!$B$12^E28*(Assumptions!$B$12-1)/LN(Assumptions!$B$12))</f>
        <v>4.1025490002634779E-2</v>
      </c>
      <c r="G28" s="15">
        <f t="shared" si="7"/>
        <v>0.64691323752858199</v>
      </c>
      <c r="H28" s="15">
        <f t="shared" si="8"/>
        <v>0.73490466659012255</v>
      </c>
      <c r="I28" s="15">
        <f t="shared" si="0"/>
        <v>0.47541955713867928</v>
      </c>
      <c r="J28" s="15">
        <f t="shared" si="1"/>
        <v>0.90639834698002542</v>
      </c>
      <c r="K28" s="15">
        <f>(1+Assumptions!$B$9)^-A28</f>
        <v>0.37688948287300061</v>
      </c>
      <c r="L28" s="15">
        <f t="shared" si="2"/>
        <v>0.24381479555584587</v>
      </c>
      <c r="M28" s="15">
        <f t="shared" si="3"/>
        <v>0.27697783975210621</v>
      </c>
      <c r="N28" s="15">
        <f t="shared" si="4"/>
        <v>0.17918063103770782</v>
      </c>
      <c r="O28" s="15">
        <f t="shared" si="5"/>
        <v>0.34161200427024435</v>
      </c>
      <c r="P28" s="15">
        <f t="shared" si="6"/>
        <v>2.6852497670902781E-2</v>
      </c>
    </row>
    <row r="29" spans="1:19" x14ac:dyDescent="0.2">
      <c r="A29" s="2">
        <v>21</v>
      </c>
      <c r="B29" s="2">
        <f>IF(A29&lt;Assumptions!$B$14,1,0)</f>
        <v>1</v>
      </c>
      <c r="C29" s="2">
        <f>Assumptions!$B$5+A29</f>
        <v>86</v>
      </c>
      <c r="D29" s="15">
        <f>1-EXP(-Assumptions!$B$10-Assumptions!$B$11*Assumptions!$B$12^C29*(Assumptions!$B$12-1)/LN(Assumptions!$B$12))</f>
        <v>6.4553690299161803E-2</v>
      </c>
      <c r="E29" s="2">
        <f>Assumptions!$B$6+A29</f>
        <v>83</v>
      </c>
      <c r="F29" s="15">
        <f>1-EXP(-Assumptions!$B$10-Assumptions!$B$11*Assumptions!$B$12^E29*(Assumptions!$B$12-1)/LN(Assumptions!$B$12))</f>
        <v>4.5967901114349563E-2</v>
      </c>
      <c r="G29" s="15">
        <f t="shared" si="7"/>
        <v>0.60960928127969882</v>
      </c>
      <c r="H29" s="15">
        <f t="shared" si="8"/>
        <v>0.70475484253803988</v>
      </c>
      <c r="I29" s="15">
        <f t="shared" si="0"/>
        <v>0.42962509303800178</v>
      </c>
      <c r="J29" s="15">
        <f t="shared" si="1"/>
        <v>0.88473903077973681</v>
      </c>
      <c r="K29" s="15">
        <f>(1+Assumptions!$B$9)^-A29</f>
        <v>0.35894236464095297</v>
      </c>
      <c r="L29" s="15">
        <f t="shared" si="2"/>
        <v>0.21881459692960692</v>
      </c>
      <c r="M29" s="15">
        <f t="shared" si="3"/>
        <v>0.25296636967276653</v>
      </c>
      <c r="N29" s="15">
        <f t="shared" si="4"/>
        <v>0.15421064680414978</v>
      </c>
      <c r="O29" s="15">
        <f t="shared" si="5"/>
        <v>0.31757031979822359</v>
      </c>
      <c r="P29" s="15">
        <f t="shared" si="6"/>
        <v>2.709645095451195E-2</v>
      </c>
    </row>
    <row r="30" spans="1:19" x14ac:dyDescent="0.2">
      <c r="A30" s="2">
        <v>22</v>
      </c>
      <c r="B30" s="2">
        <f>IF(A30&lt;Assumptions!$B$14,1,0)</f>
        <v>1</v>
      </c>
      <c r="C30" s="2">
        <f>Assumptions!$B$5+A30</f>
        <v>87</v>
      </c>
      <c r="D30" s="15">
        <f>1-EXP(-Assumptions!$B$10-Assumptions!$B$11*Assumptions!$B$12^C30*(Assumptions!$B$12-1)/LN(Assumptions!$B$12))</f>
        <v>7.2236990358998554E-2</v>
      </c>
      <c r="E30" s="2">
        <f>Assumptions!$B$6+A30</f>
        <v>84</v>
      </c>
      <c r="F30" s="15">
        <f>1-EXP(-Assumptions!$B$10-Assumptions!$B$11*Assumptions!$B$12^E30*(Assumptions!$B$12-1)/LN(Assumptions!$B$12))</f>
        <v>5.1492771533953374E-2</v>
      </c>
      <c r="G30" s="15">
        <f t="shared" si="7"/>
        <v>0.57025675253247454</v>
      </c>
      <c r="H30" s="15">
        <f t="shared" si="8"/>
        <v>0.67235874162639231</v>
      </c>
      <c r="I30" s="15">
        <f t="shared" si="0"/>
        <v>0.38341711253668759</v>
      </c>
      <c r="J30" s="15">
        <f t="shared" si="1"/>
        <v>0.85919838162217932</v>
      </c>
      <c r="K30" s="15">
        <f>(1+Assumptions!$B$9)^-A30</f>
        <v>0.3418498710866219</v>
      </c>
      <c r="L30" s="15">
        <f t="shared" si="2"/>
        <v>0.19494219733950208</v>
      </c>
      <c r="M30" s="15">
        <f t="shared" si="3"/>
        <v>0.22984574914894554</v>
      </c>
      <c r="N30" s="15">
        <f t="shared" si="4"/>
        <v>0.13107109049307145</v>
      </c>
      <c r="O30" s="15">
        <f t="shared" si="5"/>
        <v>0.29371685599537617</v>
      </c>
      <c r="P30" s="15">
        <f t="shared" si="6"/>
        <v>2.6983803234591073E-2</v>
      </c>
    </row>
    <row r="31" spans="1:19" x14ac:dyDescent="0.2">
      <c r="A31" s="2">
        <v>23</v>
      </c>
      <c r="B31" s="2">
        <f>IF(A31&lt;Assumptions!$B$14,1,0)</f>
        <v>1</v>
      </c>
      <c r="C31" s="2">
        <f>Assumptions!$B$5+A31</f>
        <v>88</v>
      </c>
      <c r="D31" s="15">
        <f>1-EXP(-Assumptions!$B$10-Assumptions!$B$11*Assumptions!$B$12^C31*(Assumptions!$B$12-1)/LN(Assumptions!$B$12))</f>
        <v>8.0797715318629337E-2</v>
      </c>
      <c r="E31" s="2">
        <f>Assumptions!$B$6+A31</f>
        <v>85</v>
      </c>
      <c r="F31" s="15">
        <f>1-EXP(-Assumptions!$B$10-Assumptions!$B$11*Assumptions!$B$12^E31*(Assumptions!$B$12-1)/LN(Assumptions!$B$12))</f>
        <v>5.7664543071334173E-2</v>
      </c>
      <c r="G31" s="15">
        <f t="shared" si="7"/>
        <v>0.52906312099763231</v>
      </c>
      <c r="H31" s="15">
        <f t="shared" si="8"/>
        <v>0.63773712655496806</v>
      </c>
      <c r="I31" s="15">
        <f t="shared" si="0"/>
        <v>0.33740319455123341</v>
      </c>
      <c r="J31" s="15">
        <f t="shared" si="1"/>
        <v>0.82939705300136701</v>
      </c>
      <c r="K31" s="15">
        <f>(1+Assumptions!$B$9)^-A31</f>
        <v>0.32557130579678267</v>
      </c>
      <c r="L31" s="15">
        <f t="shared" si="2"/>
        <v>0.17224777115212039</v>
      </c>
      <c r="M31" s="15">
        <f t="shared" si="3"/>
        <v>0.20762890904758899</v>
      </c>
      <c r="N31" s="15">
        <f t="shared" si="4"/>
        <v>0.10984879863005097</v>
      </c>
      <c r="O31" s="15">
        <f t="shared" si="5"/>
        <v>0.2700278815696584</v>
      </c>
      <c r="P31" s="15">
        <f t="shared" si="6"/>
        <v>2.6475398964354645E-2</v>
      </c>
    </row>
    <row r="32" spans="1:19" x14ac:dyDescent="0.2">
      <c r="A32" s="2">
        <v>24</v>
      </c>
      <c r="B32" s="2">
        <f>IF(A32&lt;Assumptions!$B$14,1,0)</f>
        <v>1</v>
      </c>
      <c r="C32" s="2">
        <f>Assumptions!$B$5+A32</f>
        <v>89</v>
      </c>
      <c r="D32" s="15">
        <f>1-EXP(-Assumptions!$B$10-Assumptions!$B$11*Assumptions!$B$12^C32*(Assumptions!$B$12-1)/LN(Assumptions!$B$12))</f>
        <v>9.0325714205150787E-2</v>
      </c>
      <c r="E32" s="2">
        <f>Assumptions!$B$6+A32</f>
        <v>86</v>
      </c>
      <c r="F32" s="15">
        <f>1-EXP(-Assumptions!$B$10-Assumptions!$B$11*Assumptions!$B$12^E32*(Assumptions!$B$12-1)/LN(Assumptions!$B$12))</f>
        <v>6.4553690299161803E-2</v>
      </c>
      <c r="G32" s="15">
        <f t="shared" si="7"/>
        <v>0.48631602956168007</v>
      </c>
      <c r="H32" s="15">
        <f t="shared" si="8"/>
        <v>0.60096230655255023</v>
      </c>
      <c r="I32" s="15">
        <f t="shared" si="0"/>
        <v>0.29225760283886548</v>
      </c>
      <c r="J32" s="15">
        <f t="shared" si="1"/>
        <v>0.79502073327536471</v>
      </c>
      <c r="K32" s="15">
        <f>(1+Assumptions!$B$9)^-A32</f>
        <v>0.31006791028265024</v>
      </c>
      <c r="L32" s="15">
        <f t="shared" si="2"/>
        <v>0.15079099502314569</v>
      </c>
      <c r="M32" s="15">
        <f t="shared" si="3"/>
        <v>0.1863391265513907</v>
      </c>
      <c r="N32" s="15">
        <f t="shared" si="4"/>
        <v>9.061970417646377E-2</v>
      </c>
      <c r="O32" s="15">
        <f t="shared" si="5"/>
        <v>0.24651041739807258</v>
      </c>
      <c r="P32" s="15">
        <f t="shared" si="6"/>
        <v>2.5546320391091535E-2</v>
      </c>
    </row>
    <row r="33" spans="1:16" x14ac:dyDescent="0.2">
      <c r="A33" s="2">
        <v>25</v>
      </c>
      <c r="B33" s="2">
        <f>IF(A33&lt;Assumptions!$B$14,1,0)</f>
        <v>1</v>
      </c>
      <c r="C33" s="2">
        <f>Assumptions!$B$5+A33</f>
        <v>90</v>
      </c>
      <c r="D33" s="15">
        <f>1-EXP(-Assumptions!$B$10-Assumptions!$B$11*Assumptions!$B$12^C33*(Assumptions!$B$12-1)/LN(Assumptions!$B$12))</f>
        <v>0.1009173439060177</v>
      </c>
      <c r="E33" s="2">
        <f>Assumptions!$B$6+A33</f>
        <v>87</v>
      </c>
      <c r="F33" s="15">
        <f>1-EXP(-Assumptions!$B$10-Assumptions!$B$11*Assumptions!$B$12^E33*(Assumptions!$B$12-1)/LN(Assumptions!$B$12))</f>
        <v>7.2236990358998554E-2</v>
      </c>
      <c r="G33" s="15">
        <f t="shared" si="7"/>
        <v>0.4423891868621081</v>
      </c>
      <c r="H33" s="15">
        <f t="shared" si="8"/>
        <v>0.56216797193388701</v>
      </c>
      <c r="I33" s="15">
        <f t="shared" si="0"/>
        <v>0.24869703198375268</v>
      </c>
      <c r="J33" s="15">
        <f t="shared" si="1"/>
        <v>0.75586012681224246</v>
      </c>
      <c r="K33" s="15">
        <f>(1+Assumptions!$B$9)^-A33</f>
        <v>0.29530277169776209</v>
      </c>
      <c r="L33" s="15">
        <f t="shared" si="2"/>
        <v>0.13063875304949971</v>
      </c>
      <c r="M33" s="15">
        <f t="shared" si="3"/>
        <v>0.16600976027178657</v>
      </c>
      <c r="N33" s="15">
        <f t="shared" si="4"/>
        <v>7.3440922857809149E-2</v>
      </c>
      <c r="O33" s="15">
        <f t="shared" si="5"/>
        <v>0.22320759046347713</v>
      </c>
      <c r="P33" s="15">
        <f t="shared" si="6"/>
        <v>2.4191347551007703E-2</v>
      </c>
    </row>
    <row r="34" spans="1:16" x14ac:dyDescent="0.2">
      <c r="A34" s="2">
        <v>26</v>
      </c>
      <c r="B34" s="2">
        <f>IF(A34&lt;Assumptions!$B$14,1,0)</f>
        <v>1</v>
      </c>
      <c r="C34" s="2">
        <f>Assumptions!$B$5+A34</f>
        <v>91</v>
      </c>
      <c r="D34" s="15">
        <f>1-EXP(-Assumptions!$B$10-Assumptions!$B$11*Assumptions!$B$12^C34*(Assumptions!$B$12-1)/LN(Assumptions!$B$12))</f>
        <v>0.11267519902962353</v>
      </c>
      <c r="E34" s="2">
        <f>Assumptions!$B$6+A34</f>
        <v>88</v>
      </c>
      <c r="F34" s="15">
        <f>1-EXP(-Assumptions!$B$10-Assumptions!$B$11*Assumptions!$B$12^E34*(Assumptions!$B$12-1)/LN(Assumptions!$B$12))</f>
        <v>8.0797715318629337E-2</v>
      </c>
      <c r="G34" s="15">
        <f t="shared" si="7"/>
        <v>0.39774444515124119</v>
      </c>
      <c r="H34" s="15">
        <f t="shared" si="8"/>
        <v>0.52155864956516107</v>
      </c>
      <c r="I34" s="15">
        <f t="shared" si="0"/>
        <v>0.20744705568512564</v>
      </c>
      <c r="J34" s="15">
        <f t="shared" si="1"/>
        <v>0.71185603903127659</v>
      </c>
      <c r="K34" s="15">
        <f>(1+Assumptions!$B$9)^-A34</f>
        <v>0.28124073495024959</v>
      </c>
      <c r="L34" s="15">
        <f t="shared" si="2"/>
        <v>0.11186194007671431</v>
      </c>
      <c r="M34" s="15">
        <f t="shared" si="3"/>
        <v>0.14668353792336558</v>
      </c>
      <c r="N34" s="15">
        <f t="shared" si="4"/>
        <v>5.8342562404150089E-2</v>
      </c>
      <c r="O34" s="15">
        <f t="shared" si="5"/>
        <v>0.20020291559592979</v>
      </c>
      <c r="P34" s="15">
        <f t="shared" si="6"/>
        <v>2.2429849801847868E-2</v>
      </c>
    </row>
    <row r="35" spans="1:16" x14ac:dyDescent="0.2">
      <c r="A35" s="2">
        <v>27</v>
      </c>
      <c r="B35" s="2">
        <f>IF(A35&lt;Assumptions!$B$14,1,0)</f>
        <v>1</v>
      </c>
      <c r="C35" s="2">
        <f>Assumptions!$B$5+A35</f>
        <v>92</v>
      </c>
      <c r="D35" s="15">
        <f>1-EXP(-Assumptions!$B$10-Assumptions!$B$11*Assumptions!$B$12^C35*(Assumptions!$B$12-1)/LN(Assumptions!$B$12))</f>
        <v>0.12570758063527576</v>
      </c>
      <c r="E35" s="2">
        <f>Assumptions!$B$6+A35</f>
        <v>89</v>
      </c>
      <c r="F35" s="15">
        <f>1-EXP(-Assumptions!$B$10-Assumptions!$B$11*Assumptions!$B$12^E35*(Assumptions!$B$12-1)/LN(Assumptions!$B$12))</f>
        <v>9.0325714205150787E-2</v>
      </c>
      <c r="G35" s="15">
        <f t="shared" si="7"/>
        <v>0.35292851063089792</v>
      </c>
      <c r="H35" s="15">
        <f t="shared" si="8"/>
        <v>0.47941790227562642</v>
      </c>
      <c r="I35" s="15">
        <f t="shared" si="0"/>
        <v>0.16920024621992619</v>
      </c>
      <c r="J35" s="15">
        <f t="shared" si="1"/>
        <v>0.66314616668659809</v>
      </c>
      <c r="K35" s="15">
        <f>(1+Assumptions!$B$9)^-A35</f>
        <v>0.2678483190002377</v>
      </c>
      <c r="L35" s="15">
        <f t="shared" si="2"/>
        <v>9.453130829974353E-2</v>
      </c>
      <c r="M35" s="15">
        <f t="shared" si="3"/>
        <v>0.12841127922314677</v>
      </c>
      <c r="N35" s="15">
        <f t="shared" si="4"/>
        <v>4.5320001524433551E-2</v>
      </c>
      <c r="O35" s="15">
        <f t="shared" si="5"/>
        <v>0.17762258599845673</v>
      </c>
      <c r="P35" s="15">
        <f t="shared" si="6"/>
        <v>2.0309150752972883E-2</v>
      </c>
    </row>
    <row r="36" spans="1:16" x14ac:dyDescent="0.2">
      <c r="A36" s="2">
        <v>28</v>
      </c>
      <c r="B36" s="2">
        <f>IF(A36&lt;Assumptions!$B$14,1,0)</f>
        <v>1</v>
      </c>
      <c r="C36" s="2">
        <f>Assumptions!$B$5+A36</f>
        <v>93</v>
      </c>
      <c r="D36" s="15">
        <f>1-EXP(-Assumptions!$B$10-Assumptions!$B$11*Assumptions!$B$12^C36*(Assumptions!$B$12-1)/LN(Assumptions!$B$12))</f>
        <v>0.14012763272015649</v>
      </c>
      <c r="E36" s="2">
        <f>Assumptions!$B$6+A36</f>
        <v>90</v>
      </c>
      <c r="F36" s="15">
        <f>1-EXP(-Assumptions!$B$10-Assumptions!$B$11*Assumptions!$B$12^E36*(Assumptions!$B$12-1)/LN(Assumptions!$B$12))</f>
        <v>0.1009173439060177</v>
      </c>
      <c r="G36" s="15">
        <f t="shared" si="7"/>
        <v>0.30856272142227653</v>
      </c>
      <c r="H36" s="15">
        <f t="shared" si="8"/>
        <v>0.43611413784984526</v>
      </c>
      <c r="I36" s="15">
        <f t="shared" si="0"/>
        <v>0.13456856522567812</v>
      </c>
      <c r="J36" s="15">
        <f t="shared" si="1"/>
        <v>0.61010829404644373</v>
      </c>
      <c r="K36" s="15">
        <f>(1+Assumptions!$B$9)^-A36</f>
        <v>0.25509363714308358</v>
      </c>
      <c r="L36" s="15">
        <f t="shared" si="2"/>
        <v>7.8712386894376596E-2</v>
      </c>
      <c r="M36" s="15">
        <f t="shared" si="3"/>
        <v>0.11124994163363716</v>
      </c>
      <c r="N36" s="15">
        <f t="shared" si="4"/>
        <v>3.4327584748544512E-2</v>
      </c>
      <c r="O36" s="15">
        <f t="shared" si="5"/>
        <v>0.15563474377946926</v>
      </c>
      <c r="P36" s="15">
        <f t="shared" si="6"/>
        <v>1.7905286685861284E-2</v>
      </c>
    </row>
    <row r="37" spans="1:16" x14ac:dyDescent="0.2">
      <c r="A37" s="2">
        <v>29</v>
      </c>
      <c r="B37" s="2">
        <f>IF(A37&lt;Assumptions!$B$14,1,0)</f>
        <v>1</v>
      </c>
      <c r="C37" s="2">
        <f>Assumptions!$B$5+A37</f>
        <v>94</v>
      </c>
      <c r="D37" s="15">
        <f>1-EXP(-Assumptions!$B$10-Assumptions!$B$11*Assumptions!$B$12^C37*(Assumptions!$B$12-1)/LN(Assumptions!$B$12))</f>
        <v>0.15605206395409221</v>
      </c>
      <c r="E37" s="2">
        <f>Assumptions!$B$6+A37</f>
        <v>91</v>
      </c>
      <c r="F37" s="15">
        <f>1-EXP(-Assumptions!$B$10-Assumptions!$B$11*Assumptions!$B$12^E37*(Assumptions!$B$12-1)/LN(Assumptions!$B$12))</f>
        <v>0.11267519902962353</v>
      </c>
      <c r="G37" s="15">
        <f t="shared" si="7"/>
        <v>0.2653245577236838</v>
      </c>
      <c r="H37" s="15">
        <f t="shared" si="8"/>
        <v>0.39210265741817601</v>
      </c>
      <c r="I37" s="15">
        <f t="shared" si="0"/>
        <v>0.10403446416175866</v>
      </c>
      <c r="J37" s="15">
        <f t="shared" si="1"/>
        <v>0.55339275098010121</v>
      </c>
      <c r="K37" s="15">
        <f>(1+Assumptions!$B$9)^-A37</f>
        <v>0.24294632108865097</v>
      </c>
      <c r="L37" s="15">
        <f t="shared" si="2"/>
        <v>6.4459625193442394E-2</v>
      </c>
      <c r="M37" s="15">
        <f t="shared" si="3"/>
        <v>9.5259898108829497E-2</v>
      </c>
      <c r="N37" s="15">
        <f t="shared" si="4"/>
        <v>2.5274790334528369E-2</v>
      </c>
      <c r="O37" s="15">
        <f t="shared" si="5"/>
        <v>0.13444473296774354</v>
      </c>
      <c r="P37" s="15">
        <f t="shared" si="6"/>
        <v>1.5320163596740799E-2</v>
      </c>
    </row>
    <row r="38" spans="1:16" x14ac:dyDescent="0.2">
      <c r="A38" s="2">
        <v>30</v>
      </c>
      <c r="B38" s="2">
        <f>IF(A38&lt;Assumptions!$B$14,1,0)</f>
        <v>1</v>
      </c>
      <c r="C38" s="2">
        <f>Assumptions!$B$5+A38</f>
        <v>95</v>
      </c>
      <c r="D38" s="15">
        <f>1-EXP(-Assumptions!$B$10-Assumptions!$B$11*Assumptions!$B$12^C38*(Assumptions!$B$12-1)/LN(Assumptions!$B$12))</f>
        <v>0.17359936116606767</v>
      </c>
      <c r="E38" s="2">
        <f>Assumptions!$B$6+A38</f>
        <v>92</v>
      </c>
      <c r="F38" s="15">
        <f>1-EXP(-Assumptions!$B$10-Assumptions!$B$11*Assumptions!$B$12^E38*(Assumptions!$B$12-1)/LN(Assumptions!$B$12))</f>
        <v>0.12570758063527576</v>
      </c>
      <c r="G38" s="15">
        <f t="shared" si="7"/>
        <v>0.22392011287319627</v>
      </c>
      <c r="H38" s="15">
        <f t="shared" si="8"/>
        <v>0.34792241245353872</v>
      </c>
      <c r="I38" s="15">
        <f t="shared" si="0"/>
        <v>7.7906825867711138E-2</v>
      </c>
      <c r="J38" s="15">
        <f t="shared" si="1"/>
        <v>0.49393569945902382</v>
      </c>
      <c r="K38" s="15">
        <f>(1+Assumptions!$B$9)^-A38</f>
        <v>0.23137744865585813</v>
      </c>
      <c r="L38" s="15">
        <f t="shared" si="2"/>
        <v>5.1810064419331926E-2</v>
      </c>
      <c r="M38" s="15">
        <f t="shared" si="3"/>
        <v>8.0501400123690947E-2</v>
      </c>
      <c r="N38" s="15">
        <f t="shared" si="4"/>
        <v>1.8025882602147214E-2</v>
      </c>
      <c r="O38" s="15">
        <f t="shared" si="5"/>
        <v>0.11428558194087565</v>
      </c>
      <c r="P38" s="15">
        <f t="shared" si="6"/>
        <v>1.2674504387284992E-2</v>
      </c>
    </row>
    <row r="39" spans="1:16" x14ac:dyDescent="0.2">
      <c r="A39" s="2">
        <v>31</v>
      </c>
      <c r="B39" s="2">
        <f>IF(A39&lt;Assumptions!$B$14,1,0)</f>
        <v>1</v>
      </c>
      <c r="C39" s="2">
        <f>Assumptions!$B$5+A39</f>
        <v>96</v>
      </c>
      <c r="D39" s="15">
        <f>1-EXP(-Assumptions!$B$10-Assumptions!$B$11*Assumptions!$B$12^C39*(Assumptions!$B$12-1)/LN(Assumptions!$B$12))</f>
        <v>0.19288739172655056</v>
      </c>
      <c r="E39" s="2">
        <f>Assumptions!$B$6+A39</f>
        <v>93</v>
      </c>
      <c r="F39" s="15">
        <f>1-EXP(-Assumptions!$B$10-Assumptions!$B$11*Assumptions!$B$12^E39*(Assumptions!$B$12-1)/LN(Assumptions!$B$12))</f>
        <v>0.14012763272015649</v>
      </c>
      <c r="G39" s="15">
        <f t="shared" si="7"/>
        <v>0.18504772432617564</v>
      </c>
      <c r="H39" s="15">
        <f t="shared" si="8"/>
        <v>0.30418592773521586</v>
      </c>
      <c r="I39" s="15">
        <f t="shared" si="0"/>
        <v>5.6288913699448211E-2</v>
      </c>
      <c r="J39" s="15">
        <f t="shared" si="1"/>
        <v>0.43294473836194325</v>
      </c>
      <c r="K39" s="15">
        <f>(1+Assumptions!$B$9)^-A39</f>
        <v>0.220359474910341</v>
      </c>
      <c r="L39" s="15">
        <f t="shared" si="2"/>
        <v>4.0777019365869596E-2</v>
      </c>
      <c r="M39" s="15">
        <f t="shared" si="3"/>
        <v>6.7030251310847097E-2</v>
      </c>
      <c r="N39" s="15">
        <f t="shared" si="4"/>
        <v>1.2403795466083908E-2</v>
      </c>
      <c r="O39" s="15">
        <f t="shared" si="5"/>
        <v>9.5403475210632777E-2</v>
      </c>
      <c r="P39" s="15">
        <f t="shared" si="6"/>
        <v>1.0096709343209241E-2</v>
      </c>
    </row>
    <row r="40" spans="1:16" x14ac:dyDescent="0.2">
      <c r="A40" s="2">
        <v>32</v>
      </c>
      <c r="B40" s="2">
        <f>IF(A40&lt;Assumptions!$B$14,1,0)</f>
        <v>1</v>
      </c>
      <c r="C40" s="2">
        <f>Assumptions!$B$5+A40</f>
        <v>97</v>
      </c>
      <c r="D40" s="15">
        <f>1-EXP(-Assumptions!$B$10-Assumptions!$B$11*Assumptions!$B$12^C40*(Assumptions!$B$12-1)/LN(Assumptions!$B$12))</f>
        <v>0.21403028602038132</v>
      </c>
      <c r="E40" s="2">
        <f>Assumptions!$B$6+A40</f>
        <v>94</v>
      </c>
      <c r="F40" s="15">
        <f>1-EXP(-Assumptions!$B$10-Assumptions!$B$11*Assumptions!$B$12^E40*(Assumptions!$B$12-1)/LN(Assumptions!$B$12))</f>
        <v>0.15605206395409221</v>
      </c>
      <c r="G40" s="15">
        <f t="shared" si="7"/>
        <v>0.14935435143596587</v>
      </c>
      <c r="H40" s="15">
        <f t="shared" si="8"/>
        <v>0.26156107377489546</v>
      </c>
      <c r="I40" s="15">
        <f t="shared" ref="I40:I71" si="9">G40*H40</f>
        <v>3.9065284534544331E-2</v>
      </c>
      <c r="J40" s="15">
        <f t="shared" ref="J40:J71" si="10">G40+H40-I40</f>
        <v>0.371850140676317</v>
      </c>
      <c r="K40" s="15">
        <f>(1+Assumptions!$B$9)^-A40</f>
        <v>0.20986616658127716</v>
      </c>
      <c r="L40" s="15">
        <f t="shared" ref="L40:L71" si="11">B40*K40*G40</f>
        <v>3.1344425198099025E-2</v>
      </c>
      <c r="M40" s="15">
        <f t="shared" ref="M40:M71" si="12">B40*K40*H40</f>
        <v>5.4892819880019934E-2</v>
      </c>
      <c r="N40" s="15">
        <f t="shared" ref="N40:N71" si="13">B40*K40*I40</f>
        <v>8.1984815116716708E-3</v>
      </c>
      <c r="O40" s="15">
        <f t="shared" ref="O40:O71" si="14">B40*K40*J40</f>
        <v>7.8038763566447289E-2</v>
      </c>
      <c r="P40" s="15">
        <f t="shared" ref="P40:P71" si="15">B40*I40*D40*(1-F40/2)</f>
        <v>7.7087663512796162E-3</v>
      </c>
    </row>
    <row r="41" spans="1:16" x14ac:dyDescent="0.2">
      <c r="A41" s="2">
        <v>33</v>
      </c>
      <c r="B41" s="2">
        <f>IF(A41&lt;Assumptions!$B$14,1,0)</f>
        <v>1</v>
      </c>
      <c r="C41" s="2">
        <f>Assumptions!$B$5+A41</f>
        <v>98</v>
      </c>
      <c r="D41" s="15">
        <f>1-EXP(-Assumptions!$B$10-Assumptions!$B$11*Assumptions!$B$12^C41*(Assumptions!$B$12-1)/LN(Assumptions!$B$12))</f>
        <v>0.23713449116042085</v>
      </c>
      <c r="E41" s="2">
        <f>Assumptions!$B$6+A41</f>
        <v>95</v>
      </c>
      <c r="F41" s="15">
        <f>1-EXP(-Assumptions!$B$10-Assumptions!$B$11*Assumptions!$B$12^E41*(Assumptions!$B$12-1)/LN(Assumptions!$B$12))</f>
        <v>0.17359936116606767</v>
      </c>
      <c r="G41" s="15">
        <f t="shared" ref="G41:G72" si="16">G40*(1-D40)</f>
        <v>0.11738799687973754</v>
      </c>
      <c r="H41" s="15">
        <f t="shared" ref="H41:H72" si="17">H40*(1-F40)</f>
        <v>0.22074392836227444</v>
      </c>
      <c r="I41" s="15">
        <f t="shared" si="9"/>
        <v>2.5912687573811679E-2</v>
      </c>
      <c r="J41" s="15">
        <f t="shared" si="10"/>
        <v>0.31221923766820031</v>
      </c>
      <c r="K41" s="15">
        <f>(1+Assumptions!$B$9)^-A41</f>
        <v>0.19987253960121634</v>
      </c>
      <c r="L41" s="15">
        <f t="shared" si="11"/>
        <v>2.3462637055052801E-2</v>
      </c>
      <c r="M41" s="15">
        <f t="shared" si="12"/>
        <v>4.4120649563316759E-2</v>
      </c>
      <c r="N41" s="15">
        <f t="shared" si="13"/>
        <v>5.1792346732706211E-3</v>
      </c>
      <c r="O41" s="15">
        <f t="shared" si="14"/>
        <v>6.2404051945098946E-2</v>
      </c>
      <c r="P41" s="15">
        <f t="shared" si="15"/>
        <v>5.6114260010920016E-3</v>
      </c>
    </row>
    <row r="42" spans="1:16" x14ac:dyDescent="0.2">
      <c r="A42" s="2">
        <v>34</v>
      </c>
      <c r="B42" s="2">
        <f>IF(A42&lt;Assumptions!$B$14,1,0)</f>
        <v>1</v>
      </c>
      <c r="C42" s="2">
        <f>Assumptions!$B$5+A42</f>
        <v>99</v>
      </c>
      <c r="D42" s="15">
        <f>1-EXP(-Assumptions!$B$10-Assumptions!$B$11*Assumptions!$B$12^C42*(Assumptions!$B$12-1)/LN(Assumptions!$B$12))</f>
        <v>0.26229389629347677</v>
      </c>
      <c r="E42" s="2">
        <f>Assumptions!$B$6+A42</f>
        <v>96</v>
      </c>
      <c r="F42" s="15">
        <f>1-EXP(-Assumptions!$B$10-Assumptions!$B$11*Assumptions!$B$12^E42*(Assumptions!$B$12-1)/LN(Assumptions!$B$12))</f>
        <v>0.19288739172655056</v>
      </c>
      <c r="G42" s="15">
        <f t="shared" si="16"/>
        <v>8.9551253971319911E-2</v>
      </c>
      <c r="H42" s="15">
        <f t="shared" si="17"/>
        <v>0.18242292341729538</v>
      </c>
      <c r="I42" s="15">
        <f t="shared" si="9"/>
        <v>1.6336201545132861E-2</v>
      </c>
      <c r="J42" s="15">
        <f t="shared" si="10"/>
        <v>0.25563797584348241</v>
      </c>
      <c r="K42" s="15">
        <f>(1+Assumptions!$B$9)^-A42</f>
        <v>0.19035479962020604</v>
      </c>
      <c r="L42" s="15">
        <f t="shared" si="11"/>
        <v>1.7046511005448784E-2</v>
      </c>
      <c r="M42" s="15">
        <f t="shared" si="12"/>
        <v>3.4725079033231458E-2</v>
      </c>
      <c r="N42" s="15">
        <f t="shared" si="13"/>
        <v>3.1096743716790662E-3</v>
      </c>
      <c r="O42" s="15">
        <f t="shared" si="14"/>
        <v>4.866191566700117E-2</v>
      </c>
      <c r="P42" s="15">
        <f t="shared" si="15"/>
        <v>3.8716357161608502E-3</v>
      </c>
    </row>
    <row r="43" spans="1:16" x14ac:dyDescent="0.2">
      <c r="A43" s="2">
        <v>35</v>
      </c>
      <c r="B43" s="2">
        <f>IF(A43&lt;Assumptions!$B$14,1,0)</f>
        <v>1</v>
      </c>
      <c r="C43" s="2">
        <f>Assumptions!$B$5+A43</f>
        <v>100</v>
      </c>
      <c r="D43" s="15">
        <f>1-EXP(-Assumptions!$B$10-Assumptions!$B$11*Assumptions!$B$12^C43*(Assumptions!$B$12-1)/LN(Assumptions!$B$12))</f>
        <v>0.28958395257968106</v>
      </c>
      <c r="E43" s="2">
        <f>Assumptions!$B$6+A43</f>
        <v>97</v>
      </c>
      <c r="F43" s="15">
        <f>1-EXP(-Assumptions!$B$10-Assumptions!$B$11*Assumptions!$B$12^E43*(Assumptions!$B$12-1)/LN(Assumptions!$B$12))</f>
        <v>0.21403028602038132</v>
      </c>
      <c r="G43" s="15">
        <f t="shared" si="16"/>
        <v>6.606250664921573E-2</v>
      </c>
      <c r="H43" s="15">
        <f t="shared" si="17"/>
        <v>0.14723584152820099</v>
      </c>
      <c r="I43" s="15">
        <f t="shared" si="9"/>
        <v>9.726768759959651E-3</v>
      </c>
      <c r="J43" s="15">
        <f t="shared" si="10"/>
        <v>0.20357157941745707</v>
      </c>
      <c r="K43" s="15">
        <f>(1+Assumptions!$B$9)^-A43</f>
        <v>0.18129028535257716</v>
      </c>
      <c r="L43" s="15">
        <f t="shared" si="11"/>
        <v>1.1976490681542846E-2</v>
      </c>
      <c r="M43" s="15">
        <f t="shared" si="12"/>
        <v>2.6692427724774388E-2</v>
      </c>
      <c r="N43" s="15">
        <f t="shared" si="13"/>
        <v>1.7633686840516183E-3</v>
      </c>
      <c r="O43" s="15">
        <f t="shared" si="14"/>
        <v>3.6905549722265618E-2</v>
      </c>
      <c r="P43" s="15">
        <f t="shared" si="15"/>
        <v>2.5152848624392845E-3</v>
      </c>
    </row>
    <row r="44" spans="1:16" x14ac:dyDescent="0.2">
      <c r="A44" s="2">
        <v>36</v>
      </c>
      <c r="B44" s="2">
        <f>IF(A44&lt;Assumptions!$B$14,1,0)</f>
        <v>1</v>
      </c>
      <c r="C44" s="2">
        <f>Assumptions!$B$5+A44</f>
        <v>101</v>
      </c>
      <c r="D44" s="15">
        <f>1-EXP(-Assumptions!$B$10-Assumptions!$B$11*Assumptions!$B$12^C44*(Assumptions!$B$12-1)/LN(Assumptions!$B$12))</f>
        <v>0.31905475240524428</v>
      </c>
      <c r="E44" s="2">
        <f>Assumptions!$B$6+A44</f>
        <v>98</v>
      </c>
      <c r="F44" s="15">
        <f>1-EXP(-Assumptions!$B$10-Assumptions!$B$11*Assumptions!$B$12^E44*(Assumptions!$B$12-1)/LN(Assumptions!$B$12))</f>
        <v>0.23713449116042085</v>
      </c>
      <c r="G44" s="15">
        <f t="shared" si="16"/>
        <v>4.6931864856414381E-2</v>
      </c>
      <c r="H44" s="15">
        <f t="shared" si="17"/>
        <v>0.11572291225346859</v>
      </c>
      <c r="I44" s="15">
        <f t="shared" si="9"/>
        <v>5.4310920786704879E-3</v>
      </c>
      <c r="J44" s="15">
        <f t="shared" si="10"/>
        <v>0.15722368503121248</v>
      </c>
      <c r="K44" s="15">
        <f>(1+Assumptions!$B$9)^-A44</f>
        <v>0.17265741462150208</v>
      </c>
      <c r="L44" s="15">
        <f t="shared" si="11"/>
        <v>8.1031344494742405E-3</v>
      </c>
      <c r="M44" s="15">
        <f t="shared" si="12"/>
        <v>1.9980418842154832E-2</v>
      </c>
      <c r="N44" s="15">
        <f t="shared" si="13"/>
        <v>9.3771831687456601E-4</v>
      </c>
      <c r="O44" s="15">
        <f t="shared" si="14"/>
        <v>2.7145834974754503E-2</v>
      </c>
      <c r="P44" s="15">
        <f t="shared" si="15"/>
        <v>1.5273605492442061E-3</v>
      </c>
    </row>
    <row r="45" spans="1:16" x14ac:dyDescent="0.2">
      <c r="A45" s="2">
        <v>37</v>
      </c>
      <c r="B45" s="2">
        <f>IF(A45&lt;Assumptions!$B$14,1,0)</f>
        <v>1</v>
      </c>
      <c r="C45" s="2">
        <f>Assumptions!$B$5+A45</f>
        <v>102</v>
      </c>
      <c r="D45" s="15">
        <f>1-EXP(-Assumptions!$B$10-Assumptions!$B$11*Assumptions!$B$12^C45*(Assumptions!$B$12-1)/LN(Assumptions!$B$12))</f>
        <v>0.3507230985910863</v>
      </c>
      <c r="E45" s="2">
        <f>Assumptions!$B$6+A45</f>
        <v>99</v>
      </c>
      <c r="F45" s="15">
        <f>1-EXP(-Assumptions!$B$10-Assumptions!$B$11*Assumptions!$B$12^E45*(Assumptions!$B$12-1)/LN(Assumptions!$B$12))</f>
        <v>0.26229389629347677</v>
      </c>
      <c r="G45" s="15">
        <f t="shared" si="16"/>
        <v>3.1958030334734704E-2</v>
      </c>
      <c r="H45" s="15">
        <f t="shared" si="17"/>
        <v>8.8281018340640283E-2</v>
      </c>
      <c r="I45" s="15">
        <f t="shared" si="9"/>
        <v>2.8212874621114528E-3</v>
      </c>
      <c r="J45" s="15">
        <f t="shared" si="10"/>
        <v>0.11741776121326354</v>
      </c>
      <c r="K45" s="15">
        <f>(1+Assumptions!$B$9)^-A45</f>
        <v>0.1644356329728591</v>
      </c>
      <c r="L45" s="15">
        <f t="shared" si="11"/>
        <v>5.2550389466579327E-3</v>
      </c>
      <c r="M45" s="15">
        <f t="shared" si="12"/>
        <v>1.4516545130331768E-2</v>
      </c>
      <c r="N45" s="15">
        <f t="shared" si="13"/>
        <v>4.6392018963068799E-4</v>
      </c>
      <c r="O45" s="15">
        <f t="shared" si="14"/>
        <v>1.9307663887359015E-2</v>
      </c>
      <c r="P45" s="15">
        <f t="shared" si="15"/>
        <v>8.5972199773080642E-4</v>
      </c>
    </row>
    <row r="46" spans="1:16" x14ac:dyDescent="0.2">
      <c r="A46" s="2">
        <v>38</v>
      </c>
      <c r="B46" s="2">
        <f>IF(A46&lt;Assumptions!$B$14,1,0)</f>
        <v>1</v>
      </c>
      <c r="C46" s="2">
        <f>Assumptions!$B$5+A46</f>
        <v>103</v>
      </c>
      <c r="D46" s="15">
        <f>1-EXP(-Assumptions!$B$10-Assumptions!$B$11*Assumptions!$B$12^C46*(Assumptions!$B$12-1)/LN(Assumptions!$B$12))</f>
        <v>0.38456369153197656</v>
      </c>
      <c r="E46" s="2">
        <f>Assumptions!$B$6+A46</f>
        <v>100</v>
      </c>
      <c r="F46" s="15">
        <f>1-EXP(-Assumptions!$B$10-Assumptions!$B$11*Assumptions!$B$12^E46*(Assumptions!$B$12-1)/LN(Assumptions!$B$12))</f>
        <v>0.28958395257968106</v>
      </c>
      <c r="G46" s="15">
        <f t="shared" si="16"/>
        <v>2.0749610910868618E-2</v>
      </c>
      <c r="H46" s="15">
        <f t="shared" si="17"/>
        <v>6.5125446071317858E-2</v>
      </c>
      <c r="I46" s="15">
        <f t="shared" si="9"/>
        <v>1.3513276663766028E-3</v>
      </c>
      <c r="J46" s="15">
        <f t="shared" si="10"/>
        <v>8.452372931580987E-2</v>
      </c>
      <c r="K46" s="15">
        <f>(1+Assumptions!$B$9)^-A46</f>
        <v>0.15660536473605632</v>
      </c>
      <c r="L46" s="15">
        <f t="shared" si="11"/>
        <v>3.2495003848278339E-3</v>
      </c>
      <c r="M46" s="15">
        <f t="shared" si="12"/>
        <v>1.01989942355971E-2</v>
      </c>
      <c r="N46" s="15">
        <f t="shared" si="13"/>
        <v>2.1162516207083172E-4</v>
      </c>
      <c r="O46" s="15">
        <f t="shared" si="14"/>
        <v>1.3236869458354101E-2</v>
      </c>
      <c r="P46" s="15">
        <f t="shared" si="15"/>
        <v>4.4442728425778382E-4</v>
      </c>
    </row>
    <row r="47" spans="1:16" x14ac:dyDescent="0.2">
      <c r="A47" s="2">
        <v>39</v>
      </c>
      <c r="B47" s="2">
        <f>IF(A47&lt;Assumptions!$B$14,1,0)</f>
        <v>1</v>
      </c>
      <c r="C47" s="2">
        <f>Assumptions!$B$5+A47</f>
        <v>104</v>
      </c>
      <c r="D47" s="15">
        <f>1-EXP(-Assumptions!$B$10-Assumptions!$B$11*Assumptions!$B$12^C47*(Assumptions!$B$12-1)/LN(Assumptions!$B$12))</f>
        <v>0.4204996959274766</v>
      </c>
      <c r="E47" s="2">
        <f>Assumptions!$B$6+A47</f>
        <v>101</v>
      </c>
      <c r="F47" s="15">
        <f>1-EXP(-Assumptions!$B$10-Assumptions!$B$11*Assumptions!$B$12^E47*(Assumptions!$B$12-1)/LN(Assumptions!$B$12))</f>
        <v>0.31905475240524428</v>
      </c>
      <c r="G47" s="15">
        <f t="shared" si="16"/>
        <v>1.2770063941132804E-2</v>
      </c>
      <c r="H47" s="15">
        <f t="shared" si="17"/>
        <v>4.6266161984470769E-2</v>
      </c>
      <c r="I47" s="15">
        <f t="shared" si="9"/>
        <v>5.9082184685249953E-4</v>
      </c>
      <c r="J47" s="15">
        <f t="shared" si="10"/>
        <v>5.8445404078751075E-2</v>
      </c>
      <c r="K47" s="15">
        <f>(1+Assumptions!$B$9)^-A47</f>
        <v>0.14914796641529171</v>
      </c>
      <c r="L47" s="15">
        <f t="shared" si="11"/>
        <v>1.9046290678132031E-3</v>
      </c>
      <c r="M47" s="15">
        <f t="shared" si="12"/>
        <v>6.9005039738242926E-3</v>
      </c>
      <c r="N47" s="15">
        <f t="shared" si="13"/>
        <v>8.8119876971777221E-5</v>
      </c>
      <c r="O47" s="15">
        <f t="shared" si="14"/>
        <v>8.7170131646657177E-3</v>
      </c>
      <c r="P47" s="15">
        <f t="shared" si="15"/>
        <v>2.0880736068553464E-4</v>
      </c>
    </row>
    <row r="48" spans="1:16" x14ac:dyDescent="0.2">
      <c r="A48" s="2">
        <v>40</v>
      </c>
      <c r="B48" s="2">
        <f>IF(A48&lt;Assumptions!$B$14,1,0)</f>
        <v>1</v>
      </c>
      <c r="C48" s="2">
        <f>Assumptions!$B$5+A48</f>
        <v>105</v>
      </c>
      <c r="D48" s="15">
        <f>1-EXP(-Assumptions!$B$10-Assumptions!$B$11*Assumptions!$B$12^C48*(Assumptions!$B$12-1)/LN(Assumptions!$B$12))</f>
        <v>0.45839312242029384</v>
      </c>
      <c r="E48" s="2">
        <f>Assumptions!$B$6+A48</f>
        <v>102</v>
      </c>
      <c r="F48" s="15">
        <f>1-EXP(-Assumptions!$B$10-Assumptions!$B$11*Assumptions!$B$12^E48*(Assumptions!$B$12-1)/LN(Assumptions!$B$12))</f>
        <v>0.3507230985910863</v>
      </c>
      <c r="G48" s="15">
        <f t="shared" si="16"/>
        <v>7.4002559369120259E-3</v>
      </c>
      <c r="H48" s="15">
        <f t="shared" si="17"/>
        <v>3.1504723127774525E-2</v>
      </c>
      <c r="I48" s="15">
        <f t="shared" si="9"/>
        <v>2.3314301436708304E-4</v>
      </c>
      <c r="J48" s="15">
        <f t="shared" si="10"/>
        <v>3.8671836050319472E-2</v>
      </c>
      <c r="K48" s="15">
        <f>(1+Assumptions!$B$9)^-A48</f>
        <v>0.14204568230027784</v>
      </c>
      <c r="L48" s="15">
        <f t="shared" si="11"/>
        <v>1.0511744037553505E-3</v>
      </c>
      <c r="M48" s="15">
        <f t="shared" si="12"/>
        <v>4.4751098923660757E-3</v>
      </c>
      <c r="N48" s="15">
        <f t="shared" si="13"/>
        <v>3.3116958549315788E-5</v>
      </c>
      <c r="O48" s="15">
        <f t="shared" si="14"/>
        <v>5.4931673375721111E-3</v>
      </c>
      <c r="P48" s="15">
        <f t="shared" si="15"/>
        <v>8.8130063128559941E-5</v>
      </c>
    </row>
    <row r="49" spans="1:16" x14ac:dyDescent="0.2">
      <c r="A49" s="2">
        <v>41</v>
      </c>
      <c r="B49" s="2">
        <f>IF(A49&lt;Assumptions!$B$14,1,0)</f>
        <v>1</v>
      </c>
      <c r="C49" s="2">
        <f>Assumptions!$B$5+A49</f>
        <v>106</v>
      </c>
      <c r="D49" s="15">
        <f>1-EXP(-Assumptions!$B$10-Assumptions!$B$11*Assumptions!$B$12^C49*(Assumptions!$B$12-1)/LN(Assumptions!$B$12))</f>
        <v>0.4980356718747343</v>
      </c>
      <c r="E49" s="2">
        <f>Assumptions!$B$6+A49</f>
        <v>103</v>
      </c>
      <c r="F49" s="15">
        <f>1-EXP(-Assumptions!$B$10-Assumptions!$B$11*Assumptions!$B$12^E49*(Assumptions!$B$12-1)/LN(Assumptions!$B$12))</f>
        <v>0.38456369153197656</v>
      </c>
      <c r="G49" s="15">
        <f t="shared" si="16"/>
        <v>4.0080295112816054E-3</v>
      </c>
      <c r="H49" s="15">
        <f t="shared" si="17"/>
        <v>2.0455289012147184E-2</v>
      </c>
      <c r="I49" s="15">
        <f t="shared" si="9"/>
        <v>8.198540202248027E-5</v>
      </c>
      <c r="J49" s="15">
        <f t="shared" si="10"/>
        <v>2.438133312140631E-2</v>
      </c>
      <c r="K49" s="15">
        <f>(1+Assumptions!$B$9)^-A49</f>
        <v>0.13528160219074079</v>
      </c>
      <c r="L49" s="15">
        <f t="shared" si="11"/>
        <v>5.4221265391394733E-4</v>
      </c>
      <c r="M49" s="15">
        <f t="shared" si="12"/>
        <v>2.7672242708379263E-3</v>
      </c>
      <c r="N49" s="15">
        <f t="shared" si="13"/>
        <v>1.1091116541853131E-5</v>
      </c>
      <c r="O49" s="15">
        <f t="shared" si="14"/>
        <v>3.2983458082100209E-3</v>
      </c>
      <c r="P49" s="15">
        <f t="shared" si="15"/>
        <v>3.2980468833372331E-5</v>
      </c>
    </row>
    <row r="50" spans="1:16" x14ac:dyDescent="0.2">
      <c r="A50" s="2">
        <v>42</v>
      </c>
      <c r="B50" s="2">
        <f>IF(A50&lt;Assumptions!$B$14,1,0)</f>
        <v>1</v>
      </c>
      <c r="C50" s="2">
        <f>Assumptions!$B$5+A50</f>
        <v>107</v>
      </c>
      <c r="D50" s="15">
        <f>1-EXP(-Assumptions!$B$10-Assumptions!$B$11*Assumptions!$B$12^C50*(Assumptions!$B$12-1)/LN(Assumptions!$B$12))</f>
        <v>0.53914093233159988</v>
      </c>
      <c r="E50" s="2">
        <f>Assumptions!$B$6+A50</f>
        <v>104</v>
      </c>
      <c r="F50" s="15">
        <f>1-EXP(-Assumptions!$B$10-Assumptions!$B$11*Assumptions!$B$12^E50*(Assumptions!$B$12-1)/LN(Assumptions!$B$12))</f>
        <v>0.4204996959274766</v>
      </c>
      <c r="G50" s="15">
        <f t="shared" si="16"/>
        <v>2.0118878407367081E-3</v>
      </c>
      <c r="H50" s="15">
        <f t="shared" si="17"/>
        <v>1.2588927558282385E-2</v>
      </c>
      <c r="I50" s="15">
        <f t="shared" si="9"/>
        <v>2.5327510282423588E-5</v>
      </c>
      <c r="J50" s="15">
        <f t="shared" si="10"/>
        <v>1.4575487888736669E-2</v>
      </c>
      <c r="K50" s="15">
        <f>(1+Assumptions!$B$9)^-A50</f>
        <v>0.12883962113403885</v>
      </c>
      <c r="L50" s="15">
        <f t="shared" si="11"/>
        <v>2.5921086716469699E-4</v>
      </c>
      <c r="M50" s="15">
        <f t="shared" si="12"/>
        <v>1.6219526570929632E-3</v>
      </c>
      <c r="N50" s="15">
        <f t="shared" si="13"/>
        <v>3.2631868290559287E-6</v>
      </c>
      <c r="O50" s="15">
        <f t="shared" si="14"/>
        <v>1.8779003374286042E-3</v>
      </c>
      <c r="P50" s="15">
        <f t="shared" si="15"/>
        <v>1.0784115332463341E-5</v>
      </c>
    </row>
    <row r="51" spans="1:16" x14ac:dyDescent="0.2">
      <c r="A51" s="2">
        <v>43</v>
      </c>
      <c r="B51" s="2">
        <f>IF(A51&lt;Assumptions!$B$14,1,0)</f>
        <v>1</v>
      </c>
      <c r="C51" s="2">
        <f>Assumptions!$B$5+A51</f>
        <v>108</v>
      </c>
      <c r="D51" s="15">
        <f>1-EXP(-Assumptions!$B$10-Assumptions!$B$11*Assumptions!$B$12^C51*(Assumptions!$B$12-1)/LN(Assumptions!$B$12))</f>
        <v>0.58133907038915944</v>
      </c>
      <c r="E51" s="2">
        <f>Assumptions!$B$6+A51</f>
        <v>105</v>
      </c>
      <c r="F51" s="15">
        <f>1-EXP(-Assumptions!$B$10-Assumptions!$B$11*Assumptions!$B$12^E51*(Assumptions!$B$12-1)/LN(Assumptions!$B$12))</f>
        <v>0.45839312242029384</v>
      </c>
      <c r="G51" s="15">
        <f t="shared" si="16"/>
        <v>9.2719675453530992E-4</v>
      </c>
      <c r="H51" s="15">
        <f t="shared" si="17"/>
        <v>7.2952873479716117E-3</v>
      </c>
      <c r="I51" s="15">
        <f t="shared" si="9"/>
        <v>6.7641667524417862E-6</v>
      </c>
      <c r="J51" s="15">
        <f t="shared" si="10"/>
        <v>8.2157199357544806E-3</v>
      </c>
      <c r="K51" s="15">
        <f>(1+Assumptions!$B$9)^-A51</f>
        <v>0.12270440108003698</v>
      </c>
      <c r="L51" s="15">
        <f t="shared" si="11"/>
        <v>1.1377112244860927E-4</v>
      </c>
      <c r="M51" s="15">
        <f t="shared" si="12"/>
        <v>8.9516386473962792E-4</v>
      </c>
      <c r="N51" s="15">
        <f t="shared" si="13"/>
        <v>8.2999303016386817E-7</v>
      </c>
      <c r="O51" s="15">
        <f t="shared" si="14"/>
        <v>1.0081049941580735E-3</v>
      </c>
      <c r="P51" s="15">
        <f t="shared" si="15"/>
        <v>3.0310106388975654E-6</v>
      </c>
    </row>
    <row r="52" spans="1:16" x14ac:dyDescent="0.2">
      <c r="A52" s="2">
        <v>44</v>
      </c>
      <c r="B52" s="2">
        <f>IF(A52&lt;Assumptions!$B$14,1,0)</f>
        <v>1</v>
      </c>
      <c r="C52" s="2">
        <f>Assumptions!$B$5+A52</f>
        <v>109</v>
      </c>
      <c r="D52" s="15">
        <f>1-EXP(-Assumptions!$B$10-Assumptions!$B$11*Assumptions!$B$12^C52*(Assumptions!$B$12-1)/LN(Assumptions!$B$12))</f>
        <v>0.62417538370474579</v>
      </c>
      <c r="E52" s="2">
        <f>Assumptions!$B$6+A52</f>
        <v>106</v>
      </c>
      <c r="F52" s="15">
        <f>1-EXP(-Assumptions!$B$10-Assumptions!$B$11*Assumptions!$B$12^E52*(Assumptions!$B$12-1)/LN(Assumptions!$B$12))</f>
        <v>0.4980356718747343</v>
      </c>
      <c r="G52" s="15">
        <f t="shared" si="16"/>
        <v>3.881810551859072E-4</v>
      </c>
      <c r="H52" s="15">
        <f t="shared" si="17"/>
        <v>3.9511778015816398E-3</v>
      </c>
      <c r="I52" s="15">
        <f t="shared" si="9"/>
        <v>1.533772368245094E-6</v>
      </c>
      <c r="J52" s="15">
        <f t="shared" si="10"/>
        <v>4.3378250843993018E-3</v>
      </c>
      <c r="K52" s="15">
        <f>(1+Assumptions!$B$9)^-A52</f>
        <v>0.11686133436193999</v>
      </c>
      <c r="L52" s="15">
        <f t="shared" si="11"/>
        <v>4.5363356083050977E-5</v>
      </c>
      <c r="M52" s="15">
        <f t="shared" si="12"/>
        <v>4.6173991019410701E-4</v>
      </c>
      <c r="N52" s="15">
        <f t="shared" si="13"/>
        <v>1.7923868556059449E-7</v>
      </c>
      <c r="O52" s="15">
        <f t="shared" si="14"/>
        <v>5.0692402759159737E-4</v>
      </c>
      <c r="P52" s="15">
        <f t="shared" si="15"/>
        <v>7.1894748519629332E-7</v>
      </c>
    </row>
    <row r="53" spans="1:16" x14ac:dyDescent="0.2">
      <c r="A53" s="2">
        <v>45</v>
      </c>
      <c r="B53" s="2">
        <f>IF(A53&lt;Assumptions!$B$14,1,0)</f>
        <v>1</v>
      </c>
      <c r="C53" s="2">
        <f>Assumptions!$B$5+A53</f>
        <v>110</v>
      </c>
      <c r="D53" s="15">
        <f>1-EXP(-Assumptions!$B$10-Assumptions!$B$11*Assumptions!$B$12^C53*(Assumptions!$B$12-1)/LN(Assumptions!$B$12))</f>
        <v>0.66711422439595114</v>
      </c>
      <c r="E53" s="2">
        <f>Assumptions!$B$6+A53</f>
        <v>107</v>
      </c>
      <c r="F53" s="15">
        <f>1-EXP(-Assumptions!$B$10-Assumptions!$B$11*Assumptions!$B$12^E53*(Assumptions!$B$12-1)/LN(Assumptions!$B$12))</f>
        <v>0.53914093233159988</v>
      </c>
      <c r="G53" s="15">
        <f t="shared" si="16"/>
        <v>1.4588799611833046E-4</v>
      </c>
      <c r="H53" s="15">
        <f t="shared" si="17"/>
        <v>1.9833503104743923E-3</v>
      </c>
      <c r="I53" s="15">
        <f t="shared" si="9"/>
        <v>2.8934700239577764E-7</v>
      </c>
      <c r="J53" s="15">
        <f t="shared" si="10"/>
        <v>2.1289489595903272E-3</v>
      </c>
      <c r="K53" s="15">
        <f>(1+Assumptions!$B$9)^-A53</f>
        <v>0.1112965089161333</v>
      </c>
      <c r="L53" s="15">
        <f t="shared" si="11"/>
        <v>1.6236824660740586E-5</v>
      </c>
      <c r="M53" s="15">
        <f t="shared" si="12"/>
        <v>2.2073996551352895E-4</v>
      </c>
      <c r="N53" s="15">
        <f t="shared" si="13"/>
        <v>3.2203311231998106E-8</v>
      </c>
      <c r="O53" s="15">
        <f t="shared" si="14"/>
        <v>2.3694458686303755E-4</v>
      </c>
      <c r="P53" s="15">
        <f t="shared" si="15"/>
        <v>1.4099298763437032E-7</v>
      </c>
    </row>
    <row r="54" spans="1:16" x14ac:dyDescent="0.2">
      <c r="A54" s="2">
        <v>46</v>
      </c>
      <c r="B54" s="2">
        <f>IF(A54&lt;Assumptions!$B$14,1,0)</f>
        <v>1</v>
      </c>
      <c r="C54" s="2">
        <f>Assumptions!$B$5+A54</f>
        <v>111</v>
      </c>
      <c r="D54" s="15">
        <f>1-EXP(-Assumptions!$B$10-Assumptions!$B$11*Assumptions!$B$12^C54*(Assumptions!$B$12-1)/LN(Assumptions!$B$12))</f>
        <v>0.70954978990227136</v>
      </c>
      <c r="E54" s="2">
        <f>Assumptions!$B$6+A54</f>
        <v>108</v>
      </c>
      <c r="F54" s="15">
        <f>1-EXP(-Assumptions!$B$10-Assumptions!$B$11*Assumptions!$B$12^E54*(Assumptions!$B$12-1)/LN(Assumptions!$B$12))</f>
        <v>0.58133907038915944</v>
      </c>
      <c r="G54" s="15">
        <f t="shared" si="16"/>
        <v>4.8564038739170906E-5</v>
      </c>
      <c r="H54" s="15">
        <f t="shared" si="17"/>
        <v>9.1404497494506037E-4</v>
      </c>
      <c r="I54" s="15">
        <f t="shared" si="9"/>
        <v>4.4389715572576413E-8</v>
      </c>
      <c r="J54" s="15">
        <f t="shared" si="10"/>
        <v>9.6256462396865871E-4</v>
      </c>
      <c r="K54" s="15">
        <f>(1+Assumptions!$B$9)^-A54</f>
        <v>0.10599667515822221</v>
      </c>
      <c r="L54" s="15">
        <f t="shared" si="11"/>
        <v>5.1476266386072184E-6</v>
      </c>
      <c r="M54" s="15">
        <f t="shared" si="12"/>
        <v>9.6885728289256923E-5</v>
      </c>
      <c r="N54" s="15">
        <f t="shared" si="13"/>
        <v>4.7051622619122596E-9</v>
      </c>
      <c r="O54" s="15">
        <f t="shared" si="14"/>
        <v>1.0202864976560224E-4</v>
      </c>
      <c r="P54" s="15">
        <f t="shared" si="15"/>
        <v>2.2341578326316654E-8</v>
      </c>
    </row>
    <row r="55" spans="1:16" x14ac:dyDescent="0.2">
      <c r="A55" s="2">
        <v>47</v>
      </c>
      <c r="B55" s="2">
        <f>IF(A55&lt;Assumptions!$B$14,1,0)</f>
        <v>1</v>
      </c>
      <c r="C55" s="2">
        <f>Assumptions!$B$5+A55</f>
        <v>112</v>
      </c>
      <c r="D55" s="15">
        <f>1-EXP(-Assumptions!$B$10-Assumptions!$B$11*Assumptions!$B$12^C55*(Assumptions!$B$12-1)/LN(Assumptions!$B$12))</f>
        <v>0.75082501964756965</v>
      </c>
      <c r="E55" s="2">
        <f>Assumptions!$B$6+A55</f>
        <v>109</v>
      </c>
      <c r="F55" s="15">
        <f>1-EXP(-Assumptions!$B$10-Assumptions!$B$11*Assumptions!$B$12^E55*(Assumptions!$B$12-1)/LN(Assumptions!$B$12))</f>
        <v>0.62417538370474579</v>
      </c>
      <c r="G55" s="15">
        <f t="shared" si="16"/>
        <v>1.4105435254986422E-5</v>
      </c>
      <c r="H55" s="15">
        <f t="shared" si="17"/>
        <v>3.8267491891661647E-4</v>
      </c>
      <c r="I55" s="15">
        <f t="shared" si="9"/>
        <v>5.3977962924855126E-9</v>
      </c>
      <c r="J55" s="15">
        <f t="shared" si="10"/>
        <v>3.9677495637531045E-4</v>
      </c>
      <c r="K55" s="15">
        <f>(1+Assumptions!$B$9)^-A55</f>
        <v>0.10094921443640208</v>
      </c>
      <c r="L55" s="15">
        <f t="shared" si="11"/>
        <v>1.42393260827441E-6</v>
      </c>
      <c r="M55" s="15">
        <f t="shared" si="12"/>
        <v>3.8630732449146291E-5</v>
      </c>
      <c r="N55" s="15">
        <f t="shared" si="13"/>
        <v>5.4490329541413609E-10</v>
      </c>
      <c r="O55" s="15">
        <f t="shared" si="14"/>
        <v>4.0054120154125296E-5</v>
      </c>
      <c r="P55" s="15">
        <f t="shared" si="15"/>
        <v>2.7879713514792134E-9</v>
      </c>
    </row>
    <row r="56" spans="1:16" x14ac:dyDescent="0.2">
      <c r="A56" s="2">
        <v>48</v>
      </c>
      <c r="B56" s="2">
        <f>IF(A56&lt;Assumptions!$B$14,1,0)</f>
        <v>1</v>
      </c>
      <c r="C56" s="2">
        <f>Assumptions!$B$5+A56</f>
        <v>113</v>
      </c>
      <c r="D56" s="15">
        <f>1-EXP(-Assumptions!$B$10-Assumptions!$B$11*Assumptions!$B$12^C56*(Assumptions!$B$12-1)/LN(Assumptions!$B$12))</f>
        <v>0.79025924359830624</v>
      </c>
      <c r="E56" s="2">
        <f>Assumptions!$B$6+A56</f>
        <v>110</v>
      </c>
      <c r="F56" s="15">
        <f>1-EXP(-Assumptions!$B$10-Assumptions!$B$11*Assumptions!$B$12^E56*(Assumptions!$B$12-1)/LN(Assumptions!$B$12))</f>
        <v>0.66711422439595114</v>
      </c>
      <c r="G56" s="15">
        <f t="shared" si="16"/>
        <v>3.5147215525237203E-6</v>
      </c>
      <c r="H56" s="15">
        <f t="shared" si="17"/>
        <v>1.4381865456765489E-4</v>
      </c>
      <c r="I56" s="15">
        <f t="shared" si="9"/>
        <v>5.0548252486390064E-10</v>
      </c>
      <c r="J56" s="15">
        <f t="shared" si="10"/>
        <v>1.4733287063765373E-4</v>
      </c>
      <c r="K56" s="15">
        <f>(1+Assumptions!$B$9)^-A56</f>
        <v>9.6142108987049613E-2</v>
      </c>
      <c r="L56" s="15">
        <f t="shared" si="11"/>
        <v>3.3791274256186775E-7</v>
      </c>
      <c r="M56" s="15">
        <f t="shared" si="12"/>
        <v>1.3827028761814318E-5</v>
      </c>
      <c r="N56" s="15">
        <f t="shared" si="13"/>
        <v>4.8598155996514152E-11</v>
      </c>
      <c r="O56" s="15">
        <f t="shared" si="14"/>
        <v>1.4164892906220186E-5</v>
      </c>
      <c r="P56" s="15">
        <f t="shared" si="15"/>
        <v>2.6621876729470734E-10</v>
      </c>
    </row>
    <row r="57" spans="1:16" x14ac:dyDescent="0.2">
      <c r="A57" s="2">
        <v>49</v>
      </c>
      <c r="B57" s="2">
        <f>IF(A57&lt;Assumptions!$B$14,1,0)</f>
        <v>1</v>
      </c>
      <c r="C57" s="2">
        <f>Assumptions!$B$5+A57</f>
        <v>114</v>
      </c>
      <c r="D57" s="15">
        <f>1-EXP(-Assumptions!$B$10-Assumptions!$B$11*Assumptions!$B$12^C57*(Assumptions!$B$12-1)/LN(Assumptions!$B$12))</f>
        <v>0.82718423890410464</v>
      </c>
      <c r="E57" s="2">
        <f>Assumptions!$B$6+A57</f>
        <v>111</v>
      </c>
      <c r="F57" s="15">
        <f>1-EXP(-Assumptions!$B$10-Assumptions!$B$11*Assumptions!$B$12^E57*(Assumptions!$B$12-1)/LN(Assumptions!$B$12))</f>
        <v>0.70954978990227136</v>
      </c>
      <c r="G57" s="15">
        <f t="shared" si="16"/>
        <v>7.3718035696766051E-7</v>
      </c>
      <c r="H57" s="15">
        <f t="shared" si="17"/>
        <v>4.787518437208458E-5</v>
      </c>
      <c r="I57" s="15">
        <f t="shared" si="9"/>
        <v>3.5292645505305873E-11</v>
      </c>
      <c r="J57" s="15">
        <f t="shared" si="10"/>
        <v>4.8612329436406731E-5</v>
      </c>
      <c r="K57" s="15">
        <f>(1+Assumptions!$B$9)^-A57</f>
        <v>9.1563913320999626E-2</v>
      </c>
      <c r="L57" s="15">
        <f t="shared" si="11"/>
        <v>6.7499118307330426E-8</v>
      </c>
      <c r="M57" s="15">
        <f t="shared" si="12"/>
        <v>4.3836392320724288E-6</v>
      </c>
      <c r="N57" s="15">
        <f t="shared" si="13"/>
        <v>3.2315327339165938E-12</v>
      </c>
      <c r="O57" s="15">
        <f t="shared" si="14"/>
        <v>4.4511351188470246E-6</v>
      </c>
      <c r="P57" s="15">
        <f t="shared" si="15"/>
        <v>1.883639208050729E-11</v>
      </c>
    </row>
    <row r="58" spans="1:16" x14ac:dyDescent="0.2">
      <c r="A58" s="2">
        <v>50</v>
      </c>
      <c r="B58" s="2">
        <f>IF(A58&lt;Assumptions!$B$14,1,0)</f>
        <v>1</v>
      </c>
      <c r="C58" s="2">
        <f>Assumptions!$B$5+A58</f>
        <v>115</v>
      </c>
      <c r="D58" s="15">
        <f>1-EXP(-Assumptions!$B$10-Assumptions!$B$11*Assumptions!$B$12^C58*(Assumptions!$B$12-1)/LN(Assumptions!$B$12))</f>
        <v>0.86098696309970146</v>
      </c>
      <c r="E58" s="2">
        <f>Assumptions!$B$6+A58</f>
        <v>112</v>
      </c>
      <c r="F58" s="15">
        <f>1-EXP(-Assumptions!$B$10-Assumptions!$B$11*Assumptions!$B$12^E58*(Assumptions!$B$12-1)/LN(Assumptions!$B$12))</f>
        <v>0.75082501964756965</v>
      </c>
      <c r="G58" s="15">
        <f t="shared" si="16"/>
        <v>1.2739638445431007E-7</v>
      </c>
      <c r="H58" s="15">
        <f t="shared" si="17"/>
        <v>1.3905357359339462E-5</v>
      </c>
      <c r="I58" s="15">
        <f t="shared" si="9"/>
        <v>1.77149225212498E-12</v>
      </c>
      <c r="J58" s="15">
        <f t="shared" si="10"/>
        <v>1.4032751972301519E-5</v>
      </c>
      <c r="K58" s="15">
        <f>(1+Assumptions!$B$9)^-A58</f>
        <v>8.7203726972380588E-2</v>
      </c>
      <c r="L58" s="15">
        <f t="shared" si="11"/>
        <v>1.1109439527222085E-8</v>
      </c>
      <c r="M58" s="15">
        <f t="shared" si="12"/>
        <v>1.2125989866172214E-6</v>
      </c>
      <c r="N58" s="15">
        <f t="shared" si="13"/>
        <v>1.5448072668799434E-13</v>
      </c>
      <c r="O58" s="15">
        <f t="shared" si="14"/>
        <v>1.2237082716637169E-6</v>
      </c>
      <c r="P58" s="15">
        <f t="shared" si="15"/>
        <v>9.5264066087088378E-13</v>
      </c>
    </row>
    <row r="59" spans="1:16" x14ac:dyDescent="0.2">
      <c r="A59" s="2">
        <v>51</v>
      </c>
      <c r="B59" s="2">
        <f>IF(A59&lt;Assumptions!$B$14,1,0)</f>
        <v>1</v>
      </c>
      <c r="C59" s="2">
        <f>Assumptions!$B$5+A59</f>
        <v>116</v>
      </c>
      <c r="D59" s="15">
        <f>1-EXP(-Assumptions!$B$10-Assumptions!$B$11*Assumptions!$B$12^C59*(Assumptions!$B$12-1)/LN(Assumptions!$B$12))</f>
        <v>0.89115555618140285</v>
      </c>
      <c r="E59" s="2">
        <f>Assumptions!$B$6+A59</f>
        <v>113</v>
      </c>
      <c r="F59" s="15">
        <f>1-EXP(-Assumptions!$B$10-Assumptions!$B$11*Assumptions!$B$12^E59*(Assumptions!$B$12-1)/LN(Assumptions!$B$12))</f>
        <v>0.79025924359830624</v>
      </c>
      <c r="G59" s="15">
        <f t="shared" si="16"/>
        <v>1.7709758293111625E-8</v>
      </c>
      <c r="H59" s="15">
        <f t="shared" si="17"/>
        <v>3.4648671468069332E-6</v>
      </c>
      <c r="I59" s="15">
        <f t="shared" si="9"/>
        <v>6.1361959687694099E-14</v>
      </c>
      <c r="J59" s="15">
        <f t="shared" si="10"/>
        <v>3.4825768437380853E-6</v>
      </c>
      <c r="K59" s="15">
        <f>(1+Assumptions!$B$9)^-A59</f>
        <v>8.3051168545124371E-2</v>
      </c>
      <c r="L59" s="15">
        <f t="shared" si="11"/>
        <v>1.4708161208946277E-9</v>
      </c>
      <c r="M59" s="15">
        <f t="shared" si="12"/>
        <v>2.8776126539592682E-7</v>
      </c>
      <c r="N59" s="15">
        <f t="shared" si="13"/>
        <v>5.0961824562818101E-15</v>
      </c>
      <c r="O59" s="15">
        <f t="shared" si="14"/>
        <v>2.8923207642063896E-7</v>
      </c>
      <c r="P59" s="15">
        <f t="shared" si="15"/>
        <v>3.3076157929395567E-14</v>
      </c>
    </row>
    <row r="60" spans="1:16" x14ac:dyDescent="0.2">
      <c r="A60" s="2">
        <v>52</v>
      </c>
      <c r="B60" s="2">
        <f>IF(A60&lt;Assumptions!$B$14,1,0)</f>
        <v>1</v>
      </c>
      <c r="C60" s="2">
        <f>Assumptions!$B$5+A60</f>
        <v>117</v>
      </c>
      <c r="D60" s="15">
        <f>1-EXP(-Assumptions!$B$10-Assumptions!$B$11*Assumptions!$B$12^C60*(Assumptions!$B$12-1)/LN(Assumptions!$B$12))</f>
        <v>0.91732349889465803</v>
      </c>
      <c r="E60" s="2">
        <f>Assumptions!$B$6+A60</f>
        <v>114</v>
      </c>
      <c r="F60" s="15">
        <f>1-EXP(-Assumptions!$B$10-Assumptions!$B$11*Assumptions!$B$12^E60*(Assumptions!$B$12-1)/LN(Assumptions!$B$12))</f>
        <v>0.82718423890410464</v>
      </c>
      <c r="G60" s="15">
        <f t="shared" si="16"/>
        <v>1.9276087915755234E-9</v>
      </c>
      <c r="H60" s="15">
        <f t="shared" si="17"/>
        <v>7.267238562026647E-7</v>
      </c>
      <c r="I60" s="15">
        <f t="shared" si="9"/>
        <v>1.400839294263923E-15</v>
      </c>
      <c r="J60" s="15">
        <f t="shared" si="10"/>
        <v>7.2865146359340091E-7</v>
      </c>
      <c r="K60" s="15">
        <f>(1+Assumptions!$B$9)^-A60</f>
        <v>7.9096350995356543E-2</v>
      </c>
      <c r="L60" s="15">
        <f t="shared" si="11"/>
        <v>1.5246682156019267E-10</v>
      </c>
      <c r="M60" s="15">
        <f t="shared" si="12"/>
        <v>5.7481205206904982E-8</v>
      </c>
      <c r="N60" s="15">
        <f t="shared" si="13"/>
        <v>1.108012765071868E-16</v>
      </c>
      <c r="O60" s="15">
        <f t="shared" si="14"/>
        <v>5.7633671917663897E-8</v>
      </c>
      <c r="P60" s="15">
        <f t="shared" si="15"/>
        <v>7.5354749824766949E-16</v>
      </c>
    </row>
    <row r="61" spans="1:16" x14ac:dyDescent="0.2">
      <c r="A61" s="2">
        <v>53</v>
      </c>
      <c r="B61" s="2">
        <f>IF(A61&lt;Assumptions!$B$14,1,0)</f>
        <v>1</v>
      </c>
      <c r="C61" s="2">
        <f>Assumptions!$B$5+A61</f>
        <v>118</v>
      </c>
      <c r="D61" s="15">
        <f>1-EXP(-Assumptions!$B$10-Assumptions!$B$11*Assumptions!$B$12^C61*(Assumptions!$B$12-1)/LN(Assumptions!$B$12))</f>
        <v>0.93930550316117889</v>
      </c>
      <c r="E61" s="2">
        <f>Assumptions!$B$6+A61</f>
        <v>115</v>
      </c>
      <c r="F61" s="15">
        <f>1-EXP(-Assumptions!$B$10-Assumptions!$B$11*Assumptions!$B$12^E61*(Assumptions!$B$12-1)/LN(Assumptions!$B$12))</f>
        <v>0.86098696309970146</v>
      </c>
      <c r="G61" s="15">
        <f t="shared" si="16"/>
        <v>1.5936795038736065E-10</v>
      </c>
      <c r="H61" s="15">
        <f t="shared" si="17"/>
        <v>1.2558933631620751E-7</v>
      </c>
      <c r="I61" s="15">
        <f t="shared" si="9"/>
        <v>2.0014915119222909E-17</v>
      </c>
      <c r="J61" s="15">
        <f t="shared" si="10"/>
        <v>1.2574870424657995E-7</v>
      </c>
      <c r="K61" s="15">
        <f>(1+Assumptions!$B$9)^-A61</f>
        <v>7.5329858090815757E-2</v>
      </c>
      <c r="L61" s="15">
        <f t="shared" si="11"/>
        <v>1.2005165086904044E-11</v>
      </c>
      <c r="M61" s="15">
        <f t="shared" si="12"/>
        <v>9.4606268824196456E-9</v>
      </c>
      <c r="N61" s="15">
        <f t="shared" si="13"/>
        <v>1.5077207156307844E-18</v>
      </c>
      <c r="O61" s="15">
        <f t="shared" si="14"/>
        <v>9.472632045998829E-9</v>
      </c>
      <c r="P61" s="15">
        <f t="shared" si="15"/>
        <v>1.0706790840256362E-17</v>
      </c>
    </row>
    <row r="62" spans="1:16" x14ac:dyDescent="0.2">
      <c r="A62" s="2">
        <v>54</v>
      </c>
      <c r="B62" s="2">
        <f>IF(A62&lt;Assumptions!$B$14,1,0)</f>
        <v>1</v>
      </c>
      <c r="C62" s="2">
        <f>Assumptions!$B$5+A62</f>
        <v>119</v>
      </c>
      <c r="D62" s="15">
        <f>1-EXP(-Assumptions!$B$10-Assumptions!$B$11*Assumptions!$B$12^C62*(Assumptions!$B$12-1)/LN(Assumptions!$B$12))</f>
        <v>0.95711833120772338</v>
      </c>
      <c r="E62" s="2">
        <f>Assumptions!$B$6+A62</f>
        <v>116</v>
      </c>
      <c r="F62" s="15">
        <f>1-EXP(-Assumptions!$B$10-Assumptions!$B$11*Assumptions!$B$12^E62*(Assumptions!$B$12-1)/LN(Assumptions!$B$12))</f>
        <v>0.89115555618140285</v>
      </c>
      <c r="G62" s="15">
        <f t="shared" si="16"/>
        <v>9.6727575609950603E-12</v>
      </c>
      <c r="H62" s="15">
        <f t="shared" si="17"/>
        <v>1.7458555043608957E-8</v>
      </c>
      <c r="I62" s="15">
        <f t="shared" si="9"/>
        <v>1.6887237030211698E-19</v>
      </c>
      <c r="J62" s="15">
        <f t="shared" si="10"/>
        <v>1.7468227801001078E-8</v>
      </c>
      <c r="K62" s="15">
        <f>(1+Assumptions!$B$9)^-A62</f>
        <v>7.1742721991253117E-2</v>
      </c>
      <c r="L62" s="15">
        <f t="shared" si="11"/>
        <v>6.9394995658726014E-13</v>
      </c>
      <c r="M62" s="15">
        <f t="shared" si="12"/>
        <v>1.2525242608626273E-9</v>
      </c>
      <c r="N62" s="15">
        <f t="shared" si="13"/>
        <v>1.2115363514588727E-20</v>
      </c>
      <c r="O62" s="15">
        <f t="shared" si="14"/>
        <v>1.2532182108070992E-9</v>
      </c>
      <c r="P62" s="15">
        <f t="shared" si="15"/>
        <v>8.9611730135257197E-20</v>
      </c>
    </row>
    <row r="63" spans="1:16" x14ac:dyDescent="0.2">
      <c r="A63" s="2">
        <v>55</v>
      </c>
      <c r="B63" s="2">
        <f>IF(A63&lt;Assumptions!$B$14,1,0)</f>
        <v>1</v>
      </c>
      <c r="C63" s="2">
        <f>Assumptions!$B$5+A63</f>
        <v>120</v>
      </c>
      <c r="D63" s="15">
        <f>1-EXP(-Assumptions!$B$10-Assumptions!$B$11*Assumptions!$B$12^C63*(Assumptions!$B$12-1)/LN(Assumptions!$B$12))</f>
        <v>0.97098081482753029</v>
      </c>
      <c r="E63" s="2">
        <f>Assumptions!$B$6+A63</f>
        <v>117</v>
      </c>
      <c r="F63" s="15">
        <f>1-EXP(-Assumptions!$B$10-Assumptions!$B$11*Assumptions!$B$12^E63*(Assumptions!$B$12-1)/LN(Assumptions!$B$12))</f>
        <v>0.91732349889465803</v>
      </c>
      <c r="G63" s="15">
        <f t="shared" si="16"/>
        <v>4.1478398603857957E-13</v>
      </c>
      <c r="H63" s="15">
        <f t="shared" si="17"/>
        <v>1.900266713597981E-9</v>
      </c>
      <c r="I63" s="15">
        <f t="shared" si="9"/>
        <v>7.8820020200260248E-22</v>
      </c>
      <c r="J63" s="15">
        <f t="shared" si="10"/>
        <v>1.9006814975832311E-9</v>
      </c>
      <c r="K63" s="15">
        <f>(1+Assumptions!$B$9)^-A63</f>
        <v>6.8326401896431521E-2</v>
      </c>
      <c r="L63" s="15">
        <f t="shared" si="11"/>
        <v>2.8340697330275828E-14</v>
      </c>
      <c r="M63" s="15">
        <f t="shared" si="12"/>
        <v>1.2983838718370678E-10</v>
      </c>
      <c r="N63" s="15">
        <f t="shared" si="13"/>
        <v>5.385488377687833E-23</v>
      </c>
      <c r="O63" s="15">
        <f t="shared" si="14"/>
        <v>1.298667278809832E-10</v>
      </c>
      <c r="P63" s="15">
        <f t="shared" si="15"/>
        <v>4.1430092781728738E-22</v>
      </c>
    </row>
    <row r="64" spans="1:16" x14ac:dyDescent="0.2">
      <c r="A64" s="2">
        <v>56</v>
      </c>
      <c r="B64" s="2">
        <f>IF(A64&lt;Assumptions!$B$14,1,0)</f>
        <v>1</v>
      </c>
      <c r="C64" s="2">
        <f>Assumptions!$B$5+A64</f>
        <v>121</v>
      </c>
      <c r="D64" s="15">
        <f>1-EXP(-Assumptions!$B$10-Assumptions!$B$11*Assumptions!$B$12^C64*(Assumptions!$B$12-1)/LN(Assumptions!$B$12))</f>
        <v>0.98129016197191954</v>
      </c>
      <c r="E64" s="2">
        <f>Assumptions!$B$6+A64</f>
        <v>118</v>
      </c>
      <c r="F64" s="15">
        <f>1-EXP(-Assumptions!$B$10-Assumptions!$B$11*Assumptions!$B$12^E64*(Assumptions!$B$12-1)/LN(Assumptions!$B$12))</f>
        <v>0.93930550316117889</v>
      </c>
      <c r="G64" s="15">
        <f t="shared" si="16"/>
        <v>1.2036693297428631E-14</v>
      </c>
      <c r="H64" s="15">
        <f t="shared" si="17"/>
        <v>1.5710740304722803E-10</v>
      </c>
      <c r="I64" s="15">
        <f t="shared" si="9"/>
        <v>1.8910536252349882E-24</v>
      </c>
      <c r="J64" s="15">
        <f t="shared" si="10"/>
        <v>1.5711943974052356E-10</v>
      </c>
      <c r="K64" s="15">
        <f>(1+Assumptions!$B$9)^-A64</f>
        <v>6.5072763710887174E-2</v>
      </c>
      <c r="L64" s="15">
        <f t="shared" si="11"/>
        <v>7.8326089880399266E-16</v>
      </c>
      <c r="M64" s="15">
        <f t="shared" si="12"/>
        <v>1.0223412915723386E-11</v>
      </c>
      <c r="N64" s="15">
        <f t="shared" si="13"/>
        <v>1.2305608571953298E-25</v>
      </c>
      <c r="O64" s="15">
        <f t="shared" si="14"/>
        <v>1.0224196176622065E-11</v>
      </c>
      <c r="P64" s="15">
        <f t="shared" si="15"/>
        <v>9.8415070792778665E-25</v>
      </c>
    </row>
    <row r="65" spans="1:16" x14ac:dyDescent="0.2">
      <c r="A65" s="2">
        <v>57</v>
      </c>
      <c r="B65" s="2">
        <f>IF(A65&lt;Assumptions!$B$14,1,0)</f>
        <v>1</v>
      </c>
      <c r="C65" s="2">
        <f>Assumptions!$B$5+A65</f>
        <v>122</v>
      </c>
      <c r="D65" s="15">
        <f>1-EXP(-Assumptions!$B$10-Assumptions!$B$11*Assumptions!$B$12^C65*(Assumptions!$B$12-1)/LN(Assumptions!$B$12))</f>
        <v>0.98857599041510691</v>
      </c>
      <c r="E65" s="2">
        <f>Assumptions!$B$6+A65</f>
        <v>119</v>
      </c>
      <c r="F65" s="15">
        <f>1-EXP(-Assumptions!$B$10-Assumptions!$B$11*Assumptions!$B$12^E65*(Assumptions!$B$12-1)/LN(Assumptions!$B$12))</f>
        <v>0.95711833120772338</v>
      </c>
      <c r="G65" s="15">
        <f t="shared" si="16"/>
        <v>2.2520458198857142E-16</v>
      </c>
      <c r="H65" s="15">
        <f t="shared" si="17"/>
        <v>9.5355547776053754E-12</v>
      </c>
      <c r="I65" s="15">
        <f t="shared" si="9"/>
        <v>2.1474506277197437E-27</v>
      </c>
      <c r="J65" s="15">
        <f t="shared" si="10"/>
        <v>9.5357799821873622E-12</v>
      </c>
      <c r="K65" s="15">
        <f>(1+Assumptions!$B$9)^-A65</f>
        <v>6.1974060677035397E-2</v>
      </c>
      <c r="L65" s="15">
        <f t="shared" si="11"/>
        <v>1.3956842428906118E-17</v>
      </c>
      <c r="M65" s="15">
        <f t="shared" si="12"/>
        <v>5.9095705037651031E-13</v>
      </c>
      <c r="N65" s="15">
        <f t="shared" si="13"/>
        <v>1.3308623550324116E-28</v>
      </c>
      <c r="O65" s="15">
        <f t="shared" si="14"/>
        <v>5.9097100721893912E-13</v>
      </c>
      <c r="P65" s="15">
        <f t="shared" si="15"/>
        <v>1.1069762016696752E-27</v>
      </c>
    </row>
    <row r="66" spans="1:16" x14ac:dyDescent="0.2">
      <c r="A66" s="2">
        <v>58</v>
      </c>
      <c r="B66" s="2">
        <f>IF(A66&lt;Assumptions!$B$14,1,0)</f>
        <v>0</v>
      </c>
      <c r="C66" s="2">
        <f>Assumptions!$B$5+A66</f>
        <v>123</v>
      </c>
      <c r="D66" s="15">
        <f>1-EXP(-Assumptions!$B$10-Assumptions!$B$11*Assumptions!$B$12^C66*(Assumptions!$B$12-1)/LN(Assumptions!$B$12))</f>
        <v>0.99343854873211657</v>
      </c>
      <c r="E66" s="2">
        <f>Assumptions!$B$6+A66</f>
        <v>120</v>
      </c>
      <c r="F66" s="15">
        <f>1-EXP(-Assumptions!$B$10-Assumptions!$B$11*Assumptions!$B$12^E66*(Assumptions!$B$12-1)/LN(Assumptions!$B$12))</f>
        <v>0.97098081482753029</v>
      </c>
      <c r="G66" s="15">
        <f t="shared" si="16"/>
        <v>2.5727393031992817E-18</v>
      </c>
      <c r="H66" s="15">
        <f t="shared" si="17"/>
        <v>4.0890050172388463E-13</v>
      </c>
      <c r="I66" s="15">
        <f t="shared" si="9"/>
        <v>1.0519943918829437E-30</v>
      </c>
      <c r="J66" s="15">
        <f t="shared" si="10"/>
        <v>4.0890307446318782E-13</v>
      </c>
      <c r="K66" s="15">
        <f>(1+Assumptions!$B$9)^-A66</f>
        <v>5.9022914930509894E-2</v>
      </c>
      <c r="L66" s="15">
        <f t="shared" si="11"/>
        <v>0</v>
      </c>
      <c r="M66" s="15">
        <f t="shared" si="12"/>
        <v>0</v>
      </c>
      <c r="N66" s="15">
        <f t="shared" si="13"/>
        <v>0</v>
      </c>
      <c r="O66" s="15">
        <f t="shared" si="14"/>
        <v>0</v>
      </c>
      <c r="P66" s="15">
        <f t="shared" si="15"/>
        <v>0</v>
      </c>
    </row>
    <row r="67" spans="1:16" x14ac:dyDescent="0.2">
      <c r="A67" s="2">
        <v>59</v>
      </c>
      <c r="B67" s="2">
        <f>IF(A67&lt;Assumptions!$B$14,1,0)</f>
        <v>0</v>
      </c>
      <c r="C67" s="2">
        <f>Assumptions!$B$5+A67</f>
        <v>124</v>
      </c>
      <c r="D67" s="15">
        <f>1-EXP(-Assumptions!$B$10-Assumptions!$B$11*Assumptions!$B$12^C67*(Assumptions!$B$12-1)/LN(Assumptions!$B$12))</f>
        <v>0.99648180632287753</v>
      </c>
      <c r="E67" s="2">
        <f>Assumptions!$B$6+A67</f>
        <v>121</v>
      </c>
      <c r="F67" s="15">
        <f>1-EXP(-Assumptions!$B$10-Assumptions!$B$11*Assumptions!$B$12^E67*(Assumptions!$B$12-1)/LN(Assumptions!$B$12))</f>
        <v>0.98129016197191954</v>
      </c>
      <c r="G67" s="15">
        <f t="shared" si="16"/>
        <v>1.6880903562910469E-20</v>
      </c>
      <c r="H67" s="15">
        <f t="shared" si="17"/>
        <v>1.1865959376641176E-14</v>
      </c>
      <c r="I67" s="15">
        <f t="shared" si="9"/>
        <v>2.0030811591849291E-34</v>
      </c>
      <c r="J67" s="15">
        <f t="shared" si="10"/>
        <v>1.1865976257544739E-14</v>
      </c>
      <c r="K67" s="15">
        <f>(1+Assumptions!$B$9)^-A67</f>
        <v>5.6212299933818946E-2</v>
      </c>
      <c r="L67" s="15">
        <f t="shared" si="11"/>
        <v>0</v>
      </c>
      <c r="M67" s="15">
        <f t="shared" si="12"/>
        <v>0</v>
      </c>
      <c r="N67" s="15">
        <f t="shared" si="13"/>
        <v>0</v>
      </c>
      <c r="O67" s="15">
        <f t="shared" si="14"/>
        <v>0</v>
      </c>
      <c r="P67" s="15">
        <f t="shared" si="15"/>
        <v>0</v>
      </c>
    </row>
    <row r="68" spans="1:16" x14ac:dyDescent="0.2">
      <c r="A68" s="2">
        <v>60</v>
      </c>
      <c r="B68" s="2">
        <f>IF(A68&lt;Assumptions!$B$14,1,0)</f>
        <v>0</v>
      </c>
      <c r="C68" s="2">
        <f>Assumptions!$B$5+A68</f>
        <v>125</v>
      </c>
      <c r="D68" s="15">
        <f>1-EXP(-Assumptions!$B$10-Assumptions!$B$11*Assumptions!$B$12^C68*(Assumptions!$B$12-1)/LN(Assumptions!$B$12))</f>
        <v>0.9982538753651472</v>
      </c>
      <c r="E68" s="2">
        <f>Assumptions!$B$6+A68</f>
        <v>122</v>
      </c>
      <c r="F68" s="15">
        <f>1-EXP(-Assumptions!$B$10-Assumptions!$B$11*Assumptions!$B$12^E68*(Assumptions!$B$12-1)/LN(Assumptions!$B$12))</f>
        <v>0.98857599041510691</v>
      </c>
      <c r="G68" s="15">
        <f t="shared" si="16"/>
        <v>5.9390288179145819E-23</v>
      </c>
      <c r="H68" s="15">
        <f t="shared" si="17"/>
        <v>2.22010177984739E-16</v>
      </c>
      <c r="I68" s="15">
        <f t="shared" si="9"/>
        <v>1.3185248449217104E-38</v>
      </c>
      <c r="J68" s="15">
        <f t="shared" si="10"/>
        <v>2.2201023737502719E-16</v>
      </c>
      <c r="K68" s="15">
        <f>(1+Assumptions!$B$9)^-A68</f>
        <v>5.3535523746494243E-2</v>
      </c>
      <c r="L68" s="15">
        <f t="shared" si="11"/>
        <v>0</v>
      </c>
      <c r="M68" s="15">
        <f t="shared" si="12"/>
        <v>0</v>
      </c>
      <c r="N68" s="15">
        <f t="shared" si="13"/>
        <v>0</v>
      </c>
      <c r="O68" s="15">
        <f t="shared" si="14"/>
        <v>0</v>
      </c>
      <c r="P68" s="15">
        <f t="shared" si="15"/>
        <v>0</v>
      </c>
    </row>
    <row r="69" spans="1:16" x14ac:dyDescent="0.2">
      <c r="A69" s="2">
        <v>61</v>
      </c>
      <c r="B69" s="2">
        <f>IF(A69&lt;Assumptions!$B$14,1,0)</f>
        <v>0</v>
      </c>
      <c r="C69" s="2">
        <f>Assumptions!$B$5+A69</f>
        <v>126</v>
      </c>
      <c r="D69" s="15">
        <f>1-EXP(-Assumptions!$B$10-Assumptions!$B$11*Assumptions!$B$12^C69*(Assumptions!$B$12-1)/LN(Assumptions!$B$12))</f>
        <v>0.99920548076312343</v>
      </c>
      <c r="E69" s="2">
        <f>Assumptions!$B$6+A69</f>
        <v>123</v>
      </c>
      <c r="F69" s="15">
        <f>1-EXP(-Assumptions!$B$10-Assumptions!$B$11*Assumptions!$B$12^E69*(Assumptions!$B$12-1)/LN(Assumptions!$B$12))</f>
        <v>0.99343854873211657</v>
      </c>
      <c r="G69" s="15">
        <f t="shared" si="16"/>
        <v>1.0370284526061337E-25</v>
      </c>
      <c r="H69" s="15">
        <f t="shared" si="17"/>
        <v>2.5362464012414795E-18</v>
      </c>
      <c r="I69" s="15">
        <f t="shared" si="9"/>
        <v>2.6301596809073269E-43</v>
      </c>
      <c r="J69" s="15">
        <f t="shared" si="10"/>
        <v>2.5362465049443248E-18</v>
      </c>
      <c r="K69" s="15">
        <f>(1+Assumptions!$B$9)^-A69</f>
        <v>5.0986213091899268E-2</v>
      </c>
      <c r="L69" s="15">
        <f t="shared" si="11"/>
        <v>0</v>
      </c>
      <c r="M69" s="15">
        <f t="shared" si="12"/>
        <v>0</v>
      </c>
      <c r="N69" s="15">
        <f t="shared" si="13"/>
        <v>0</v>
      </c>
      <c r="O69" s="15">
        <f t="shared" si="14"/>
        <v>0</v>
      </c>
      <c r="P69" s="15">
        <f t="shared" si="15"/>
        <v>0</v>
      </c>
    </row>
    <row r="70" spans="1:16" x14ac:dyDescent="0.2">
      <c r="A70" s="2">
        <v>62</v>
      </c>
      <c r="B70" s="2">
        <f>IF(A70&lt;Assumptions!$B$14,1,0)</f>
        <v>0</v>
      </c>
      <c r="C70" s="2">
        <f>Assumptions!$B$5+A70</f>
        <v>127</v>
      </c>
      <c r="D70" s="15">
        <f>1-EXP(-Assumptions!$B$10-Assumptions!$B$11*Assumptions!$B$12^C70*(Assumptions!$B$12-1)/LN(Assumptions!$B$12))</f>
        <v>0.99967210921458705</v>
      </c>
      <c r="E70" s="2">
        <f>Assumptions!$B$6+A70</f>
        <v>124</v>
      </c>
      <c r="F70" s="15">
        <f>1-EXP(-Assumptions!$B$10-Assumptions!$B$11*Assumptions!$B$12^E70*(Assumptions!$B$12-1)/LN(Assumptions!$B$12))</f>
        <v>0.99648180632287753</v>
      </c>
      <c r="G70" s="15">
        <f t="shared" si="16"/>
        <v>8.2393905478391298E-29</v>
      </c>
      <c r="H70" s="15">
        <f t="shared" si="17"/>
        <v>1.6641457165090701E-20</v>
      </c>
      <c r="I70" s="15">
        <f t="shared" si="9"/>
        <v>1.3711546486831807E-48</v>
      </c>
      <c r="J70" s="15">
        <f t="shared" si="10"/>
        <v>1.6641457247484605E-20</v>
      </c>
      <c r="K70" s="15">
        <f>(1+Assumptions!$B$9)^-A70</f>
        <v>4.855829818276123E-2</v>
      </c>
      <c r="L70" s="15">
        <f t="shared" si="11"/>
        <v>0</v>
      </c>
      <c r="M70" s="15">
        <f t="shared" si="12"/>
        <v>0</v>
      </c>
      <c r="N70" s="15">
        <f t="shared" si="13"/>
        <v>0</v>
      </c>
      <c r="O70" s="15">
        <f t="shared" si="14"/>
        <v>0</v>
      </c>
      <c r="P70" s="15">
        <f t="shared" si="15"/>
        <v>0</v>
      </c>
    </row>
    <row r="71" spans="1:16" x14ac:dyDescent="0.2">
      <c r="A71" s="2">
        <v>63</v>
      </c>
      <c r="B71" s="2">
        <f>IF(A71&lt;Assumptions!$B$14,1,0)</f>
        <v>0</v>
      </c>
      <c r="C71" s="2">
        <f>Assumptions!$B$5+A71</f>
        <v>128</v>
      </c>
      <c r="D71" s="15">
        <f>1-EXP(-Assumptions!$B$10-Assumptions!$B$11*Assumptions!$B$12^C71*(Assumptions!$B$12-1)/LN(Assumptions!$B$12))</f>
        <v>0.99987874728218074</v>
      </c>
      <c r="E71" s="2">
        <f>Assumptions!$B$6+A71</f>
        <v>125</v>
      </c>
      <c r="F71" s="15">
        <f>1-EXP(-Assumptions!$B$10-Assumptions!$B$11*Assumptions!$B$12^E71*(Assumptions!$B$12-1)/LN(Assumptions!$B$12))</f>
        <v>0.9982538753651472</v>
      </c>
      <c r="G71" s="15">
        <f t="shared" si="16"/>
        <v>2.7016202380550434E-32</v>
      </c>
      <c r="H71" s="15">
        <f t="shared" si="17"/>
        <v>5.8547869376326563E-23</v>
      </c>
      <c r="I71" s="15">
        <f t="shared" si="9"/>
        <v>1.5817410880208695E-54</v>
      </c>
      <c r="J71" s="15">
        <f t="shared" si="10"/>
        <v>5.8547869403342761E-23</v>
      </c>
      <c r="K71" s="15">
        <f>(1+Assumptions!$B$9)^-A71</f>
        <v>4.6245998269296387E-2</v>
      </c>
      <c r="L71" s="15">
        <f t="shared" si="11"/>
        <v>0</v>
      </c>
      <c r="M71" s="15">
        <f t="shared" si="12"/>
        <v>0</v>
      </c>
      <c r="N71" s="15">
        <f t="shared" si="13"/>
        <v>0</v>
      </c>
      <c r="O71" s="15">
        <f t="shared" si="14"/>
        <v>0</v>
      </c>
      <c r="P71" s="15">
        <f t="shared" si="15"/>
        <v>0</v>
      </c>
    </row>
    <row r="72" spans="1:16" x14ac:dyDescent="0.2">
      <c r="A72" s="2">
        <v>64</v>
      </c>
      <c r="B72" s="2">
        <f>IF(A72&lt;Assumptions!$B$14,1,0)</f>
        <v>0</v>
      </c>
      <c r="C72" s="2">
        <f>Assumptions!$B$5+A72</f>
        <v>129</v>
      </c>
      <c r="D72" s="15">
        <f>1-EXP(-Assumptions!$B$10-Assumptions!$B$11*Assumptions!$B$12^C72*(Assumptions!$B$12-1)/LN(Assumptions!$B$12))</f>
        <v>0.99996036479824857</v>
      </c>
      <c r="E72" s="2">
        <f>Assumptions!$B$6+A72</f>
        <v>126</v>
      </c>
      <c r="F72" s="15">
        <f>1-EXP(-Assumptions!$B$10-Assumptions!$B$11*Assumptions!$B$12^E72*(Assumptions!$B$12-1)/LN(Assumptions!$B$12))</f>
        <v>0.99920548076312343</v>
      </c>
      <c r="G72" s="15">
        <f t="shared" si="16"/>
        <v>3.2757879637970265E-36</v>
      </c>
      <c r="H72" s="15">
        <f t="shared" si="17"/>
        <v>1.0223187703614747E-25</v>
      </c>
      <c r="I72" s="15">
        <f t="shared" ref="I72:I103" si="18">G72*H72</f>
        <v>3.3488995231138955E-61</v>
      </c>
      <c r="J72" s="15">
        <f t="shared" ref="J72:J103" si="19">G72+H72-I72</f>
        <v>1.0223187703942326E-25</v>
      </c>
      <c r="K72" s="15">
        <f>(1+Assumptions!$B$9)^-A72</f>
        <v>4.4043807875520369E-2</v>
      </c>
      <c r="L72" s="15">
        <f t="shared" ref="L72:L103" si="20">B72*K72*G72</f>
        <v>0</v>
      </c>
      <c r="M72" s="15">
        <f t="shared" ref="M72:M78" si="21">B72*K72*H72</f>
        <v>0</v>
      </c>
      <c r="N72" s="15">
        <f t="shared" ref="N72:N78" si="22">B72*K72*I72</f>
        <v>0</v>
      </c>
      <c r="O72" s="15">
        <f t="shared" ref="O72:O78" si="23">B72*K72*J72</f>
        <v>0</v>
      </c>
      <c r="P72" s="15">
        <f t="shared" ref="P72:P78" si="24">B72*I72*D72*(1-F72/2)</f>
        <v>0</v>
      </c>
    </row>
    <row r="73" spans="1:16" x14ac:dyDescent="0.2">
      <c r="A73" s="2">
        <v>65</v>
      </c>
      <c r="B73" s="2">
        <f>IF(A73&lt;Assumptions!$B$14,1,0)</f>
        <v>0</v>
      </c>
      <c r="C73" s="2">
        <f>Assumptions!$B$5+A73</f>
        <v>130</v>
      </c>
      <c r="D73" s="15">
        <f>1-EXP(-Assumptions!$B$10-Assumptions!$B$11*Assumptions!$B$12^C73*(Assumptions!$B$12-1)/LN(Assumptions!$B$12))</f>
        <v>0.99998872140573136</v>
      </c>
      <c r="E73" s="2">
        <f>Assumptions!$B$6+A73</f>
        <v>127</v>
      </c>
      <c r="F73" s="15">
        <f>1-EXP(-Assumptions!$B$10-Assumptions!$B$11*Assumptions!$B$12^E73*(Assumptions!$B$12-1)/LN(Assumptions!$B$12))</f>
        <v>0.99967210921458705</v>
      </c>
      <c r="G73" s="15">
        <f t="shared" ref="G73:G78" si="25">G72*(1-D72)</f>
        <v>1.2983651684000515E-40</v>
      </c>
      <c r="H73" s="15">
        <f t="shared" ref="H73:H78" si="26">H72*(1-F72)</f>
        <v>8.1225192927218971E-29</v>
      </c>
      <c r="I73" s="15">
        <f t="shared" si="18"/>
        <v>1.0545996129327532E-68</v>
      </c>
      <c r="J73" s="15">
        <f t="shared" si="19"/>
        <v>8.122519292734881E-29</v>
      </c>
      <c r="K73" s="15">
        <f>(1+Assumptions!$B$9)^-A73</f>
        <v>4.1946483690971779E-2</v>
      </c>
      <c r="L73" s="15">
        <f t="shared" si="20"/>
        <v>0</v>
      </c>
      <c r="M73" s="15">
        <f t="shared" si="21"/>
        <v>0</v>
      </c>
      <c r="N73" s="15">
        <f t="shared" si="22"/>
        <v>0</v>
      </c>
      <c r="O73" s="15">
        <f t="shared" si="23"/>
        <v>0</v>
      </c>
      <c r="P73" s="15">
        <f t="shared" si="24"/>
        <v>0</v>
      </c>
    </row>
    <row r="74" spans="1:16" x14ac:dyDescent="0.2">
      <c r="A74" s="2">
        <v>66</v>
      </c>
      <c r="B74" s="2">
        <f>IF(A74&lt;Assumptions!$B$14,1,0)</f>
        <v>0</v>
      </c>
      <c r="C74" s="2">
        <f>Assumptions!$B$5+A74</f>
        <v>131</v>
      </c>
      <c r="D74" s="15">
        <f>1-EXP(-Assumptions!$B$10-Assumptions!$B$11*Assumptions!$B$12^C74*(Assumptions!$B$12-1)/LN(Assumptions!$B$12))</f>
        <v>0.99999725370973058</v>
      </c>
      <c r="E74" s="2">
        <f>Assumptions!$B$6+A74</f>
        <v>128</v>
      </c>
      <c r="F74" s="15">
        <f>1-EXP(-Assumptions!$B$10-Assumptions!$B$11*Assumptions!$B$12^E74*(Assumptions!$B$12-1)/LN(Assumptions!$B$12))</f>
        <v>0.99987874728218074</v>
      </c>
      <c r="G74" s="15">
        <f t="shared" si="25"/>
        <v>1.4643733946915713E-45</v>
      </c>
      <c r="H74" s="15">
        <f t="shared" si="26"/>
        <v>2.6632992304224563E-32</v>
      </c>
      <c r="I74" s="15">
        <f t="shared" si="18"/>
        <v>3.900064535133182E-77</v>
      </c>
      <c r="J74" s="15">
        <f t="shared" si="19"/>
        <v>2.663299230422603E-32</v>
      </c>
      <c r="K74" s="15">
        <f>(1+Assumptions!$B$9)^-A74</f>
        <v>3.9949032086639788E-2</v>
      </c>
      <c r="L74" s="15">
        <f t="shared" si="20"/>
        <v>0</v>
      </c>
      <c r="M74" s="15">
        <f t="shared" si="21"/>
        <v>0</v>
      </c>
      <c r="N74" s="15">
        <f t="shared" si="22"/>
        <v>0</v>
      </c>
      <c r="O74" s="15">
        <f t="shared" si="23"/>
        <v>0</v>
      </c>
      <c r="P74" s="15">
        <f t="shared" si="24"/>
        <v>0</v>
      </c>
    </row>
    <row r="75" spans="1:16" x14ac:dyDescent="0.2">
      <c r="A75" s="2">
        <v>67</v>
      </c>
      <c r="B75" s="2">
        <f>IF(A75&lt;Assumptions!$B$14,1,0)</f>
        <v>0</v>
      </c>
      <c r="C75" s="2">
        <f>Assumptions!$B$5+A75</f>
        <v>132</v>
      </c>
      <c r="D75" s="15">
        <f>1-EXP(-Assumptions!$B$10-Assumptions!$B$11*Assumptions!$B$12^C75*(Assumptions!$B$12-1)/LN(Assumptions!$B$12))</f>
        <v>0.99999943874161279</v>
      </c>
      <c r="E75" s="2">
        <f>Assumptions!$B$6+A75</f>
        <v>129</v>
      </c>
      <c r="F75" s="15">
        <f>1-EXP(-Assumptions!$B$10-Assumptions!$B$11*Assumptions!$B$12^E75*(Assumptions!$B$12-1)/LN(Assumptions!$B$12))</f>
        <v>0.99996036479824857</v>
      </c>
      <c r="G75" s="15">
        <f t="shared" si="25"/>
        <v>4.021594404635376E-51</v>
      </c>
      <c r="H75" s="15">
        <f t="shared" si="26"/>
        <v>3.2293227005467871E-36</v>
      </c>
      <c r="I75" s="15">
        <f t="shared" si="18"/>
        <v>1.298702610328096E-86</v>
      </c>
      <c r="J75" s="15">
        <f t="shared" si="19"/>
        <v>3.2293227005467911E-36</v>
      </c>
      <c r="K75" s="15">
        <f>(1+Assumptions!$B$9)^-A75</f>
        <v>3.8046697225371226E-2</v>
      </c>
      <c r="L75" s="15">
        <f t="shared" si="20"/>
        <v>0</v>
      </c>
      <c r="M75" s="15">
        <f t="shared" si="21"/>
        <v>0</v>
      </c>
      <c r="N75" s="15">
        <f t="shared" si="22"/>
        <v>0</v>
      </c>
      <c r="O75" s="15">
        <f t="shared" si="23"/>
        <v>0</v>
      </c>
      <c r="P75" s="15">
        <f t="shared" si="24"/>
        <v>0</v>
      </c>
    </row>
    <row r="76" spans="1:16" x14ac:dyDescent="0.2">
      <c r="A76" s="2">
        <v>68</v>
      </c>
      <c r="B76" s="2">
        <f>IF(A76&lt;Assumptions!$B$14,1,0)</f>
        <v>0</v>
      </c>
      <c r="C76" s="2">
        <f>Assumptions!$B$5+A76</f>
        <v>133</v>
      </c>
      <c r="D76" s="15">
        <f>1-EXP(-Assumptions!$B$10-Assumptions!$B$11*Assumptions!$B$12^C76*(Assumptions!$B$12-1)/LN(Assumptions!$B$12))</f>
        <v>0.99999990579566589</v>
      </c>
      <c r="E76" s="2">
        <f>Assumptions!$B$6+A76</f>
        <v>130</v>
      </c>
      <c r="F76" s="15">
        <f>1-EXP(-Assumptions!$B$10-Assumptions!$B$11*Assumptions!$B$12^E76*(Assumptions!$B$12-1)/LN(Assumptions!$B$12))</f>
        <v>0.99998872140573136</v>
      </c>
      <c r="G76" s="15">
        <f t="shared" si="25"/>
        <v>2.2571535895606245E-57</v>
      </c>
      <c r="H76" s="15">
        <f t="shared" si="26"/>
        <v>1.2799485675664855E-40</v>
      </c>
      <c r="I76" s="15">
        <f t="shared" si="18"/>
        <v>2.8890405037356722E-97</v>
      </c>
      <c r="J76" s="15">
        <f t="shared" si="19"/>
        <v>1.2799485675664855E-40</v>
      </c>
      <c r="K76" s="15">
        <f>(1+Assumptions!$B$9)^-A76</f>
        <v>3.6234949738448791E-2</v>
      </c>
      <c r="L76" s="15">
        <f t="shared" si="20"/>
        <v>0</v>
      </c>
      <c r="M76" s="15">
        <f t="shared" si="21"/>
        <v>0</v>
      </c>
      <c r="N76" s="15">
        <f t="shared" si="22"/>
        <v>0</v>
      </c>
      <c r="O76" s="15">
        <f t="shared" si="23"/>
        <v>0</v>
      </c>
      <c r="P76" s="15">
        <f t="shared" si="24"/>
        <v>0</v>
      </c>
    </row>
    <row r="77" spans="1:16" x14ac:dyDescent="0.2">
      <c r="A77" s="2">
        <v>69</v>
      </c>
      <c r="B77" s="2">
        <f>IF(A77&lt;Assumptions!$B$14,1,0)</f>
        <v>0</v>
      </c>
      <c r="C77" s="2">
        <f>Assumptions!$B$5+A77</f>
        <v>134</v>
      </c>
      <c r="D77" s="15">
        <f>1-EXP(-Assumptions!$B$10-Assumptions!$B$11*Assumptions!$B$12^C77*(Assumptions!$B$12-1)/LN(Assumptions!$B$12))</f>
        <v>0.99999998732734763</v>
      </c>
      <c r="E77" s="2">
        <f>Assumptions!$B$6+A77</f>
        <v>131</v>
      </c>
      <c r="F77" s="15">
        <f>1-EXP(-Assumptions!$B$10-Assumptions!$B$11*Assumptions!$B$12^E77*(Assumptions!$B$12-1)/LN(Assumptions!$B$12))</f>
        <v>0.99999725370973058</v>
      </c>
      <c r="G77" s="15">
        <f t="shared" si="25"/>
        <v>2.126336508913206E-64</v>
      </c>
      <c r="H77" s="15">
        <f t="shared" si="26"/>
        <v>1.4436020578306466E-45</v>
      </c>
      <c r="I77" s="15">
        <f t="shared" si="18"/>
        <v>3.0695837599075373E-109</v>
      </c>
      <c r="J77" s="15">
        <f t="shared" si="19"/>
        <v>1.4436020578306466E-45</v>
      </c>
      <c r="K77" s="15">
        <f>(1+Assumptions!$B$9)^-A77</f>
        <v>3.4509475941379798E-2</v>
      </c>
      <c r="L77" s="15">
        <f t="shared" si="20"/>
        <v>0</v>
      </c>
      <c r="M77" s="15">
        <f t="shared" si="21"/>
        <v>0</v>
      </c>
      <c r="N77" s="15">
        <f t="shared" si="22"/>
        <v>0</v>
      </c>
      <c r="O77" s="15">
        <f t="shared" si="23"/>
        <v>0</v>
      </c>
      <c r="P77" s="15">
        <f t="shared" si="24"/>
        <v>0</v>
      </c>
    </row>
    <row r="78" spans="1:16" x14ac:dyDescent="0.2">
      <c r="A78" s="2">
        <v>70</v>
      </c>
      <c r="B78" s="2">
        <f>IF(A78&lt;Assumptions!$B$14,1,0)</f>
        <v>0</v>
      </c>
      <c r="C78" s="2">
        <f>Assumptions!$B$5+A78</f>
        <v>135</v>
      </c>
      <c r="D78" s="15">
        <f>1-EXP(-Assumptions!$B$10-Assumptions!$B$11*Assumptions!$B$12^C78*(Assumptions!$B$12-1)/LN(Assumptions!$B$12))</f>
        <v>0.99999999867066347</v>
      </c>
      <c r="E78" s="2">
        <f>Assumptions!$B$6+A78</f>
        <v>132</v>
      </c>
      <c r="F78" s="15">
        <f>1-EXP(-Assumptions!$B$10-Assumptions!$B$11*Assumptions!$B$12^E78*(Assumptions!$B$12-1)/LN(Assumptions!$B$12))</f>
        <v>0.99999943874161279</v>
      </c>
      <c r="G78" s="15">
        <f t="shared" si="25"/>
        <v>2.6946323403190956E-72</v>
      </c>
      <c r="H78" s="15">
        <f t="shared" si="26"/>
        <v>3.9645502843314246E-51</v>
      </c>
      <c r="I78" s="15">
        <f t="shared" si="18"/>
        <v>1.0683005410980723E-122</v>
      </c>
      <c r="J78" s="15">
        <f t="shared" si="19"/>
        <v>3.9645502843314246E-51</v>
      </c>
      <c r="K78" s="15">
        <f>(1+Assumptions!$B$9)^-A78</f>
        <v>3.2866167563218862E-2</v>
      </c>
      <c r="L78" s="15">
        <f t="shared" si="20"/>
        <v>0</v>
      </c>
      <c r="M78" s="15">
        <f t="shared" si="21"/>
        <v>0</v>
      </c>
      <c r="N78" s="15">
        <f t="shared" si="22"/>
        <v>0</v>
      </c>
      <c r="O78" s="15">
        <f t="shared" si="23"/>
        <v>0</v>
      </c>
      <c r="P78" s="15">
        <f t="shared" si="24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/>
  </sheetViews>
  <sheetFormatPr baseColWidth="10" defaultColWidth="8.6640625" defaultRowHeight="15" x14ac:dyDescent="0.2"/>
  <cols>
    <col min="1" max="1" width="60" customWidth="1"/>
    <col min="2" max="4" width="16" customWidth="1"/>
  </cols>
  <sheetData>
    <row r="1" spans="1:4" ht="18" x14ac:dyDescent="0.2">
      <c r="A1" s="1" t="s">
        <v>62</v>
      </c>
    </row>
    <row r="2" spans="1:4" x14ac:dyDescent="0.2">
      <c r="A2" s="6" t="s">
        <v>63</v>
      </c>
    </row>
    <row r="4" spans="1:4" ht="45" customHeight="1" x14ac:dyDescent="0.2">
      <c r="A4" s="7" t="s">
        <v>14</v>
      </c>
      <c r="B4" s="7" t="s">
        <v>64</v>
      </c>
      <c r="C4" s="7" t="s">
        <v>65</v>
      </c>
      <c r="D4" s="7" t="s">
        <v>66</v>
      </c>
    </row>
    <row r="5" spans="1:4" x14ac:dyDescent="0.2">
      <c r="A5" s="2" t="s">
        <v>56</v>
      </c>
      <c r="B5" s="21">
        <v>286716.90000000002</v>
      </c>
      <c r="C5" s="22">
        <f>'Life table'!S13</f>
        <v>286716.89685100666</v>
      </c>
      <c r="D5" s="23">
        <f t="shared" ref="D5:D12" si="0">B5-C5</f>
        <v>3.1489933608099818E-3</v>
      </c>
    </row>
    <row r="6" spans="1:4" x14ac:dyDescent="0.2">
      <c r="A6" s="2" t="s">
        <v>57</v>
      </c>
      <c r="B6" s="21">
        <v>316150.57</v>
      </c>
      <c r="C6" s="22">
        <f>'Life table'!S14</f>
        <v>316150.56954140833</v>
      </c>
      <c r="D6" s="23">
        <f t="shared" si="0"/>
        <v>4.5859167585149407E-4</v>
      </c>
    </row>
    <row r="7" spans="1:4" x14ac:dyDescent="0.2">
      <c r="A7" s="2" t="s">
        <v>58</v>
      </c>
      <c r="B7" s="21">
        <v>242566.39</v>
      </c>
      <c r="C7" s="22">
        <f>'Life table'!S15</f>
        <v>242566.38781540416</v>
      </c>
      <c r="D7" s="23">
        <f t="shared" si="0"/>
        <v>2.1845958544872701E-3</v>
      </c>
    </row>
    <row r="8" spans="1:4" x14ac:dyDescent="0.2">
      <c r="A8" s="2" t="s">
        <v>59</v>
      </c>
      <c r="B8" s="21">
        <v>45154.77</v>
      </c>
      <c r="C8" s="22">
        <f>'Life table'!S16</f>
        <v>45154.768786546563</v>
      </c>
      <c r="D8" s="23">
        <f t="shared" si="0"/>
        <v>1.2134534335928038E-3</v>
      </c>
    </row>
    <row r="9" spans="1:4" x14ac:dyDescent="0.2">
      <c r="A9" s="2" t="s">
        <v>51</v>
      </c>
      <c r="B9" s="24">
        <v>13.549799999999999</v>
      </c>
      <c r="C9" s="25">
        <f>'Life table'!S8</f>
        <v>13.549790037743085</v>
      </c>
      <c r="D9" s="26">
        <f t="shared" si="0"/>
        <v>9.9622569145196849E-6</v>
      </c>
    </row>
    <row r="10" spans="1:4" x14ac:dyDescent="0.2">
      <c r="A10" s="2" t="s">
        <v>52</v>
      </c>
      <c r="B10" s="24">
        <v>14.386100000000001</v>
      </c>
      <c r="C10" s="25">
        <f>'Life table'!S9</f>
        <v>14.386057830097537</v>
      </c>
      <c r="D10" s="26">
        <f t="shared" si="0"/>
        <v>4.2169902464195275E-5</v>
      </c>
    </row>
    <row r="11" spans="1:4" x14ac:dyDescent="0.2">
      <c r="A11" s="2" t="s">
        <v>53</v>
      </c>
      <c r="B11" s="24">
        <v>12.128299999999999</v>
      </c>
      <c r="C11" s="25">
        <f>'Life table'!S10</f>
        <v>12.128319390770208</v>
      </c>
      <c r="D11" s="26">
        <f t="shared" si="0"/>
        <v>-1.9390770209071206E-5</v>
      </c>
    </row>
    <row r="12" spans="1:4" x14ac:dyDescent="0.2">
      <c r="A12" s="2" t="s">
        <v>54</v>
      </c>
      <c r="B12" s="24">
        <v>15.807499999999999</v>
      </c>
      <c r="C12" s="25">
        <f>'Life table'!S11</f>
        <v>15.807528477070417</v>
      </c>
      <c r="D12" s="26">
        <f t="shared" si="0"/>
        <v>-2.8477070417309847E-5</v>
      </c>
    </row>
    <row r="14" spans="1:4" x14ac:dyDescent="0.2">
      <c r="A14" s="3" t="s">
        <v>67</v>
      </c>
      <c r="B14" s="3" t="str">
        <f>IF(AND(ABS(D5)&lt;0.01,ABS(D6)&lt;0.01,ABS(D7)&lt;0.01,ABS(D8)&lt;0.01,ABS(D9)&lt;0.0001,ABS(D10)&lt;0.0001,ABS(D11)&lt;0.0001,ABS(D12)&lt;0.0001),"Yes","No: check assumptions match the app")</f>
        <v>Yes</v>
      </c>
    </row>
    <row r="16" spans="1:4" x14ac:dyDescent="0.2">
      <c r="A16" s="2" t="s">
        <v>68</v>
      </c>
      <c r="B16" s="27">
        <v>13.549799999999999</v>
      </c>
      <c r="C16" s="28">
        <f>'Life table'!S8</f>
        <v>13.549790037743085</v>
      </c>
      <c r="D16" s="29">
        <f>B16-C16</f>
        <v>9.9622569145196849E-6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tabSelected="1" zoomScale="135" zoomScaleNormal="100" workbookViewId="0">
      <pane ySplit="4" topLeftCell="A5" activePane="bottomLeft" state="frozen"/>
      <selection pane="bottomLeft" activeCell="K9" sqref="K9"/>
    </sheetView>
  </sheetViews>
  <sheetFormatPr baseColWidth="10" defaultColWidth="8.6640625" defaultRowHeight="15" x14ac:dyDescent="0.2"/>
  <cols>
    <col min="1" max="1" width="7" customWidth="1"/>
    <col min="2" max="2" width="12" customWidth="1"/>
    <col min="3" max="3" width="13" customWidth="1"/>
    <col min="4" max="5" width="11" customWidth="1"/>
    <col min="6" max="7" width="12" customWidth="1"/>
    <col min="8" max="9" width="13" customWidth="1"/>
    <col min="10" max="10" width="2" customWidth="1"/>
    <col min="11" max="11" width="26" customWidth="1"/>
    <col min="12" max="13" width="12" customWidth="1"/>
  </cols>
  <sheetData>
    <row r="1" spans="1:13" ht="18" x14ac:dyDescent="0.2">
      <c r="A1" s="1" t="s">
        <v>69</v>
      </c>
    </row>
    <row r="2" spans="1:13" x14ac:dyDescent="0.2">
      <c r="A2" s="6" t="s">
        <v>84</v>
      </c>
    </row>
    <row r="4" spans="1:13" ht="45" customHeight="1" x14ac:dyDescent="0.2">
      <c r="A4" s="7" t="s">
        <v>70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7" t="s">
        <v>78</v>
      </c>
      <c r="K4" s="3" t="s">
        <v>79</v>
      </c>
    </row>
    <row r="5" spans="1:13" x14ac:dyDescent="0.2">
      <c r="A5" s="2">
        <v>1</v>
      </c>
      <c r="B5" s="30">
        <v>20000</v>
      </c>
      <c r="C5" s="30">
        <v>20000</v>
      </c>
      <c r="D5" s="30">
        <v>109</v>
      </c>
      <c r="E5" s="30">
        <v>64</v>
      </c>
      <c r="F5" s="20">
        <f t="shared" ref="F5:F34" si="0">IF($B$5&gt;0,B5/$B$5,"")</f>
        <v>1</v>
      </c>
      <c r="G5" s="31">
        <f>'Life table'!I8</f>
        <v>1</v>
      </c>
      <c r="H5" s="20">
        <f t="shared" ref="H5:H34" si="1">IF($B$5&gt;0,C5/$B$5,"")</f>
        <v>1</v>
      </c>
      <c r="I5" s="31">
        <f>'Life table'!J8</f>
        <v>1</v>
      </c>
      <c r="K5" s="32" t="s">
        <v>80</v>
      </c>
      <c r="L5" s="32" t="s">
        <v>81</v>
      </c>
      <c r="M5" s="32" t="s">
        <v>82</v>
      </c>
    </row>
    <row r="6" spans="1:13" x14ac:dyDescent="0.2">
      <c r="A6" s="2">
        <v>2</v>
      </c>
      <c r="B6" s="30">
        <v>19827</v>
      </c>
      <c r="C6" s="30">
        <v>20000</v>
      </c>
      <c r="D6" s="30">
        <v>135</v>
      </c>
      <c r="E6" s="30">
        <v>95</v>
      </c>
      <c r="F6" s="20">
        <f t="shared" si="0"/>
        <v>0.99134999999999995</v>
      </c>
      <c r="G6" s="31">
        <f>'Life table'!I9</f>
        <v>0.98987678826839853</v>
      </c>
      <c r="H6" s="20">
        <f t="shared" si="1"/>
        <v>1</v>
      </c>
      <c r="I6" s="31">
        <f>'Life table'!J9</f>
        <v>0.99997495972932904</v>
      </c>
      <c r="K6" s="2" t="s">
        <v>83</v>
      </c>
      <c r="L6" s="33">
        <f>IF(B5&gt;0,SUM(D5:D34)/B5,"")</f>
        <v>0.53680000000000005</v>
      </c>
      <c r="M6" s="33">
        <f>SUMPRODUCT(('Life table'!A8:A78&lt;30)*'Life table'!I8:I78*'Life table'!D8:D78*(1-'Life table'!F8:F78/2))</f>
        <v>0.5403073105436631</v>
      </c>
    </row>
    <row r="7" spans="1:13" x14ac:dyDescent="0.2">
      <c r="A7" s="2">
        <v>3</v>
      </c>
      <c r="B7" s="30">
        <v>19597</v>
      </c>
      <c r="C7" s="30">
        <v>19998</v>
      </c>
      <c r="D7" s="30">
        <v>145</v>
      </c>
      <c r="E7" s="30">
        <v>98</v>
      </c>
      <c r="F7" s="20">
        <f t="shared" si="0"/>
        <v>0.97985</v>
      </c>
      <c r="G7" s="31">
        <f>'Life table'!I10</f>
        <v>0.97867397042679516</v>
      </c>
      <c r="H7" s="20">
        <f t="shared" si="1"/>
        <v>0.99990000000000001</v>
      </c>
      <c r="I7" s="31">
        <f>'Life table'!J10</f>
        <v>0.99988825661936664</v>
      </c>
    </row>
    <row r="8" spans="1:13" x14ac:dyDescent="0.2">
      <c r="A8" s="2">
        <v>4</v>
      </c>
      <c r="B8" s="30">
        <v>19354</v>
      </c>
      <c r="C8" s="30">
        <v>19997</v>
      </c>
      <c r="D8" s="30">
        <v>173</v>
      </c>
      <c r="E8" s="30">
        <v>118</v>
      </c>
      <c r="F8" s="20">
        <f t="shared" si="0"/>
        <v>0.9677</v>
      </c>
      <c r="G8" s="31">
        <f>'Life table'!I11</f>
        <v>0.96628599498726786</v>
      </c>
      <c r="H8" s="20">
        <f t="shared" si="1"/>
        <v>0.99985000000000002</v>
      </c>
      <c r="I8" s="31">
        <f>'Life table'!J11</f>
        <v>0.99971899812459231</v>
      </c>
    </row>
    <row r="9" spans="1:13" x14ac:dyDescent="0.2">
      <c r="A9" s="2">
        <v>5</v>
      </c>
      <c r="B9" s="30">
        <v>19063</v>
      </c>
      <c r="C9" s="30">
        <v>19994</v>
      </c>
      <c r="D9" s="30">
        <v>193</v>
      </c>
      <c r="E9" s="30">
        <v>116</v>
      </c>
      <c r="F9" s="20">
        <f t="shared" si="0"/>
        <v>0.95315000000000005</v>
      </c>
      <c r="G9" s="31">
        <f>'Life table'!I12</f>
        <v>0.95260096230314473</v>
      </c>
      <c r="H9" s="20">
        <f t="shared" si="1"/>
        <v>0.99970000000000003</v>
      </c>
      <c r="I9" s="31">
        <f>'Life table'!J12</f>
        <v>0.99944071268670143</v>
      </c>
      <c r="K9" s="3"/>
    </row>
    <row r="10" spans="1:13" x14ac:dyDescent="0.2">
      <c r="A10" s="2">
        <v>6</v>
      </c>
      <c r="B10" s="30">
        <v>18754</v>
      </c>
      <c r="C10" s="30">
        <v>19987</v>
      </c>
      <c r="D10" s="30">
        <v>216</v>
      </c>
      <c r="E10" s="30">
        <v>135</v>
      </c>
      <c r="F10" s="20">
        <f t="shared" si="0"/>
        <v>0.93769999999999998</v>
      </c>
      <c r="G10" s="31">
        <f>'Life table'!I13</f>
        <v>0.93750135228937181</v>
      </c>
      <c r="H10" s="20">
        <f t="shared" si="1"/>
        <v>0.99934999999999996</v>
      </c>
      <c r="I10" s="31">
        <f>'Life table'!J13</f>
        <v>0.99902005399977933</v>
      </c>
      <c r="K10" s="34"/>
    </row>
    <row r="11" spans="1:13" x14ac:dyDescent="0.2">
      <c r="A11" s="2">
        <v>7</v>
      </c>
      <c r="B11" s="30">
        <v>18403</v>
      </c>
      <c r="C11" s="30">
        <v>19975</v>
      </c>
      <c r="D11" s="30">
        <v>221</v>
      </c>
      <c r="E11" s="30">
        <v>155</v>
      </c>
      <c r="F11" s="20">
        <f t="shared" si="0"/>
        <v>0.92015000000000002</v>
      </c>
      <c r="G11" s="31">
        <f>'Life table'!I14</f>
        <v>0.92086514450849111</v>
      </c>
      <c r="H11" s="20">
        <f t="shared" si="1"/>
        <v>0.99875000000000003</v>
      </c>
      <c r="I11" s="31">
        <f>'Life table'!J14</f>
        <v>0.99841525305275247</v>
      </c>
      <c r="K11" s="6"/>
    </row>
    <row r="12" spans="1:13" x14ac:dyDescent="0.2">
      <c r="A12" s="2">
        <v>8</v>
      </c>
      <c r="B12" s="30">
        <v>18027</v>
      </c>
      <c r="C12" s="30">
        <v>19959</v>
      </c>
      <c r="D12" s="30">
        <v>217</v>
      </c>
      <c r="E12" s="30">
        <v>146</v>
      </c>
      <c r="F12" s="20">
        <f t="shared" si="0"/>
        <v>0.90134999999999998</v>
      </c>
      <c r="G12" s="31">
        <f>'Life table'!I15</f>
        <v>0.9025674234795994</v>
      </c>
      <c r="H12" s="20">
        <f t="shared" si="1"/>
        <v>0.99795</v>
      </c>
      <c r="I12" s="31">
        <f>'Life table'!J15</f>
        <v>0.99757428660050607</v>
      </c>
    </row>
    <row r="13" spans="1:13" x14ac:dyDescent="0.2">
      <c r="A13" s="2">
        <v>9</v>
      </c>
      <c r="B13" s="30">
        <v>17664</v>
      </c>
      <c r="C13" s="30">
        <v>19944</v>
      </c>
      <c r="D13" s="30">
        <v>241</v>
      </c>
      <c r="E13" s="30">
        <v>199</v>
      </c>
      <c r="F13" s="20">
        <f t="shared" si="0"/>
        <v>0.88319999999999999</v>
      </c>
      <c r="G13" s="31">
        <f>'Life table'!I16</f>
        <v>0.88248257304114031</v>
      </c>
      <c r="H13" s="20">
        <f t="shared" si="1"/>
        <v>0.99719999999999998</v>
      </c>
      <c r="I13" s="31">
        <f>'Life table'!J16</f>
        <v>0.99643273469695748</v>
      </c>
    </row>
    <row r="14" spans="1:13" x14ac:dyDescent="0.2">
      <c r="A14" s="2">
        <v>10</v>
      </c>
      <c r="B14" s="30">
        <v>17224</v>
      </c>
      <c r="C14" s="30">
        <v>19922</v>
      </c>
      <c r="D14" s="30">
        <v>299</v>
      </c>
      <c r="E14" s="30">
        <v>201</v>
      </c>
      <c r="F14" s="20">
        <f t="shared" si="0"/>
        <v>0.86119999999999997</v>
      </c>
      <c r="G14" s="31">
        <f>'Life table'!I17</f>
        <v>0.86048717205331982</v>
      </c>
      <c r="H14" s="20">
        <f t="shared" si="1"/>
        <v>0.99609999999999999</v>
      </c>
      <c r="I14" s="31">
        <f>'Life table'!J17</f>
        <v>0.99491130864960486</v>
      </c>
    </row>
    <row r="15" spans="1:13" x14ac:dyDescent="0.2">
      <c r="A15" s="2">
        <v>11</v>
      </c>
      <c r="B15" s="30">
        <v>16724</v>
      </c>
      <c r="C15" s="30">
        <v>19880</v>
      </c>
      <c r="D15" s="30">
        <v>321</v>
      </c>
      <c r="E15" s="30">
        <v>221</v>
      </c>
      <c r="F15" s="20">
        <f t="shared" si="0"/>
        <v>0.83620000000000005</v>
      </c>
      <c r="G15" s="31">
        <f>'Life table'!I18</f>
        <v>0.83646370745088316</v>
      </c>
      <c r="H15" s="20">
        <f t="shared" si="1"/>
        <v>0.99399999999999999</v>
      </c>
      <c r="I15" s="31">
        <f>'Life table'!J18</f>
        <v>0.99291304628815591</v>
      </c>
    </row>
    <row r="16" spans="1:13" x14ac:dyDescent="0.2">
      <c r="A16" s="2">
        <v>12</v>
      </c>
      <c r="B16" s="30">
        <v>16182</v>
      </c>
      <c r="C16" s="30">
        <v>19818</v>
      </c>
      <c r="D16" s="30">
        <v>345</v>
      </c>
      <c r="E16" s="30">
        <v>229</v>
      </c>
      <c r="F16" s="20">
        <f t="shared" si="0"/>
        <v>0.80910000000000004</v>
      </c>
      <c r="G16" s="31">
        <f>'Life table'!I19</f>
        <v>0.8103052166219662</v>
      </c>
      <c r="H16" s="20">
        <f t="shared" si="1"/>
        <v>0.9909</v>
      </c>
      <c r="I16" s="31">
        <f>'Life table'!J19</f>
        <v>0.99032019638041269</v>
      </c>
    </row>
    <row r="17" spans="1:9" x14ac:dyDescent="0.2">
      <c r="A17" s="2">
        <v>13</v>
      </c>
      <c r="B17" s="30">
        <v>15608</v>
      </c>
      <c r="C17" s="30">
        <v>19761</v>
      </c>
      <c r="D17" s="30">
        <v>349</v>
      </c>
      <c r="E17" s="30">
        <v>264</v>
      </c>
      <c r="F17" s="20">
        <f t="shared" si="0"/>
        <v>0.78039999999999998</v>
      </c>
      <c r="G17" s="31">
        <f>'Life table'!I20</f>
        <v>0.78192095531618566</v>
      </c>
      <c r="H17" s="20">
        <f t="shared" si="1"/>
        <v>0.98804999999999998</v>
      </c>
      <c r="I17" s="31">
        <f>'Life table'!J20</f>
        <v>0.98699085151290311</v>
      </c>
    </row>
    <row r="18" spans="1:9" x14ac:dyDescent="0.2">
      <c r="A18" s="2">
        <v>14</v>
      </c>
      <c r="B18" s="30">
        <v>14995</v>
      </c>
      <c r="C18" s="30">
        <v>19679</v>
      </c>
      <c r="D18" s="30">
        <v>381</v>
      </c>
      <c r="E18" s="30">
        <v>287</v>
      </c>
      <c r="F18" s="20">
        <f t="shared" si="0"/>
        <v>0.74975000000000003</v>
      </c>
      <c r="G18" s="31">
        <f>'Life table'!I21</f>
        <v>0.75124315478838288</v>
      </c>
      <c r="H18" s="20">
        <f t="shared" si="1"/>
        <v>0.98394999999999999</v>
      </c>
      <c r="I18" s="31">
        <f>'Life table'!J21</f>
        <v>0.98275544234654322</v>
      </c>
    </row>
    <row r="19" spans="1:9" x14ac:dyDescent="0.2">
      <c r="A19" s="2">
        <v>15</v>
      </c>
      <c r="B19" s="30">
        <v>14327</v>
      </c>
      <c r="C19" s="30">
        <v>19567</v>
      </c>
      <c r="D19" s="30">
        <v>431</v>
      </c>
      <c r="E19" s="30">
        <v>302</v>
      </c>
      <c r="F19" s="20">
        <f t="shared" si="0"/>
        <v>0.71635000000000004</v>
      </c>
      <c r="G19" s="31">
        <f>'Life table'!I22</f>
        <v>0.71823487674497744</v>
      </c>
      <c r="H19" s="20">
        <f t="shared" si="1"/>
        <v>0.97835000000000005</v>
      </c>
      <c r="I19" s="31">
        <f>'Life table'!J22</f>
        <v>0.97741327956783397</v>
      </c>
    </row>
    <row r="20" spans="1:9" x14ac:dyDescent="0.2">
      <c r="A20" s="2">
        <v>16</v>
      </c>
      <c r="B20" s="30">
        <v>13594</v>
      </c>
      <c r="C20" s="30">
        <v>19441</v>
      </c>
      <c r="D20" s="30">
        <v>475</v>
      </c>
      <c r="E20" s="30">
        <v>328</v>
      </c>
      <c r="F20" s="20">
        <f t="shared" si="0"/>
        <v>0.67969999999999997</v>
      </c>
      <c r="G20" s="31">
        <f>'Life table'!I23</f>
        <v>0.68289889034723306</v>
      </c>
      <c r="H20" s="20">
        <f t="shared" si="1"/>
        <v>0.97204999999999997</v>
      </c>
      <c r="I20" s="31">
        <f>'Life table'!J23</f>
        <v>0.97072942637674675</v>
      </c>
    </row>
    <row r="21" spans="1:9" x14ac:dyDescent="0.2">
      <c r="A21" s="2">
        <v>17</v>
      </c>
      <c r="B21" s="30">
        <v>12791</v>
      </c>
      <c r="C21" s="30">
        <v>19290</v>
      </c>
      <c r="D21" s="30">
        <v>466</v>
      </c>
      <c r="E21" s="30">
        <v>315</v>
      </c>
      <c r="F21" s="20">
        <f t="shared" si="0"/>
        <v>0.63954999999999995</v>
      </c>
      <c r="G21" s="31">
        <f>'Life table'!I24</f>
        <v>0.6452873756000177</v>
      </c>
      <c r="H21" s="20">
        <f t="shared" si="1"/>
        <v>0.96450000000000002</v>
      </c>
      <c r="I21" s="31">
        <f>'Life table'!J24</f>
        <v>0.96243230590095474</v>
      </c>
    </row>
    <row r="22" spans="1:9" x14ac:dyDescent="0.2">
      <c r="A22" s="2">
        <v>18</v>
      </c>
      <c r="B22" s="30">
        <v>12010</v>
      </c>
      <c r="C22" s="30">
        <v>19060</v>
      </c>
      <c r="D22" s="30">
        <v>501</v>
      </c>
      <c r="E22" s="30">
        <v>350</v>
      </c>
      <c r="F22" s="20">
        <f t="shared" si="0"/>
        <v>0.60050000000000003</v>
      </c>
      <c r="G22" s="31">
        <f>'Life table'!I25</f>
        <v>0.60551209682239759</v>
      </c>
      <c r="H22" s="20">
        <f t="shared" si="1"/>
        <v>0.95299999999999996</v>
      </c>
      <c r="I22" s="31">
        <f>'Life table'!J25</f>
        <v>0.95221259354901078</v>
      </c>
    </row>
    <row r="23" spans="1:9" x14ac:dyDescent="0.2">
      <c r="A23" s="2">
        <v>19</v>
      </c>
      <c r="B23" s="30">
        <v>11159</v>
      </c>
      <c r="C23" s="30">
        <v>18810</v>
      </c>
      <c r="D23" s="30">
        <v>478</v>
      </c>
      <c r="E23" s="30">
        <v>349</v>
      </c>
      <c r="F23" s="20">
        <f t="shared" si="0"/>
        <v>0.55794999999999995</v>
      </c>
      <c r="G23" s="31">
        <f>'Life table'!I26</f>
        <v>0.56375448679932161</v>
      </c>
      <c r="H23" s="20">
        <f t="shared" si="1"/>
        <v>0.9405</v>
      </c>
      <c r="I23" s="31">
        <f>'Life table'!J26</f>
        <v>0.9397241080400307</v>
      </c>
    </row>
    <row r="24" spans="1:9" x14ac:dyDescent="0.2">
      <c r="A24" s="2">
        <v>20</v>
      </c>
      <c r="B24" s="30">
        <v>10332</v>
      </c>
      <c r="C24" s="30">
        <v>18488</v>
      </c>
      <c r="D24" s="30">
        <v>496</v>
      </c>
      <c r="E24" s="30">
        <v>380</v>
      </c>
      <c r="F24" s="20">
        <f t="shared" si="0"/>
        <v>0.51659999999999995</v>
      </c>
      <c r="G24" s="31">
        <f>'Life table'!I27</f>
        <v>0.52027484108651612</v>
      </c>
      <c r="H24" s="20">
        <f t="shared" si="1"/>
        <v>0.9244</v>
      </c>
      <c r="I24" s="31">
        <f>'Life table'!J27</f>
        <v>0.92458758284497189</v>
      </c>
    </row>
    <row r="25" spans="1:9" x14ac:dyDescent="0.2">
      <c r="A25" s="2">
        <v>21</v>
      </c>
      <c r="B25" s="30">
        <v>9456</v>
      </c>
      <c r="C25" s="30">
        <v>18117</v>
      </c>
      <c r="D25" s="30">
        <v>527</v>
      </c>
      <c r="E25" s="30">
        <v>381</v>
      </c>
      <c r="F25" s="20">
        <f t="shared" si="0"/>
        <v>0.4728</v>
      </c>
      <c r="G25" s="31">
        <f>'Life table'!I28</f>
        <v>0.47541955713867928</v>
      </c>
      <c r="H25" s="20">
        <f t="shared" si="1"/>
        <v>0.90585000000000004</v>
      </c>
      <c r="I25" s="31">
        <f>'Life table'!J28</f>
        <v>0.90639834698002542</v>
      </c>
    </row>
    <row r="26" spans="1:9" x14ac:dyDescent="0.2">
      <c r="A26" s="2">
        <v>22</v>
      </c>
      <c r="B26" s="30">
        <v>8548</v>
      </c>
      <c r="C26" s="30">
        <v>17709</v>
      </c>
      <c r="D26" s="30">
        <v>508</v>
      </c>
      <c r="E26" s="30">
        <v>410</v>
      </c>
      <c r="F26" s="20">
        <f t="shared" si="0"/>
        <v>0.4274</v>
      </c>
      <c r="G26" s="31">
        <f>'Life table'!I29</f>
        <v>0.42962509303800178</v>
      </c>
      <c r="H26" s="20">
        <f t="shared" si="1"/>
        <v>0.88544999999999996</v>
      </c>
      <c r="I26" s="31">
        <f>'Life table'!J29</f>
        <v>0.88473903077973681</v>
      </c>
    </row>
    <row r="27" spans="1:9" x14ac:dyDescent="0.2">
      <c r="A27" s="2">
        <v>23</v>
      </c>
      <c r="B27" s="30">
        <v>7630</v>
      </c>
      <c r="C27" s="30">
        <v>17197</v>
      </c>
      <c r="D27" s="30">
        <v>520</v>
      </c>
      <c r="E27" s="30">
        <v>378</v>
      </c>
      <c r="F27" s="20">
        <f t="shared" si="0"/>
        <v>0.38150000000000001</v>
      </c>
      <c r="G27" s="31">
        <f>'Life table'!I30</f>
        <v>0.38341711253668759</v>
      </c>
      <c r="H27" s="20">
        <f t="shared" si="1"/>
        <v>0.85985</v>
      </c>
      <c r="I27" s="31">
        <f>'Life table'!J30</f>
        <v>0.85919838162217932</v>
      </c>
    </row>
    <row r="28" spans="1:9" x14ac:dyDescent="0.2">
      <c r="A28" s="2">
        <v>24</v>
      </c>
      <c r="B28" s="30">
        <v>6732</v>
      </c>
      <c r="C28" s="30">
        <v>16589</v>
      </c>
      <c r="D28" s="30">
        <v>534</v>
      </c>
      <c r="E28" s="30">
        <v>317</v>
      </c>
      <c r="F28" s="20">
        <f t="shared" si="0"/>
        <v>0.33660000000000001</v>
      </c>
      <c r="G28" s="31">
        <f>'Life table'!I31</f>
        <v>0.33740319455123341</v>
      </c>
      <c r="H28" s="20">
        <f t="shared" si="1"/>
        <v>0.82945000000000002</v>
      </c>
      <c r="I28" s="31">
        <f>'Life table'!J31</f>
        <v>0.82939705300136701</v>
      </c>
    </row>
    <row r="29" spans="1:9" x14ac:dyDescent="0.2">
      <c r="A29" s="2">
        <v>25</v>
      </c>
      <c r="B29" s="30">
        <v>5881</v>
      </c>
      <c r="C29" s="30">
        <v>15872</v>
      </c>
      <c r="D29" s="30">
        <v>529</v>
      </c>
      <c r="E29" s="30">
        <v>371</v>
      </c>
      <c r="F29" s="20">
        <f t="shared" si="0"/>
        <v>0.29404999999999998</v>
      </c>
      <c r="G29" s="31">
        <f>'Life table'!I32</f>
        <v>0.29225760283886548</v>
      </c>
      <c r="H29" s="20">
        <f t="shared" si="1"/>
        <v>0.79359999999999997</v>
      </c>
      <c r="I29" s="31">
        <f>'Life table'!J32</f>
        <v>0.79502073327536471</v>
      </c>
    </row>
    <row r="30" spans="1:9" x14ac:dyDescent="0.2">
      <c r="A30" s="2">
        <v>26</v>
      </c>
      <c r="B30" s="30">
        <v>4981</v>
      </c>
      <c r="C30" s="30">
        <v>15101</v>
      </c>
      <c r="D30" s="30">
        <v>467</v>
      </c>
      <c r="E30" s="30">
        <v>358</v>
      </c>
      <c r="F30" s="20">
        <f t="shared" si="0"/>
        <v>0.24904999999999999</v>
      </c>
      <c r="G30" s="31">
        <f>'Life table'!I33</f>
        <v>0.24869703198375268</v>
      </c>
      <c r="H30" s="20">
        <f t="shared" si="1"/>
        <v>0.75505</v>
      </c>
      <c r="I30" s="31">
        <f>'Life table'!J33</f>
        <v>0.75586012681224246</v>
      </c>
    </row>
    <row r="31" spans="1:9" x14ac:dyDescent="0.2">
      <c r="A31" s="2">
        <v>27</v>
      </c>
      <c r="B31" s="30">
        <v>4156</v>
      </c>
      <c r="C31" s="30">
        <v>14268</v>
      </c>
      <c r="D31" s="30">
        <v>431</v>
      </c>
      <c r="E31" s="30">
        <v>289</v>
      </c>
      <c r="F31" s="20">
        <f t="shared" si="0"/>
        <v>0.20780000000000001</v>
      </c>
      <c r="G31" s="31">
        <f>'Life table'!I34</f>
        <v>0.20744705568512564</v>
      </c>
      <c r="H31" s="20">
        <f t="shared" si="1"/>
        <v>0.71340000000000003</v>
      </c>
      <c r="I31" s="31">
        <f>'Life table'!J34</f>
        <v>0.71185603903127659</v>
      </c>
    </row>
    <row r="32" spans="1:9" x14ac:dyDescent="0.2">
      <c r="A32" s="2">
        <v>28</v>
      </c>
      <c r="B32" s="30">
        <v>3436</v>
      </c>
      <c r="C32" s="30">
        <v>13282</v>
      </c>
      <c r="D32" s="30">
        <v>378</v>
      </c>
      <c r="E32" s="30">
        <v>304</v>
      </c>
      <c r="F32" s="20">
        <f t="shared" si="0"/>
        <v>0.17180000000000001</v>
      </c>
      <c r="G32" s="31">
        <f>'Life table'!I35</f>
        <v>0.16920024621992619</v>
      </c>
      <c r="H32" s="20">
        <f t="shared" si="1"/>
        <v>0.66410000000000002</v>
      </c>
      <c r="I32" s="31">
        <f>'Life table'!J35</f>
        <v>0.66314616668659809</v>
      </c>
    </row>
    <row r="33" spans="1:9" x14ac:dyDescent="0.2">
      <c r="A33" s="2">
        <v>29</v>
      </c>
      <c r="B33" s="30">
        <v>2754</v>
      </c>
      <c r="C33" s="30">
        <v>12200</v>
      </c>
      <c r="D33" s="30">
        <v>338</v>
      </c>
      <c r="E33" s="30">
        <v>277</v>
      </c>
      <c r="F33" s="20">
        <f t="shared" si="0"/>
        <v>0.13769999999999999</v>
      </c>
      <c r="G33" s="31">
        <f>'Life table'!I36</f>
        <v>0.13456856522567812</v>
      </c>
      <c r="H33" s="20">
        <f t="shared" si="1"/>
        <v>0.61</v>
      </c>
      <c r="I33" s="31">
        <f>'Life table'!J36</f>
        <v>0.61010829404644373</v>
      </c>
    </row>
    <row r="34" spans="1:9" x14ac:dyDescent="0.2">
      <c r="A34" s="2">
        <v>30</v>
      </c>
      <c r="B34" s="30">
        <v>2139</v>
      </c>
      <c r="C34" s="30">
        <v>11070</v>
      </c>
      <c r="D34" s="30">
        <v>312</v>
      </c>
      <c r="E34" s="30">
        <v>231</v>
      </c>
      <c r="F34" s="20">
        <f t="shared" si="0"/>
        <v>0.10695</v>
      </c>
      <c r="G34" s="31">
        <f>'Life table'!I37</f>
        <v>0.10403446416175866</v>
      </c>
      <c r="H34" s="20">
        <f t="shared" si="1"/>
        <v>0.55349999999999999</v>
      </c>
      <c r="I34" s="31">
        <f>'Life table'!J37</f>
        <v>0.55339275098010121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Assumptions</vt:lpstr>
      <vt:lpstr>Life table</vt:lpstr>
      <vt:lpstr>Cross-check</vt:lpstr>
      <vt:lpstr>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Pratham Sood</cp:lastModifiedBy>
  <cp:revision>0</cp:revision>
  <dcterms:created xsi:type="dcterms:W3CDTF">2026-10-25T08:13:30Z</dcterms:created>
  <dcterms:modified xsi:type="dcterms:W3CDTF">2026-10-25T08:16:03Z</dcterms:modified>
  <dc:language>en-US</dc:language>
</cp:coreProperties>
</file>