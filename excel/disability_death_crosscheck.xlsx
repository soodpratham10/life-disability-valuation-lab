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/>
  <mc:AlternateContent xmlns:mc="http://schemas.openxmlformats.org/markup-compatibility/2006">
    <mc:Choice Requires="x15">
      <x15ac:absPath xmlns:x15ac="http://schemas.microsoft.com/office/spreadsheetml/2010/11/ac" url="/Users/prathamsood/Downloads/"/>
    </mc:Choice>
  </mc:AlternateContent>
  <xr:revisionPtr revIDLastSave="0" documentId="13_ncr:1_{ACB03CAA-9128-DA41-99FE-2F0F9ACFA8D9}" xr6:coauthVersionLast="47" xr6:coauthVersionMax="47" xr10:uidLastSave="{00000000-0000-0000-0000-000000000000}"/>
  <bookViews>
    <workbookView xWindow="0" yWindow="680" windowWidth="34200" windowHeight="21460" tabRatio="500" activeTab="5" xr2:uid="{00000000-000D-0000-FFFF-FFFF00000000}"/>
  </bookViews>
  <sheets>
    <sheet name="Guide" sheetId="1" r:id="rId1"/>
    <sheet name="Assumptions" sheetId="2" r:id="rId2"/>
    <sheet name="Euler" sheetId="3" r:id="rId3"/>
    <sheet name="Closed form" sheetId="4" r:id="rId4"/>
    <sheet name="Cross-check" sheetId="5" r:id="rId5"/>
    <sheet name="Experience" sheetId="6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5" i="6" l="1"/>
  <c r="B15" i="6"/>
  <c r="C14" i="6"/>
  <c r="B14" i="6"/>
  <c r="C13" i="6"/>
  <c r="B13" i="6"/>
  <c r="B4" i="4"/>
  <c r="B4008" i="3"/>
  <c r="G4008" i="3" s="1"/>
  <c r="B4007" i="3"/>
  <c r="G4007" i="3" s="1"/>
  <c r="B4006" i="3"/>
  <c r="G4006" i="3" s="1"/>
  <c r="B4005" i="3"/>
  <c r="G4005" i="3" s="1"/>
  <c r="B4004" i="3"/>
  <c r="G4004" i="3" s="1"/>
  <c r="B4003" i="3"/>
  <c r="G4003" i="3" s="1"/>
  <c r="B4002" i="3"/>
  <c r="G4002" i="3" s="1"/>
  <c r="B4001" i="3"/>
  <c r="G4001" i="3" s="1"/>
  <c r="B4000" i="3"/>
  <c r="G4000" i="3" s="1"/>
  <c r="B3999" i="3"/>
  <c r="G3999" i="3" s="1"/>
  <c r="B3998" i="3"/>
  <c r="G3998" i="3" s="1"/>
  <c r="B3997" i="3"/>
  <c r="G3997" i="3" s="1"/>
  <c r="B3996" i="3"/>
  <c r="G3996" i="3" s="1"/>
  <c r="B3995" i="3"/>
  <c r="G3995" i="3" s="1"/>
  <c r="B3994" i="3"/>
  <c r="G3994" i="3" s="1"/>
  <c r="B3993" i="3"/>
  <c r="G3993" i="3" s="1"/>
  <c r="B3992" i="3"/>
  <c r="G3992" i="3" s="1"/>
  <c r="B3991" i="3"/>
  <c r="G3991" i="3" s="1"/>
  <c r="B3990" i="3"/>
  <c r="G3990" i="3" s="1"/>
  <c r="B3989" i="3"/>
  <c r="G3989" i="3" s="1"/>
  <c r="B3988" i="3"/>
  <c r="G3988" i="3" s="1"/>
  <c r="B3987" i="3"/>
  <c r="G3987" i="3" s="1"/>
  <c r="B3986" i="3"/>
  <c r="G3986" i="3" s="1"/>
  <c r="B3985" i="3"/>
  <c r="G3985" i="3" s="1"/>
  <c r="B3984" i="3"/>
  <c r="G3984" i="3" s="1"/>
  <c r="B3983" i="3"/>
  <c r="G3983" i="3" s="1"/>
  <c r="B3982" i="3"/>
  <c r="G3982" i="3" s="1"/>
  <c r="B3981" i="3"/>
  <c r="G3981" i="3" s="1"/>
  <c r="B3980" i="3"/>
  <c r="G3980" i="3" s="1"/>
  <c r="B3979" i="3"/>
  <c r="G3979" i="3" s="1"/>
  <c r="B3978" i="3"/>
  <c r="G3978" i="3" s="1"/>
  <c r="B3977" i="3"/>
  <c r="G3977" i="3" s="1"/>
  <c r="B3976" i="3"/>
  <c r="G3976" i="3" s="1"/>
  <c r="B3975" i="3"/>
  <c r="G3975" i="3" s="1"/>
  <c r="B3974" i="3"/>
  <c r="G3974" i="3" s="1"/>
  <c r="B3973" i="3"/>
  <c r="G3973" i="3" s="1"/>
  <c r="B3972" i="3"/>
  <c r="G3972" i="3" s="1"/>
  <c r="B3971" i="3"/>
  <c r="G3971" i="3" s="1"/>
  <c r="B3970" i="3"/>
  <c r="G3970" i="3" s="1"/>
  <c r="B3969" i="3"/>
  <c r="G3969" i="3" s="1"/>
  <c r="B3968" i="3"/>
  <c r="G3968" i="3" s="1"/>
  <c r="B3967" i="3"/>
  <c r="G3967" i="3" s="1"/>
  <c r="B3966" i="3"/>
  <c r="G3966" i="3" s="1"/>
  <c r="B3965" i="3"/>
  <c r="G3965" i="3" s="1"/>
  <c r="B3964" i="3"/>
  <c r="G3964" i="3" s="1"/>
  <c r="B3963" i="3"/>
  <c r="G3963" i="3" s="1"/>
  <c r="B3962" i="3"/>
  <c r="G3962" i="3" s="1"/>
  <c r="B3961" i="3"/>
  <c r="G3961" i="3" s="1"/>
  <c r="B3960" i="3"/>
  <c r="G3960" i="3" s="1"/>
  <c r="B3959" i="3"/>
  <c r="G3959" i="3" s="1"/>
  <c r="B3958" i="3"/>
  <c r="G3958" i="3" s="1"/>
  <c r="B3957" i="3"/>
  <c r="G3957" i="3" s="1"/>
  <c r="B3956" i="3"/>
  <c r="G3956" i="3" s="1"/>
  <c r="B3955" i="3"/>
  <c r="G3955" i="3" s="1"/>
  <c r="B3954" i="3"/>
  <c r="G3954" i="3" s="1"/>
  <c r="B3953" i="3"/>
  <c r="G3953" i="3" s="1"/>
  <c r="B3952" i="3"/>
  <c r="G3952" i="3" s="1"/>
  <c r="B3951" i="3"/>
  <c r="G3951" i="3" s="1"/>
  <c r="B3950" i="3"/>
  <c r="G3950" i="3" s="1"/>
  <c r="B3949" i="3"/>
  <c r="G3949" i="3" s="1"/>
  <c r="B3948" i="3"/>
  <c r="G3948" i="3" s="1"/>
  <c r="B3947" i="3"/>
  <c r="G3947" i="3" s="1"/>
  <c r="B3946" i="3"/>
  <c r="G3946" i="3" s="1"/>
  <c r="B3945" i="3"/>
  <c r="G3945" i="3" s="1"/>
  <c r="B3944" i="3"/>
  <c r="G3944" i="3" s="1"/>
  <c r="B3943" i="3"/>
  <c r="G3943" i="3" s="1"/>
  <c r="B3942" i="3"/>
  <c r="G3942" i="3" s="1"/>
  <c r="B3941" i="3"/>
  <c r="G3941" i="3" s="1"/>
  <c r="B3940" i="3"/>
  <c r="G3940" i="3" s="1"/>
  <c r="B3939" i="3"/>
  <c r="G3939" i="3" s="1"/>
  <c r="B3938" i="3"/>
  <c r="G3938" i="3" s="1"/>
  <c r="B3937" i="3"/>
  <c r="G3937" i="3" s="1"/>
  <c r="B3936" i="3"/>
  <c r="G3936" i="3" s="1"/>
  <c r="B3935" i="3"/>
  <c r="G3935" i="3" s="1"/>
  <c r="B3934" i="3"/>
  <c r="G3934" i="3" s="1"/>
  <c r="B3933" i="3"/>
  <c r="G3933" i="3" s="1"/>
  <c r="B3932" i="3"/>
  <c r="G3932" i="3" s="1"/>
  <c r="B3931" i="3"/>
  <c r="G3931" i="3" s="1"/>
  <c r="B3930" i="3"/>
  <c r="G3930" i="3" s="1"/>
  <c r="B3929" i="3"/>
  <c r="G3929" i="3" s="1"/>
  <c r="B3928" i="3"/>
  <c r="G3928" i="3" s="1"/>
  <c r="B3927" i="3"/>
  <c r="G3927" i="3" s="1"/>
  <c r="B3926" i="3"/>
  <c r="G3926" i="3" s="1"/>
  <c r="B3925" i="3"/>
  <c r="G3925" i="3" s="1"/>
  <c r="B3924" i="3"/>
  <c r="G3924" i="3" s="1"/>
  <c r="B3923" i="3"/>
  <c r="G3923" i="3" s="1"/>
  <c r="B3922" i="3"/>
  <c r="G3922" i="3" s="1"/>
  <c r="B3921" i="3"/>
  <c r="G3921" i="3" s="1"/>
  <c r="B3920" i="3"/>
  <c r="G3920" i="3" s="1"/>
  <c r="B3919" i="3"/>
  <c r="G3919" i="3" s="1"/>
  <c r="B3918" i="3"/>
  <c r="G3918" i="3" s="1"/>
  <c r="B3917" i="3"/>
  <c r="G3917" i="3" s="1"/>
  <c r="B3916" i="3"/>
  <c r="G3916" i="3" s="1"/>
  <c r="B3915" i="3"/>
  <c r="G3915" i="3" s="1"/>
  <c r="B3914" i="3"/>
  <c r="G3914" i="3" s="1"/>
  <c r="B3913" i="3"/>
  <c r="G3913" i="3" s="1"/>
  <c r="B3912" i="3"/>
  <c r="G3912" i="3" s="1"/>
  <c r="B3911" i="3"/>
  <c r="G3911" i="3" s="1"/>
  <c r="B3910" i="3"/>
  <c r="G3910" i="3" s="1"/>
  <c r="B3909" i="3"/>
  <c r="G3909" i="3" s="1"/>
  <c r="B3908" i="3"/>
  <c r="G3908" i="3" s="1"/>
  <c r="B3907" i="3"/>
  <c r="G3907" i="3" s="1"/>
  <c r="B3906" i="3"/>
  <c r="G3906" i="3" s="1"/>
  <c r="B3905" i="3"/>
  <c r="G3905" i="3" s="1"/>
  <c r="B3904" i="3"/>
  <c r="G3904" i="3" s="1"/>
  <c r="B3903" i="3"/>
  <c r="G3903" i="3" s="1"/>
  <c r="B3902" i="3"/>
  <c r="G3902" i="3" s="1"/>
  <c r="B3901" i="3"/>
  <c r="G3901" i="3" s="1"/>
  <c r="B3900" i="3"/>
  <c r="G3900" i="3" s="1"/>
  <c r="B3899" i="3"/>
  <c r="G3899" i="3" s="1"/>
  <c r="B3898" i="3"/>
  <c r="G3898" i="3" s="1"/>
  <c r="B3897" i="3"/>
  <c r="G3897" i="3" s="1"/>
  <c r="B3896" i="3"/>
  <c r="G3896" i="3" s="1"/>
  <c r="B3895" i="3"/>
  <c r="G3895" i="3" s="1"/>
  <c r="B3894" i="3"/>
  <c r="G3894" i="3" s="1"/>
  <c r="B3893" i="3"/>
  <c r="G3893" i="3" s="1"/>
  <c r="B3892" i="3"/>
  <c r="G3892" i="3" s="1"/>
  <c r="B3891" i="3"/>
  <c r="G3891" i="3" s="1"/>
  <c r="B3890" i="3"/>
  <c r="G3890" i="3" s="1"/>
  <c r="B3889" i="3"/>
  <c r="G3889" i="3" s="1"/>
  <c r="B3888" i="3"/>
  <c r="G3888" i="3" s="1"/>
  <c r="B3887" i="3"/>
  <c r="G3887" i="3" s="1"/>
  <c r="B3886" i="3"/>
  <c r="G3886" i="3" s="1"/>
  <c r="B3885" i="3"/>
  <c r="G3885" i="3" s="1"/>
  <c r="B3884" i="3"/>
  <c r="G3884" i="3" s="1"/>
  <c r="B3883" i="3"/>
  <c r="G3883" i="3" s="1"/>
  <c r="B3882" i="3"/>
  <c r="G3882" i="3" s="1"/>
  <c r="B3881" i="3"/>
  <c r="G3881" i="3" s="1"/>
  <c r="B3880" i="3"/>
  <c r="G3880" i="3" s="1"/>
  <c r="B3879" i="3"/>
  <c r="G3879" i="3" s="1"/>
  <c r="B3878" i="3"/>
  <c r="G3878" i="3" s="1"/>
  <c r="B3877" i="3"/>
  <c r="G3877" i="3" s="1"/>
  <c r="B3876" i="3"/>
  <c r="G3876" i="3" s="1"/>
  <c r="B3875" i="3"/>
  <c r="G3875" i="3" s="1"/>
  <c r="B3874" i="3"/>
  <c r="G3874" i="3" s="1"/>
  <c r="B3873" i="3"/>
  <c r="G3873" i="3" s="1"/>
  <c r="B3872" i="3"/>
  <c r="G3872" i="3" s="1"/>
  <c r="B3871" i="3"/>
  <c r="G3871" i="3" s="1"/>
  <c r="B3870" i="3"/>
  <c r="G3870" i="3" s="1"/>
  <c r="B3869" i="3"/>
  <c r="G3869" i="3" s="1"/>
  <c r="B3868" i="3"/>
  <c r="G3868" i="3" s="1"/>
  <c r="B3867" i="3"/>
  <c r="G3867" i="3" s="1"/>
  <c r="B3866" i="3"/>
  <c r="G3866" i="3" s="1"/>
  <c r="B3865" i="3"/>
  <c r="G3865" i="3" s="1"/>
  <c r="B3864" i="3"/>
  <c r="G3864" i="3" s="1"/>
  <c r="B3863" i="3"/>
  <c r="G3863" i="3" s="1"/>
  <c r="B3862" i="3"/>
  <c r="G3862" i="3" s="1"/>
  <c r="B3861" i="3"/>
  <c r="G3861" i="3" s="1"/>
  <c r="B3860" i="3"/>
  <c r="G3860" i="3" s="1"/>
  <c r="B3859" i="3"/>
  <c r="G3859" i="3" s="1"/>
  <c r="B3858" i="3"/>
  <c r="G3858" i="3" s="1"/>
  <c r="B3857" i="3"/>
  <c r="G3857" i="3" s="1"/>
  <c r="B3856" i="3"/>
  <c r="G3856" i="3" s="1"/>
  <c r="B3855" i="3"/>
  <c r="G3855" i="3" s="1"/>
  <c r="B3854" i="3"/>
  <c r="G3854" i="3" s="1"/>
  <c r="B3853" i="3"/>
  <c r="G3853" i="3" s="1"/>
  <c r="B3852" i="3"/>
  <c r="G3852" i="3" s="1"/>
  <c r="B3851" i="3"/>
  <c r="G3851" i="3" s="1"/>
  <c r="B3850" i="3"/>
  <c r="G3850" i="3" s="1"/>
  <c r="B3849" i="3"/>
  <c r="G3849" i="3" s="1"/>
  <c r="B3848" i="3"/>
  <c r="G3848" i="3" s="1"/>
  <c r="B3847" i="3"/>
  <c r="G3847" i="3" s="1"/>
  <c r="B3846" i="3"/>
  <c r="G3846" i="3" s="1"/>
  <c r="B3845" i="3"/>
  <c r="G3845" i="3" s="1"/>
  <c r="B3844" i="3"/>
  <c r="G3844" i="3" s="1"/>
  <c r="B3843" i="3"/>
  <c r="G3843" i="3" s="1"/>
  <c r="B3842" i="3"/>
  <c r="G3842" i="3" s="1"/>
  <c r="B3841" i="3"/>
  <c r="G3841" i="3" s="1"/>
  <c r="B3840" i="3"/>
  <c r="G3840" i="3" s="1"/>
  <c r="B3839" i="3"/>
  <c r="G3839" i="3" s="1"/>
  <c r="B3838" i="3"/>
  <c r="G3838" i="3" s="1"/>
  <c r="B3837" i="3"/>
  <c r="G3837" i="3" s="1"/>
  <c r="B3836" i="3"/>
  <c r="G3836" i="3" s="1"/>
  <c r="B3835" i="3"/>
  <c r="G3835" i="3" s="1"/>
  <c r="B3834" i="3"/>
  <c r="G3834" i="3" s="1"/>
  <c r="B3833" i="3"/>
  <c r="G3833" i="3" s="1"/>
  <c r="B3832" i="3"/>
  <c r="G3832" i="3" s="1"/>
  <c r="B3831" i="3"/>
  <c r="G3831" i="3" s="1"/>
  <c r="B3830" i="3"/>
  <c r="G3830" i="3" s="1"/>
  <c r="B3829" i="3"/>
  <c r="G3829" i="3" s="1"/>
  <c r="B3828" i="3"/>
  <c r="G3828" i="3" s="1"/>
  <c r="B3827" i="3"/>
  <c r="G3827" i="3" s="1"/>
  <c r="B3826" i="3"/>
  <c r="G3826" i="3" s="1"/>
  <c r="B3825" i="3"/>
  <c r="G3825" i="3" s="1"/>
  <c r="B3824" i="3"/>
  <c r="G3824" i="3" s="1"/>
  <c r="B3823" i="3"/>
  <c r="G3823" i="3" s="1"/>
  <c r="B3822" i="3"/>
  <c r="G3822" i="3" s="1"/>
  <c r="B3821" i="3"/>
  <c r="G3821" i="3" s="1"/>
  <c r="B3820" i="3"/>
  <c r="G3820" i="3" s="1"/>
  <c r="B3819" i="3"/>
  <c r="G3819" i="3" s="1"/>
  <c r="B3818" i="3"/>
  <c r="G3818" i="3" s="1"/>
  <c r="B3817" i="3"/>
  <c r="G3817" i="3" s="1"/>
  <c r="B3816" i="3"/>
  <c r="G3816" i="3" s="1"/>
  <c r="B3815" i="3"/>
  <c r="G3815" i="3" s="1"/>
  <c r="B3814" i="3"/>
  <c r="G3814" i="3" s="1"/>
  <c r="B3813" i="3"/>
  <c r="G3813" i="3" s="1"/>
  <c r="B3812" i="3"/>
  <c r="G3812" i="3" s="1"/>
  <c r="B3811" i="3"/>
  <c r="G3811" i="3" s="1"/>
  <c r="B3810" i="3"/>
  <c r="G3810" i="3" s="1"/>
  <c r="B3809" i="3"/>
  <c r="G3809" i="3" s="1"/>
  <c r="B3808" i="3"/>
  <c r="G3808" i="3" s="1"/>
  <c r="B3807" i="3"/>
  <c r="G3807" i="3" s="1"/>
  <c r="B3806" i="3"/>
  <c r="G3806" i="3" s="1"/>
  <c r="B3805" i="3"/>
  <c r="G3805" i="3" s="1"/>
  <c r="B3804" i="3"/>
  <c r="G3804" i="3" s="1"/>
  <c r="B3803" i="3"/>
  <c r="G3803" i="3" s="1"/>
  <c r="B3802" i="3"/>
  <c r="G3802" i="3" s="1"/>
  <c r="B3801" i="3"/>
  <c r="G3801" i="3" s="1"/>
  <c r="B3800" i="3"/>
  <c r="G3800" i="3" s="1"/>
  <c r="B3799" i="3"/>
  <c r="G3799" i="3" s="1"/>
  <c r="B3798" i="3"/>
  <c r="G3798" i="3" s="1"/>
  <c r="B3797" i="3"/>
  <c r="G3797" i="3" s="1"/>
  <c r="B3796" i="3"/>
  <c r="G3796" i="3" s="1"/>
  <c r="B3795" i="3"/>
  <c r="G3795" i="3" s="1"/>
  <c r="B3794" i="3"/>
  <c r="G3794" i="3" s="1"/>
  <c r="B3793" i="3"/>
  <c r="G3793" i="3" s="1"/>
  <c r="B3792" i="3"/>
  <c r="G3792" i="3" s="1"/>
  <c r="B3791" i="3"/>
  <c r="G3791" i="3" s="1"/>
  <c r="B3790" i="3"/>
  <c r="G3790" i="3" s="1"/>
  <c r="B3789" i="3"/>
  <c r="G3789" i="3" s="1"/>
  <c r="B3788" i="3"/>
  <c r="G3788" i="3" s="1"/>
  <c r="B3787" i="3"/>
  <c r="G3787" i="3" s="1"/>
  <c r="B3786" i="3"/>
  <c r="G3786" i="3" s="1"/>
  <c r="B3785" i="3"/>
  <c r="G3785" i="3" s="1"/>
  <c r="B3784" i="3"/>
  <c r="G3784" i="3" s="1"/>
  <c r="B3783" i="3"/>
  <c r="G3783" i="3" s="1"/>
  <c r="B3782" i="3"/>
  <c r="G3782" i="3" s="1"/>
  <c r="B3781" i="3"/>
  <c r="G3781" i="3" s="1"/>
  <c r="B3780" i="3"/>
  <c r="G3780" i="3" s="1"/>
  <c r="B3779" i="3"/>
  <c r="G3779" i="3" s="1"/>
  <c r="B3778" i="3"/>
  <c r="G3778" i="3" s="1"/>
  <c r="B3777" i="3"/>
  <c r="G3777" i="3" s="1"/>
  <c r="B3776" i="3"/>
  <c r="G3776" i="3" s="1"/>
  <c r="B3775" i="3"/>
  <c r="G3775" i="3" s="1"/>
  <c r="B3774" i="3"/>
  <c r="G3774" i="3" s="1"/>
  <c r="B3773" i="3"/>
  <c r="G3773" i="3" s="1"/>
  <c r="B3772" i="3"/>
  <c r="G3772" i="3" s="1"/>
  <c r="B3771" i="3"/>
  <c r="G3771" i="3" s="1"/>
  <c r="B3770" i="3"/>
  <c r="G3770" i="3" s="1"/>
  <c r="B3769" i="3"/>
  <c r="G3769" i="3" s="1"/>
  <c r="B3768" i="3"/>
  <c r="G3768" i="3" s="1"/>
  <c r="B3767" i="3"/>
  <c r="G3767" i="3" s="1"/>
  <c r="B3766" i="3"/>
  <c r="G3766" i="3" s="1"/>
  <c r="B3765" i="3"/>
  <c r="G3765" i="3" s="1"/>
  <c r="B3764" i="3"/>
  <c r="G3764" i="3" s="1"/>
  <c r="B3763" i="3"/>
  <c r="G3763" i="3" s="1"/>
  <c r="B3762" i="3"/>
  <c r="G3762" i="3" s="1"/>
  <c r="B3761" i="3"/>
  <c r="G3761" i="3" s="1"/>
  <c r="B3760" i="3"/>
  <c r="G3760" i="3" s="1"/>
  <c r="B3759" i="3"/>
  <c r="G3759" i="3" s="1"/>
  <c r="B3758" i="3"/>
  <c r="G3758" i="3" s="1"/>
  <c r="B3757" i="3"/>
  <c r="G3757" i="3" s="1"/>
  <c r="B3756" i="3"/>
  <c r="G3756" i="3" s="1"/>
  <c r="B3755" i="3"/>
  <c r="G3755" i="3" s="1"/>
  <c r="B3754" i="3"/>
  <c r="G3754" i="3" s="1"/>
  <c r="B3753" i="3"/>
  <c r="G3753" i="3" s="1"/>
  <c r="B3752" i="3"/>
  <c r="G3752" i="3" s="1"/>
  <c r="B3751" i="3"/>
  <c r="G3751" i="3" s="1"/>
  <c r="B3750" i="3"/>
  <c r="G3750" i="3" s="1"/>
  <c r="B3749" i="3"/>
  <c r="G3749" i="3" s="1"/>
  <c r="B3748" i="3"/>
  <c r="G3748" i="3" s="1"/>
  <c r="B3747" i="3"/>
  <c r="G3747" i="3" s="1"/>
  <c r="B3746" i="3"/>
  <c r="G3746" i="3" s="1"/>
  <c r="B3745" i="3"/>
  <c r="G3745" i="3" s="1"/>
  <c r="B3744" i="3"/>
  <c r="G3744" i="3" s="1"/>
  <c r="B3743" i="3"/>
  <c r="G3743" i="3" s="1"/>
  <c r="B3742" i="3"/>
  <c r="G3742" i="3" s="1"/>
  <c r="B3741" i="3"/>
  <c r="G3741" i="3" s="1"/>
  <c r="B3740" i="3"/>
  <c r="G3740" i="3" s="1"/>
  <c r="B3739" i="3"/>
  <c r="G3739" i="3" s="1"/>
  <c r="B3738" i="3"/>
  <c r="G3738" i="3" s="1"/>
  <c r="B3737" i="3"/>
  <c r="G3737" i="3" s="1"/>
  <c r="B3736" i="3"/>
  <c r="G3736" i="3" s="1"/>
  <c r="B3735" i="3"/>
  <c r="G3735" i="3" s="1"/>
  <c r="B3734" i="3"/>
  <c r="G3734" i="3" s="1"/>
  <c r="B3733" i="3"/>
  <c r="G3733" i="3" s="1"/>
  <c r="B3732" i="3"/>
  <c r="G3732" i="3" s="1"/>
  <c r="B3731" i="3"/>
  <c r="G3731" i="3" s="1"/>
  <c r="B3730" i="3"/>
  <c r="G3730" i="3" s="1"/>
  <c r="B3729" i="3"/>
  <c r="G3729" i="3" s="1"/>
  <c r="B3728" i="3"/>
  <c r="G3728" i="3" s="1"/>
  <c r="B3727" i="3"/>
  <c r="G3727" i="3" s="1"/>
  <c r="B3726" i="3"/>
  <c r="G3726" i="3" s="1"/>
  <c r="B3725" i="3"/>
  <c r="G3725" i="3" s="1"/>
  <c r="B3724" i="3"/>
  <c r="G3724" i="3" s="1"/>
  <c r="B3723" i="3"/>
  <c r="G3723" i="3" s="1"/>
  <c r="B3722" i="3"/>
  <c r="G3722" i="3" s="1"/>
  <c r="B3721" i="3"/>
  <c r="G3721" i="3" s="1"/>
  <c r="B3720" i="3"/>
  <c r="G3720" i="3" s="1"/>
  <c r="B3719" i="3"/>
  <c r="G3719" i="3" s="1"/>
  <c r="B3718" i="3"/>
  <c r="G3718" i="3" s="1"/>
  <c r="B3717" i="3"/>
  <c r="G3717" i="3" s="1"/>
  <c r="B3716" i="3"/>
  <c r="G3716" i="3" s="1"/>
  <c r="B3715" i="3"/>
  <c r="G3715" i="3" s="1"/>
  <c r="B3714" i="3"/>
  <c r="G3714" i="3" s="1"/>
  <c r="B3713" i="3"/>
  <c r="G3713" i="3" s="1"/>
  <c r="B3712" i="3"/>
  <c r="G3712" i="3" s="1"/>
  <c r="B3711" i="3"/>
  <c r="G3711" i="3" s="1"/>
  <c r="B3710" i="3"/>
  <c r="G3710" i="3" s="1"/>
  <c r="B3709" i="3"/>
  <c r="G3709" i="3" s="1"/>
  <c r="B3708" i="3"/>
  <c r="G3708" i="3" s="1"/>
  <c r="B3707" i="3"/>
  <c r="G3707" i="3" s="1"/>
  <c r="B3706" i="3"/>
  <c r="G3706" i="3" s="1"/>
  <c r="B3705" i="3"/>
  <c r="G3705" i="3" s="1"/>
  <c r="B3704" i="3"/>
  <c r="G3704" i="3" s="1"/>
  <c r="B3703" i="3"/>
  <c r="G3703" i="3" s="1"/>
  <c r="B3702" i="3"/>
  <c r="G3702" i="3" s="1"/>
  <c r="B3701" i="3"/>
  <c r="G3701" i="3" s="1"/>
  <c r="B3700" i="3"/>
  <c r="G3700" i="3" s="1"/>
  <c r="B3699" i="3"/>
  <c r="G3699" i="3" s="1"/>
  <c r="B3698" i="3"/>
  <c r="G3698" i="3" s="1"/>
  <c r="B3697" i="3"/>
  <c r="G3697" i="3" s="1"/>
  <c r="B3696" i="3"/>
  <c r="G3696" i="3" s="1"/>
  <c r="B3695" i="3"/>
  <c r="G3695" i="3" s="1"/>
  <c r="B3694" i="3"/>
  <c r="G3694" i="3" s="1"/>
  <c r="B3693" i="3"/>
  <c r="G3693" i="3" s="1"/>
  <c r="B3692" i="3"/>
  <c r="G3692" i="3" s="1"/>
  <c r="B3691" i="3"/>
  <c r="G3691" i="3" s="1"/>
  <c r="B3690" i="3"/>
  <c r="G3690" i="3" s="1"/>
  <c r="B3689" i="3"/>
  <c r="G3689" i="3" s="1"/>
  <c r="B3688" i="3"/>
  <c r="G3688" i="3" s="1"/>
  <c r="B3687" i="3"/>
  <c r="G3687" i="3" s="1"/>
  <c r="B3686" i="3"/>
  <c r="G3686" i="3" s="1"/>
  <c r="B3685" i="3"/>
  <c r="G3685" i="3" s="1"/>
  <c r="B3684" i="3"/>
  <c r="G3684" i="3" s="1"/>
  <c r="B3683" i="3"/>
  <c r="G3683" i="3" s="1"/>
  <c r="B3682" i="3"/>
  <c r="G3682" i="3" s="1"/>
  <c r="B3681" i="3"/>
  <c r="G3681" i="3" s="1"/>
  <c r="B3680" i="3"/>
  <c r="G3680" i="3" s="1"/>
  <c r="B3679" i="3"/>
  <c r="G3679" i="3" s="1"/>
  <c r="B3678" i="3"/>
  <c r="G3678" i="3" s="1"/>
  <c r="B3677" i="3"/>
  <c r="G3677" i="3" s="1"/>
  <c r="B3676" i="3"/>
  <c r="G3676" i="3" s="1"/>
  <c r="B3675" i="3"/>
  <c r="G3675" i="3" s="1"/>
  <c r="B3674" i="3"/>
  <c r="G3674" i="3" s="1"/>
  <c r="B3673" i="3"/>
  <c r="G3673" i="3" s="1"/>
  <c r="B3672" i="3"/>
  <c r="G3672" i="3" s="1"/>
  <c r="B3671" i="3"/>
  <c r="G3671" i="3" s="1"/>
  <c r="B3670" i="3"/>
  <c r="G3670" i="3" s="1"/>
  <c r="B3669" i="3"/>
  <c r="G3669" i="3" s="1"/>
  <c r="B3668" i="3"/>
  <c r="G3668" i="3" s="1"/>
  <c r="B3667" i="3"/>
  <c r="G3667" i="3" s="1"/>
  <c r="B3666" i="3"/>
  <c r="G3666" i="3" s="1"/>
  <c r="B3665" i="3"/>
  <c r="G3665" i="3" s="1"/>
  <c r="B3664" i="3"/>
  <c r="G3664" i="3" s="1"/>
  <c r="B3663" i="3"/>
  <c r="G3663" i="3" s="1"/>
  <c r="B3662" i="3"/>
  <c r="G3662" i="3" s="1"/>
  <c r="B3661" i="3"/>
  <c r="G3661" i="3" s="1"/>
  <c r="B3660" i="3"/>
  <c r="G3660" i="3" s="1"/>
  <c r="B3659" i="3"/>
  <c r="G3659" i="3" s="1"/>
  <c r="B3658" i="3"/>
  <c r="G3658" i="3" s="1"/>
  <c r="B3657" i="3"/>
  <c r="G3657" i="3" s="1"/>
  <c r="B3656" i="3"/>
  <c r="G3656" i="3" s="1"/>
  <c r="B3655" i="3"/>
  <c r="G3655" i="3" s="1"/>
  <c r="B3654" i="3"/>
  <c r="G3654" i="3" s="1"/>
  <c r="B3653" i="3"/>
  <c r="G3653" i="3" s="1"/>
  <c r="B3652" i="3"/>
  <c r="G3652" i="3" s="1"/>
  <c r="B3651" i="3"/>
  <c r="G3651" i="3" s="1"/>
  <c r="B3650" i="3"/>
  <c r="G3650" i="3" s="1"/>
  <c r="B3649" i="3"/>
  <c r="G3649" i="3" s="1"/>
  <c r="B3648" i="3"/>
  <c r="G3648" i="3" s="1"/>
  <c r="B3647" i="3"/>
  <c r="G3647" i="3" s="1"/>
  <c r="B3646" i="3"/>
  <c r="G3646" i="3" s="1"/>
  <c r="B3645" i="3"/>
  <c r="G3645" i="3" s="1"/>
  <c r="B3644" i="3"/>
  <c r="G3644" i="3" s="1"/>
  <c r="B3643" i="3"/>
  <c r="G3643" i="3" s="1"/>
  <c r="B3642" i="3"/>
  <c r="G3642" i="3" s="1"/>
  <c r="B3641" i="3"/>
  <c r="G3641" i="3" s="1"/>
  <c r="B3640" i="3"/>
  <c r="G3640" i="3" s="1"/>
  <c r="B3639" i="3"/>
  <c r="G3639" i="3" s="1"/>
  <c r="B3638" i="3"/>
  <c r="G3638" i="3" s="1"/>
  <c r="B3637" i="3"/>
  <c r="G3637" i="3" s="1"/>
  <c r="B3636" i="3"/>
  <c r="G3636" i="3" s="1"/>
  <c r="B3635" i="3"/>
  <c r="G3635" i="3" s="1"/>
  <c r="B3634" i="3"/>
  <c r="G3634" i="3" s="1"/>
  <c r="B3633" i="3"/>
  <c r="G3633" i="3" s="1"/>
  <c r="B3632" i="3"/>
  <c r="G3632" i="3" s="1"/>
  <c r="B3631" i="3"/>
  <c r="G3631" i="3" s="1"/>
  <c r="B3630" i="3"/>
  <c r="G3630" i="3" s="1"/>
  <c r="B3629" i="3"/>
  <c r="G3629" i="3" s="1"/>
  <c r="B3628" i="3"/>
  <c r="G3628" i="3" s="1"/>
  <c r="B3627" i="3"/>
  <c r="G3627" i="3" s="1"/>
  <c r="B3626" i="3"/>
  <c r="G3626" i="3" s="1"/>
  <c r="B3625" i="3"/>
  <c r="G3625" i="3" s="1"/>
  <c r="B3624" i="3"/>
  <c r="G3624" i="3" s="1"/>
  <c r="B3623" i="3"/>
  <c r="G3623" i="3" s="1"/>
  <c r="B3622" i="3"/>
  <c r="G3622" i="3" s="1"/>
  <c r="B3621" i="3"/>
  <c r="G3621" i="3" s="1"/>
  <c r="B3620" i="3"/>
  <c r="G3620" i="3" s="1"/>
  <c r="B3619" i="3"/>
  <c r="G3619" i="3" s="1"/>
  <c r="B3618" i="3"/>
  <c r="G3618" i="3" s="1"/>
  <c r="B3617" i="3"/>
  <c r="G3617" i="3" s="1"/>
  <c r="B3616" i="3"/>
  <c r="G3616" i="3" s="1"/>
  <c r="B3615" i="3"/>
  <c r="G3615" i="3" s="1"/>
  <c r="B3614" i="3"/>
  <c r="G3614" i="3" s="1"/>
  <c r="B3613" i="3"/>
  <c r="G3613" i="3" s="1"/>
  <c r="B3612" i="3"/>
  <c r="G3612" i="3" s="1"/>
  <c r="B3611" i="3"/>
  <c r="G3611" i="3" s="1"/>
  <c r="B3610" i="3"/>
  <c r="G3610" i="3" s="1"/>
  <c r="B3609" i="3"/>
  <c r="G3609" i="3" s="1"/>
  <c r="B3608" i="3"/>
  <c r="G3608" i="3" s="1"/>
  <c r="B3607" i="3"/>
  <c r="G3607" i="3" s="1"/>
  <c r="B3606" i="3"/>
  <c r="G3606" i="3" s="1"/>
  <c r="B3605" i="3"/>
  <c r="G3605" i="3" s="1"/>
  <c r="B3604" i="3"/>
  <c r="G3604" i="3" s="1"/>
  <c r="B3603" i="3"/>
  <c r="G3603" i="3" s="1"/>
  <c r="B3602" i="3"/>
  <c r="G3602" i="3" s="1"/>
  <c r="B3601" i="3"/>
  <c r="G3601" i="3" s="1"/>
  <c r="B3600" i="3"/>
  <c r="G3600" i="3" s="1"/>
  <c r="B3599" i="3"/>
  <c r="G3599" i="3" s="1"/>
  <c r="B3598" i="3"/>
  <c r="G3598" i="3" s="1"/>
  <c r="B3597" i="3"/>
  <c r="G3597" i="3" s="1"/>
  <c r="B3596" i="3"/>
  <c r="G3596" i="3" s="1"/>
  <c r="B3595" i="3"/>
  <c r="G3595" i="3" s="1"/>
  <c r="B3594" i="3"/>
  <c r="G3594" i="3" s="1"/>
  <c r="B3593" i="3"/>
  <c r="G3593" i="3" s="1"/>
  <c r="B3592" i="3"/>
  <c r="G3592" i="3" s="1"/>
  <c r="B3591" i="3"/>
  <c r="G3591" i="3" s="1"/>
  <c r="B3590" i="3"/>
  <c r="G3590" i="3" s="1"/>
  <c r="B3589" i="3"/>
  <c r="G3589" i="3" s="1"/>
  <c r="B3588" i="3"/>
  <c r="G3588" i="3" s="1"/>
  <c r="B3587" i="3"/>
  <c r="G3587" i="3" s="1"/>
  <c r="B3586" i="3"/>
  <c r="G3586" i="3" s="1"/>
  <c r="B3585" i="3"/>
  <c r="G3585" i="3" s="1"/>
  <c r="B3584" i="3"/>
  <c r="G3584" i="3" s="1"/>
  <c r="B3583" i="3"/>
  <c r="G3583" i="3" s="1"/>
  <c r="B3582" i="3"/>
  <c r="G3582" i="3" s="1"/>
  <c r="B3581" i="3"/>
  <c r="G3581" i="3" s="1"/>
  <c r="B3580" i="3"/>
  <c r="G3580" i="3" s="1"/>
  <c r="B3579" i="3"/>
  <c r="G3579" i="3" s="1"/>
  <c r="B3578" i="3"/>
  <c r="G3578" i="3" s="1"/>
  <c r="B3577" i="3"/>
  <c r="G3577" i="3" s="1"/>
  <c r="B3576" i="3"/>
  <c r="G3576" i="3" s="1"/>
  <c r="B3575" i="3"/>
  <c r="G3575" i="3" s="1"/>
  <c r="B3574" i="3"/>
  <c r="G3574" i="3" s="1"/>
  <c r="B3573" i="3"/>
  <c r="G3573" i="3" s="1"/>
  <c r="B3572" i="3"/>
  <c r="G3572" i="3" s="1"/>
  <c r="B3571" i="3"/>
  <c r="G3571" i="3" s="1"/>
  <c r="B3570" i="3"/>
  <c r="G3570" i="3" s="1"/>
  <c r="B3569" i="3"/>
  <c r="G3569" i="3" s="1"/>
  <c r="B3568" i="3"/>
  <c r="G3568" i="3" s="1"/>
  <c r="B3567" i="3"/>
  <c r="G3567" i="3" s="1"/>
  <c r="B3566" i="3"/>
  <c r="G3566" i="3" s="1"/>
  <c r="B3565" i="3"/>
  <c r="G3565" i="3" s="1"/>
  <c r="B3564" i="3"/>
  <c r="G3564" i="3" s="1"/>
  <c r="B3563" i="3"/>
  <c r="G3563" i="3" s="1"/>
  <c r="B3562" i="3"/>
  <c r="G3562" i="3" s="1"/>
  <c r="B3561" i="3"/>
  <c r="G3561" i="3" s="1"/>
  <c r="B3560" i="3"/>
  <c r="G3560" i="3" s="1"/>
  <c r="B3559" i="3"/>
  <c r="G3559" i="3" s="1"/>
  <c r="B3558" i="3"/>
  <c r="G3558" i="3" s="1"/>
  <c r="B3557" i="3"/>
  <c r="G3557" i="3" s="1"/>
  <c r="B3556" i="3"/>
  <c r="G3556" i="3" s="1"/>
  <c r="B3555" i="3"/>
  <c r="G3555" i="3" s="1"/>
  <c r="B3554" i="3"/>
  <c r="G3554" i="3" s="1"/>
  <c r="B3553" i="3"/>
  <c r="G3553" i="3" s="1"/>
  <c r="B3552" i="3"/>
  <c r="G3552" i="3" s="1"/>
  <c r="B3551" i="3"/>
  <c r="G3551" i="3" s="1"/>
  <c r="B3550" i="3"/>
  <c r="G3550" i="3" s="1"/>
  <c r="B3549" i="3"/>
  <c r="G3549" i="3" s="1"/>
  <c r="B3548" i="3"/>
  <c r="G3548" i="3" s="1"/>
  <c r="B3547" i="3"/>
  <c r="G3547" i="3" s="1"/>
  <c r="B3546" i="3"/>
  <c r="G3546" i="3" s="1"/>
  <c r="B3545" i="3"/>
  <c r="G3545" i="3" s="1"/>
  <c r="B3544" i="3"/>
  <c r="G3544" i="3" s="1"/>
  <c r="B3543" i="3"/>
  <c r="G3543" i="3" s="1"/>
  <c r="B3542" i="3"/>
  <c r="G3542" i="3" s="1"/>
  <c r="B3541" i="3"/>
  <c r="G3541" i="3" s="1"/>
  <c r="B3540" i="3"/>
  <c r="G3540" i="3" s="1"/>
  <c r="B3539" i="3"/>
  <c r="G3539" i="3" s="1"/>
  <c r="B3538" i="3"/>
  <c r="G3538" i="3" s="1"/>
  <c r="B3537" i="3"/>
  <c r="G3537" i="3" s="1"/>
  <c r="B3536" i="3"/>
  <c r="G3536" i="3" s="1"/>
  <c r="B3535" i="3"/>
  <c r="G3535" i="3" s="1"/>
  <c r="B3534" i="3"/>
  <c r="G3534" i="3" s="1"/>
  <c r="B3533" i="3"/>
  <c r="G3533" i="3" s="1"/>
  <c r="B3532" i="3"/>
  <c r="G3532" i="3" s="1"/>
  <c r="B3531" i="3"/>
  <c r="G3531" i="3" s="1"/>
  <c r="B3530" i="3"/>
  <c r="G3530" i="3" s="1"/>
  <c r="B3529" i="3"/>
  <c r="G3529" i="3" s="1"/>
  <c r="B3528" i="3"/>
  <c r="G3528" i="3" s="1"/>
  <c r="B3527" i="3"/>
  <c r="G3527" i="3" s="1"/>
  <c r="B3526" i="3"/>
  <c r="G3526" i="3" s="1"/>
  <c r="B3525" i="3"/>
  <c r="G3525" i="3" s="1"/>
  <c r="B3524" i="3"/>
  <c r="G3524" i="3" s="1"/>
  <c r="B3523" i="3"/>
  <c r="G3523" i="3" s="1"/>
  <c r="B3522" i="3"/>
  <c r="G3522" i="3" s="1"/>
  <c r="B3521" i="3"/>
  <c r="G3521" i="3" s="1"/>
  <c r="B3520" i="3"/>
  <c r="G3520" i="3" s="1"/>
  <c r="B3519" i="3"/>
  <c r="G3519" i="3" s="1"/>
  <c r="B3518" i="3"/>
  <c r="G3518" i="3" s="1"/>
  <c r="B3517" i="3"/>
  <c r="G3517" i="3" s="1"/>
  <c r="B3516" i="3"/>
  <c r="G3516" i="3" s="1"/>
  <c r="B3515" i="3"/>
  <c r="G3515" i="3" s="1"/>
  <c r="B3514" i="3"/>
  <c r="G3514" i="3" s="1"/>
  <c r="B3513" i="3"/>
  <c r="G3513" i="3" s="1"/>
  <c r="B3512" i="3"/>
  <c r="G3512" i="3" s="1"/>
  <c r="B3511" i="3"/>
  <c r="G3511" i="3" s="1"/>
  <c r="B3510" i="3"/>
  <c r="G3510" i="3" s="1"/>
  <c r="B3509" i="3"/>
  <c r="G3509" i="3" s="1"/>
  <c r="B3508" i="3"/>
  <c r="G3508" i="3" s="1"/>
  <c r="B3507" i="3"/>
  <c r="G3507" i="3" s="1"/>
  <c r="B3506" i="3"/>
  <c r="G3506" i="3" s="1"/>
  <c r="B3505" i="3"/>
  <c r="G3505" i="3" s="1"/>
  <c r="B3504" i="3"/>
  <c r="G3504" i="3" s="1"/>
  <c r="B3503" i="3"/>
  <c r="G3503" i="3" s="1"/>
  <c r="B3502" i="3"/>
  <c r="G3502" i="3" s="1"/>
  <c r="B3501" i="3"/>
  <c r="G3501" i="3" s="1"/>
  <c r="B3500" i="3"/>
  <c r="G3500" i="3" s="1"/>
  <c r="B3499" i="3"/>
  <c r="G3499" i="3" s="1"/>
  <c r="B3498" i="3"/>
  <c r="G3498" i="3" s="1"/>
  <c r="B3497" i="3"/>
  <c r="G3497" i="3" s="1"/>
  <c r="B3496" i="3"/>
  <c r="G3496" i="3" s="1"/>
  <c r="B3495" i="3"/>
  <c r="G3495" i="3" s="1"/>
  <c r="B3494" i="3"/>
  <c r="G3494" i="3" s="1"/>
  <c r="B3493" i="3"/>
  <c r="G3493" i="3" s="1"/>
  <c r="B3492" i="3"/>
  <c r="G3492" i="3" s="1"/>
  <c r="B3491" i="3"/>
  <c r="G3491" i="3" s="1"/>
  <c r="B3490" i="3"/>
  <c r="G3490" i="3" s="1"/>
  <c r="B3489" i="3"/>
  <c r="G3489" i="3" s="1"/>
  <c r="B3488" i="3"/>
  <c r="G3488" i="3" s="1"/>
  <c r="B3487" i="3"/>
  <c r="G3487" i="3" s="1"/>
  <c r="B3486" i="3"/>
  <c r="G3486" i="3" s="1"/>
  <c r="B3485" i="3"/>
  <c r="G3485" i="3" s="1"/>
  <c r="B3484" i="3"/>
  <c r="G3484" i="3" s="1"/>
  <c r="B3483" i="3"/>
  <c r="G3483" i="3" s="1"/>
  <c r="B3482" i="3"/>
  <c r="G3482" i="3" s="1"/>
  <c r="B3481" i="3"/>
  <c r="G3481" i="3" s="1"/>
  <c r="B3480" i="3"/>
  <c r="G3480" i="3" s="1"/>
  <c r="B3479" i="3"/>
  <c r="G3479" i="3" s="1"/>
  <c r="B3478" i="3"/>
  <c r="G3478" i="3" s="1"/>
  <c r="B3477" i="3"/>
  <c r="G3477" i="3" s="1"/>
  <c r="B3476" i="3"/>
  <c r="G3476" i="3" s="1"/>
  <c r="B3475" i="3"/>
  <c r="G3475" i="3" s="1"/>
  <c r="B3474" i="3"/>
  <c r="G3474" i="3" s="1"/>
  <c r="B3473" i="3"/>
  <c r="G3473" i="3" s="1"/>
  <c r="B3472" i="3"/>
  <c r="G3472" i="3" s="1"/>
  <c r="B3471" i="3"/>
  <c r="G3471" i="3" s="1"/>
  <c r="B3470" i="3"/>
  <c r="G3470" i="3" s="1"/>
  <c r="B3469" i="3"/>
  <c r="G3469" i="3" s="1"/>
  <c r="B3468" i="3"/>
  <c r="G3468" i="3" s="1"/>
  <c r="B3467" i="3"/>
  <c r="G3467" i="3" s="1"/>
  <c r="B3466" i="3"/>
  <c r="G3466" i="3" s="1"/>
  <c r="B3465" i="3"/>
  <c r="G3465" i="3" s="1"/>
  <c r="B3464" i="3"/>
  <c r="G3464" i="3" s="1"/>
  <c r="B3463" i="3"/>
  <c r="G3463" i="3" s="1"/>
  <c r="B3462" i="3"/>
  <c r="G3462" i="3" s="1"/>
  <c r="B3461" i="3"/>
  <c r="G3461" i="3" s="1"/>
  <c r="B3460" i="3"/>
  <c r="G3460" i="3" s="1"/>
  <c r="B3459" i="3"/>
  <c r="G3459" i="3" s="1"/>
  <c r="B3458" i="3"/>
  <c r="G3458" i="3" s="1"/>
  <c r="B3457" i="3"/>
  <c r="G3457" i="3" s="1"/>
  <c r="B3456" i="3"/>
  <c r="G3456" i="3" s="1"/>
  <c r="B3455" i="3"/>
  <c r="G3455" i="3" s="1"/>
  <c r="B3454" i="3"/>
  <c r="G3454" i="3" s="1"/>
  <c r="B3453" i="3"/>
  <c r="G3453" i="3" s="1"/>
  <c r="B3452" i="3"/>
  <c r="G3452" i="3" s="1"/>
  <c r="B3451" i="3"/>
  <c r="G3451" i="3" s="1"/>
  <c r="B3450" i="3"/>
  <c r="G3450" i="3" s="1"/>
  <c r="B3449" i="3"/>
  <c r="G3449" i="3" s="1"/>
  <c r="B3448" i="3"/>
  <c r="G3448" i="3" s="1"/>
  <c r="B3447" i="3"/>
  <c r="G3447" i="3" s="1"/>
  <c r="B3446" i="3"/>
  <c r="G3446" i="3" s="1"/>
  <c r="B3445" i="3"/>
  <c r="G3445" i="3" s="1"/>
  <c r="B3444" i="3"/>
  <c r="G3444" i="3" s="1"/>
  <c r="B3443" i="3"/>
  <c r="G3443" i="3" s="1"/>
  <c r="B3442" i="3"/>
  <c r="G3442" i="3" s="1"/>
  <c r="B3441" i="3"/>
  <c r="G3441" i="3" s="1"/>
  <c r="B3440" i="3"/>
  <c r="G3440" i="3" s="1"/>
  <c r="B3439" i="3"/>
  <c r="G3439" i="3" s="1"/>
  <c r="B3438" i="3"/>
  <c r="G3438" i="3" s="1"/>
  <c r="B3437" i="3"/>
  <c r="G3437" i="3" s="1"/>
  <c r="B3436" i="3"/>
  <c r="G3436" i="3" s="1"/>
  <c r="B3435" i="3"/>
  <c r="G3435" i="3" s="1"/>
  <c r="B3434" i="3"/>
  <c r="G3434" i="3" s="1"/>
  <c r="B3433" i="3"/>
  <c r="G3433" i="3" s="1"/>
  <c r="B3432" i="3"/>
  <c r="G3432" i="3" s="1"/>
  <c r="B3431" i="3"/>
  <c r="G3431" i="3" s="1"/>
  <c r="B3430" i="3"/>
  <c r="G3430" i="3" s="1"/>
  <c r="B3429" i="3"/>
  <c r="G3429" i="3" s="1"/>
  <c r="B3428" i="3"/>
  <c r="G3428" i="3" s="1"/>
  <c r="B3427" i="3"/>
  <c r="G3427" i="3" s="1"/>
  <c r="B3426" i="3"/>
  <c r="G3426" i="3" s="1"/>
  <c r="B3425" i="3"/>
  <c r="G3425" i="3" s="1"/>
  <c r="B3424" i="3"/>
  <c r="G3424" i="3" s="1"/>
  <c r="B3423" i="3"/>
  <c r="G3423" i="3" s="1"/>
  <c r="B3422" i="3"/>
  <c r="G3422" i="3" s="1"/>
  <c r="B3421" i="3"/>
  <c r="G3421" i="3" s="1"/>
  <c r="B3420" i="3"/>
  <c r="G3420" i="3" s="1"/>
  <c r="B3419" i="3"/>
  <c r="G3419" i="3" s="1"/>
  <c r="B3418" i="3"/>
  <c r="G3418" i="3" s="1"/>
  <c r="B3417" i="3"/>
  <c r="G3417" i="3" s="1"/>
  <c r="B3416" i="3"/>
  <c r="G3416" i="3" s="1"/>
  <c r="B3415" i="3"/>
  <c r="G3415" i="3" s="1"/>
  <c r="B3414" i="3"/>
  <c r="G3414" i="3" s="1"/>
  <c r="B3413" i="3"/>
  <c r="G3413" i="3" s="1"/>
  <c r="B3412" i="3"/>
  <c r="G3412" i="3" s="1"/>
  <c r="B3411" i="3"/>
  <c r="G3411" i="3" s="1"/>
  <c r="B3410" i="3"/>
  <c r="G3410" i="3" s="1"/>
  <c r="B3409" i="3"/>
  <c r="G3409" i="3" s="1"/>
  <c r="B3408" i="3"/>
  <c r="G3408" i="3" s="1"/>
  <c r="B3407" i="3"/>
  <c r="G3407" i="3" s="1"/>
  <c r="B3406" i="3"/>
  <c r="G3406" i="3" s="1"/>
  <c r="B3405" i="3"/>
  <c r="G3405" i="3" s="1"/>
  <c r="B3404" i="3"/>
  <c r="G3404" i="3" s="1"/>
  <c r="B3403" i="3"/>
  <c r="G3403" i="3" s="1"/>
  <c r="B3402" i="3"/>
  <c r="G3402" i="3" s="1"/>
  <c r="B3401" i="3"/>
  <c r="G3401" i="3" s="1"/>
  <c r="B3400" i="3"/>
  <c r="G3400" i="3" s="1"/>
  <c r="B3399" i="3"/>
  <c r="G3399" i="3" s="1"/>
  <c r="B3398" i="3"/>
  <c r="G3398" i="3" s="1"/>
  <c r="B3397" i="3"/>
  <c r="G3397" i="3" s="1"/>
  <c r="B3396" i="3"/>
  <c r="G3396" i="3" s="1"/>
  <c r="B3395" i="3"/>
  <c r="G3395" i="3" s="1"/>
  <c r="B3394" i="3"/>
  <c r="G3394" i="3" s="1"/>
  <c r="B3393" i="3"/>
  <c r="G3393" i="3" s="1"/>
  <c r="B3392" i="3"/>
  <c r="G3392" i="3" s="1"/>
  <c r="B3391" i="3"/>
  <c r="G3391" i="3" s="1"/>
  <c r="B3390" i="3"/>
  <c r="G3390" i="3" s="1"/>
  <c r="B3389" i="3"/>
  <c r="G3389" i="3" s="1"/>
  <c r="B3388" i="3"/>
  <c r="G3388" i="3" s="1"/>
  <c r="B3387" i="3"/>
  <c r="G3387" i="3" s="1"/>
  <c r="B3386" i="3"/>
  <c r="G3386" i="3" s="1"/>
  <c r="B3385" i="3"/>
  <c r="G3385" i="3" s="1"/>
  <c r="B3384" i="3"/>
  <c r="G3384" i="3" s="1"/>
  <c r="B3383" i="3"/>
  <c r="G3383" i="3" s="1"/>
  <c r="B3382" i="3"/>
  <c r="G3382" i="3" s="1"/>
  <c r="B3381" i="3"/>
  <c r="G3381" i="3" s="1"/>
  <c r="B3380" i="3"/>
  <c r="G3380" i="3" s="1"/>
  <c r="B3379" i="3"/>
  <c r="G3379" i="3" s="1"/>
  <c r="B3378" i="3"/>
  <c r="G3378" i="3" s="1"/>
  <c r="B3377" i="3"/>
  <c r="G3377" i="3" s="1"/>
  <c r="B3376" i="3"/>
  <c r="G3376" i="3" s="1"/>
  <c r="B3375" i="3"/>
  <c r="G3375" i="3" s="1"/>
  <c r="B3374" i="3"/>
  <c r="G3374" i="3" s="1"/>
  <c r="B3373" i="3"/>
  <c r="G3373" i="3" s="1"/>
  <c r="B3372" i="3"/>
  <c r="G3372" i="3" s="1"/>
  <c r="B3371" i="3"/>
  <c r="G3371" i="3" s="1"/>
  <c r="B3370" i="3"/>
  <c r="G3370" i="3" s="1"/>
  <c r="B3369" i="3"/>
  <c r="G3369" i="3" s="1"/>
  <c r="B3368" i="3"/>
  <c r="G3368" i="3" s="1"/>
  <c r="B3367" i="3"/>
  <c r="G3367" i="3" s="1"/>
  <c r="B3366" i="3"/>
  <c r="G3366" i="3" s="1"/>
  <c r="B3365" i="3"/>
  <c r="G3365" i="3" s="1"/>
  <c r="B3364" i="3"/>
  <c r="G3364" i="3" s="1"/>
  <c r="B3363" i="3"/>
  <c r="G3363" i="3" s="1"/>
  <c r="B3362" i="3"/>
  <c r="G3362" i="3" s="1"/>
  <c r="B3361" i="3"/>
  <c r="G3361" i="3" s="1"/>
  <c r="B3360" i="3"/>
  <c r="G3360" i="3" s="1"/>
  <c r="B3359" i="3"/>
  <c r="G3359" i="3" s="1"/>
  <c r="B3358" i="3"/>
  <c r="G3358" i="3" s="1"/>
  <c r="B3357" i="3"/>
  <c r="G3357" i="3" s="1"/>
  <c r="B3356" i="3"/>
  <c r="G3356" i="3" s="1"/>
  <c r="B3355" i="3"/>
  <c r="G3355" i="3" s="1"/>
  <c r="B3354" i="3"/>
  <c r="G3354" i="3" s="1"/>
  <c r="B3353" i="3"/>
  <c r="G3353" i="3" s="1"/>
  <c r="B3352" i="3"/>
  <c r="G3352" i="3" s="1"/>
  <c r="B3351" i="3"/>
  <c r="G3351" i="3" s="1"/>
  <c r="B3350" i="3"/>
  <c r="G3350" i="3" s="1"/>
  <c r="B3349" i="3"/>
  <c r="G3349" i="3" s="1"/>
  <c r="B3348" i="3"/>
  <c r="G3348" i="3" s="1"/>
  <c r="B3347" i="3"/>
  <c r="G3347" i="3" s="1"/>
  <c r="B3346" i="3"/>
  <c r="G3346" i="3" s="1"/>
  <c r="B3345" i="3"/>
  <c r="G3345" i="3" s="1"/>
  <c r="B3344" i="3"/>
  <c r="G3344" i="3" s="1"/>
  <c r="B3343" i="3"/>
  <c r="G3343" i="3" s="1"/>
  <c r="B3342" i="3"/>
  <c r="G3342" i="3" s="1"/>
  <c r="B3341" i="3"/>
  <c r="G3341" i="3" s="1"/>
  <c r="B3340" i="3"/>
  <c r="G3340" i="3" s="1"/>
  <c r="B3339" i="3"/>
  <c r="G3339" i="3" s="1"/>
  <c r="B3338" i="3"/>
  <c r="G3338" i="3" s="1"/>
  <c r="B3337" i="3"/>
  <c r="G3337" i="3" s="1"/>
  <c r="B3336" i="3"/>
  <c r="G3336" i="3" s="1"/>
  <c r="B3335" i="3"/>
  <c r="G3335" i="3" s="1"/>
  <c r="B3334" i="3"/>
  <c r="G3334" i="3" s="1"/>
  <c r="B3333" i="3"/>
  <c r="G3333" i="3" s="1"/>
  <c r="B3332" i="3"/>
  <c r="G3332" i="3" s="1"/>
  <c r="B3331" i="3"/>
  <c r="G3331" i="3" s="1"/>
  <c r="B3330" i="3"/>
  <c r="G3330" i="3" s="1"/>
  <c r="B3329" i="3"/>
  <c r="G3329" i="3" s="1"/>
  <c r="B3328" i="3"/>
  <c r="G3328" i="3" s="1"/>
  <c r="B3327" i="3"/>
  <c r="G3327" i="3" s="1"/>
  <c r="B3326" i="3"/>
  <c r="G3326" i="3" s="1"/>
  <c r="B3325" i="3"/>
  <c r="G3325" i="3" s="1"/>
  <c r="B3324" i="3"/>
  <c r="G3324" i="3" s="1"/>
  <c r="B3323" i="3"/>
  <c r="G3323" i="3" s="1"/>
  <c r="B3322" i="3"/>
  <c r="G3322" i="3" s="1"/>
  <c r="B3321" i="3"/>
  <c r="G3321" i="3" s="1"/>
  <c r="B3320" i="3"/>
  <c r="G3320" i="3" s="1"/>
  <c r="B3319" i="3"/>
  <c r="G3319" i="3" s="1"/>
  <c r="B3318" i="3"/>
  <c r="G3318" i="3" s="1"/>
  <c r="B3317" i="3"/>
  <c r="G3317" i="3" s="1"/>
  <c r="B3316" i="3"/>
  <c r="G3316" i="3" s="1"/>
  <c r="B3315" i="3"/>
  <c r="G3315" i="3" s="1"/>
  <c r="B3314" i="3"/>
  <c r="G3314" i="3" s="1"/>
  <c r="B3313" i="3"/>
  <c r="G3313" i="3" s="1"/>
  <c r="B3312" i="3"/>
  <c r="G3312" i="3" s="1"/>
  <c r="B3311" i="3"/>
  <c r="G3311" i="3" s="1"/>
  <c r="B3310" i="3"/>
  <c r="G3310" i="3" s="1"/>
  <c r="B3309" i="3"/>
  <c r="G3309" i="3" s="1"/>
  <c r="B3308" i="3"/>
  <c r="G3308" i="3" s="1"/>
  <c r="B3307" i="3"/>
  <c r="G3307" i="3" s="1"/>
  <c r="B3306" i="3"/>
  <c r="G3306" i="3" s="1"/>
  <c r="B3305" i="3"/>
  <c r="G3305" i="3" s="1"/>
  <c r="B3304" i="3"/>
  <c r="G3304" i="3" s="1"/>
  <c r="B3303" i="3"/>
  <c r="G3303" i="3" s="1"/>
  <c r="B3302" i="3"/>
  <c r="G3302" i="3" s="1"/>
  <c r="B3301" i="3"/>
  <c r="G3301" i="3" s="1"/>
  <c r="B3300" i="3"/>
  <c r="G3300" i="3" s="1"/>
  <c r="B3299" i="3"/>
  <c r="G3299" i="3" s="1"/>
  <c r="B3298" i="3"/>
  <c r="G3298" i="3" s="1"/>
  <c r="B3297" i="3"/>
  <c r="G3297" i="3" s="1"/>
  <c r="B3296" i="3"/>
  <c r="G3296" i="3" s="1"/>
  <c r="B3295" i="3"/>
  <c r="G3295" i="3" s="1"/>
  <c r="B3294" i="3"/>
  <c r="G3294" i="3" s="1"/>
  <c r="B3293" i="3"/>
  <c r="G3293" i="3" s="1"/>
  <c r="B3292" i="3"/>
  <c r="G3292" i="3" s="1"/>
  <c r="B3291" i="3"/>
  <c r="G3291" i="3" s="1"/>
  <c r="B3290" i="3"/>
  <c r="G3290" i="3" s="1"/>
  <c r="B3289" i="3"/>
  <c r="G3289" i="3" s="1"/>
  <c r="B3288" i="3"/>
  <c r="G3288" i="3" s="1"/>
  <c r="B3287" i="3"/>
  <c r="G3287" i="3" s="1"/>
  <c r="B3286" i="3"/>
  <c r="G3286" i="3" s="1"/>
  <c r="B3285" i="3"/>
  <c r="G3285" i="3" s="1"/>
  <c r="B3284" i="3"/>
  <c r="G3284" i="3" s="1"/>
  <c r="B3283" i="3"/>
  <c r="G3283" i="3" s="1"/>
  <c r="B3282" i="3"/>
  <c r="G3282" i="3" s="1"/>
  <c r="B3281" i="3"/>
  <c r="G3281" i="3" s="1"/>
  <c r="B3280" i="3"/>
  <c r="G3280" i="3" s="1"/>
  <c r="B3279" i="3"/>
  <c r="G3279" i="3" s="1"/>
  <c r="B3278" i="3"/>
  <c r="G3278" i="3" s="1"/>
  <c r="B3277" i="3"/>
  <c r="G3277" i="3" s="1"/>
  <c r="B3276" i="3"/>
  <c r="G3276" i="3" s="1"/>
  <c r="B3275" i="3"/>
  <c r="G3275" i="3" s="1"/>
  <c r="B3274" i="3"/>
  <c r="G3274" i="3" s="1"/>
  <c r="B3273" i="3"/>
  <c r="G3273" i="3" s="1"/>
  <c r="B3272" i="3"/>
  <c r="G3272" i="3" s="1"/>
  <c r="B3271" i="3"/>
  <c r="G3271" i="3" s="1"/>
  <c r="B3270" i="3"/>
  <c r="G3270" i="3" s="1"/>
  <c r="B3269" i="3"/>
  <c r="G3269" i="3" s="1"/>
  <c r="B3268" i="3"/>
  <c r="G3268" i="3" s="1"/>
  <c r="B3267" i="3"/>
  <c r="G3267" i="3" s="1"/>
  <c r="B3266" i="3"/>
  <c r="G3266" i="3" s="1"/>
  <c r="B3265" i="3"/>
  <c r="G3265" i="3" s="1"/>
  <c r="B3264" i="3"/>
  <c r="G3264" i="3" s="1"/>
  <c r="B3263" i="3"/>
  <c r="G3263" i="3" s="1"/>
  <c r="B3262" i="3"/>
  <c r="G3262" i="3" s="1"/>
  <c r="B3261" i="3"/>
  <c r="G3261" i="3" s="1"/>
  <c r="B3260" i="3"/>
  <c r="G3260" i="3" s="1"/>
  <c r="B3259" i="3"/>
  <c r="G3259" i="3" s="1"/>
  <c r="B3258" i="3"/>
  <c r="G3258" i="3" s="1"/>
  <c r="B3257" i="3"/>
  <c r="G3257" i="3" s="1"/>
  <c r="B3256" i="3"/>
  <c r="G3256" i="3" s="1"/>
  <c r="B3255" i="3"/>
  <c r="G3255" i="3" s="1"/>
  <c r="B3254" i="3"/>
  <c r="G3254" i="3" s="1"/>
  <c r="B3253" i="3"/>
  <c r="G3253" i="3" s="1"/>
  <c r="B3252" i="3"/>
  <c r="G3252" i="3" s="1"/>
  <c r="B3251" i="3"/>
  <c r="G3251" i="3" s="1"/>
  <c r="B3250" i="3"/>
  <c r="G3250" i="3" s="1"/>
  <c r="B3249" i="3"/>
  <c r="G3249" i="3" s="1"/>
  <c r="B3248" i="3"/>
  <c r="G3248" i="3" s="1"/>
  <c r="B3247" i="3"/>
  <c r="G3247" i="3" s="1"/>
  <c r="B3246" i="3"/>
  <c r="G3246" i="3" s="1"/>
  <c r="B3245" i="3"/>
  <c r="G3245" i="3" s="1"/>
  <c r="B3244" i="3"/>
  <c r="G3244" i="3" s="1"/>
  <c r="B3243" i="3"/>
  <c r="G3243" i="3" s="1"/>
  <c r="B3242" i="3"/>
  <c r="G3242" i="3" s="1"/>
  <c r="B3241" i="3"/>
  <c r="G3241" i="3" s="1"/>
  <c r="B3240" i="3"/>
  <c r="G3240" i="3" s="1"/>
  <c r="B3239" i="3"/>
  <c r="G3239" i="3" s="1"/>
  <c r="B3238" i="3"/>
  <c r="G3238" i="3" s="1"/>
  <c r="B3237" i="3"/>
  <c r="G3237" i="3" s="1"/>
  <c r="B3236" i="3"/>
  <c r="G3236" i="3" s="1"/>
  <c r="B3235" i="3"/>
  <c r="G3235" i="3" s="1"/>
  <c r="B3234" i="3"/>
  <c r="G3234" i="3" s="1"/>
  <c r="B3233" i="3"/>
  <c r="G3233" i="3" s="1"/>
  <c r="B3232" i="3"/>
  <c r="G3232" i="3" s="1"/>
  <c r="B3231" i="3"/>
  <c r="G3231" i="3" s="1"/>
  <c r="B3230" i="3"/>
  <c r="G3230" i="3" s="1"/>
  <c r="B3229" i="3"/>
  <c r="G3229" i="3" s="1"/>
  <c r="B3228" i="3"/>
  <c r="G3228" i="3" s="1"/>
  <c r="B3227" i="3"/>
  <c r="G3227" i="3" s="1"/>
  <c r="B3226" i="3"/>
  <c r="G3226" i="3" s="1"/>
  <c r="B3225" i="3"/>
  <c r="G3225" i="3" s="1"/>
  <c r="B3224" i="3"/>
  <c r="G3224" i="3" s="1"/>
  <c r="B3223" i="3"/>
  <c r="G3223" i="3" s="1"/>
  <c r="B3222" i="3"/>
  <c r="G3222" i="3" s="1"/>
  <c r="B3221" i="3"/>
  <c r="G3221" i="3" s="1"/>
  <c r="B3220" i="3"/>
  <c r="G3220" i="3" s="1"/>
  <c r="B3219" i="3"/>
  <c r="G3219" i="3" s="1"/>
  <c r="B3218" i="3"/>
  <c r="G3218" i="3" s="1"/>
  <c r="B3217" i="3"/>
  <c r="G3217" i="3" s="1"/>
  <c r="B3216" i="3"/>
  <c r="G3216" i="3" s="1"/>
  <c r="B3215" i="3"/>
  <c r="G3215" i="3" s="1"/>
  <c r="B3214" i="3"/>
  <c r="G3214" i="3" s="1"/>
  <c r="B3213" i="3"/>
  <c r="G3213" i="3" s="1"/>
  <c r="G3212" i="3"/>
  <c r="B3212" i="3"/>
  <c r="B3211" i="3"/>
  <c r="G3211" i="3" s="1"/>
  <c r="B3210" i="3"/>
  <c r="G3210" i="3" s="1"/>
  <c r="B3209" i="3"/>
  <c r="G3209" i="3" s="1"/>
  <c r="B3208" i="3"/>
  <c r="G3208" i="3" s="1"/>
  <c r="B3207" i="3"/>
  <c r="G3207" i="3" s="1"/>
  <c r="B3206" i="3"/>
  <c r="G3206" i="3" s="1"/>
  <c r="B3205" i="3"/>
  <c r="G3205" i="3" s="1"/>
  <c r="B3204" i="3"/>
  <c r="G3204" i="3" s="1"/>
  <c r="B3203" i="3"/>
  <c r="G3203" i="3" s="1"/>
  <c r="B3202" i="3"/>
  <c r="G3202" i="3" s="1"/>
  <c r="B3201" i="3"/>
  <c r="G3201" i="3" s="1"/>
  <c r="B3200" i="3"/>
  <c r="G3200" i="3" s="1"/>
  <c r="B3199" i="3"/>
  <c r="G3199" i="3" s="1"/>
  <c r="B3198" i="3"/>
  <c r="G3198" i="3" s="1"/>
  <c r="B3197" i="3"/>
  <c r="G3197" i="3" s="1"/>
  <c r="B3196" i="3"/>
  <c r="G3196" i="3" s="1"/>
  <c r="B3195" i="3"/>
  <c r="G3195" i="3" s="1"/>
  <c r="B3194" i="3"/>
  <c r="G3194" i="3" s="1"/>
  <c r="B3193" i="3"/>
  <c r="G3193" i="3" s="1"/>
  <c r="B3192" i="3"/>
  <c r="G3192" i="3" s="1"/>
  <c r="B3191" i="3"/>
  <c r="G3191" i="3" s="1"/>
  <c r="B3190" i="3"/>
  <c r="G3190" i="3" s="1"/>
  <c r="B3189" i="3"/>
  <c r="G3189" i="3" s="1"/>
  <c r="B3188" i="3"/>
  <c r="G3188" i="3" s="1"/>
  <c r="B3187" i="3"/>
  <c r="G3187" i="3" s="1"/>
  <c r="B3186" i="3"/>
  <c r="G3186" i="3" s="1"/>
  <c r="B3185" i="3"/>
  <c r="G3185" i="3" s="1"/>
  <c r="B3184" i="3"/>
  <c r="G3184" i="3" s="1"/>
  <c r="B3183" i="3"/>
  <c r="G3183" i="3" s="1"/>
  <c r="B3182" i="3"/>
  <c r="G3182" i="3" s="1"/>
  <c r="B3181" i="3"/>
  <c r="G3181" i="3" s="1"/>
  <c r="B3180" i="3"/>
  <c r="G3180" i="3" s="1"/>
  <c r="B3179" i="3"/>
  <c r="G3179" i="3" s="1"/>
  <c r="B3178" i="3"/>
  <c r="G3178" i="3" s="1"/>
  <c r="B3177" i="3"/>
  <c r="G3177" i="3" s="1"/>
  <c r="B3176" i="3"/>
  <c r="G3176" i="3" s="1"/>
  <c r="B3175" i="3"/>
  <c r="G3175" i="3" s="1"/>
  <c r="B3174" i="3"/>
  <c r="G3174" i="3" s="1"/>
  <c r="B3173" i="3"/>
  <c r="G3173" i="3" s="1"/>
  <c r="B3172" i="3"/>
  <c r="G3172" i="3" s="1"/>
  <c r="B3171" i="3"/>
  <c r="G3171" i="3" s="1"/>
  <c r="B3170" i="3"/>
  <c r="G3170" i="3" s="1"/>
  <c r="B3169" i="3"/>
  <c r="G3169" i="3" s="1"/>
  <c r="B3168" i="3"/>
  <c r="G3168" i="3" s="1"/>
  <c r="B3167" i="3"/>
  <c r="G3167" i="3" s="1"/>
  <c r="B3166" i="3"/>
  <c r="G3166" i="3" s="1"/>
  <c r="B3165" i="3"/>
  <c r="G3165" i="3" s="1"/>
  <c r="B3164" i="3"/>
  <c r="G3164" i="3" s="1"/>
  <c r="B3163" i="3"/>
  <c r="G3163" i="3" s="1"/>
  <c r="B3162" i="3"/>
  <c r="G3162" i="3" s="1"/>
  <c r="B3161" i="3"/>
  <c r="G3161" i="3" s="1"/>
  <c r="B3160" i="3"/>
  <c r="G3160" i="3" s="1"/>
  <c r="B3159" i="3"/>
  <c r="G3159" i="3" s="1"/>
  <c r="B3158" i="3"/>
  <c r="G3158" i="3" s="1"/>
  <c r="B3157" i="3"/>
  <c r="G3157" i="3" s="1"/>
  <c r="B3156" i="3"/>
  <c r="G3156" i="3" s="1"/>
  <c r="B3155" i="3"/>
  <c r="G3155" i="3" s="1"/>
  <c r="B3154" i="3"/>
  <c r="G3154" i="3" s="1"/>
  <c r="B3153" i="3"/>
  <c r="G3153" i="3" s="1"/>
  <c r="B3152" i="3"/>
  <c r="G3152" i="3" s="1"/>
  <c r="B3151" i="3"/>
  <c r="G3151" i="3" s="1"/>
  <c r="B3150" i="3"/>
  <c r="G3150" i="3" s="1"/>
  <c r="B3149" i="3"/>
  <c r="G3149" i="3" s="1"/>
  <c r="B3148" i="3"/>
  <c r="G3148" i="3" s="1"/>
  <c r="B3147" i="3"/>
  <c r="G3147" i="3" s="1"/>
  <c r="B3146" i="3"/>
  <c r="G3146" i="3" s="1"/>
  <c r="B3145" i="3"/>
  <c r="G3145" i="3" s="1"/>
  <c r="B3144" i="3"/>
  <c r="G3144" i="3" s="1"/>
  <c r="B3143" i="3"/>
  <c r="G3143" i="3" s="1"/>
  <c r="B3142" i="3"/>
  <c r="G3142" i="3" s="1"/>
  <c r="B3141" i="3"/>
  <c r="G3141" i="3" s="1"/>
  <c r="B3140" i="3"/>
  <c r="G3140" i="3" s="1"/>
  <c r="B3139" i="3"/>
  <c r="G3139" i="3" s="1"/>
  <c r="B3138" i="3"/>
  <c r="G3138" i="3" s="1"/>
  <c r="B3137" i="3"/>
  <c r="G3137" i="3" s="1"/>
  <c r="B3136" i="3"/>
  <c r="G3136" i="3" s="1"/>
  <c r="B3135" i="3"/>
  <c r="G3135" i="3" s="1"/>
  <c r="B3134" i="3"/>
  <c r="G3134" i="3" s="1"/>
  <c r="B3133" i="3"/>
  <c r="G3133" i="3" s="1"/>
  <c r="B3132" i="3"/>
  <c r="G3132" i="3" s="1"/>
  <c r="B3131" i="3"/>
  <c r="G3131" i="3" s="1"/>
  <c r="B3130" i="3"/>
  <c r="G3130" i="3" s="1"/>
  <c r="B3129" i="3"/>
  <c r="G3129" i="3" s="1"/>
  <c r="B3128" i="3"/>
  <c r="G3128" i="3" s="1"/>
  <c r="B3127" i="3"/>
  <c r="G3127" i="3" s="1"/>
  <c r="B3126" i="3"/>
  <c r="G3126" i="3" s="1"/>
  <c r="B3125" i="3"/>
  <c r="G3125" i="3" s="1"/>
  <c r="B3124" i="3"/>
  <c r="G3124" i="3" s="1"/>
  <c r="B3123" i="3"/>
  <c r="G3123" i="3" s="1"/>
  <c r="B3122" i="3"/>
  <c r="G3122" i="3" s="1"/>
  <c r="B3121" i="3"/>
  <c r="G3121" i="3" s="1"/>
  <c r="B3120" i="3"/>
  <c r="G3120" i="3" s="1"/>
  <c r="B3119" i="3"/>
  <c r="G3119" i="3" s="1"/>
  <c r="B3118" i="3"/>
  <c r="G3118" i="3" s="1"/>
  <c r="B3117" i="3"/>
  <c r="G3117" i="3" s="1"/>
  <c r="B3116" i="3"/>
  <c r="G3116" i="3" s="1"/>
  <c r="B3115" i="3"/>
  <c r="G3115" i="3" s="1"/>
  <c r="B3114" i="3"/>
  <c r="G3114" i="3" s="1"/>
  <c r="B3113" i="3"/>
  <c r="G3113" i="3" s="1"/>
  <c r="B3112" i="3"/>
  <c r="G3112" i="3" s="1"/>
  <c r="B3111" i="3"/>
  <c r="G3111" i="3" s="1"/>
  <c r="B3110" i="3"/>
  <c r="G3110" i="3" s="1"/>
  <c r="B3109" i="3"/>
  <c r="G3109" i="3" s="1"/>
  <c r="B3108" i="3"/>
  <c r="G3108" i="3" s="1"/>
  <c r="B3107" i="3"/>
  <c r="G3107" i="3" s="1"/>
  <c r="B3106" i="3"/>
  <c r="G3106" i="3" s="1"/>
  <c r="B3105" i="3"/>
  <c r="G3105" i="3" s="1"/>
  <c r="B3104" i="3"/>
  <c r="G3104" i="3" s="1"/>
  <c r="B3103" i="3"/>
  <c r="G3103" i="3" s="1"/>
  <c r="B3102" i="3"/>
  <c r="G3102" i="3" s="1"/>
  <c r="B3101" i="3"/>
  <c r="G3101" i="3" s="1"/>
  <c r="B3100" i="3"/>
  <c r="G3100" i="3" s="1"/>
  <c r="B3099" i="3"/>
  <c r="G3099" i="3" s="1"/>
  <c r="B3098" i="3"/>
  <c r="G3098" i="3" s="1"/>
  <c r="B3097" i="3"/>
  <c r="G3097" i="3" s="1"/>
  <c r="B3096" i="3"/>
  <c r="G3096" i="3" s="1"/>
  <c r="B3095" i="3"/>
  <c r="G3095" i="3" s="1"/>
  <c r="B3094" i="3"/>
  <c r="G3094" i="3" s="1"/>
  <c r="B3093" i="3"/>
  <c r="G3093" i="3" s="1"/>
  <c r="B3092" i="3"/>
  <c r="G3092" i="3" s="1"/>
  <c r="B3091" i="3"/>
  <c r="G3091" i="3" s="1"/>
  <c r="B3090" i="3"/>
  <c r="G3090" i="3" s="1"/>
  <c r="B3089" i="3"/>
  <c r="G3089" i="3" s="1"/>
  <c r="B3088" i="3"/>
  <c r="G3088" i="3" s="1"/>
  <c r="B3087" i="3"/>
  <c r="G3087" i="3" s="1"/>
  <c r="B3086" i="3"/>
  <c r="G3086" i="3" s="1"/>
  <c r="B3085" i="3"/>
  <c r="G3085" i="3" s="1"/>
  <c r="B3084" i="3"/>
  <c r="G3084" i="3" s="1"/>
  <c r="B3083" i="3"/>
  <c r="G3083" i="3" s="1"/>
  <c r="B3082" i="3"/>
  <c r="G3082" i="3" s="1"/>
  <c r="B3081" i="3"/>
  <c r="G3081" i="3" s="1"/>
  <c r="B3080" i="3"/>
  <c r="G3080" i="3" s="1"/>
  <c r="B3079" i="3"/>
  <c r="G3079" i="3" s="1"/>
  <c r="B3078" i="3"/>
  <c r="G3078" i="3" s="1"/>
  <c r="B3077" i="3"/>
  <c r="G3077" i="3" s="1"/>
  <c r="B3076" i="3"/>
  <c r="G3076" i="3" s="1"/>
  <c r="B3075" i="3"/>
  <c r="G3075" i="3" s="1"/>
  <c r="B3074" i="3"/>
  <c r="G3074" i="3" s="1"/>
  <c r="B3073" i="3"/>
  <c r="G3073" i="3" s="1"/>
  <c r="B3072" i="3"/>
  <c r="G3072" i="3" s="1"/>
  <c r="B3071" i="3"/>
  <c r="G3071" i="3" s="1"/>
  <c r="B3070" i="3"/>
  <c r="G3070" i="3" s="1"/>
  <c r="B3069" i="3"/>
  <c r="G3069" i="3" s="1"/>
  <c r="B3068" i="3"/>
  <c r="G3068" i="3" s="1"/>
  <c r="B3067" i="3"/>
  <c r="G3067" i="3" s="1"/>
  <c r="B3066" i="3"/>
  <c r="G3066" i="3" s="1"/>
  <c r="B3065" i="3"/>
  <c r="G3065" i="3" s="1"/>
  <c r="B3064" i="3"/>
  <c r="G3064" i="3" s="1"/>
  <c r="B3063" i="3"/>
  <c r="G3063" i="3" s="1"/>
  <c r="B3062" i="3"/>
  <c r="G3062" i="3" s="1"/>
  <c r="B3061" i="3"/>
  <c r="G3061" i="3" s="1"/>
  <c r="B3060" i="3"/>
  <c r="G3060" i="3" s="1"/>
  <c r="B3059" i="3"/>
  <c r="G3059" i="3" s="1"/>
  <c r="B3058" i="3"/>
  <c r="G3058" i="3" s="1"/>
  <c r="B3057" i="3"/>
  <c r="G3057" i="3" s="1"/>
  <c r="B3056" i="3"/>
  <c r="G3056" i="3" s="1"/>
  <c r="B3055" i="3"/>
  <c r="G3055" i="3" s="1"/>
  <c r="B3054" i="3"/>
  <c r="G3054" i="3" s="1"/>
  <c r="B3053" i="3"/>
  <c r="G3053" i="3" s="1"/>
  <c r="B3052" i="3"/>
  <c r="G3052" i="3" s="1"/>
  <c r="B3051" i="3"/>
  <c r="G3051" i="3" s="1"/>
  <c r="B3050" i="3"/>
  <c r="G3050" i="3" s="1"/>
  <c r="B3049" i="3"/>
  <c r="G3049" i="3" s="1"/>
  <c r="B3048" i="3"/>
  <c r="G3048" i="3" s="1"/>
  <c r="B3047" i="3"/>
  <c r="G3047" i="3" s="1"/>
  <c r="B3046" i="3"/>
  <c r="G3046" i="3" s="1"/>
  <c r="B3045" i="3"/>
  <c r="G3045" i="3" s="1"/>
  <c r="B3044" i="3"/>
  <c r="G3044" i="3" s="1"/>
  <c r="B3043" i="3"/>
  <c r="G3043" i="3" s="1"/>
  <c r="B3042" i="3"/>
  <c r="G3042" i="3" s="1"/>
  <c r="B3041" i="3"/>
  <c r="G3041" i="3" s="1"/>
  <c r="B3040" i="3"/>
  <c r="G3040" i="3" s="1"/>
  <c r="B3039" i="3"/>
  <c r="G3039" i="3" s="1"/>
  <c r="B3038" i="3"/>
  <c r="G3038" i="3" s="1"/>
  <c r="B3037" i="3"/>
  <c r="G3037" i="3" s="1"/>
  <c r="B3036" i="3"/>
  <c r="G3036" i="3" s="1"/>
  <c r="B3035" i="3"/>
  <c r="G3035" i="3" s="1"/>
  <c r="B3034" i="3"/>
  <c r="G3034" i="3" s="1"/>
  <c r="B3033" i="3"/>
  <c r="G3033" i="3" s="1"/>
  <c r="B3032" i="3"/>
  <c r="G3032" i="3" s="1"/>
  <c r="B3031" i="3"/>
  <c r="G3031" i="3" s="1"/>
  <c r="B3030" i="3"/>
  <c r="G3030" i="3" s="1"/>
  <c r="B3029" i="3"/>
  <c r="G3029" i="3" s="1"/>
  <c r="B3028" i="3"/>
  <c r="G3028" i="3" s="1"/>
  <c r="B3027" i="3"/>
  <c r="G3027" i="3" s="1"/>
  <c r="B3026" i="3"/>
  <c r="G3026" i="3" s="1"/>
  <c r="B3025" i="3"/>
  <c r="G3025" i="3" s="1"/>
  <c r="B3024" i="3"/>
  <c r="G3024" i="3" s="1"/>
  <c r="B3023" i="3"/>
  <c r="G3023" i="3" s="1"/>
  <c r="B3022" i="3"/>
  <c r="G3022" i="3" s="1"/>
  <c r="B3021" i="3"/>
  <c r="G3021" i="3" s="1"/>
  <c r="B3020" i="3"/>
  <c r="G3020" i="3" s="1"/>
  <c r="B3019" i="3"/>
  <c r="G3019" i="3" s="1"/>
  <c r="B3018" i="3"/>
  <c r="G3018" i="3" s="1"/>
  <c r="B3017" i="3"/>
  <c r="G3017" i="3" s="1"/>
  <c r="B3016" i="3"/>
  <c r="G3016" i="3" s="1"/>
  <c r="B3015" i="3"/>
  <c r="G3015" i="3" s="1"/>
  <c r="B3014" i="3"/>
  <c r="G3014" i="3" s="1"/>
  <c r="B3013" i="3"/>
  <c r="G3013" i="3" s="1"/>
  <c r="B3012" i="3"/>
  <c r="G3012" i="3" s="1"/>
  <c r="B3011" i="3"/>
  <c r="G3011" i="3" s="1"/>
  <c r="B3010" i="3"/>
  <c r="G3010" i="3" s="1"/>
  <c r="B3009" i="3"/>
  <c r="G3009" i="3" s="1"/>
  <c r="B3008" i="3"/>
  <c r="G3008" i="3" s="1"/>
  <c r="B3007" i="3"/>
  <c r="G3007" i="3" s="1"/>
  <c r="B3006" i="3"/>
  <c r="G3006" i="3" s="1"/>
  <c r="B3005" i="3"/>
  <c r="G3005" i="3" s="1"/>
  <c r="B3004" i="3"/>
  <c r="G3004" i="3" s="1"/>
  <c r="B3003" i="3"/>
  <c r="G3003" i="3" s="1"/>
  <c r="B3002" i="3"/>
  <c r="G3002" i="3" s="1"/>
  <c r="B3001" i="3"/>
  <c r="G3001" i="3" s="1"/>
  <c r="B3000" i="3"/>
  <c r="G3000" i="3" s="1"/>
  <c r="B2999" i="3"/>
  <c r="G2999" i="3" s="1"/>
  <c r="B2998" i="3"/>
  <c r="G2998" i="3" s="1"/>
  <c r="B2997" i="3"/>
  <c r="G2997" i="3" s="1"/>
  <c r="B2996" i="3"/>
  <c r="G2996" i="3" s="1"/>
  <c r="B2995" i="3"/>
  <c r="G2995" i="3" s="1"/>
  <c r="B2994" i="3"/>
  <c r="G2994" i="3" s="1"/>
  <c r="B2993" i="3"/>
  <c r="G2993" i="3" s="1"/>
  <c r="B2992" i="3"/>
  <c r="G2992" i="3" s="1"/>
  <c r="B2991" i="3"/>
  <c r="G2991" i="3" s="1"/>
  <c r="B2990" i="3"/>
  <c r="G2990" i="3" s="1"/>
  <c r="B2989" i="3"/>
  <c r="G2989" i="3" s="1"/>
  <c r="B2988" i="3"/>
  <c r="G2988" i="3" s="1"/>
  <c r="B2987" i="3"/>
  <c r="G2987" i="3" s="1"/>
  <c r="B2986" i="3"/>
  <c r="G2986" i="3" s="1"/>
  <c r="B2985" i="3"/>
  <c r="G2985" i="3" s="1"/>
  <c r="B2984" i="3"/>
  <c r="G2984" i="3" s="1"/>
  <c r="B2983" i="3"/>
  <c r="G2983" i="3" s="1"/>
  <c r="B2982" i="3"/>
  <c r="G2982" i="3" s="1"/>
  <c r="B2981" i="3"/>
  <c r="G2981" i="3" s="1"/>
  <c r="B2980" i="3"/>
  <c r="G2980" i="3" s="1"/>
  <c r="B2979" i="3"/>
  <c r="G2979" i="3" s="1"/>
  <c r="B2978" i="3"/>
  <c r="G2978" i="3" s="1"/>
  <c r="B2977" i="3"/>
  <c r="G2977" i="3" s="1"/>
  <c r="B2976" i="3"/>
  <c r="G2976" i="3" s="1"/>
  <c r="B2975" i="3"/>
  <c r="G2975" i="3" s="1"/>
  <c r="B2974" i="3"/>
  <c r="G2974" i="3" s="1"/>
  <c r="C2973" i="3"/>
  <c r="B2973" i="3"/>
  <c r="G2973" i="3" s="1"/>
  <c r="C2972" i="3"/>
  <c r="B2972" i="3"/>
  <c r="G2972" i="3" s="1"/>
  <c r="C2971" i="3"/>
  <c r="B2971" i="3"/>
  <c r="G2971" i="3" s="1"/>
  <c r="C2970" i="3"/>
  <c r="B2970" i="3"/>
  <c r="G2970" i="3" s="1"/>
  <c r="C2969" i="3"/>
  <c r="B2969" i="3"/>
  <c r="G2969" i="3" s="1"/>
  <c r="C2968" i="3"/>
  <c r="B2968" i="3"/>
  <c r="G2968" i="3" s="1"/>
  <c r="C2967" i="3"/>
  <c r="B2967" i="3"/>
  <c r="G2967" i="3" s="1"/>
  <c r="C2966" i="3"/>
  <c r="B2966" i="3"/>
  <c r="G2966" i="3" s="1"/>
  <c r="C2965" i="3"/>
  <c r="B2965" i="3"/>
  <c r="G2965" i="3" s="1"/>
  <c r="C2964" i="3"/>
  <c r="B2964" i="3"/>
  <c r="G2964" i="3" s="1"/>
  <c r="C2963" i="3"/>
  <c r="B2963" i="3"/>
  <c r="G2963" i="3" s="1"/>
  <c r="C2962" i="3"/>
  <c r="B2962" i="3"/>
  <c r="G2962" i="3" s="1"/>
  <c r="C2961" i="3"/>
  <c r="B2961" i="3"/>
  <c r="G2961" i="3" s="1"/>
  <c r="C2960" i="3"/>
  <c r="B2960" i="3"/>
  <c r="G2960" i="3" s="1"/>
  <c r="C2959" i="3"/>
  <c r="B2959" i="3"/>
  <c r="G2959" i="3" s="1"/>
  <c r="C2958" i="3"/>
  <c r="B2958" i="3"/>
  <c r="G2958" i="3" s="1"/>
  <c r="C2957" i="3"/>
  <c r="B2957" i="3"/>
  <c r="G2957" i="3" s="1"/>
  <c r="C2956" i="3"/>
  <c r="B2956" i="3"/>
  <c r="G2956" i="3" s="1"/>
  <c r="C2955" i="3"/>
  <c r="B2955" i="3"/>
  <c r="G2955" i="3" s="1"/>
  <c r="C2954" i="3"/>
  <c r="B2954" i="3"/>
  <c r="G2954" i="3" s="1"/>
  <c r="C2953" i="3"/>
  <c r="B2953" i="3"/>
  <c r="G2953" i="3" s="1"/>
  <c r="C2952" i="3"/>
  <c r="B2952" i="3"/>
  <c r="G2952" i="3" s="1"/>
  <c r="C2951" i="3"/>
  <c r="B2951" i="3"/>
  <c r="G2951" i="3" s="1"/>
  <c r="C2950" i="3"/>
  <c r="B2950" i="3"/>
  <c r="G2950" i="3" s="1"/>
  <c r="C2949" i="3"/>
  <c r="B2949" i="3"/>
  <c r="G2949" i="3" s="1"/>
  <c r="C2948" i="3"/>
  <c r="B2948" i="3"/>
  <c r="G2948" i="3" s="1"/>
  <c r="C2947" i="3"/>
  <c r="B2947" i="3"/>
  <c r="G2947" i="3" s="1"/>
  <c r="C2946" i="3"/>
  <c r="B2946" i="3"/>
  <c r="G2946" i="3" s="1"/>
  <c r="C2945" i="3"/>
  <c r="B2945" i="3"/>
  <c r="G2945" i="3" s="1"/>
  <c r="C2944" i="3"/>
  <c r="B2944" i="3"/>
  <c r="G2944" i="3" s="1"/>
  <c r="C2943" i="3"/>
  <c r="B2943" i="3"/>
  <c r="G2943" i="3" s="1"/>
  <c r="C2942" i="3"/>
  <c r="B2942" i="3"/>
  <c r="G2942" i="3" s="1"/>
  <c r="C2941" i="3"/>
  <c r="B2941" i="3"/>
  <c r="G2941" i="3" s="1"/>
  <c r="C2940" i="3"/>
  <c r="B2940" i="3"/>
  <c r="G2940" i="3" s="1"/>
  <c r="C2939" i="3"/>
  <c r="B2939" i="3"/>
  <c r="G2939" i="3" s="1"/>
  <c r="C2938" i="3"/>
  <c r="B2938" i="3"/>
  <c r="G2938" i="3" s="1"/>
  <c r="C2937" i="3"/>
  <c r="B2937" i="3"/>
  <c r="G2937" i="3" s="1"/>
  <c r="C2936" i="3"/>
  <c r="B2936" i="3"/>
  <c r="G2936" i="3" s="1"/>
  <c r="C2935" i="3"/>
  <c r="B2935" i="3"/>
  <c r="G2935" i="3" s="1"/>
  <c r="C2934" i="3"/>
  <c r="B2934" i="3"/>
  <c r="G2934" i="3" s="1"/>
  <c r="C2933" i="3"/>
  <c r="B2933" i="3"/>
  <c r="G2933" i="3" s="1"/>
  <c r="C2932" i="3"/>
  <c r="B2932" i="3"/>
  <c r="G2932" i="3" s="1"/>
  <c r="C2931" i="3"/>
  <c r="B2931" i="3"/>
  <c r="G2931" i="3" s="1"/>
  <c r="C2930" i="3"/>
  <c r="B2930" i="3"/>
  <c r="G2930" i="3" s="1"/>
  <c r="C2929" i="3"/>
  <c r="B2929" i="3"/>
  <c r="G2929" i="3" s="1"/>
  <c r="C2928" i="3"/>
  <c r="B2928" i="3"/>
  <c r="G2928" i="3" s="1"/>
  <c r="C2927" i="3"/>
  <c r="B2927" i="3"/>
  <c r="G2927" i="3" s="1"/>
  <c r="C2926" i="3"/>
  <c r="B2926" i="3"/>
  <c r="G2926" i="3" s="1"/>
  <c r="C2925" i="3"/>
  <c r="B2925" i="3"/>
  <c r="G2925" i="3" s="1"/>
  <c r="C2924" i="3"/>
  <c r="B2924" i="3"/>
  <c r="G2924" i="3" s="1"/>
  <c r="C2923" i="3"/>
  <c r="B2923" i="3"/>
  <c r="G2923" i="3" s="1"/>
  <c r="C2922" i="3"/>
  <c r="B2922" i="3"/>
  <c r="G2922" i="3" s="1"/>
  <c r="C2921" i="3"/>
  <c r="B2921" i="3"/>
  <c r="G2921" i="3" s="1"/>
  <c r="C2920" i="3"/>
  <c r="B2920" i="3"/>
  <c r="G2920" i="3" s="1"/>
  <c r="C2919" i="3"/>
  <c r="B2919" i="3"/>
  <c r="G2919" i="3" s="1"/>
  <c r="C2918" i="3"/>
  <c r="B2918" i="3"/>
  <c r="G2918" i="3" s="1"/>
  <c r="C2917" i="3"/>
  <c r="B2917" i="3"/>
  <c r="G2917" i="3" s="1"/>
  <c r="C2916" i="3"/>
  <c r="B2916" i="3"/>
  <c r="G2916" i="3" s="1"/>
  <c r="C2915" i="3"/>
  <c r="B2915" i="3"/>
  <c r="G2915" i="3" s="1"/>
  <c r="C2914" i="3"/>
  <c r="B2914" i="3"/>
  <c r="G2914" i="3" s="1"/>
  <c r="C2913" i="3"/>
  <c r="B2913" i="3"/>
  <c r="G2913" i="3" s="1"/>
  <c r="C2912" i="3"/>
  <c r="B2912" i="3"/>
  <c r="G2912" i="3" s="1"/>
  <c r="C2911" i="3"/>
  <c r="B2911" i="3"/>
  <c r="G2911" i="3" s="1"/>
  <c r="C2910" i="3"/>
  <c r="B2910" i="3"/>
  <c r="G2910" i="3" s="1"/>
  <c r="C2909" i="3"/>
  <c r="B2909" i="3"/>
  <c r="G2909" i="3" s="1"/>
  <c r="C2908" i="3"/>
  <c r="B2908" i="3"/>
  <c r="G2908" i="3" s="1"/>
  <c r="C2907" i="3"/>
  <c r="B2907" i="3"/>
  <c r="G2907" i="3" s="1"/>
  <c r="C2906" i="3"/>
  <c r="B2906" i="3"/>
  <c r="G2906" i="3" s="1"/>
  <c r="C2905" i="3"/>
  <c r="B2905" i="3"/>
  <c r="G2905" i="3" s="1"/>
  <c r="C2904" i="3"/>
  <c r="B2904" i="3"/>
  <c r="G2904" i="3" s="1"/>
  <c r="C2903" i="3"/>
  <c r="B2903" i="3"/>
  <c r="G2903" i="3" s="1"/>
  <c r="C2902" i="3"/>
  <c r="B2902" i="3"/>
  <c r="G2902" i="3" s="1"/>
  <c r="C2901" i="3"/>
  <c r="B2901" i="3"/>
  <c r="G2901" i="3" s="1"/>
  <c r="C2900" i="3"/>
  <c r="B2900" i="3"/>
  <c r="G2900" i="3" s="1"/>
  <c r="C2899" i="3"/>
  <c r="B2899" i="3"/>
  <c r="G2899" i="3" s="1"/>
  <c r="C2898" i="3"/>
  <c r="B2898" i="3"/>
  <c r="G2898" i="3" s="1"/>
  <c r="C2897" i="3"/>
  <c r="B2897" i="3"/>
  <c r="G2897" i="3" s="1"/>
  <c r="C2896" i="3"/>
  <c r="B2896" i="3"/>
  <c r="G2896" i="3" s="1"/>
  <c r="C2895" i="3"/>
  <c r="B2895" i="3"/>
  <c r="G2895" i="3" s="1"/>
  <c r="C2894" i="3"/>
  <c r="B2894" i="3"/>
  <c r="G2894" i="3" s="1"/>
  <c r="C2893" i="3"/>
  <c r="B2893" i="3"/>
  <c r="G2893" i="3" s="1"/>
  <c r="C2892" i="3"/>
  <c r="B2892" i="3"/>
  <c r="G2892" i="3" s="1"/>
  <c r="C2891" i="3"/>
  <c r="B2891" i="3"/>
  <c r="G2891" i="3" s="1"/>
  <c r="C2890" i="3"/>
  <c r="B2890" i="3"/>
  <c r="G2890" i="3" s="1"/>
  <c r="C2889" i="3"/>
  <c r="B2889" i="3"/>
  <c r="G2889" i="3" s="1"/>
  <c r="C2888" i="3"/>
  <c r="B2888" i="3"/>
  <c r="G2888" i="3" s="1"/>
  <c r="C2887" i="3"/>
  <c r="B2887" i="3"/>
  <c r="G2887" i="3" s="1"/>
  <c r="C2886" i="3"/>
  <c r="B2886" i="3"/>
  <c r="G2886" i="3" s="1"/>
  <c r="C2885" i="3"/>
  <c r="B2885" i="3"/>
  <c r="G2885" i="3" s="1"/>
  <c r="C2884" i="3"/>
  <c r="B2884" i="3"/>
  <c r="G2884" i="3" s="1"/>
  <c r="C2883" i="3"/>
  <c r="B2883" i="3"/>
  <c r="G2883" i="3" s="1"/>
  <c r="C2882" i="3"/>
  <c r="B2882" i="3"/>
  <c r="G2882" i="3" s="1"/>
  <c r="C2881" i="3"/>
  <c r="B2881" i="3"/>
  <c r="G2881" i="3" s="1"/>
  <c r="C2880" i="3"/>
  <c r="B2880" i="3"/>
  <c r="G2880" i="3" s="1"/>
  <c r="C2879" i="3"/>
  <c r="B2879" i="3"/>
  <c r="G2879" i="3" s="1"/>
  <c r="C2878" i="3"/>
  <c r="B2878" i="3"/>
  <c r="G2878" i="3" s="1"/>
  <c r="C2877" i="3"/>
  <c r="B2877" i="3"/>
  <c r="G2877" i="3" s="1"/>
  <c r="C2876" i="3"/>
  <c r="B2876" i="3"/>
  <c r="G2876" i="3" s="1"/>
  <c r="C2875" i="3"/>
  <c r="B2875" i="3"/>
  <c r="G2875" i="3" s="1"/>
  <c r="C2874" i="3"/>
  <c r="B2874" i="3"/>
  <c r="G2874" i="3" s="1"/>
  <c r="C2873" i="3"/>
  <c r="B2873" i="3"/>
  <c r="G2873" i="3" s="1"/>
  <c r="C2872" i="3"/>
  <c r="B2872" i="3"/>
  <c r="G2872" i="3" s="1"/>
  <c r="C2871" i="3"/>
  <c r="B2871" i="3"/>
  <c r="G2871" i="3" s="1"/>
  <c r="C2870" i="3"/>
  <c r="B2870" i="3"/>
  <c r="G2870" i="3" s="1"/>
  <c r="C2869" i="3"/>
  <c r="B2869" i="3"/>
  <c r="G2869" i="3" s="1"/>
  <c r="C2868" i="3"/>
  <c r="B2868" i="3"/>
  <c r="G2868" i="3" s="1"/>
  <c r="C2867" i="3"/>
  <c r="B2867" i="3"/>
  <c r="G2867" i="3" s="1"/>
  <c r="C2866" i="3"/>
  <c r="B2866" i="3"/>
  <c r="G2866" i="3" s="1"/>
  <c r="C2865" i="3"/>
  <c r="B2865" i="3"/>
  <c r="G2865" i="3" s="1"/>
  <c r="C2864" i="3"/>
  <c r="B2864" i="3"/>
  <c r="G2864" i="3" s="1"/>
  <c r="C2863" i="3"/>
  <c r="B2863" i="3"/>
  <c r="G2863" i="3" s="1"/>
  <c r="C2862" i="3"/>
  <c r="B2862" i="3"/>
  <c r="G2862" i="3" s="1"/>
  <c r="C2861" i="3"/>
  <c r="B2861" i="3"/>
  <c r="G2861" i="3" s="1"/>
  <c r="C2860" i="3"/>
  <c r="B2860" i="3"/>
  <c r="G2860" i="3" s="1"/>
  <c r="C2859" i="3"/>
  <c r="B2859" i="3"/>
  <c r="G2859" i="3" s="1"/>
  <c r="C2858" i="3"/>
  <c r="B2858" i="3"/>
  <c r="G2858" i="3" s="1"/>
  <c r="C2857" i="3"/>
  <c r="B2857" i="3"/>
  <c r="G2857" i="3" s="1"/>
  <c r="C2856" i="3"/>
  <c r="B2856" i="3"/>
  <c r="G2856" i="3" s="1"/>
  <c r="C2855" i="3"/>
  <c r="B2855" i="3"/>
  <c r="G2855" i="3" s="1"/>
  <c r="C2854" i="3"/>
  <c r="B2854" i="3"/>
  <c r="G2854" i="3" s="1"/>
  <c r="C2853" i="3"/>
  <c r="B2853" i="3"/>
  <c r="G2853" i="3" s="1"/>
  <c r="C2852" i="3"/>
  <c r="B2852" i="3"/>
  <c r="G2852" i="3" s="1"/>
  <c r="C2851" i="3"/>
  <c r="B2851" i="3"/>
  <c r="G2851" i="3" s="1"/>
  <c r="C2850" i="3"/>
  <c r="B2850" i="3"/>
  <c r="G2850" i="3" s="1"/>
  <c r="C2849" i="3"/>
  <c r="B2849" i="3"/>
  <c r="G2849" i="3" s="1"/>
  <c r="C2848" i="3"/>
  <c r="B2848" i="3"/>
  <c r="G2848" i="3" s="1"/>
  <c r="C2847" i="3"/>
  <c r="B2847" i="3"/>
  <c r="G2847" i="3" s="1"/>
  <c r="C2846" i="3"/>
  <c r="B2846" i="3"/>
  <c r="G2846" i="3" s="1"/>
  <c r="C2845" i="3"/>
  <c r="B2845" i="3"/>
  <c r="G2845" i="3" s="1"/>
  <c r="C2844" i="3"/>
  <c r="B2844" i="3"/>
  <c r="G2844" i="3" s="1"/>
  <c r="C2843" i="3"/>
  <c r="B2843" i="3"/>
  <c r="G2843" i="3" s="1"/>
  <c r="C2842" i="3"/>
  <c r="B2842" i="3"/>
  <c r="G2842" i="3" s="1"/>
  <c r="C2841" i="3"/>
  <c r="B2841" i="3"/>
  <c r="G2841" i="3" s="1"/>
  <c r="C2840" i="3"/>
  <c r="B2840" i="3"/>
  <c r="G2840" i="3" s="1"/>
  <c r="C2839" i="3"/>
  <c r="B2839" i="3"/>
  <c r="G2839" i="3" s="1"/>
  <c r="C2838" i="3"/>
  <c r="B2838" i="3"/>
  <c r="G2838" i="3" s="1"/>
  <c r="C2837" i="3"/>
  <c r="B2837" i="3"/>
  <c r="G2837" i="3" s="1"/>
  <c r="C2836" i="3"/>
  <c r="B2836" i="3"/>
  <c r="G2836" i="3" s="1"/>
  <c r="C2835" i="3"/>
  <c r="B2835" i="3"/>
  <c r="G2835" i="3" s="1"/>
  <c r="C2834" i="3"/>
  <c r="B2834" i="3"/>
  <c r="G2834" i="3" s="1"/>
  <c r="C2833" i="3"/>
  <c r="B2833" i="3"/>
  <c r="G2833" i="3" s="1"/>
  <c r="C2832" i="3"/>
  <c r="B2832" i="3"/>
  <c r="G2832" i="3" s="1"/>
  <c r="C2831" i="3"/>
  <c r="B2831" i="3"/>
  <c r="G2831" i="3" s="1"/>
  <c r="C2830" i="3"/>
  <c r="B2830" i="3"/>
  <c r="G2830" i="3" s="1"/>
  <c r="C2829" i="3"/>
  <c r="B2829" i="3"/>
  <c r="G2829" i="3" s="1"/>
  <c r="C2828" i="3"/>
  <c r="B2828" i="3"/>
  <c r="G2828" i="3" s="1"/>
  <c r="C2827" i="3"/>
  <c r="B2827" i="3"/>
  <c r="G2827" i="3" s="1"/>
  <c r="C2826" i="3"/>
  <c r="B2826" i="3"/>
  <c r="G2826" i="3" s="1"/>
  <c r="C2825" i="3"/>
  <c r="B2825" i="3"/>
  <c r="G2825" i="3" s="1"/>
  <c r="C2824" i="3"/>
  <c r="B2824" i="3"/>
  <c r="G2824" i="3" s="1"/>
  <c r="C2823" i="3"/>
  <c r="B2823" i="3"/>
  <c r="G2823" i="3" s="1"/>
  <c r="C2822" i="3"/>
  <c r="B2822" i="3"/>
  <c r="G2822" i="3" s="1"/>
  <c r="C2821" i="3"/>
  <c r="B2821" i="3"/>
  <c r="G2821" i="3" s="1"/>
  <c r="C2820" i="3"/>
  <c r="B2820" i="3"/>
  <c r="G2820" i="3" s="1"/>
  <c r="C2819" i="3"/>
  <c r="B2819" i="3"/>
  <c r="G2819" i="3" s="1"/>
  <c r="C2818" i="3"/>
  <c r="B2818" i="3"/>
  <c r="G2818" i="3" s="1"/>
  <c r="C2817" i="3"/>
  <c r="B2817" i="3"/>
  <c r="G2817" i="3" s="1"/>
  <c r="C2816" i="3"/>
  <c r="B2816" i="3"/>
  <c r="G2816" i="3" s="1"/>
  <c r="C2815" i="3"/>
  <c r="B2815" i="3"/>
  <c r="G2815" i="3" s="1"/>
  <c r="C2814" i="3"/>
  <c r="B2814" i="3"/>
  <c r="G2814" i="3" s="1"/>
  <c r="C2813" i="3"/>
  <c r="B2813" i="3"/>
  <c r="G2813" i="3" s="1"/>
  <c r="C2812" i="3"/>
  <c r="B2812" i="3"/>
  <c r="G2812" i="3" s="1"/>
  <c r="G2811" i="3"/>
  <c r="B2811" i="3"/>
  <c r="B2810" i="3"/>
  <c r="G2810" i="3" s="1"/>
  <c r="B2809" i="3"/>
  <c r="G2809" i="3" s="1"/>
  <c r="B2808" i="3"/>
  <c r="G2808" i="3" s="1"/>
  <c r="B2807" i="3"/>
  <c r="G2807" i="3" s="1"/>
  <c r="B2806" i="3"/>
  <c r="G2806" i="3" s="1"/>
  <c r="B2805" i="3"/>
  <c r="G2805" i="3" s="1"/>
  <c r="B2804" i="3"/>
  <c r="G2804" i="3" s="1"/>
  <c r="B2803" i="3"/>
  <c r="G2803" i="3" s="1"/>
  <c r="B2802" i="3"/>
  <c r="G2802" i="3" s="1"/>
  <c r="B2801" i="3"/>
  <c r="G2801" i="3" s="1"/>
  <c r="B2800" i="3"/>
  <c r="G2800" i="3" s="1"/>
  <c r="B2799" i="3"/>
  <c r="G2799" i="3" s="1"/>
  <c r="B2798" i="3"/>
  <c r="G2798" i="3" s="1"/>
  <c r="B2797" i="3"/>
  <c r="G2797" i="3" s="1"/>
  <c r="B2796" i="3"/>
  <c r="G2796" i="3" s="1"/>
  <c r="B2795" i="3"/>
  <c r="G2795" i="3" s="1"/>
  <c r="B2794" i="3"/>
  <c r="G2794" i="3" s="1"/>
  <c r="B2793" i="3"/>
  <c r="G2793" i="3" s="1"/>
  <c r="B2792" i="3"/>
  <c r="G2792" i="3" s="1"/>
  <c r="B2791" i="3"/>
  <c r="G2791" i="3" s="1"/>
  <c r="B2790" i="3"/>
  <c r="G2790" i="3" s="1"/>
  <c r="B2789" i="3"/>
  <c r="G2789" i="3" s="1"/>
  <c r="B2788" i="3"/>
  <c r="G2788" i="3" s="1"/>
  <c r="B2787" i="3"/>
  <c r="G2787" i="3" s="1"/>
  <c r="B2786" i="3"/>
  <c r="G2786" i="3" s="1"/>
  <c r="B2785" i="3"/>
  <c r="G2785" i="3" s="1"/>
  <c r="B2784" i="3"/>
  <c r="G2784" i="3" s="1"/>
  <c r="B2783" i="3"/>
  <c r="G2783" i="3" s="1"/>
  <c r="B2782" i="3"/>
  <c r="G2782" i="3" s="1"/>
  <c r="B2781" i="3"/>
  <c r="G2781" i="3" s="1"/>
  <c r="B2780" i="3"/>
  <c r="G2780" i="3" s="1"/>
  <c r="B2779" i="3"/>
  <c r="G2779" i="3" s="1"/>
  <c r="B2778" i="3"/>
  <c r="G2778" i="3" s="1"/>
  <c r="B2777" i="3"/>
  <c r="G2777" i="3" s="1"/>
  <c r="B2776" i="3"/>
  <c r="G2776" i="3" s="1"/>
  <c r="B2775" i="3"/>
  <c r="G2775" i="3" s="1"/>
  <c r="B2774" i="3"/>
  <c r="G2774" i="3" s="1"/>
  <c r="B2773" i="3"/>
  <c r="G2773" i="3" s="1"/>
  <c r="B2772" i="3"/>
  <c r="G2772" i="3" s="1"/>
  <c r="B2771" i="3"/>
  <c r="G2771" i="3" s="1"/>
  <c r="B2770" i="3"/>
  <c r="G2770" i="3" s="1"/>
  <c r="B2769" i="3"/>
  <c r="G2769" i="3" s="1"/>
  <c r="B2768" i="3"/>
  <c r="G2768" i="3" s="1"/>
  <c r="B2767" i="3"/>
  <c r="G2767" i="3" s="1"/>
  <c r="B2766" i="3"/>
  <c r="G2766" i="3" s="1"/>
  <c r="B2765" i="3"/>
  <c r="G2765" i="3" s="1"/>
  <c r="B2764" i="3"/>
  <c r="G2764" i="3" s="1"/>
  <c r="B2763" i="3"/>
  <c r="G2763" i="3" s="1"/>
  <c r="B2762" i="3"/>
  <c r="G2762" i="3" s="1"/>
  <c r="B2761" i="3"/>
  <c r="G2761" i="3" s="1"/>
  <c r="B2760" i="3"/>
  <c r="G2760" i="3" s="1"/>
  <c r="B2759" i="3"/>
  <c r="G2759" i="3" s="1"/>
  <c r="B2758" i="3"/>
  <c r="G2758" i="3" s="1"/>
  <c r="B2757" i="3"/>
  <c r="G2757" i="3" s="1"/>
  <c r="B2756" i="3"/>
  <c r="G2756" i="3" s="1"/>
  <c r="B2755" i="3"/>
  <c r="G2755" i="3" s="1"/>
  <c r="B2754" i="3"/>
  <c r="G2754" i="3" s="1"/>
  <c r="B2753" i="3"/>
  <c r="G2753" i="3" s="1"/>
  <c r="B2752" i="3"/>
  <c r="G2752" i="3" s="1"/>
  <c r="B2751" i="3"/>
  <c r="G2751" i="3" s="1"/>
  <c r="B2750" i="3"/>
  <c r="G2750" i="3" s="1"/>
  <c r="B2749" i="3"/>
  <c r="G2749" i="3" s="1"/>
  <c r="B2748" i="3"/>
  <c r="G2748" i="3" s="1"/>
  <c r="B2747" i="3"/>
  <c r="G2747" i="3" s="1"/>
  <c r="B2746" i="3"/>
  <c r="G2746" i="3" s="1"/>
  <c r="B2745" i="3"/>
  <c r="G2745" i="3" s="1"/>
  <c r="B2744" i="3"/>
  <c r="G2744" i="3" s="1"/>
  <c r="B2743" i="3"/>
  <c r="G2743" i="3" s="1"/>
  <c r="B2742" i="3"/>
  <c r="G2742" i="3" s="1"/>
  <c r="B2741" i="3"/>
  <c r="G2741" i="3" s="1"/>
  <c r="B2740" i="3"/>
  <c r="G2740" i="3" s="1"/>
  <c r="B2739" i="3"/>
  <c r="G2739" i="3" s="1"/>
  <c r="B2738" i="3"/>
  <c r="G2738" i="3" s="1"/>
  <c r="B2737" i="3"/>
  <c r="G2737" i="3" s="1"/>
  <c r="B2736" i="3"/>
  <c r="G2736" i="3" s="1"/>
  <c r="B2735" i="3"/>
  <c r="G2735" i="3" s="1"/>
  <c r="B2734" i="3"/>
  <c r="G2734" i="3" s="1"/>
  <c r="B2733" i="3"/>
  <c r="G2733" i="3" s="1"/>
  <c r="B2732" i="3"/>
  <c r="G2732" i="3" s="1"/>
  <c r="B2731" i="3"/>
  <c r="G2731" i="3" s="1"/>
  <c r="B2730" i="3"/>
  <c r="G2730" i="3" s="1"/>
  <c r="B2729" i="3"/>
  <c r="G2729" i="3" s="1"/>
  <c r="B2728" i="3"/>
  <c r="G2728" i="3" s="1"/>
  <c r="B2727" i="3"/>
  <c r="G2727" i="3" s="1"/>
  <c r="B2726" i="3"/>
  <c r="G2726" i="3" s="1"/>
  <c r="B2725" i="3"/>
  <c r="G2725" i="3" s="1"/>
  <c r="B2724" i="3"/>
  <c r="G2724" i="3" s="1"/>
  <c r="B2723" i="3"/>
  <c r="G2723" i="3" s="1"/>
  <c r="B2722" i="3"/>
  <c r="G2722" i="3" s="1"/>
  <c r="B2721" i="3"/>
  <c r="G2721" i="3" s="1"/>
  <c r="B2720" i="3"/>
  <c r="G2720" i="3" s="1"/>
  <c r="B2719" i="3"/>
  <c r="G2719" i="3" s="1"/>
  <c r="B2718" i="3"/>
  <c r="G2718" i="3" s="1"/>
  <c r="B2717" i="3"/>
  <c r="G2717" i="3" s="1"/>
  <c r="B2716" i="3"/>
  <c r="G2716" i="3" s="1"/>
  <c r="B2715" i="3"/>
  <c r="G2715" i="3" s="1"/>
  <c r="B2714" i="3"/>
  <c r="G2714" i="3" s="1"/>
  <c r="B2713" i="3"/>
  <c r="G2713" i="3" s="1"/>
  <c r="B2712" i="3"/>
  <c r="G2712" i="3" s="1"/>
  <c r="B2711" i="3"/>
  <c r="G2711" i="3" s="1"/>
  <c r="B2710" i="3"/>
  <c r="G2710" i="3" s="1"/>
  <c r="B2709" i="3"/>
  <c r="G2709" i="3" s="1"/>
  <c r="B2708" i="3"/>
  <c r="G2708" i="3" s="1"/>
  <c r="B2707" i="3"/>
  <c r="G2707" i="3" s="1"/>
  <c r="B2706" i="3"/>
  <c r="G2706" i="3" s="1"/>
  <c r="B2705" i="3"/>
  <c r="G2705" i="3" s="1"/>
  <c r="B2704" i="3"/>
  <c r="G2704" i="3" s="1"/>
  <c r="B2703" i="3"/>
  <c r="G2703" i="3" s="1"/>
  <c r="B2702" i="3"/>
  <c r="G2702" i="3" s="1"/>
  <c r="B2701" i="3"/>
  <c r="G2701" i="3" s="1"/>
  <c r="B2700" i="3"/>
  <c r="G2700" i="3" s="1"/>
  <c r="B2699" i="3"/>
  <c r="G2699" i="3" s="1"/>
  <c r="B2698" i="3"/>
  <c r="G2698" i="3" s="1"/>
  <c r="B2697" i="3"/>
  <c r="G2697" i="3" s="1"/>
  <c r="B2696" i="3"/>
  <c r="G2696" i="3" s="1"/>
  <c r="B2695" i="3"/>
  <c r="G2695" i="3" s="1"/>
  <c r="B2694" i="3"/>
  <c r="G2694" i="3" s="1"/>
  <c r="B2693" i="3"/>
  <c r="G2693" i="3" s="1"/>
  <c r="B2692" i="3"/>
  <c r="G2692" i="3" s="1"/>
  <c r="B2691" i="3"/>
  <c r="G2691" i="3" s="1"/>
  <c r="B2690" i="3"/>
  <c r="G2690" i="3" s="1"/>
  <c r="B2689" i="3"/>
  <c r="G2689" i="3" s="1"/>
  <c r="B2688" i="3"/>
  <c r="G2688" i="3" s="1"/>
  <c r="B2687" i="3"/>
  <c r="G2687" i="3" s="1"/>
  <c r="B2686" i="3"/>
  <c r="G2686" i="3" s="1"/>
  <c r="B2685" i="3"/>
  <c r="G2685" i="3" s="1"/>
  <c r="B2684" i="3"/>
  <c r="G2684" i="3" s="1"/>
  <c r="B2683" i="3"/>
  <c r="G2683" i="3" s="1"/>
  <c r="B2682" i="3"/>
  <c r="G2682" i="3" s="1"/>
  <c r="B2681" i="3"/>
  <c r="G2681" i="3" s="1"/>
  <c r="B2680" i="3"/>
  <c r="G2680" i="3" s="1"/>
  <c r="B2679" i="3"/>
  <c r="G2679" i="3" s="1"/>
  <c r="B2678" i="3"/>
  <c r="G2678" i="3" s="1"/>
  <c r="B2677" i="3"/>
  <c r="G2677" i="3" s="1"/>
  <c r="B2676" i="3"/>
  <c r="G2676" i="3" s="1"/>
  <c r="B2675" i="3"/>
  <c r="G2675" i="3" s="1"/>
  <c r="B2674" i="3"/>
  <c r="G2674" i="3" s="1"/>
  <c r="B2673" i="3"/>
  <c r="G2673" i="3" s="1"/>
  <c r="B2672" i="3"/>
  <c r="G2672" i="3" s="1"/>
  <c r="B2671" i="3"/>
  <c r="G2671" i="3" s="1"/>
  <c r="B2670" i="3"/>
  <c r="G2670" i="3" s="1"/>
  <c r="B2669" i="3"/>
  <c r="G2669" i="3" s="1"/>
  <c r="B2668" i="3"/>
  <c r="G2668" i="3" s="1"/>
  <c r="B2667" i="3"/>
  <c r="G2667" i="3" s="1"/>
  <c r="B2666" i="3"/>
  <c r="G2666" i="3" s="1"/>
  <c r="B2665" i="3"/>
  <c r="G2665" i="3" s="1"/>
  <c r="B2664" i="3"/>
  <c r="G2664" i="3" s="1"/>
  <c r="B2663" i="3"/>
  <c r="G2663" i="3" s="1"/>
  <c r="B2662" i="3"/>
  <c r="G2662" i="3" s="1"/>
  <c r="B2661" i="3"/>
  <c r="G2661" i="3" s="1"/>
  <c r="B2660" i="3"/>
  <c r="G2660" i="3" s="1"/>
  <c r="B2659" i="3"/>
  <c r="G2659" i="3" s="1"/>
  <c r="B2658" i="3"/>
  <c r="G2658" i="3" s="1"/>
  <c r="B2657" i="3"/>
  <c r="G2657" i="3" s="1"/>
  <c r="B2656" i="3"/>
  <c r="G2656" i="3" s="1"/>
  <c r="B2655" i="3"/>
  <c r="G2655" i="3" s="1"/>
  <c r="B2654" i="3"/>
  <c r="G2654" i="3" s="1"/>
  <c r="B2653" i="3"/>
  <c r="G2653" i="3" s="1"/>
  <c r="B2652" i="3"/>
  <c r="G2652" i="3" s="1"/>
  <c r="B2651" i="3"/>
  <c r="G2651" i="3" s="1"/>
  <c r="B2650" i="3"/>
  <c r="G2650" i="3" s="1"/>
  <c r="B2649" i="3"/>
  <c r="G2649" i="3" s="1"/>
  <c r="B2648" i="3"/>
  <c r="G2648" i="3" s="1"/>
  <c r="B2647" i="3"/>
  <c r="G2647" i="3" s="1"/>
  <c r="B2646" i="3"/>
  <c r="G2646" i="3" s="1"/>
  <c r="B2645" i="3"/>
  <c r="G2645" i="3" s="1"/>
  <c r="B2644" i="3"/>
  <c r="G2644" i="3" s="1"/>
  <c r="B2643" i="3"/>
  <c r="G2643" i="3" s="1"/>
  <c r="B2642" i="3"/>
  <c r="G2642" i="3" s="1"/>
  <c r="B2641" i="3"/>
  <c r="G2641" i="3" s="1"/>
  <c r="B2640" i="3"/>
  <c r="G2640" i="3" s="1"/>
  <c r="B2639" i="3"/>
  <c r="G2639" i="3" s="1"/>
  <c r="B2638" i="3"/>
  <c r="G2638" i="3" s="1"/>
  <c r="B2637" i="3"/>
  <c r="G2637" i="3" s="1"/>
  <c r="B2636" i="3"/>
  <c r="G2636" i="3" s="1"/>
  <c r="B2635" i="3"/>
  <c r="G2635" i="3" s="1"/>
  <c r="B2634" i="3"/>
  <c r="G2634" i="3" s="1"/>
  <c r="B2633" i="3"/>
  <c r="G2633" i="3" s="1"/>
  <c r="B2632" i="3"/>
  <c r="G2632" i="3" s="1"/>
  <c r="B2631" i="3"/>
  <c r="G2631" i="3" s="1"/>
  <c r="B2630" i="3"/>
  <c r="G2630" i="3" s="1"/>
  <c r="B2629" i="3"/>
  <c r="G2629" i="3" s="1"/>
  <c r="B2628" i="3"/>
  <c r="G2628" i="3" s="1"/>
  <c r="B2627" i="3"/>
  <c r="G2627" i="3" s="1"/>
  <c r="B2626" i="3"/>
  <c r="G2626" i="3" s="1"/>
  <c r="B2625" i="3"/>
  <c r="G2625" i="3" s="1"/>
  <c r="B2624" i="3"/>
  <c r="G2624" i="3" s="1"/>
  <c r="B2623" i="3"/>
  <c r="G2623" i="3" s="1"/>
  <c r="B2622" i="3"/>
  <c r="G2622" i="3" s="1"/>
  <c r="B2621" i="3"/>
  <c r="G2621" i="3" s="1"/>
  <c r="B2620" i="3"/>
  <c r="G2620" i="3" s="1"/>
  <c r="B2619" i="3"/>
  <c r="G2619" i="3" s="1"/>
  <c r="B2618" i="3"/>
  <c r="G2618" i="3" s="1"/>
  <c r="B2617" i="3"/>
  <c r="G2617" i="3" s="1"/>
  <c r="B2616" i="3"/>
  <c r="G2616" i="3" s="1"/>
  <c r="B2615" i="3"/>
  <c r="G2615" i="3" s="1"/>
  <c r="B2614" i="3"/>
  <c r="G2614" i="3" s="1"/>
  <c r="B2613" i="3"/>
  <c r="G2613" i="3" s="1"/>
  <c r="B2612" i="3"/>
  <c r="G2612" i="3" s="1"/>
  <c r="B2611" i="3"/>
  <c r="G2611" i="3" s="1"/>
  <c r="B2610" i="3"/>
  <c r="G2610" i="3" s="1"/>
  <c r="B2609" i="3"/>
  <c r="G2609" i="3" s="1"/>
  <c r="B2608" i="3"/>
  <c r="G2608" i="3" s="1"/>
  <c r="B2607" i="3"/>
  <c r="G2607" i="3" s="1"/>
  <c r="B2606" i="3"/>
  <c r="G2606" i="3" s="1"/>
  <c r="B2605" i="3"/>
  <c r="G2605" i="3" s="1"/>
  <c r="B2604" i="3"/>
  <c r="G2604" i="3" s="1"/>
  <c r="B2603" i="3"/>
  <c r="G2603" i="3" s="1"/>
  <c r="B2602" i="3"/>
  <c r="G2602" i="3" s="1"/>
  <c r="B2601" i="3"/>
  <c r="G2601" i="3" s="1"/>
  <c r="B2600" i="3"/>
  <c r="G2600" i="3" s="1"/>
  <c r="B2599" i="3"/>
  <c r="G2599" i="3" s="1"/>
  <c r="B2598" i="3"/>
  <c r="G2598" i="3" s="1"/>
  <c r="B2597" i="3"/>
  <c r="G2597" i="3" s="1"/>
  <c r="B2596" i="3"/>
  <c r="G2596" i="3" s="1"/>
  <c r="B2595" i="3"/>
  <c r="G2595" i="3" s="1"/>
  <c r="B2594" i="3"/>
  <c r="G2594" i="3" s="1"/>
  <c r="B2593" i="3"/>
  <c r="G2593" i="3" s="1"/>
  <c r="B2592" i="3"/>
  <c r="G2592" i="3" s="1"/>
  <c r="B2591" i="3"/>
  <c r="G2591" i="3" s="1"/>
  <c r="B2590" i="3"/>
  <c r="G2590" i="3" s="1"/>
  <c r="B2589" i="3"/>
  <c r="G2589" i="3" s="1"/>
  <c r="B2588" i="3"/>
  <c r="G2588" i="3" s="1"/>
  <c r="B2587" i="3"/>
  <c r="G2587" i="3" s="1"/>
  <c r="B2586" i="3"/>
  <c r="G2586" i="3" s="1"/>
  <c r="B2585" i="3"/>
  <c r="G2585" i="3" s="1"/>
  <c r="B2584" i="3"/>
  <c r="G2584" i="3" s="1"/>
  <c r="B2583" i="3"/>
  <c r="G2583" i="3" s="1"/>
  <c r="B2582" i="3"/>
  <c r="G2582" i="3" s="1"/>
  <c r="B2581" i="3"/>
  <c r="G2581" i="3" s="1"/>
  <c r="B2580" i="3"/>
  <c r="G2580" i="3" s="1"/>
  <c r="B2579" i="3"/>
  <c r="G2579" i="3" s="1"/>
  <c r="B2578" i="3"/>
  <c r="G2578" i="3" s="1"/>
  <c r="B2577" i="3"/>
  <c r="G2577" i="3" s="1"/>
  <c r="B2576" i="3"/>
  <c r="G2576" i="3" s="1"/>
  <c r="B2575" i="3"/>
  <c r="G2575" i="3" s="1"/>
  <c r="B2574" i="3"/>
  <c r="G2574" i="3" s="1"/>
  <c r="B2573" i="3"/>
  <c r="G2573" i="3" s="1"/>
  <c r="B2572" i="3"/>
  <c r="G2572" i="3" s="1"/>
  <c r="B2571" i="3"/>
  <c r="G2571" i="3" s="1"/>
  <c r="B2570" i="3"/>
  <c r="G2570" i="3" s="1"/>
  <c r="B2569" i="3"/>
  <c r="G2569" i="3" s="1"/>
  <c r="B2568" i="3"/>
  <c r="G2568" i="3" s="1"/>
  <c r="B2567" i="3"/>
  <c r="G2567" i="3" s="1"/>
  <c r="B2566" i="3"/>
  <c r="G2566" i="3" s="1"/>
  <c r="B2565" i="3"/>
  <c r="G2565" i="3" s="1"/>
  <c r="B2564" i="3"/>
  <c r="G2564" i="3" s="1"/>
  <c r="B2563" i="3"/>
  <c r="G2563" i="3" s="1"/>
  <c r="B2562" i="3"/>
  <c r="G2562" i="3" s="1"/>
  <c r="B2561" i="3"/>
  <c r="G2561" i="3" s="1"/>
  <c r="B2560" i="3"/>
  <c r="G2560" i="3" s="1"/>
  <c r="B2559" i="3"/>
  <c r="G2559" i="3" s="1"/>
  <c r="B2558" i="3"/>
  <c r="G2558" i="3" s="1"/>
  <c r="B2557" i="3"/>
  <c r="G2557" i="3" s="1"/>
  <c r="B2556" i="3"/>
  <c r="G2556" i="3" s="1"/>
  <c r="B2555" i="3"/>
  <c r="G2555" i="3" s="1"/>
  <c r="B2554" i="3"/>
  <c r="G2554" i="3" s="1"/>
  <c r="B2553" i="3"/>
  <c r="G2553" i="3" s="1"/>
  <c r="B2552" i="3"/>
  <c r="G2552" i="3" s="1"/>
  <c r="B2551" i="3"/>
  <c r="G2551" i="3" s="1"/>
  <c r="B2550" i="3"/>
  <c r="G2550" i="3" s="1"/>
  <c r="B2549" i="3"/>
  <c r="G2549" i="3" s="1"/>
  <c r="B2548" i="3"/>
  <c r="G2548" i="3" s="1"/>
  <c r="B2547" i="3"/>
  <c r="G2547" i="3" s="1"/>
  <c r="B2546" i="3"/>
  <c r="G2546" i="3" s="1"/>
  <c r="B2545" i="3"/>
  <c r="G2545" i="3" s="1"/>
  <c r="B2544" i="3"/>
  <c r="G2544" i="3" s="1"/>
  <c r="B2543" i="3"/>
  <c r="G2543" i="3" s="1"/>
  <c r="B2542" i="3"/>
  <c r="G2542" i="3" s="1"/>
  <c r="B2541" i="3"/>
  <c r="G2541" i="3" s="1"/>
  <c r="B2540" i="3"/>
  <c r="G2540" i="3" s="1"/>
  <c r="B2539" i="3"/>
  <c r="G2539" i="3" s="1"/>
  <c r="B2538" i="3"/>
  <c r="G2538" i="3" s="1"/>
  <c r="B2537" i="3"/>
  <c r="G2537" i="3" s="1"/>
  <c r="B2536" i="3"/>
  <c r="G2536" i="3" s="1"/>
  <c r="B2535" i="3"/>
  <c r="G2535" i="3" s="1"/>
  <c r="B2534" i="3"/>
  <c r="G2534" i="3" s="1"/>
  <c r="B2533" i="3"/>
  <c r="G2533" i="3" s="1"/>
  <c r="B2532" i="3"/>
  <c r="G2532" i="3" s="1"/>
  <c r="B2531" i="3"/>
  <c r="G2531" i="3" s="1"/>
  <c r="B2530" i="3"/>
  <c r="G2530" i="3" s="1"/>
  <c r="B2529" i="3"/>
  <c r="G2529" i="3" s="1"/>
  <c r="B2528" i="3"/>
  <c r="G2528" i="3" s="1"/>
  <c r="B2527" i="3"/>
  <c r="G2527" i="3" s="1"/>
  <c r="B2526" i="3"/>
  <c r="G2526" i="3" s="1"/>
  <c r="B2525" i="3"/>
  <c r="G2525" i="3" s="1"/>
  <c r="B2524" i="3"/>
  <c r="G2524" i="3" s="1"/>
  <c r="B2523" i="3"/>
  <c r="G2523" i="3" s="1"/>
  <c r="B2522" i="3"/>
  <c r="G2522" i="3" s="1"/>
  <c r="B2521" i="3"/>
  <c r="G2521" i="3" s="1"/>
  <c r="B2520" i="3"/>
  <c r="G2520" i="3" s="1"/>
  <c r="B2519" i="3"/>
  <c r="G2519" i="3" s="1"/>
  <c r="B2518" i="3"/>
  <c r="G2518" i="3" s="1"/>
  <c r="B2517" i="3"/>
  <c r="G2517" i="3" s="1"/>
  <c r="B2516" i="3"/>
  <c r="G2516" i="3" s="1"/>
  <c r="B2515" i="3"/>
  <c r="G2515" i="3" s="1"/>
  <c r="B2514" i="3"/>
  <c r="G2514" i="3" s="1"/>
  <c r="B2513" i="3"/>
  <c r="G2513" i="3" s="1"/>
  <c r="B2512" i="3"/>
  <c r="G2512" i="3" s="1"/>
  <c r="B2511" i="3"/>
  <c r="G2511" i="3" s="1"/>
  <c r="B2510" i="3"/>
  <c r="G2510" i="3" s="1"/>
  <c r="B2509" i="3"/>
  <c r="G2509" i="3" s="1"/>
  <c r="B2508" i="3"/>
  <c r="G2508" i="3" s="1"/>
  <c r="B2507" i="3"/>
  <c r="G2507" i="3" s="1"/>
  <c r="B2506" i="3"/>
  <c r="G2506" i="3" s="1"/>
  <c r="B2505" i="3"/>
  <c r="G2505" i="3" s="1"/>
  <c r="B2504" i="3"/>
  <c r="G2504" i="3" s="1"/>
  <c r="B2503" i="3"/>
  <c r="G2503" i="3" s="1"/>
  <c r="B2502" i="3"/>
  <c r="G2502" i="3" s="1"/>
  <c r="B2501" i="3"/>
  <c r="G2501" i="3" s="1"/>
  <c r="B2500" i="3"/>
  <c r="G2500" i="3" s="1"/>
  <c r="B2499" i="3"/>
  <c r="G2499" i="3" s="1"/>
  <c r="B2498" i="3"/>
  <c r="G2498" i="3" s="1"/>
  <c r="B2497" i="3"/>
  <c r="G2497" i="3" s="1"/>
  <c r="B2496" i="3"/>
  <c r="G2496" i="3" s="1"/>
  <c r="B2495" i="3"/>
  <c r="G2495" i="3" s="1"/>
  <c r="B2494" i="3"/>
  <c r="G2494" i="3" s="1"/>
  <c r="B2493" i="3"/>
  <c r="G2493" i="3" s="1"/>
  <c r="B2492" i="3"/>
  <c r="G2492" i="3" s="1"/>
  <c r="B2491" i="3"/>
  <c r="G2491" i="3" s="1"/>
  <c r="B2490" i="3"/>
  <c r="G2490" i="3" s="1"/>
  <c r="B2489" i="3"/>
  <c r="G2489" i="3" s="1"/>
  <c r="B2488" i="3"/>
  <c r="G2488" i="3" s="1"/>
  <c r="B2487" i="3"/>
  <c r="G2487" i="3" s="1"/>
  <c r="B2486" i="3"/>
  <c r="G2486" i="3" s="1"/>
  <c r="B2485" i="3"/>
  <c r="G2485" i="3" s="1"/>
  <c r="B2484" i="3"/>
  <c r="G2484" i="3" s="1"/>
  <c r="B2483" i="3"/>
  <c r="G2483" i="3" s="1"/>
  <c r="B2482" i="3"/>
  <c r="G2482" i="3" s="1"/>
  <c r="B2481" i="3"/>
  <c r="G2481" i="3" s="1"/>
  <c r="B2480" i="3"/>
  <c r="G2480" i="3" s="1"/>
  <c r="B2479" i="3"/>
  <c r="G2479" i="3" s="1"/>
  <c r="B2478" i="3"/>
  <c r="G2478" i="3" s="1"/>
  <c r="B2477" i="3"/>
  <c r="G2477" i="3" s="1"/>
  <c r="B2476" i="3"/>
  <c r="G2476" i="3" s="1"/>
  <c r="B2475" i="3"/>
  <c r="G2475" i="3" s="1"/>
  <c r="B2474" i="3"/>
  <c r="G2474" i="3" s="1"/>
  <c r="B2473" i="3"/>
  <c r="G2473" i="3" s="1"/>
  <c r="B2472" i="3"/>
  <c r="G2472" i="3" s="1"/>
  <c r="B2471" i="3"/>
  <c r="G2471" i="3" s="1"/>
  <c r="B2470" i="3"/>
  <c r="G2470" i="3" s="1"/>
  <c r="B2469" i="3"/>
  <c r="G2469" i="3" s="1"/>
  <c r="B2468" i="3"/>
  <c r="G2468" i="3" s="1"/>
  <c r="B2467" i="3"/>
  <c r="G2467" i="3" s="1"/>
  <c r="B2466" i="3"/>
  <c r="G2466" i="3" s="1"/>
  <c r="B2465" i="3"/>
  <c r="G2465" i="3" s="1"/>
  <c r="B2464" i="3"/>
  <c r="G2464" i="3" s="1"/>
  <c r="B2463" i="3"/>
  <c r="G2463" i="3" s="1"/>
  <c r="B2462" i="3"/>
  <c r="G2462" i="3" s="1"/>
  <c r="B2461" i="3"/>
  <c r="G2461" i="3" s="1"/>
  <c r="B2460" i="3"/>
  <c r="G2460" i="3" s="1"/>
  <c r="B2459" i="3"/>
  <c r="G2459" i="3" s="1"/>
  <c r="B2458" i="3"/>
  <c r="G2458" i="3" s="1"/>
  <c r="B2457" i="3"/>
  <c r="G2457" i="3" s="1"/>
  <c r="B2456" i="3"/>
  <c r="G2456" i="3" s="1"/>
  <c r="B2455" i="3"/>
  <c r="G2455" i="3" s="1"/>
  <c r="B2454" i="3"/>
  <c r="G2454" i="3" s="1"/>
  <c r="B2453" i="3"/>
  <c r="G2453" i="3" s="1"/>
  <c r="B2452" i="3"/>
  <c r="G2452" i="3" s="1"/>
  <c r="B2451" i="3"/>
  <c r="G2451" i="3" s="1"/>
  <c r="B2450" i="3"/>
  <c r="G2450" i="3" s="1"/>
  <c r="C2449" i="3"/>
  <c r="B2449" i="3"/>
  <c r="G2449" i="3" s="1"/>
  <c r="C2448" i="3"/>
  <c r="B2448" i="3"/>
  <c r="G2448" i="3" s="1"/>
  <c r="C2447" i="3"/>
  <c r="B2447" i="3"/>
  <c r="G2447" i="3" s="1"/>
  <c r="C2446" i="3"/>
  <c r="B2446" i="3"/>
  <c r="G2446" i="3" s="1"/>
  <c r="C2445" i="3"/>
  <c r="B2445" i="3"/>
  <c r="G2445" i="3" s="1"/>
  <c r="C2444" i="3"/>
  <c r="B2444" i="3"/>
  <c r="G2444" i="3" s="1"/>
  <c r="C2443" i="3"/>
  <c r="B2443" i="3"/>
  <c r="G2443" i="3" s="1"/>
  <c r="C2442" i="3"/>
  <c r="B2442" i="3"/>
  <c r="G2442" i="3" s="1"/>
  <c r="C2441" i="3"/>
  <c r="B2441" i="3"/>
  <c r="G2441" i="3" s="1"/>
  <c r="C2440" i="3"/>
  <c r="B2440" i="3"/>
  <c r="G2440" i="3" s="1"/>
  <c r="C2439" i="3"/>
  <c r="B2439" i="3"/>
  <c r="G2439" i="3" s="1"/>
  <c r="C2438" i="3"/>
  <c r="B2438" i="3"/>
  <c r="G2438" i="3" s="1"/>
  <c r="C2437" i="3"/>
  <c r="B2437" i="3"/>
  <c r="G2437" i="3" s="1"/>
  <c r="C2436" i="3"/>
  <c r="B2436" i="3"/>
  <c r="G2436" i="3" s="1"/>
  <c r="C2435" i="3"/>
  <c r="B2435" i="3"/>
  <c r="G2435" i="3" s="1"/>
  <c r="C2434" i="3"/>
  <c r="B2434" i="3"/>
  <c r="G2434" i="3" s="1"/>
  <c r="C2433" i="3"/>
  <c r="B2433" i="3"/>
  <c r="G2433" i="3" s="1"/>
  <c r="C2432" i="3"/>
  <c r="B2432" i="3"/>
  <c r="G2432" i="3" s="1"/>
  <c r="C2431" i="3"/>
  <c r="B2431" i="3"/>
  <c r="G2431" i="3" s="1"/>
  <c r="C2430" i="3"/>
  <c r="B2430" i="3"/>
  <c r="G2430" i="3" s="1"/>
  <c r="C2429" i="3"/>
  <c r="B2429" i="3"/>
  <c r="G2429" i="3" s="1"/>
  <c r="C2428" i="3"/>
  <c r="B2428" i="3"/>
  <c r="G2428" i="3" s="1"/>
  <c r="C2427" i="3"/>
  <c r="B2427" i="3"/>
  <c r="G2427" i="3" s="1"/>
  <c r="C2426" i="3"/>
  <c r="B2426" i="3"/>
  <c r="G2426" i="3" s="1"/>
  <c r="C2425" i="3"/>
  <c r="B2425" i="3"/>
  <c r="G2425" i="3" s="1"/>
  <c r="C2424" i="3"/>
  <c r="B2424" i="3"/>
  <c r="G2424" i="3" s="1"/>
  <c r="C2423" i="3"/>
  <c r="B2423" i="3"/>
  <c r="G2423" i="3" s="1"/>
  <c r="C2422" i="3"/>
  <c r="B2422" i="3"/>
  <c r="G2422" i="3" s="1"/>
  <c r="C2421" i="3"/>
  <c r="B2421" i="3"/>
  <c r="G2421" i="3" s="1"/>
  <c r="C2420" i="3"/>
  <c r="B2420" i="3"/>
  <c r="G2420" i="3" s="1"/>
  <c r="C2419" i="3"/>
  <c r="B2419" i="3"/>
  <c r="G2419" i="3" s="1"/>
  <c r="C2418" i="3"/>
  <c r="B2418" i="3"/>
  <c r="G2418" i="3" s="1"/>
  <c r="C2417" i="3"/>
  <c r="B2417" i="3"/>
  <c r="G2417" i="3" s="1"/>
  <c r="C2416" i="3"/>
  <c r="B2416" i="3"/>
  <c r="G2416" i="3" s="1"/>
  <c r="C2415" i="3"/>
  <c r="B2415" i="3"/>
  <c r="G2415" i="3" s="1"/>
  <c r="C2414" i="3"/>
  <c r="B2414" i="3"/>
  <c r="G2414" i="3" s="1"/>
  <c r="C2413" i="3"/>
  <c r="B2413" i="3"/>
  <c r="G2413" i="3" s="1"/>
  <c r="C2412" i="3"/>
  <c r="B2412" i="3"/>
  <c r="G2412" i="3" s="1"/>
  <c r="C2411" i="3"/>
  <c r="B2411" i="3"/>
  <c r="G2411" i="3" s="1"/>
  <c r="B2410" i="3"/>
  <c r="G2410" i="3" s="1"/>
  <c r="B2409" i="3"/>
  <c r="G2409" i="3" s="1"/>
  <c r="B2408" i="3"/>
  <c r="G2408" i="3" s="1"/>
  <c r="B2407" i="3"/>
  <c r="G2407" i="3" s="1"/>
  <c r="B2406" i="3"/>
  <c r="G2406" i="3" s="1"/>
  <c r="B2405" i="3"/>
  <c r="G2405" i="3" s="1"/>
  <c r="B2404" i="3"/>
  <c r="G2404" i="3" s="1"/>
  <c r="B2403" i="3"/>
  <c r="G2403" i="3" s="1"/>
  <c r="B2402" i="3"/>
  <c r="G2402" i="3" s="1"/>
  <c r="B2401" i="3"/>
  <c r="G2401" i="3" s="1"/>
  <c r="B2400" i="3"/>
  <c r="G2400" i="3" s="1"/>
  <c r="B2399" i="3"/>
  <c r="G2399" i="3" s="1"/>
  <c r="B2398" i="3"/>
  <c r="G2398" i="3" s="1"/>
  <c r="B2397" i="3"/>
  <c r="G2397" i="3" s="1"/>
  <c r="B2396" i="3"/>
  <c r="G2396" i="3" s="1"/>
  <c r="B2395" i="3"/>
  <c r="G2395" i="3" s="1"/>
  <c r="B2394" i="3"/>
  <c r="G2394" i="3" s="1"/>
  <c r="B2393" i="3"/>
  <c r="G2393" i="3" s="1"/>
  <c r="B2392" i="3"/>
  <c r="G2392" i="3" s="1"/>
  <c r="B2391" i="3"/>
  <c r="G2391" i="3" s="1"/>
  <c r="B2390" i="3"/>
  <c r="G2390" i="3" s="1"/>
  <c r="B2389" i="3"/>
  <c r="G2389" i="3" s="1"/>
  <c r="B2388" i="3"/>
  <c r="G2388" i="3" s="1"/>
  <c r="B2387" i="3"/>
  <c r="G2387" i="3" s="1"/>
  <c r="B2386" i="3"/>
  <c r="G2386" i="3" s="1"/>
  <c r="B2385" i="3"/>
  <c r="G2385" i="3" s="1"/>
  <c r="B2384" i="3"/>
  <c r="G2384" i="3" s="1"/>
  <c r="B2383" i="3"/>
  <c r="G2383" i="3" s="1"/>
  <c r="B2382" i="3"/>
  <c r="G2382" i="3" s="1"/>
  <c r="B2381" i="3"/>
  <c r="G2381" i="3" s="1"/>
  <c r="B2380" i="3"/>
  <c r="G2380" i="3" s="1"/>
  <c r="B2379" i="3"/>
  <c r="G2379" i="3" s="1"/>
  <c r="B2378" i="3"/>
  <c r="G2378" i="3" s="1"/>
  <c r="B2377" i="3"/>
  <c r="G2377" i="3" s="1"/>
  <c r="B2376" i="3"/>
  <c r="G2376" i="3" s="1"/>
  <c r="B2375" i="3"/>
  <c r="G2375" i="3" s="1"/>
  <c r="B2374" i="3"/>
  <c r="G2374" i="3" s="1"/>
  <c r="B2373" i="3"/>
  <c r="G2373" i="3" s="1"/>
  <c r="B2372" i="3"/>
  <c r="G2372" i="3" s="1"/>
  <c r="B2371" i="3"/>
  <c r="G2371" i="3" s="1"/>
  <c r="B2370" i="3"/>
  <c r="G2370" i="3" s="1"/>
  <c r="B2369" i="3"/>
  <c r="G2369" i="3" s="1"/>
  <c r="B2368" i="3"/>
  <c r="G2368" i="3" s="1"/>
  <c r="B2367" i="3"/>
  <c r="G2367" i="3" s="1"/>
  <c r="B2366" i="3"/>
  <c r="G2366" i="3" s="1"/>
  <c r="B2365" i="3"/>
  <c r="G2365" i="3" s="1"/>
  <c r="B2364" i="3"/>
  <c r="G2364" i="3" s="1"/>
  <c r="B2363" i="3"/>
  <c r="G2363" i="3" s="1"/>
  <c r="B2362" i="3"/>
  <c r="G2362" i="3" s="1"/>
  <c r="B2361" i="3"/>
  <c r="G2361" i="3" s="1"/>
  <c r="B2360" i="3"/>
  <c r="G2360" i="3" s="1"/>
  <c r="B2359" i="3"/>
  <c r="G2359" i="3" s="1"/>
  <c r="B2358" i="3"/>
  <c r="G2358" i="3" s="1"/>
  <c r="B2357" i="3"/>
  <c r="G2357" i="3" s="1"/>
  <c r="B2356" i="3"/>
  <c r="G2356" i="3" s="1"/>
  <c r="B2355" i="3"/>
  <c r="G2355" i="3" s="1"/>
  <c r="B2354" i="3"/>
  <c r="G2354" i="3" s="1"/>
  <c r="B2353" i="3"/>
  <c r="G2353" i="3" s="1"/>
  <c r="B2352" i="3"/>
  <c r="G2352" i="3" s="1"/>
  <c r="B2351" i="3"/>
  <c r="G2351" i="3" s="1"/>
  <c r="B2350" i="3"/>
  <c r="G2350" i="3" s="1"/>
  <c r="B2349" i="3"/>
  <c r="G2349" i="3" s="1"/>
  <c r="B2348" i="3"/>
  <c r="G2348" i="3" s="1"/>
  <c r="B2347" i="3"/>
  <c r="G2347" i="3" s="1"/>
  <c r="B2346" i="3"/>
  <c r="G2346" i="3" s="1"/>
  <c r="B2345" i="3"/>
  <c r="G2345" i="3" s="1"/>
  <c r="B2344" i="3"/>
  <c r="G2344" i="3" s="1"/>
  <c r="B2343" i="3"/>
  <c r="G2343" i="3" s="1"/>
  <c r="B2342" i="3"/>
  <c r="G2342" i="3" s="1"/>
  <c r="B2341" i="3"/>
  <c r="G2341" i="3" s="1"/>
  <c r="B2340" i="3"/>
  <c r="G2340" i="3" s="1"/>
  <c r="B2339" i="3"/>
  <c r="G2339" i="3" s="1"/>
  <c r="B2338" i="3"/>
  <c r="G2338" i="3" s="1"/>
  <c r="B2337" i="3"/>
  <c r="G2337" i="3" s="1"/>
  <c r="B2336" i="3"/>
  <c r="G2336" i="3" s="1"/>
  <c r="B2335" i="3"/>
  <c r="G2335" i="3" s="1"/>
  <c r="B2334" i="3"/>
  <c r="G2334" i="3" s="1"/>
  <c r="B2333" i="3"/>
  <c r="G2333" i="3" s="1"/>
  <c r="B2332" i="3"/>
  <c r="G2332" i="3" s="1"/>
  <c r="B2331" i="3"/>
  <c r="G2331" i="3" s="1"/>
  <c r="B2330" i="3"/>
  <c r="G2330" i="3" s="1"/>
  <c r="B2329" i="3"/>
  <c r="G2329" i="3" s="1"/>
  <c r="B2328" i="3"/>
  <c r="G2328" i="3" s="1"/>
  <c r="B2327" i="3"/>
  <c r="G2327" i="3" s="1"/>
  <c r="B2326" i="3"/>
  <c r="G2326" i="3" s="1"/>
  <c r="B2325" i="3"/>
  <c r="G2325" i="3" s="1"/>
  <c r="B2324" i="3"/>
  <c r="G2324" i="3" s="1"/>
  <c r="B2323" i="3"/>
  <c r="G2323" i="3" s="1"/>
  <c r="B2322" i="3"/>
  <c r="G2322" i="3" s="1"/>
  <c r="B2321" i="3"/>
  <c r="G2321" i="3" s="1"/>
  <c r="B2320" i="3"/>
  <c r="G2320" i="3" s="1"/>
  <c r="B2319" i="3"/>
  <c r="G2319" i="3" s="1"/>
  <c r="B2318" i="3"/>
  <c r="G2318" i="3" s="1"/>
  <c r="B2317" i="3"/>
  <c r="G2317" i="3" s="1"/>
  <c r="B2316" i="3"/>
  <c r="G2316" i="3" s="1"/>
  <c r="B2315" i="3"/>
  <c r="G2315" i="3" s="1"/>
  <c r="B2314" i="3"/>
  <c r="G2314" i="3" s="1"/>
  <c r="B2313" i="3"/>
  <c r="G2313" i="3" s="1"/>
  <c r="B2312" i="3"/>
  <c r="G2312" i="3" s="1"/>
  <c r="B2311" i="3"/>
  <c r="G2311" i="3" s="1"/>
  <c r="B2310" i="3"/>
  <c r="G2310" i="3" s="1"/>
  <c r="B2309" i="3"/>
  <c r="G2309" i="3" s="1"/>
  <c r="B2308" i="3"/>
  <c r="G2308" i="3" s="1"/>
  <c r="B2307" i="3"/>
  <c r="G2307" i="3" s="1"/>
  <c r="B2306" i="3"/>
  <c r="G2306" i="3" s="1"/>
  <c r="B2305" i="3"/>
  <c r="G2305" i="3" s="1"/>
  <c r="B2304" i="3"/>
  <c r="G2304" i="3" s="1"/>
  <c r="B2303" i="3"/>
  <c r="G2303" i="3" s="1"/>
  <c r="B2302" i="3"/>
  <c r="G2302" i="3" s="1"/>
  <c r="B2301" i="3"/>
  <c r="G2301" i="3" s="1"/>
  <c r="B2300" i="3"/>
  <c r="G2300" i="3" s="1"/>
  <c r="B2299" i="3"/>
  <c r="G2299" i="3" s="1"/>
  <c r="B2298" i="3"/>
  <c r="G2298" i="3" s="1"/>
  <c r="B2297" i="3"/>
  <c r="G2297" i="3" s="1"/>
  <c r="B2296" i="3"/>
  <c r="G2296" i="3" s="1"/>
  <c r="B2295" i="3"/>
  <c r="G2295" i="3" s="1"/>
  <c r="B2294" i="3"/>
  <c r="G2294" i="3" s="1"/>
  <c r="B2293" i="3"/>
  <c r="G2293" i="3" s="1"/>
  <c r="B2292" i="3"/>
  <c r="G2292" i="3" s="1"/>
  <c r="B2291" i="3"/>
  <c r="G2291" i="3" s="1"/>
  <c r="B2290" i="3"/>
  <c r="G2290" i="3" s="1"/>
  <c r="B2289" i="3"/>
  <c r="G2289" i="3" s="1"/>
  <c r="B2288" i="3"/>
  <c r="G2288" i="3" s="1"/>
  <c r="B2287" i="3"/>
  <c r="G2287" i="3" s="1"/>
  <c r="B2286" i="3"/>
  <c r="G2286" i="3" s="1"/>
  <c r="B2285" i="3"/>
  <c r="G2285" i="3" s="1"/>
  <c r="B2284" i="3"/>
  <c r="G2284" i="3" s="1"/>
  <c r="B2283" i="3"/>
  <c r="G2283" i="3" s="1"/>
  <c r="B2282" i="3"/>
  <c r="G2282" i="3" s="1"/>
  <c r="B2281" i="3"/>
  <c r="G2281" i="3" s="1"/>
  <c r="B2280" i="3"/>
  <c r="G2280" i="3" s="1"/>
  <c r="B2279" i="3"/>
  <c r="G2279" i="3" s="1"/>
  <c r="B2278" i="3"/>
  <c r="G2278" i="3" s="1"/>
  <c r="B2277" i="3"/>
  <c r="G2277" i="3" s="1"/>
  <c r="B2276" i="3"/>
  <c r="G2276" i="3" s="1"/>
  <c r="B2275" i="3"/>
  <c r="G2275" i="3" s="1"/>
  <c r="B2274" i="3"/>
  <c r="G2274" i="3" s="1"/>
  <c r="B2273" i="3"/>
  <c r="G2273" i="3" s="1"/>
  <c r="B2272" i="3"/>
  <c r="G2272" i="3" s="1"/>
  <c r="B2271" i="3"/>
  <c r="G2271" i="3" s="1"/>
  <c r="B2270" i="3"/>
  <c r="G2270" i="3" s="1"/>
  <c r="B2269" i="3"/>
  <c r="G2269" i="3" s="1"/>
  <c r="B2268" i="3"/>
  <c r="G2268" i="3" s="1"/>
  <c r="B2267" i="3"/>
  <c r="G2267" i="3" s="1"/>
  <c r="B2266" i="3"/>
  <c r="G2266" i="3" s="1"/>
  <c r="B2265" i="3"/>
  <c r="G2265" i="3" s="1"/>
  <c r="B2264" i="3"/>
  <c r="G2264" i="3" s="1"/>
  <c r="B2263" i="3"/>
  <c r="G2263" i="3" s="1"/>
  <c r="B2262" i="3"/>
  <c r="G2262" i="3" s="1"/>
  <c r="B2261" i="3"/>
  <c r="G2261" i="3" s="1"/>
  <c r="B2260" i="3"/>
  <c r="G2260" i="3" s="1"/>
  <c r="B2259" i="3"/>
  <c r="G2259" i="3" s="1"/>
  <c r="B2258" i="3"/>
  <c r="G2258" i="3" s="1"/>
  <c r="B2257" i="3"/>
  <c r="G2257" i="3" s="1"/>
  <c r="B2256" i="3"/>
  <c r="G2256" i="3" s="1"/>
  <c r="B2255" i="3"/>
  <c r="G2255" i="3" s="1"/>
  <c r="B2254" i="3"/>
  <c r="G2254" i="3" s="1"/>
  <c r="B2253" i="3"/>
  <c r="G2253" i="3" s="1"/>
  <c r="B2252" i="3"/>
  <c r="G2252" i="3" s="1"/>
  <c r="B2251" i="3"/>
  <c r="G2251" i="3" s="1"/>
  <c r="B2250" i="3"/>
  <c r="G2250" i="3" s="1"/>
  <c r="B2249" i="3"/>
  <c r="G2249" i="3" s="1"/>
  <c r="B2248" i="3"/>
  <c r="G2248" i="3" s="1"/>
  <c r="B2247" i="3"/>
  <c r="G2247" i="3" s="1"/>
  <c r="B2246" i="3"/>
  <c r="G2246" i="3" s="1"/>
  <c r="B2245" i="3"/>
  <c r="G2245" i="3" s="1"/>
  <c r="B2244" i="3"/>
  <c r="G2244" i="3" s="1"/>
  <c r="B2243" i="3"/>
  <c r="G2243" i="3" s="1"/>
  <c r="B2242" i="3"/>
  <c r="G2242" i="3" s="1"/>
  <c r="B2241" i="3"/>
  <c r="G2241" i="3" s="1"/>
  <c r="B2240" i="3"/>
  <c r="G2240" i="3" s="1"/>
  <c r="B2239" i="3"/>
  <c r="G2239" i="3" s="1"/>
  <c r="B2238" i="3"/>
  <c r="G2238" i="3" s="1"/>
  <c r="B2237" i="3"/>
  <c r="G2237" i="3" s="1"/>
  <c r="B2236" i="3"/>
  <c r="G2236" i="3" s="1"/>
  <c r="B2235" i="3"/>
  <c r="G2235" i="3" s="1"/>
  <c r="B2234" i="3"/>
  <c r="G2234" i="3" s="1"/>
  <c r="B2233" i="3"/>
  <c r="G2233" i="3" s="1"/>
  <c r="B2232" i="3"/>
  <c r="G2232" i="3" s="1"/>
  <c r="B2231" i="3"/>
  <c r="G2231" i="3" s="1"/>
  <c r="B2230" i="3"/>
  <c r="G2230" i="3" s="1"/>
  <c r="B2229" i="3"/>
  <c r="G2229" i="3" s="1"/>
  <c r="B2228" i="3"/>
  <c r="G2228" i="3" s="1"/>
  <c r="B2227" i="3"/>
  <c r="G2227" i="3" s="1"/>
  <c r="B2226" i="3"/>
  <c r="G2226" i="3" s="1"/>
  <c r="B2225" i="3"/>
  <c r="G2225" i="3" s="1"/>
  <c r="B2224" i="3"/>
  <c r="G2224" i="3" s="1"/>
  <c r="B2223" i="3"/>
  <c r="G2223" i="3" s="1"/>
  <c r="B2222" i="3"/>
  <c r="G2222" i="3" s="1"/>
  <c r="B2221" i="3"/>
  <c r="G2221" i="3" s="1"/>
  <c r="B2220" i="3"/>
  <c r="G2220" i="3" s="1"/>
  <c r="B2219" i="3"/>
  <c r="G2219" i="3" s="1"/>
  <c r="B2218" i="3"/>
  <c r="G2218" i="3" s="1"/>
  <c r="B2217" i="3"/>
  <c r="G2217" i="3" s="1"/>
  <c r="B2216" i="3"/>
  <c r="G2216" i="3" s="1"/>
  <c r="B2215" i="3"/>
  <c r="G2215" i="3" s="1"/>
  <c r="B2214" i="3"/>
  <c r="G2214" i="3" s="1"/>
  <c r="B2213" i="3"/>
  <c r="G2213" i="3" s="1"/>
  <c r="B2212" i="3"/>
  <c r="G2212" i="3" s="1"/>
  <c r="B2211" i="3"/>
  <c r="G2211" i="3" s="1"/>
  <c r="B2210" i="3"/>
  <c r="G2210" i="3" s="1"/>
  <c r="B2209" i="3"/>
  <c r="G2209" i="3" s="1"/>
  <c r="B2208" i="3"/>
  <c r="G2208" i="3" s="1"/>
  <c r="B2207" i="3"/>
  <c r="G2207" i="3" s="1"/>
  <c r="B2206" i="3"/>
  <c r="G2206" i="3" s="1"/>
  <c r="B2205" i="3"/>
  <c r="G2205" i="3" s="1"/>
  <c r="B2204" i="3"/>
  <c r="G2204" i="3" s="1"/>
  <c r="B2203" i="3"/>
  <c r="G2203" i="3" s="1"/>
  <c r="B2202" i="3"/>
  <c r="G2202" i="3" s="1"/>
  <c r="B2201" i="3"/>
  <c r="G2201" i="3" s="1"/>
  <c r="B2200" i="3"/>
  <c r="G2200" i="3" s="1"/>
  <c r="B2199" i="3"/>
  <c r="G2199" i="3" s="1"/>
  <c r="B2198" i="3"/>
  <c r="G2198" i="3" s="1"/>
  <c r="B2197" i="3"/>
  <c r="G2197" i="3" s="1"/>
  <c r="B2196" i="3"/>
  <c r="G2196" i="3" s="1"/>
  <c r="B2195" i="3"/>
  <c r="G2195" i="3" s="1"/>
  <c r="B2194" i="3"/>
  <c r="G2194" i="3" s="1"/>
  <c r="B2193" i="3"/>
  <c r="G2193" i="3" s="1"/>
  <c r="B2192" i="3"/>
  <c r="G2192" i="3" s="1"/>
  <c r="B2191" i="3"/>
  <c r="G2191" i="3" s="1"/>
  <c r="B2190" i="3"/>
  <c r="G2190" i="3" s="1"/>
  <c r="B2189" i="3"/>
  <c r="G2189" i="3" s="1"/>
  <c r="B2188" i="3"/>
  <c r="G2188" i="3" s="1"/>
  <c r="B2187" i="3"/>
  <c r="G2187" i="3" s="1"/>
  <c r="B2186" i="3"/>
  <c r="G2186" i="3" s="1"/>
  <c r="B2185" i="3"/>
  <c r="G2185" i="3" s="1"/>
  <c r="B2184" i="3"/>
  <c r="G2184" i="3" s="1"/>
  <c r="B2183" i="3"/>
  <c r="G2183" i="3" s="1"/>
  <c r="B2182" i="3"/>
  <c r="G2182" i="3" s="1"/>
  <c r="B2181" i="3"/>
  <c r="G2181" i="3" s="1"/>
  <c r="B2180" i="3"/>
  <c r="G2180" i="3" s="1"/>
  <c r="B2179" i="3"/>
  <c r="G2179" i="3" s="1"/>
  <c r="B2178" i="3"/>
  <c r="G2178" i="3" s="1"/>
  <c r="B2177" i="3"/>
  <c r="G2177" i="3" s="1"/>
  <c r="B2176" i="3"/>
  <c r="G2176" i="3" s="1"/>
  <c r="B2175" i="3"/>
  <c r="G2175" i="3" s="1"/>
  <c r="B2174" i="3"/>
  <c r="G2174" i="3" s="1"/>
  <c r="B2173" i="3"/>
  <c r="G2173" i="3" s="1"/>
  <c r="B2172" i="3"/>
  <c r="G2172" i="3" s="1"/>
  <c r="B2171" i="3"/>
  <c r="G2171" i="3" s="1"/>
  <c r="B2170" i="3"/>
  <c r="G2170" i="3" s="1"/>
  <c r="B2169" i="3"/>
  <c r="G2169" i="3" s="1"/>
  <c r="B2168" i="3"/>
  <c r="G2168" i="3" s="1"/>
  <c r="B2167" i="3"/>
  <c r="G2167" i="3" s="1"/>
  <c r="B2166" i="3"/>
  <c r="G2166" i="3" s="1"/>
  <c r="B2165" i="3"/>
  <c r="G2165" i="3" s="1"/>
  <c r="B2164" i="3"/>
  <c r="G2164" i="3" s="1"/>
  <c r="B2163" i="3"/>
  <c r="G2163" i="3" s="1"/>
  <c r="B2162" i="3"/>
  <c r="G2162" i="3" s="1"/>
  <c r="B2161" i="3"/>
  <c r="G2161" i="3" s="1"/>
  <c r="B2160" i="3"/>
  <c r="G2160" i="3" s="1"/>
  <c r="B2159" i="3"/>
  <c r="G2159" i="3" s="1"/>
  <c r="B2158" i="3"/>
  <c r="G2158" i="3" s="1"/>
  <c r="B2157" i="3"/>
  <c r="G2157" i="3" s="1"/>
  <c r="B2156" i="3"/>
  <c r="G2156" i="3" s="1"/>
  <c r="B2155" i="3"/>
  <c r="G2155" i="3" s="1"/>
  <c r="B2154" i="3"/>
  <c r="G2154" i="3" s="1"/>
  <c r="B2153" i="3"/>
  <c r="G2153" i="3" s="1"/>
  <c r="B2152" i="3"/>
  <c r="G2152" i="3" s="1"/>
  <c r="B2151" i="3"/>
  <c r="G2151" i="3" s="1"/>
  <c r="B2150" i="3"/>
  <c r="G2150" i="3" s="1"/>
  <c r="B2149" i="3"/>
  <c r="G2149" i="3" s="1"/>
  <c r="B2148" i="3"/>
  <c r="G2148" i="3" s="1"/>
  <c r="B2147" i="3"/>
  <c r="G2147" i="3" s="1"/>
  <c r="B2146" i="3"/>
  <c r="G2146" i="3" s="1"/>
  <c r="B2145" i="3"/>
  <c r="G2145" i="3" s="1"/>
  <c r="B2144" i="3"/>
  <c r="G2144" i="3" s="1"/>
  <c r="B2143" i="3"/>
  <c r="G2143" i="3" s="1"/>
  <c r="B2142" i="3"/>
  <c r="G2142" i="3" s="1"/>
  <c r="B2141" i="3"/>
  <c r="G2141" i="3" s="1"/>
  <c r="B2140" i="3"/>
  <c r="G2140" i="3" s="1"/>
  <c r="B2139" i="3"/>
  <c r="G2139" i="3" s="1"/>
  <c r="B2138" i="3"/>
  <c r="G2138" i="3" s="1"/>
  <c r="B2137" i="3"/>
  <c r="G2137" i="3" s="1"/>
  <c r="B2136" i="3"/>
  <c r="G2136" i="3" s="1"/>
  <c r="B2135" i="3"/>
  <c r="G2135" i="3" s="1"/>
  <c r="B2134" i="3"/>
  <c r="G2134" i="3" s="1"/>
  <c r="B2133" i="3"/>
  <c r="G2133" i="3" s="1"/>
  <c r="B2132" i="3"/>
  <c r="G2132" i="3" s="1"/>
  <c r="B2131" i="3"/>
  <c r="G2131" i="3" s="1"/>
  <c r="B2130" i="3"/>
  <c r="G2130" i="3" s="1"/>
  <c r="B2129" i="3"/>
  <c r="G2129" i="3" s="1"/>
  <c r="B2128" i="3"/>
  <c r="G2128" i="3" s="1"/>
  <c r="B2127" i="3"/>
  <c r="G2127" i="3" s="1"/>
  <c r="B2126" i="3"/>
  <c r="G2126" i="3" s="1"/>
  <c r="B2125" i="3"/>
  <c r="G2125" i="3" s="1"/>
  <c r="B2124" i="3"/>
  <c r="G2124" i="3" s="1"/>
  <c r="B2123" i="3"/>
  <c r="G2123" i="3" s="1"/>
  <c r="B2122" i="3"/>
  <c r="G2122" i="3" s="1"/>
  <c r="B2121" i="3"/>
  <c r="G2121" i="3" s="1"/>
  <c r="B2120" i="3"/>
  <c r="G2120" i="3" s="1"/>
  <c r="B2119" i="3"/>
  <c r="G2119" i="3" s="1"/>
  <c r="B2118" i="3"/>
  <c r="G2118" i="3" s="1"/>
  <c r="B2117" i="3"/>
  <c r="G2117" i="3" s="1"/>
  <c r="B2116" i="3"/>
  <c r="G2116" i="3" s="1"/>
  <c r="B2115" i="3"/>
  <c r="G2115" i="3" s="1"/>
  <c r="B2114" i="3"/>
  <c r="G2114" i="3" s="1"/>
  <c r="B2113" i="3"/>
  <c r="G2113" i="3" s="1"/>
  <c r="B2112" i="3"/>
  <c r="G2112" i="3" s="1"/>
  <c r="B2111" i="3"/>
  <c r="G2111" i="3" s="1"/>
  <c r="B2110" i="3"/>
  <c r="G2110" i="3" s="1"/>
  <c r="B2109" i="3"/>
  <c r="G2109" i="3" s="1"/>
  <c r="B2108" i="3"/>
  <c r="G2108" i="3" s="1"/>
  <c r="B2107" i="3"/>
  <c r="G2107" i="3" s="1"/>
  <c r="B2106" i="3"/>
  <c r="G2106" i="3" s="1"/>
  <c r="B2105" i="3"/>
  <c r="G2105" i="3" s="1"/>
  <c r="B2104" i="3"/>
  <c r="G2104" i="3" s="1"/>
  <c r="B2103" i="3"/>
  <c r="G2103" i="3" s="1"/>
  <c r="B2102" i="3"/>
  <c r="G2102" i="3" s="1"/>
  <c r="B2101" i="3"/>
  <c r="G2101" i="3" s="1"/>
  <c r="B2100" i="3"/>
  <c r="G2100" i="3" s="1"/>
  <c r="B2099" i="3"/>
  <c r="G2099" i="3" s="1"/>
  <c r="B2098" i="3"/>
  <c r="G2098" i="3" s="1"/>
  <c r="B2097" i="3"/>
  <c r="G2097" i="3" s="1"/>
  <c r="B2096" i="3"/>
  <c r="G2096" i="3" s="1"/>
  <c r="B2095" i="3"/>
  <c r="G2095" i="3" s="1"/>
  <c r="B2094" i="3"/>
  <c r="G2094" i="3" s="1"/>
  <c r="B2093" i="3"/>
  <c r="G2093" i="3" s="1"/>
  <c r="B2092" i="3"/>
  <c r="G2092" i="3" s="1"/>
  <c r="B2091" i="3"/>
  <c r="G2091" i="3" s="1"/>
  <c r="B2090" i="3"/>
  <c r="G2090" i="3" s="1"/>
  <c r="B2089" i="3"/>
  <c r="G2089" i="3" s="1"/>
  <c r="B2088" i="3"/>
  <c r="G2088" i="3" s="1"/>
  <c r="B2087" i="3"/>
  <c r="G2087" i="3" s="1"/>
  <c r="B2086" i="3"/>
  <c r="G2086" i="3" s="1"/>
  <c r="B2085" i="3"/>
  <c r="G2085" i="3" s="1"/>
  <c r="B2084" i="3"/>
  <c r="G2084" i="3" s="1"/>
  <c r="B2083" i="3"/>
  <c r="G2083" i="3" s="1"/>
  <c r="B2082" i="3"/>
  <c r="G2082" i="3" s="1"/>
  <c r="B2081" i="3"/>
  <c r="G2081" i="3" s="1"/>
  <c r="B2080" i="3"/>
  <c r="G2080" i="3" s="1"/>
  <c r="B2079" i="3"/>
  <c r="G2079" i="3" s="1"/>
  <c r="B2078" i="3"/>
  <c r="G2078" i="3" s="1"/>
  <c r="B2077" i="3"/>
  <c r="G2077" i="3" s="1"/>
  <c r="B2076" i="3"/>
  <c r="G2076" i="3" s="1"/>
  <c r="B2075" i="3"/>
  <c r="G2075" i="3" s="1"/>
  <c r="B2074" i="3"/>
  <c r="G2074" i="3" s="1"/>
  <c r="B2073" i="3"/>
  <c r="G2073" i="3" s="1"/>
  <c r="B2072" i="3"/>
  <c r="G2072" i="3" s="1"/>
  <c r="B2071" i="3"/>
  <c r="G2071" i="3" s="1"/>
  <c r="B2070" i="3"/>
  <c r="G2070" i="3" s="1"/>
  <c r="B2069" i="3"/>
  <c r="G2069" i="3" s="1"/>
  <c r="B2068" i="3"/>
  <c r="G2068" i="3" s="1"/>
  <c r="B2067" i="3"/>
  <c r="G2067" i="3" s="1"/>
  <c r="B2066" i="3"/>
  <c r="G2066" i="3" s="1"/>
  <c r="B2065" i="3"/>
  <c r="G2065" i="3" s="1"/>
  <c r="B2064" i="3"/>
  <c r="G2064" i="3" s="1"/>
  <c r="B2063" i="3"/>
  <c r="G2063" i="3" s="1"/>
  <c r="B2062" i="3"/>
  <c r="G2062" i="3" s="1"/>
  <c r="B2061" i="3"/>
  <c r="G2061" i="3" s="1"/>
  <c r="B2060" i="3"/>
  <c r="G2060" i="3" s="1"/>
  <c r="B2059" i="3"/>
  <c r="G2059" i="3" s="1"/>
  <c r="B2058" i="3"/>
  <c r="G2058" i="3" s="1"/>
  <c r="B2057" i="3"/>
  <c r="G2057" i="3" s="1"/>
  <c r="B2056" i="3"/>
  <c r="G2056" i="3" s="1"/>
  <c r="B2055" i="3"/>
  <c r="G2055" i="3" s="1"/>
  <c r="B2054" i="3"/>
  <c r="G2054" i="3" s="1"/>
  <c r="B2053" i="3"/>
  <c r="G2053" i="3" s="1"/>
  <c r="B2052" i="3"/>
  <c r="G2052" i="3" s="1"/>
  <c r="B2051" i="3"/>
  <c r="G2051" i="3" s="1"/>
  <c r="B2050" i="3"/>
  <c r="G2050" i="3" s="1"/>
  <c r="B2049" i="3"/>
  <c r="G2049" i="3" s="1"/>
  <c r="B2048" i="3"/>
  <c r="G2048" i="3" s="1"/>
  <c r="B2047" i="3"/>
  <c r="G2047" i="3" s="1"/>
  <c r="B2046" i="3"/>
  <c r="G2046" i="3" s="1"/>
  <c r="B2045" i="3"/>
  <c r="G2045" i="3" s="1"/>
  <c r="B2044" i="3"/>
  <c r="G2044" i="3" s="1"/>
  <c r="B2043" i="3"/>
  <c r="G2043" i="3" s="1"/>
  <c r="B2042" i="3"/>
  <c r="G2042" i="3" s="1"/>
  <c r="B2041" i="3"/>
  <c r="G2041" i="3" s="1"/>
  <c r="B2040" i="3"/>
  <c r="G2040" i="3" s="1"/>
  <c r="B2039" i="3"/>
  <c r="G2039" i="3" s="1"/>
  <c r="B2038" i="3"/>
  <c r="G2038" i="3" s="1"/>
  <c r="B2037" i="3"/>
  <c r="G2037" i="3" s="1"/>
  <c r="B2036" i="3"/>
  <c r="G2036" i="3" s="1"/>
  <c r="B2035" i="3"/>
  <c r="G2035" i="3" s="1"/>
  <c r="B2034" i="3"/>
  <c r="G2034" i="3" s="1"/>
  <c r="B2033" i="3"/>
  <c r="G2033" i="3" s="1"/>
  <c r="B2032" i="3"/>
  <c r="G2032" i="3" s="1"/>
  <c r="B2031" i="3"/>
  <c r="G2031" i="3" s="1"/>
  <c r="B2030" i="3"/>
  <c r="G2030" i="3" s="1"/>
  <c r="B2029" i="3"/>
  <c r="G2029" i="3" s="1"/>
  <c r="B2028" i="3"/>
  <c r="G2028" i="3" s="1"/>
  <c r="B2027" i="3"/>
  <c r="G2027" i="3" s="1"/>
  <c r="B2026" i="3"/>
  <c r="G2026" i="3" s="1"/>
  <c r="B2025" i="3"/>
  <c r="G2025" i="3" s="1"/>
  <c r="B2024" i="3"/>
  <c r="G2024" i="3" s="1"/>
  <c r="B2023" i="3"/>
  <c r="G2023" i="3" s="1"/>
  <c r="B2022" i="3"/>
  <c r="G2022" i="3" s="1"/>
  <c r="B2021" i="3"/>
  <c r="G2021" i="3" s="1"/>
  <c r="B2020" i="3"/>
  <c r="G2020" i="3" s="1"/>
  <c r="B2019" i="3"/>
  <c r="G2019" i="3" s="1"/>
  <c r="B2018" i="3"/>
  <c r="G2018" i="3" s="1"/>
  <c r="B2017" i="3"/>
  <c r="G2017" i="3" s="1"/>
  <c r="B2016" i="3"/>
  <c r="G2016" i="3" s="1"/>
  <c r="B2015" i="3"/>
  <c r="G2015" i="3" s="1"/>
  <c r="B2014" i="3"/>
  <c r="G2014" i="3" s="1"/>
  <c r="B2013" i="3"/>
  <c r="G2013" i="3" s="1"/>
  <c r="B2012" i="3"/>
  <c r="G2012" i="3" s="1"/>
  <c r="B2011" i="3"/>
  <c r="G2011" i="3" s="1"/>
  <c r="G2010" i="3"/>
  <c r="B2010" i="3"/>
  <c r="B2009" i="3"/>
  <c r="G2009" i="3" s="1"/>
  <c r="B2008" i="3"/>
  <c r="G2008" i="3" s="1"/>
  <c r="B2007" i="3"/>
  <c r="G2007" i="3" s="1"/>
  <c r="B2006" i="3"/>
  <c r="G2006" i="3" s="1"/>
  <c r="B2005" i="3"/>
  <c r="G2005" i="3" s="1"/>
  <c r="B2004" i="3"/>
  <c r="G2004" i="3" s="1"/>
  <c r="B2003" i="3"/>
  <c r="G2003" i="3" s="1"/>
  <c r="B2002" i="3"/>
  <c r="G2002" i="3" s="1"/>
  <c r="B2001" i="3"/>
  <c r="G2001" i="3" s="1"/>
  <c r="B2000" i="3"/>
  <c r="G2000" i="3" s="1"/>
  <c r="B1999" i="3"/>
  <c r="G1999" i="3" s="1"/>
  <c r="B1998" i="3"/>
  <c r="G1998" i="3" s="1"/>
  <c r="B1997" i="3"/>
  <c r="G1997" i="3" s="1"/>
  <c r="B1996" i="3"/>
  <c r="G1996" i="3" s="1"/>
  <c r="B1995" i="3"/>
  <c r="G1995" i="3" s="1"/>
  <c r="B1994" i="3"/>
  <c r="G1994" i="3" s="1"/>
  <c r="B1993" i="3"/>
  <c r="G1993" i="3" s="1"/>
  <c r="B1992" i="3"/>
  <c r="G1992" i="3" s="1"/>
  <c r="B1991" i="3"/>
  <c r="G1991" i="3" s="1"/>
  <c r="B1990" i="3"/>
  <c r="G1990" i="3" s="1"/>
  <c r="B1989" i="3"/>
  <c r="G1989" i="3" s="1"/>
  <c r="B1988" i="3"/>
  <c r="G1988" i="3" s="1"/>
  <c r="B1987" i="3"/>
  <c r="G1987" i="3" s="1"/>
  <c r="B1986" i="3"/>
  <c r="G1986" i="3" s="1"/>
  <c r="B1985" i="3"/>
  <c r="G1985" i="3" s="1"/>
  <c r="B1984" i="3"/>
  <c r="G1984" i="3" s="1"/>
  <c r="B1983" i="3"/>
  <c r="G1983" i="3" s="1"/>
  <c r="B1982" i="3"/>
  <c r="G1982" i="3" s="1"/>
  <c r="B1981" i="3"/>
  <c r="G1981" i="3" s="1"/>
  <c r="B1980" i="3"/>
  <c r="G1980" i="3" s="1"/>
  <c r="B1979" i="3"/>
  <c r="G1979" i="3" s="1"/>
  <c r="B1978" i="3"/>
  <c r="G1978" i="3" s="1"/>
  <c r="B1977" i="3"/>
  <c r="G1977" i="3" s="1"/>
  <c r="B1976" i="3"/>
  <c r="G1976" i="3" s="1"/>
  <c r="B1975" i="3"/>
  <c r="G1975" i="3" s="1"/>
  <c r="B1974" i="3"/>
  <c r="G1974" i="3" s="1"/>
  <c r="B1973" i="3"/>
  <c r="G1973" i="3" s="1"/>
  <c r="B1972" i="3"/>
  <c r="G1972" i="3" s="1"/>
  <c r="B1971" i="3"/>
  <c r="G1971" i="3" s="1"/>
  <c r="B1970" i="3"/>
  <c r="G1970" i="3" s="1"/>
  <c r="B1969" i="3"/>
  <c r="G1969" i="3" s="1"/>
  <c r="B1968" i="3"/>
  <c r="G1968" i="3" s="1"/>
  <c r="B1967" i="3"/>
  <c r="G1967" i="3" s="1"/>
  <c r="B1966" i="3"/>
  <c r="G1966" i="3" s="1"/>
  <c r="B1965" i="3"/>
  <c r="G1965" i="3" s="1"/>
  <c r="B1964" i="3"/>
  <c r="G1964" i="3" s="1"/>
  <c r="B1963" i="3"/>
  <c r="G1963" i="3" s="1"/>
  <c r="B1962" i="3"/>
  <c r="G1962" i="3" s="1"/>
  <c r="B1961" i="3"/>
  <c r="G1961" i="3" s="1"/>
  <c r="B1960" i="3"/>
  <c r="G1960" i="3" s="1"/>
  <c r="B1959" i="3"/>
  <c r="G1959" i="3" s="1"/>
  <c r="B1958" i="3"/>
  <c r="G1958" i="3" s="1"/>
  <c r="B1957" i="3"/>
  <c r="G1957" i="3" s="1"/>
  <c r="B1956" i="3"/>
  <c r="G1956" i="3" s="1"/>
  <c r="B1955" i="3"/>
  <c r="G1955" i="3" s="1"/>
  <c r="B1954" i="3"/>
  <c r="G1954" i="3" s="1"/>
  <c r="B1953" i="3"/>
  <c r="G1953" i="3" s="1"/>
  <c r="B1952" i="3"/>
  <c r="G1952" i="3" s="1"/>
  <c r="B1951" i="3"/>
  <c r="G1951" i="3" s="1"/>
  <c r="B1950" i="3"/>
  <c r="G1950" i="3" s="1"/>
  <c r="B1949" i="3"/>
  <c r="G1949" i="3" s="1"/>
  <c r="B1948" i="3"/>
  <c r="G1948" i="3" s="1"/>
  <c r="B1947" i="3"/>
  <c r="G1947" i="3" s="1"/>
  <c r="B1946" i="3"/>
  <c r="G1946" i="3" s="1"/>
  <c r="B1945" i="3"/>
  <c r="G1945" i="3" s="1"/>
  <c r="B1944" i="3"/>
  <c r="G1944" i="3" s="1"/>
  <c r="B1943" i="3"/>
  <c r="G1943" i="3" s="1"/>
  <c r="B1942" i="3"/>
  <c r="G1942" i="3" s="1"/>
  <c r="B1941" i="3"/>
  <c r="G1941" i="3" s="1"/>
  <c r="B1940" i="3"/>
  <c r="G1940" i="3" s="1"/>
  <c r="B1939" i="3"/>
  <c r="G1939" i="3" s="1"/>
  <c r="B1938" i="3"/>
  <c r="G1938" i="3" s="1"/>
  <c r="B1937" i="3"/>
  <c r="G1937" i="3" s="1"/>
  <c r="B1936" i="3"/>
  <c r="G1936" i="3" s="1"/>
  <c r="B1935" i="3"/>
  <c r="G1935" i="3" s="1"/>
  <c r="B1934" i="3"/>
  <c r="G1934" i="3" s="1"/>
  <c r="B1933" i="3"/>
  <c r="G1933" i="3" s="1"/>
  <c r="B1932" i="3"/>
  <c r="G1932" i="3" s="1"/>
  <c r="B1931" i="3"/>
  <c r="G1931" i="3" s="1"/>
  <c r="B1930" i="3"/>
  <c r="G1930" i="3" s="1"/>
  <c r="B1929" i="3"/>
  <c r="G1929" i="3" s="1"/>
  <c r="B1928" i="3"/>
  <c r="G1928" i="3" s="1"/>
  <c r="B1927" i="3"/>
  <c r="G1927" i="3" s="1"/>
  <c r="B1926" i="3"/>
  <c r="G1926" i="3" s="1"/>
  <c r="B1925" i="3"/>
  <c r="G1925" i="3" s="1"/>
  <c r="B1924" i="3"/>
  <c r="G1924" i="3" s="1"/>
  <c r="B1923" i="3"/>
  <c r="G1923" i="3" s="1"/>
  <c r="B1922" i="3"/>
  <c r="G1922" i="3" s="1"/>
  <c r="B1921" i="3"/>
  <c r="G1921" i="3" s="1"/>
  <c r="B1920" i="3"/>
  <c r="G1920" i="3" s="1"/>
  <c r="B1919" i="3"/>
  <c r="G1919" i="3" s="1"/>
  <c r="B1918" i="3"/>
  <c r="G1918" i="3" s="1"/>
  <c r="B1917" i="3"/>
  <c r="G1917" i="3" s="1"/>
  <c r="B1916" i="3"/>
  <c r="G1916" i="3" s="1"/>
  <c r="B1915" i="3"/>
  <c r="G1915" i="3" s="1"/>
  <c r="B1914" i="3"/>
  <c r="G1914" i="3" s="1"/>
  <c r="B1913" i="3"/>
  <c r="G1913" i="3" s="1"/>
  <c r="B1912" i="3"/>
  <c r="G1912" i="3" s="1"/>
  <c r="B1911" i="3"/>
  <c r="G1911" i="3" s="1"/>
  <c r="B1910" i="3"/>
  <c r="G1910" i="3" s="1"/>
  <c r="B1909" i="3"/>
  <c r="G1909" i="3" s="1"/>
  <c r="B1908" i="3"/>
  <c r="G1908" i="3" s="1"/>
  <c r="B1907" i="3"/>
  <c r="G1907" i="3" s="1"/>
  <c r="B1906" i="3"/>
  <c r="G1906" i="3" s="1"/>
  <c r="B1905" i="3"/>
  <c r="G1905" i="3" s="1"/>
  <c r="B1904" i="3"/>
  <c r="G1904" i="3" s="1"/>
  <c r="B1903" i="3"/>
  <c r="G1903" i="3" s="1"/>
  <c r="B1902" i="3"/>
  <c r="G1902" i="3" s="1"/>
  <c r="B1901" i="3"/>
  <c r="G1901" i="3" s="1"/>
  <c r="B1900" i="3"/>
  <c r="G1900" i="3" s="1"/>
  <c r="B1899" i="3"/>
  <c r="G1899" i="3" s="1"/>
  <c r="B1898" i="3"/>
  <c r="G1898" i="3" s="1"/>
  <c r="B1897" i="3"/>
  <c r="G1897" i="3" s="1"/>
  <c r="B1896" i="3"/>
  <c r="G1896" i="3" s="1"/>
  <c r="B1895" i="3"/>
  <c r="G1895" i="3" s="1"/>
  <c r="B1894" i="3"/>
  <c r="G1894" i="3" s="1"/>
  <c r="B1893" i="3"/>
  <c r="G1893" i="3" s="1"/>
  <c r="B1892" i="3"/>
  <c r="G1892" i="3" s="1"/>
  <c r="B1891" i="3"/>
  <c r="G1891" i="3" s="1"/>
  <c r="B1890" i="3"/>
  <c r="G1890" i="3" s="1"/>
  <c r="B1889" i="3"/>
  <c r="G1889" i="3" s="1"/>
  <c r="B1888" i="3"/>
  <c r="G1888" i="3" s="1"/>
  <c r="B1887" i="3"/>
  <c r="G1887" i="3" s="1"/>
  <c r="B1886" i="3"/>
  <c r="G1886" i="3" s="1"/>
  <c r="B1885" i="3"/>
  <c r="G1885" i="3" s="1"/>
  <c r="B1884" i="3"/>
  <c r="G1884" i="3" s="1"/>
  <c r="B1883" i="3"/>
  <c r="G1883" i="3" s="1"/>
  <c r="B1882" i="3"/>
  <c r="G1882" i="3" s="1"/>
  <c r="B1881" i="3"/>
  <c r="G1881" i="3" s="1"/>
  <c r="B1880" i="3"/>
  <c r="G1880" i="3" s="1"/>
  <c r="B1879" i="3"/>
  <c r="G1879" i="3" s="1"/>
  <c r="B1878" i="3"/>
  <c r="G1878" i="3" s="1"/>
  <c r="B1877" i="3"/>
  <c r="G1877" i="3" s="1"/>
  <c r="B1876" i="3"/>
  <c r="G1876" i="3" s="1"/>
  <c r="B1875" i="3"/>
  <c r="G1875" i="3" s="1"/>
  <c r="B1874" i="3"/>
  <c r="G1874" i="3" s="1"/>
  <c r="B1873" i="3"/>
  <c r="G1873" i="3" s="1"/>
  <c r="B1872" i="3"/>
  <c r="G1872" i="3" s="1"/>
  <c r="B1871" i="3"/>
  <c r="G1871" i="3" s="1"/>
  <c r="B1870" i="3"/>
  <c r="G1870" i="3" s="1"/>
  <c r="B1869" i="3"/>
  <c r="G1869" i="3" s="1"/>
  <c r="B1868" i="3"/>
  <c r="G1868" i="3" s="1"/>
  <c r="B1867" i="3"/>
  <c r="G1867" i="3" s="1"/>
  <c r="B1866" i="3"/>
  <c r="G1866" i="3" s="1"/>
  <c r="B1865" i="3"/>
  <c r="G1865" i="3" s="1"/>
  <c r="B1864" i="3"/>
  <c r="G1864" i="3" s="1"/>
  <c r="B1863" i="3"/>
  <c r="G1863" i="3" s="1"/>
  <c r="B1862" i="3"/>
  <c r="G1862" i="3" s="1"/>
  <c r="B1861" i="3"/>
  <c r="G1861" i="3" s="1"/>
  <c r="B1860" i="3"/>
  <c r="G1860" i="3" s="1"/>
  <c r="B1859" i="3"/>
  <c r="G1859" i="3" s="1"/>
  <c r="B1858" i="3"/>
  <c r="G1858" i="3" s="1"/>
  <c r="B1857" i="3"/>
  <c r="G1857" i="3" s="1"/>
  <c r="B1856" i="3"/>
  <c r="G1856" i="3" s="1"/>
  <c r="B1855" i="3"/>
  <c r="G1855" i="3" s="1"/>
  <c r="B1854" i="3"/>
  <c r="G1854" i="3" s="1"/>
  <c r="B1853" i="3"/>
  <c r="G1853" i="3" s="1"/>
  <c r="B1852" i="3"/>
  <c r="G1852" i="3" s="1"/>
  <c r="B1851" i="3"/>
  <c r="G1851" i="3" s="1"/>
  <c r="B1850" i="3"/>
  <c r="G1850" i="3" s="1"/>
  <c r="B1849" i="3"/>
  <c r="G1849" i="3" s="1"/>
  <c r="B1848" i="3"/>
  <c r="G1848" i="3" s="1"/>
  <c r="B1847" i="3"/>
  <c r="G1847" i="3" s="1"/>
  <c r="B1846" i="3"/>
  <c r="G1846" i="3" s="1"/>
  <c r="B1845" i="3"/>
  <c r="G1845" i="3" s="1"/>
  <c r="B1844" i="3"/>
  <c r="G1844" i="3" s="1"/>
  <c r="B1843" i="3"/>
  <c r="G1843" i="3" s="1"/>
  <c r="B1842" i="3"/>
  <c r="G1842" i="3" s="1"/>
  <c r="B1841" i="3"/>
  <c r="G1841" i="3" s="1"/>
  <c r="B1840" i="3"/>
  <c r="G1840" i="3" s="1"/>
  <c r="B1839" i="3"/>
  <c r="G1839" i="3" s="1"/>
  <c r="B1838" i="3"/>
  <c r="G1838" i="3" s="1"/>
  <c r="B1837" i="3"/>
  <c r="G1837" i="3" s="1"/>
  <c r="B1836" i="3"/>
  <c r="G1836" i="3" s="1"/>
  <c r="B1835" i="3"/>
  <c r="G1835" i="3" s="1"/>
  <c r="B1834" i="3"/>
  <c r="G1834" i="3" s="1"/>
  <c r="B1833" i="3"/>
  <c r="G1833" i="3" s="1"/>
  <c r="B1832" i="3"/>
  <c r="G1832" i="3" s="1"/>
  <c r="B1831" i="3"/>
  <c r="G1831" i="3" s="1"/>
  <c r="B1830" i="3"/>
  <c r="G1830" i="3" s="1"/>
  <c r="B1829" i="3"/>
  <c r="G1829" i="3" s="1"/>
  <c r="B1828" i="3"/>
  <c r="G1828" i="3" s="1"/>
  <c r="B1827" i="3"/>
  <c r="G1827" i="3" s="1"/>
  <c r="B1826" i="3"/>
  <c r="G1826" i="3" s="1"/>
  <c r="B1825" i="3"/>
  <c r="G1825" i="3" s="1"/>
  <c r="B1824" i="3"/>
  <c r="G1824" i="3" s="1"/>
  <c r="B1823" i="3"/>
  <c r="G1823" i="3" s="1"/>
  <c r="B1822" i="3"/>
  <c r="G1822" i="3" s="1"/>
  <c r="B1821" i="3"/>
  <c r="G1821" i="3" s="1"/>
  <c r="B1820" i="3"/>
  <c r="G1820" i="3" s="1"/>
  <c r="B1819" i="3"/>
  <c r="G1819" i="3" s="1"/>
  <c r="B1818" i="3"/>
  <c r="G1818" i="3" s="1"/>
  <c r="B1817" i="3"/>
  <c r="G1817" i="3" s="1"/>
  <c r="B1816" i="3"/>
  <c r="G1816" i="3" s="1"/>
  <c r="B1815" i="3"/>
  <c r="G1815" i="3" s="1"/>
  <c r="B1814" i="3"/>
  <c r="G1814" i="3" s="1"/>
  <c r="B1813" i="3"/>
  <c r="G1813" i="3" s="1"/>
  <c r="B1812" i="3"/>
  <c r="G1812" i="3" s="1"/>
  <c r="B1811" i="3"/>
  <c r="G1811" i="3" s="1"/>
  <c r="B1810" i="3"/>
  <c r="G1810" i="3" s="1"/>
  <c r="B1809" i="3"/>
  <c r="G1809" i="3" s="1"/>
  <c r="B1808" i="3"/>
  <c r="G1808" i="3" s="1"/>
  <c r="B1807" i="3"/>
  <c r="G1807" i="3" s="1"/>
  <c r="B1806" i="3"/>
  <c r="G1806" i="3" s="1"/>
  <c r="B1805" i="3"/>
  <c r="G1805" i="3" s="1"/>
  <c r="B1804" i="3"/>
  <c r="G1804" i="3" s="1"/>
  <c r="B1803" i="3"/>
  <c r="G1803" i="3" s="1"/>
  <c r="B1802" i="3"/>
  <c r="G1802" i="3" s="1"/>
  <c r="B1801" i="3"/>
  <c r="G1801" i="3" s="1"/>
  <c r="B1800" i="3"/>
  <c r="G1800" i="3" s="1"/>
  <c r="B1799" i="3"/>
  <c r="G1799" i="3" s="1"/>
  <c r="B1798" i="3"/>
  <c r="G1798" i="3" s="1"/>
  <c r="B1797" i="3"/>
  <c r="G1797" i="3" s="1"/>
  <c r="B1796" i="3"/>
  <c r="G1796" i="3" s="1"/>
  <c r="B1795" i="3"/>
  <c r="G1795" i="3" s="1"/>
  <c r="B1794" i="3"/>
  <c r="G1794" i="3" s="1"/>
  <c r="B1793" i="3"/>
  <c r="G1793" i="3" s="1"/>
  <c r="B1792" i="3"/>
  <c r="G1792" i="3" s="1"/>
  <c r="B1791" i="3"/>
  <c r="G1791" i="3" s="1"/>
  <c r="B1790" i="3"/>
  <c r="G1790" i="3" s="1"/>
  <c r="B1789" i="3"/>
  <c r="G1789" i="3" s="1"/>
  <c r="B1788" i="3"/>
  <c r="G1788" i="3" s="1"/>
  <c r="B1787" i="3"/>
  <c r="G1787" i="3" s="1"/>
  <c r="B1786" i="3"/>
  <c r="G1786" i="3" s="1"/>
  <c r="B1785" i="3"/>
  <c r="G1785" i="3" s="1"/>
  <c r="B1784" i="3"/>
  <c r="G1784" i="3" s="1"/>
  <c r="B1783" i="3"/>
  <c r="G1783" i="3" s="1"/>
  <c r="B1782" i="3"/>
  <c r="G1782" i="3" s="1"/>
  <c r="B1781" i="3"/>
  <c r="G1781" i="3" s="1"/>
  <c r="B1780" i="3"/>
  <c r="G1780" i="3" s="1"/>
  <c r="B1779" i="3"/>
  <c r="G1779" i="3" s="1"/>
  <c r="B1778" i="3"/>
  <c r="G1778" i="3" s="1"/>
  <c r="B1777" i="3"/>
  <c r="G1777" i="3" s="1"/>
  <c r="B1776" i="3"/>
  <c r="G1776" i="3" s="1"/>
  <c r="B1775" i="3"/>
  <c r="G1775" i="3" s="1"/>
  <c r="B1774" i="3"/>
  <c r="G1774" i="3" s="1"/>
  <c r="B1773" i="3"/>
  <c r="G1773" i="3" s="1"/>
  <c r="B1772" i="3"/>
  <c r="G1772" i="3" s="1"/>
  <c r="B1771" i="3"/>
  <c r="G1771" i="3" s="1"/>
  <c r="B1770" i="3"/>
  <c r="G1770" i="3" s="1"/>
  <c r="B1769" i="3"/>
  <c r="G1769" i="3" s="1"/>
  <c r="B1768" i="3"/>
  <c r="G1768" i="3" s="1"/>
  <c r="B1767" i="3"/>
  <c r="G1767" i="3" s="1"/>
  <c r="B1766" i="3"/>
  <c r="G1766" i="3" s="1"/>
  <c r="B1765" i="3"/>
  <c r="G1765" i="3" s="1"/>
  <c r="B1764" i="3"/>
  <c r="G1764" i="3" s="1"/>
  <c r="B1763" i="3"/>
  <c r="G1763" i="3" s="1"/>
  <c r="B1762" i="3"/>
  <c r="G1762" i="3" s="1"/>
  <c r="B1761" i="3"/>
  <c r="G1761" i="3" s="1"/>
  <c r="B1760" i="3"/>
  <c r="G1760" i="3" s="1"/>
  <c r="B1759" i="3"/>
  <c r="G1759" i="3" s="1"/>
  <c r="B1758" i="3"/>
  <c r="G1758" i="3" s="1"/>
  <c r="B1757" i="3"/>
  <c r="G1757" i="3" s="1"/>
  <c r="B1756" i="3"/>
  <c r="G1756" i="3" s="1"/>
  <c r="B1755" i="3"/>
  <c r="G1755" i="3" s="1"/>
  <c r="B1754" i="3"/>
  <c r="G1754" i="3" s="1"/>
  <c r="B1753" i="3"/>
  <c r="G1753" i="3" s="1"/>
  <c r="B1752" i="3"/>
  <c r="G1752" i="3" s="1"/>
  <c r="B1751" i="3"/>
  <c r="G1751" i="3" s="1"/>
  <c r="B1750" i="3"/>
  <c r="G1750" i="3" s="1"/>
  <c r="B1749" i="3"/>
  <c r="G1749" i="3" s="1"/>
  <c r="B1748" i="3"/>
  <c r="G1748" i="3" s="1"/>
  <c r="B1747" i="3"/>
  <c r="G1747" i="3" s="1"/>
  <c r="B1746" i="3"/>
  <c r="G1746" i="3" s="1"/>
  <c r="B1745" i="3"/>
  <c r="G1745" i="3" s="1"/>
  <c r="B1744" i="3"/>
  <c r="G1744" i="3" s="1"/>
  <c r="B1743" i="3"/>
  <c r="G1743" i="3" s="1"/>
  <c r="B1742" i="3"/>
  <c r="G1742" i="3" s="1"/>
  <c r="B1741" i="3"/>
  <c r="G1741" i="3" s="1"/>
  <c r="B1740" i="3"/>
  <c r="G1740" i="3" s="1"/>
  <c r="B1739" i="3"/>
  <c r="G1739" i="3" s="1"/>
  <c r="B1738" i="3"/>
  <c r="G1738" i="3" s="1"/>
  <c r="B1737" i="3"/>
  <c r="G1737" i="3" s="1"/>
  <c r="B1736" i="3"/>
  <c r="G1736" i="3" s="1"/>
  <c r="B1735" i="3"/>
  <c r="G1735" i="3" s="1"/>
  <c r="B1734" i="3"/>
  <c r="G1734" i="3" s="1"/>
  <c r="B1733" i="3"/>
  <c r="G1733" i="3" s="1"/>
  <c r="B1732" i="3"/>
  <c r="G1732" i="3" s="1"/>
  <c r="B1731" i="3"/>
  <c r="G1731" i="3" s="1"/>
  <c r="B1730" i="3"/>
  <c r="G1730" i="3" s="1"/>
  <c r="B1729" i="3"/>
  <c r="G1729" i="3" s="1"/>
  <c r="B1728" i="3"/>
  <c r="G1728" i="3" s="1"/>
  <c r="B1727" i="3"/>
  <c r="G1727" i="3" s="1"/>
  <c r="B1726" i="3"/>
  <c r="G1726" i="3" s="1"/>
  <c r="B1725" i="3"/>
  <c r="G1725" i="3" s="1"/>
  <c r="B1724" i="3"/>
  <c r="G1724" i="3" s="1"/>
  <c r="B1723" i="3"/>
  <c r="G1723" i="3" s="1"/>
  <c r="B1722" i="3"/>
  <c r="G1722" i="3" s="1"/>
  <c r="B1721" i="3"/>
  <c r="G1721" i="3" s="1"/>
  <c r="B1720" i="3"/>
  <c r="G1720" i="3" s="1"/>
  <c r="B1719" i="3"/>
  <c r="G1719" i="3" s="1"/>
  <c r="B1718" i="3"/>
  <c r="G1718" i="3" s="1"/>
  <c r="B1717" i="3"/>
  <c r="G1717" i="3" s="1"/>
  <c r="B1716" i="3"/>
  <c r="G1716" i="3" s="1"/>
  <c r="B1715" i="3"/>
  <c r="G1715" i="3" s="1"/>
  <c r="B1714" i="3"/>
  <c r="G1714" i="3" s="1"/>
  <c r="B1713" i="3"/>
  <c r="G1713" i="3" s="1"/>
  <c r="B1712" i="3"/>
  <c r="G1712" i="3" s="1"/>
  <c r="B1711" i="3"/>
  <c r="G1711" i="3" s="1"/>
  <c r="B1710" i="3"/>
  <c r="G1710" i="3" s="1"/>
  <c r="B1709" i="3"/>
  <c r="G1709" i="3" s="1"/>
  <c r="B1708" i="3"/>
  <c r="G1708" i="3" s="1"/>
  <c r="B1707" i="3"/>
  <c r="G1707" i="3" s="1"/>
  <c r="B1706" i="3"/>
  <c r="G1706" i="3" s="1"/>
  <c r="B1705" i="3"/>
  <c r="G1705" i="3" s="1"/>
  <c r="B1704" i="3"/>
  <c r="G1704" i="3" s="1"/>
  <c r="B1703" i="3"/>
  <c r="G1703" i="3" s="1"/>
  <c r="B1702" i="3"/>
  <c r="G1702" i="3" s="1"/>
  <c r="B1701" i="3"/>
  <c r="G1701" i="3" s="1"/>
  <c r="B1700" i="3"/>
  <c r="G1700" i="3" s="1"/>
  <c r="B1699" i="3"/>
  <c r="G1699" i="3" s="1"/>
  <c r="B1698" i="3"/>
  <c r="G1698" i="3" s="1"/>
  <c r="B1697" i="3"/>
  <c r="G1697" i="3" s="1"/>
  <c r="B1696" i="3"/>
  <c r="G1696" i="3" s="1"/>
  <c r="B1695" i="3"/>
  <c r="G1695" i="3" s="1"/>
  <c r="B1694" i="3"/>
  <c r="G1694" i="3" s="1"/>
  <c r="B1693" i="3"/>
  <c r="G1693" i="3" s="1"/>
  <c r="B1692" i="3"/>
  <c r="G1692" i="3" s="1"/>
  <c r="B1691" i="3"/>
  <c r="G1691" i="3" s="1"/>
  <c r="B1690" i="3"/>
  <c r="G1690" i="3" s="1"/>
  <c r="B1689" i="3"/>
  <c r="G1689" i="3" s="1"/>
  <c r="B1688" i="3"/>
  <c r="G1688" i="3" s="1"/>
  <c r="B1687" i="3"/>
  <c r="G1687" i="3" s="1"/>
  <c r="B1686" i="3"/>
  <c r="G1686" i="3" s="1"/>
  <c r="B1685" i="3"/>
  <c r="G1685" i="3" s="1"/>
  <c r="B1684" i="3"/>
  <c r="G1684" i="3" s="1"/>
  <c r="B1683" i="3"/>
  <c r="G1683" i="3" s="1"/>
  <c r="B1682" i="3"/>
  <c r="G1682" i="3" s="1"/>
  <c r="B1681" i="3"/>
  <c r="G1681" i="3" s="1"/>
  <c r="B1680" i="3"/>
  <c r="G1680" i="3" s="1"/>
  <c r="B1679" i="3"/>
  <c r="G1679" i="3" s="1"/>
  <c r="B1678" i="3"/>
  <c r="G1678" i="3" s="1"/>
  <c r="B1677" i="3"/>
  <c r="G1677" i="3" s="1"/>
  <c r="B1676" i="3"/>
  <c r="G1676" i="3" s="1"/>
  <c r="B1675" i="3"/>
  <c r="G1675" i="3" s="1"/>
  <c r="B1674" i="3"/>
  <c r="G1674" i="3" s="1"/>
  <c r="B1673" i="3"/>
  <c r="G1673" i="3" s="1"/>
  <c r="B1672" i="3"/>
  <c r="G1672" i="3" s="1"/>
  <c r="B1671" i="3"/>
  <c r="G1671" i="3" s="1"/>
  <c r="B1670" i="3"/>
  <c r="G1670" i="3" s="1"/>
  <c r="B1669" i="3"/>
  <c r="G1669" i="3" s="1"/>
  <c r="B1668" i="3"/>
  <c r="G1668" i="3" s="1"/>
  <c r="B1667" i="3"/>
  <c r="G1667" i="3" s="1"/>
  <c r="B1666" i="3"/>
  <c r="G1666" i="3" s="1"/>
  <c r="B1665" i="3"/>
  <c r="G1665" i="3" s="1"/>
  <c r="B1664" i="3"/>
  <c r="G1664" i="3" s="1"/>
  <c r="B1663" i="3"/>
  <c r="G1663" i="3" s="1"/>
  <c r="B1662" i="3"/>
  <c r="G1662" i="3" s="1"/>
  <c r="B1661" i="3"/>
  <c r="G1661" i="3" s="1"/>
  <c r="B1660" i="3"/>
  <c r="G1660" i="3" s="1"/>
  <c r="B1659" i="3"/>
  <c r="G1659" i="3" s="1"/>
  <c r="B1658" i="3"/>
  <c r="G1658" i="3" s="1"/>
  <c r="B1657" i="3"/>
  <c r="G1657" i="3" s="1"/>
  <c r="B1656" i="3"/>
  <c r="G1656" i="3" s="1"/>
  <c r="B1655" i="3"/>
  <c r="G1655" i="3" s="1"/>
  <c r="B1654" i="3"/>
  <c r="G1654" i="3" s="1"/>
  <c r="B1653" i="3"/>
  <c r="G1653" i="3" s="1"/>
  <c r="B1652" i="3"/>
  <c r="G1652" i="3" s="1"/>
  <c r="B1651" i="3"/>
  <c r="G1651" i="3" s="1"/>
  <c r="B1650" i="3"/>
  <c r="G1650" i="3" s="1"/>
  <c r="B1649" i="3"/>
  <c r="G1649" i="3" s="1"/>
  <c r="B1648" i="3"/>
  <c r="G1648" i="3" s="1"/>
  <c r="B1647" i="3"/>
  <c r="G1647" i="3" s="1"/>
  <c r="B1646" i="3"/>
  <c r="G1646" i="3" s="1"/>
  <c r="B1645" i="3"/>
  <c r="G1645" i="3" s="1"/>
  <c r="B1644" i="3"/>
  <c r="G1644" i="3" s="1"/>
  <c r="B1643" i="3"/>
  <c r="G1643" i="3" s="1"/>
  <c r="B1642" i="3"/>
  <c r="G1642" i="3" s="1"/>
  <c r="B1641" i="3"/>
  <c r="G1641" i="3" s="1"/>
  <c r="B1640" i="3"/>
  <c r="G1640" i="3" s="1"/>
  <c r="B1639" i="3"/>
  <c r="G1639" i="3" s="1"/>
  <c r="B1638" i="3"/>
  <c r="G1638" i="3" s="1"/>
  <c r="B1637" i="3"/>
  <c r="G1637" i="3" s="1"/>
  <c r="B1636" i="3"/>
  <c r="G1636" i="3" s="1"/>
  <c r="B1635" i="3"/>
  <c r="G1635" i="3" s="1"/>
  <c r="B1634" i="3"/>
  <c r="G1634" i="3" s="1"/>
  <c r="B1633" i="3"/>
  <c r="G1633" i="3" s="1"/>
  <c r="B1632" i="3"/>
  <c r="G1632" i="3" s="1"/>
  <c r="B1631" i="3"/>
  <c r="G1631" i="3" s="1"/>
  <c r="B1630" i="3"/>
  <c r="G1630" i="3" s="1"/>
  <c r="B1629" i="3"/>
  <c r="G1629" i="3" s="1"/>
  <c r="B1628" i="3"/>
  <c r="G1628" i="3" s="1"/>
  <c r="B1627" i="3"/>
  <c r="G1627" i="3" s="1"/>
  <c r="B1626" i="3"/>
  <c r="G1626" i="3" s="1"/>
  <c r="B1625" i="3"/>
  <c r="G1625" i="3" s="1"/>
  <c r="B1624" i="3"/>
  <c r="G1624" i="3" s="1"/>
  <c r="B1623" i="3"/>
  <c r="G1623" i="3" s="1"/>
  <c r="B1622" i="3"/>
  <c r="G1622" i="3" s="1"/>
  <c r="B1621" i="3"/>
  <c r="G1621" i="3" s="1"/>
  <c r="B1620" i="3"/>
  <c r="G1620" i="3" s="1"/>
  <c r="B1619" i="3"/>
  <c r="G1619" i="3" s="1"/>
  <c r="B1618" i="3"/>
  <c r="G1618" i="3" s="1"/>
  <c r="B1617" i="3"/>
  <c r="G1617" i="3" s="1"/>
  <c r="B1616" i="3"/>
  <c r="G1616" i="3" s="1"/>
  <c r="B1615" i="3"/>
  <c r="G1615" i="3" s="1"/>
  <c r="B1614" i="3"/>
  <c r="G1614" i="3" s="1"/>
  <c r="B1613" i="3"/>
  <c r="G1613" i="3" s="1"/>
  <c r="B1612" i="3"/>
  <c r="G1612" i="3" s="1"/>
  <c r="B1611" i="3"/>
  <c r="G1611" i="3" s="1"/>
  <c r="B1610" i="3"/>
  <c r="G1610" i="3" s="1"/>
  <c r="B1609" i="3"/>
  <c r="G1609" i="3" s="1"/>
  <c r="B1608" i="3"/>
  <c r="G1608" i="3" s="1"/>
  <c r="B1607" i="3"/>
  <c r="G1607" i="3" s="1"/>
  <c r="B1606" i="3"/>
  <c r="G1606" i="3" s="1"/>
  <c r="B1605" i="3"/>
  <c r="G1605" i="3" s="1"/>
  <c r="B1604" i="3"/>
  <c r="G1604" i="3" s="1"/>
  <c r="B1603" i="3"/>
  <c r="G1603" i="3" s="1"/>
  <c r="B1602" i="3"/>
  <c r="G1602" i="3" s="1"/>
  <c r="B1601" i="3"/>
  <c r="G1601" i="3" s="1"/>
  <c r="B1600" i="3"/>
  <c r="G1600" i="3" s="1"/>
  <c r="B1599" i="3"/>
  <c r="G1599" i="3" s="1"/>
  <c r="B1598" i="3"/>
  <c r="G1598" i="3" s="1"/>
  <c r="B1597" i="3"/>
  <c r="G1597" i="3" s="1"/>
  <c r="B1596" i="3"/>
  <c r="G1596" i="3" s="1"/>
  <c r="B1595" i="3"/>
  <c r="G1595" i="3" s="1"/>
  <c r="B1594" i="3"/>
  <c r="G1594" i="3" s="1"/>
  <c r="B1593" i="3"/>
  <c r="G1593" i="3" s="1"/>
  <c r="B1592" i="3"/>
  <c r="G1592" i="3" s="1"/>
  <c r="B1591" i="3"/>
  <c r="G1591" i="3" s="1"/>
  <c r="B1590" i="3"/>
  <c r="G1590" i="3" s="1"/>
  <c r="B1589" i="3"/>
  <c r="G1589" i="3" s="1"/>
  <c r="B1588" i="3"/>
  <c r="G1588" i="3" s="1"/>
  <c r="B1587" i="3"/>
  <c r="G1587" i="3" s="1"/>
  <c r="B1586" i="3"/>
  <c r="G1586" i="3" s="1"/>
  <c r="B1585" i="3"/>
  <c r="G1585" i="3" s="1"/>
  <c r="B1584" i="3"/>
  <c r="G1584" i="3" s="1"/>
  <c r="B1583" i="3"/>
  <c r="G1583" i="3" s="1"/>
  <c r="B1582" i="3"/>
  <c r="G1582" i="3" s="1"/>
  <c r="B1581" i="3"/>
  <c r="G1581" i="3" s="1"/>
  <c r="B1580" i="3"/>
  <c r="G1580" i="3" s="1"/>
  <c r="B1579" i="3"/>
  <c r="G1579" i="3" s="1"/>
  <c r="B1578" i="3"/>
  <c r="G1578" i="3" s="1"/>
  <c r="B1577" i="3"/>
  <c r="G1577" i="3" s="1"/>
  <c r="B1576" i="3"/>
  <c r="G1576" i="3" s="1"/>
  <c r="B1575" i="3"/>
  <c r="G1575" i="3" s="1"/>
  <c r="B1574" i="3"/>
  <c r="G1574" i="3" s="1"/>
  <c r="B1573" i="3"/>
  <c r="G1573" i="3" s="1"/>
  <c r="B1572" i="3"/>
  <c r="G1572" i="3" s="1"/>
  <c r="B1571" i="3"/>
  <c r="G1571" i="3" s="1"/>
  <c r="B1570" i="3"/>
  <c r="G1570" i="3" s="1"/>
  <c r="B1569" i="3"/>
  <c r="G1569" i="3" s="1"/>
  <c r="B1568" i="3"/>
  <c r="G1568" i="3" s="1"/>
  <c r="B1567" i="3"/>
  <c r="G1567" i="3" s="1"/>
  <c r="B1566" i="3"/>
  <c r="G1566" i="3" s="1"/>
  <c r="B1565" i="3"/>
  <c r="G1565" i="3" s="1"/>
  <c r="B1564" i="3"/>
  <c r="G1564" i="3" s="1"/>
  <c r="B1563" i="3"/>
  <c r="G1563" i="3" s="1"/>
  <c r="B1562" i="3"/>
  <c r="G1562" i="3" s="1"/>
  <c r="B1561" i="3"/>
  <c r="G1561" i="3" s="1"/>
  <c r="B1560" i="3"/>
  <c r="G1560" i="3" s="1"/>
  <c r="B1559" i="3"/>
  <c r="G1559" i="3" s="1"/>
  <c r="B1558" i="3"/>
  <c r="G1558" i="3" s="1"/>
  <c r="B1557" i="3"/>
  <c r="G1557" i="3" s="1"/>
  <c r="B1556" i="3"/>
  <c r="G1556" i="3" s="1"/>
  <c r="B1555" i="3"/>
  <c r="G1555" i="3" s="1"/>
  <c r="B1554" i="3"/>
  <c r="G1554" i="3" s="1"/>
  <c r="B1553" i="3"/>
  <c r="G1553" i="3" s="1"/>
  <c r="B1552" i="3"/>
  <c r="G1552" i="3" s="1"/>
  <c r="B1551" i="3"/>
  <c r="G1551" i="3" s="1"/>
  <c r="B1550" i="3"/>
  <c r="G1550" i="3" s="1"/>
  <c r="B1549" i="3"/>
  <c r="G1549" i="3" s="1"/>
  <c r="B1548" i="3"/>
  <c r="G1548" i="3" s="1"/>
  <c r="B1547" i="3"/>
  <c r="G1547" i="3" s="1"/>
  <c r="B1546" i="3"/>
  <c r="G1546" i="3" s="1"/>
  <c r="B1545" i="3"/>
  <c r="G1545" i="3" s="1"/>
  <c r="B1544" i="3"/>
  <c r="G1544" i="3" s="1"/>
  <c r="B1543" i="3"/>
  <c r="G1543" i="3" s="1"/>
  <c r="B1542" i="3"/>
  <c r="G1542" i="3" s="1"/>
  <c r="B1541" i="3"/>
  <c r="G1541" i="3" s="1"/>
  <c r="B1540" i="3"/>
  <c r="G1540" i="3" s="1"/>
  <c r="B1539" i="3"/>
  <c r="G1539" i="3" s="1"/>
  <c r="B1538" i="3"/>
  <c r="G1538" i="3" s="1"/>
  <c r="B1537" i="3"/>
  <c r="G1537" i="3" s="1"/>
  <c r="B1536" i="3"/>
  <c r="G1536" i="3" s="1"/>
  <c r="B1535" i="3"/>
  <c r="G1535" i="3" s="1"/>
  <c r="B1534" i="3"/>
  <c r="G1534" i="3" s="1"/>
  <c r="B1533" i="3"/>
  <c r="G1533" i="3" s="1"/>
  <c r="B1532" i="3"/>
  <c r="G1532" i="3" s="1"/>
  <c r="B1531" i="3"/>
  <c r="G1531" i="3" s="1"/>
  <c r="B1530" i="3"/>
  <c r="G1530" i="3" s="1"/>
  <c r="B1529" i="3"/>
  <c r="G1529" i="3" s="1"/>
  <c r="B1528" i="3"/>
  <c r="G1528" i="3" s="1"/>
  <c r="B1527" i="3"/>
  <c r="G1527" i="3" s="1"/>
  <c r="B1526" i="3"/>
  <c r="G1526" i="3" s="1"/>
  <c r="B1525" i="3"/>
  <c r="G1525" i="3" s="1"/>
  <c r="B1524" i="3"/>
  <c r="G1524" i="3" s="1"/>
  <c r="B1523" i="3"/>
  <c r="G1523" i="3" s="1"/>
  <c r="B1522" i="3"/>
  <c r="G1522" i="3" s="1"/>
  <c r="B1521" i="3"/>
  <c r="G1521" i="3" s="1"/>
  <c r="B1520" i="3"/>
  <c r="G1520" i="3" s="1"/>
  <c r="B1519" i="3"/>
  <c r="G1519" i="3" s="1"/>
  <c r="B1518" i="3"/>
  <c r="G1518" i="3" s="1"/>
  <c r="B1517" i="3"/>
  <c r="G1517" i="3" s="1"/>
  <c r="B1516" i="3"/>
  <c r="G1516" i="3" s="1"/>
  <c r="B1515" i="3"/>
  <c r="G1515" i="3" s="1"/>
  <c r="B1514" i="3"/>
  <c r="G1514" i="3" s="1"/>
  <c r="B1513" i="3"/>
  <c r="G1513" i="3" s="1"/>
  <c r="B1512" i="3"/>
  <c r="G1512" i="3" s="1"/>
  <c r="B1511" i="3"/>
  <c r="G1511" i="3" s="1"/>
  <c r="B1510" i="3"/>
  <c r="G1510" i="3" s="1"/>
  <c r="B1509" i="3"/>
  <c r="G1509" i="3" s="1"/>
  <c r="B1508" i="3"/>
  <c r="G1508" i="3" s="1"/>
  <c r="B1507" i="3"/>
  <c r="G1507" i="3" s="1"/>
  <c r="B1506" i="3"/>
  <c r="G1506" i="3" s="1"/>
  <c r="B1505" i="3"/>
  <c r="G1505" i="3" s="1"/>
  <c r="B1504" i="3"/>
  <c r="G1504" i="3" s="1"/>
  <c r="B1503" i="3"/>
  <c r="G1503" i="3" s="1"/>
  <c r="B1502" i="3"/>
  <c r="G1502" i="3" s="1"/>
  <c r="B1501" i="3"/>
  <c r="G1501" i="3" s="1"/>
  <c r="B1500" i="3"/>
  <c r="G1500" i="3" s="1"/>
  <c r="B1499" i="3"/>
  <c r="G1499" i="3" s="1"/>
  <c r="B1498" i="3"/>
  <c r="G1498" i="3" s="1"/>
  <c r="B1497" i="3"/>
  <c r="G1497" i="3" s="1"/>
  <c r="B1496" i="3"/>
  <c r="G1496" i="3" s="1"/>
  <c r="B1495" i="3"/>
  <c r="G1495" i="3" s="1"/>
  <c r="B1494" i="3"/>
  <c r="G1494" i="3" s="1"/>
  <c r="B1493" i="3"/>
  <c r="G1493" i="3" s="1"/>
  <c r="B1492" i="3"/>
  <c r="G1492" i="3" s="1"/>
  <c r="B1491" i="3"/>
  <c r="G1491" i="3" s="1"/>
  <c r="B1490" i="3"/>
  <c r="G1490" i="3" s="1"/>
  <c r="B1489" i="3"/>
  <c r="G1489" i="3" s="1"/>
  <c r="B1488" i="3"/>
  <c r="G1488" i="3" s="1"/>
  <c r="B1487" i="3"/>
  <c r="G1487" i="3" s="1"/>
  <c r="B1486" i="3"/>
  <c r="G1486" i="3" s="1"/>
  <c r="B1485" i="3"/>
  <c r="G1485" i="3" s="1"/>
  <c r="B1484" i="3"/>
  <c r="G1484" i="3" s="1"/>
  <c r="B1483" i="3"/>
  <c r="G1483" i="3" s="1"/>
  <c r="B1482" i="3"/>
  <c r="G1482" i="3" s="1"/>
  <c r="B1481" i="3"/>
  <c r="G1481" i="3" s="1"/>
  <c r="B1480" i="3"/>
  <c r="G1480" i="3" s="1"/>
  <c r="B1479" i="3"/>
  <c r="G1479" i="3" s="1"/>
  <c r="B1478" i="3"/>
  <c r="G1478" i="3" s="1"/>
  <c r="B1477" i="3"/>
  <c r="G1477" i="3" s="1"/>
  <c r="B1476" i="3"/>
  <c r="G1476" i="3" s="1"/>
  <c r="B1475" i="3"/>
  <c r="G1475" i="3" s="1"/>
  <c r="B1474" i="3"/>
  <c r="G1474" i="3" s="1"/>
  <c r="B1473" i="3"/>
  <c r="G1473" i="3" s="1"/>
  <c r="B1472" i="3"/>
  <c r="G1472" i="3" s="1"/>
  <c r="B1471" i="3"/>
  <c r="G1471" i="3" s="1"/>
  <c r="B1470" i="3"/>
  <c r="G1470" i="3" s="1"/>
  <c r="B1469" i="3"/>
  <c r="G1469" i="3" s="1"/>
  <c r="B1468" i="3"/>
  <c r="G1468" i="3" s="1"/>
  <c r="B1467" i="3"/>
  <c r="G1467" i="3" s="1"/>
  <c r="B1466" i="3"/>
  <c r="G1466" i="3" s="1"/>
  <c r="B1465" i="3"/>
  <c r="G1465" i="3" s="1"/>
  <c r="B1464" i="3"/>
  <c r="G1464" i="3" s="1"/>
  <c r="B1463" i="3"/>
  <c r="G1463" i="3" s="1"/>
  <c r="B1462" i="3"/>
  <c r="G1462" i="3" s="1"/>
  <c r="B1461" i="3"/>
  <c r="G1461" i="3" s="1"/>
  <c r="B1460" i="3"/>
  <c r="G1460" i="3" s="1"/>
  <c r="B1459" i="3"/>
  <c r="G1459" i="3" s="1"/>
  <c r="B1458" i="3"/>
  <c r="G1458" i="3" s="1"/>
  <c r="B1457" i="3"/>
  <c r="G1457" i="3" s="1"/>
  <c r="B1456" i="3"/>
  <c r="G1456" i="3" s="1"/>
  <c r="B1455" i="3"/>
  <c r="G1455" i="3" s="1"/>
  <c r="B1454" i="3"/>
  <c r="G1454" i="3" s="1"/>
  <c r="B1453" i="3"/>
  <c r="G1453" i="3" s="1"/>
  <c r="B1452" i="3"/>
  <c r="G1452" i="3" s="1"/>
  <c r="B1451" i="3"/>
  <c r="G1451" i="3" s="1"/>
  <c r="B1450" i="3"/>
  <c r="G1450" i="3" s="1"/>
  <c r="B1449" i="3"/>
  <c r="G1449" i="3" s="1"/>
  <c r="B1448" i="3"/>
  <c r="G1448" i="3" s="1"/>
  <c r="B1447" i="3"/>
  <c r="G1447" i="3" s="1"/>
  <c r="B1446" i="3"/>
  <c r="G1446" i="3" s="1"/>
  <c r="B1445" i="3"/>
  <c r="G1445" i="3" s="1"/>
  <c r="B1444" i="3"/>
  <c r="G1444" i="3" s="1"/>
  <c r="B1443" i="3"/>
  <c r="G1443" i="3" s="1"/>
  <c r="B1442" i="3"/>
  <c r="G1442" i="3" s="1"/>
  <c r="B1441" i="3"/>
  <c r="G1441" i="3" s="1"/>
  <c r="B1440" i="3"/>
  <c r="G1440" i="3" s="1"/>
  <c r="B1439" i="3"/>
  <c r="G1439" i="3" s="1"/>
  <c r="B1438" i="3"/>
  <c r="G1438" i="3" s="1"/>
  <c r="B1437" i="3"/>
  <c r="G1437" i="3" s="1"/>
  <c r="B1436" i="3"/>
  <c r="G1436" i="3" s="1"/>
  <c r="B1435" i="3"/>
  <c r="G1435" i="3" s="1"/>
  <c r="B1434" i="3"/>
  <c r="G1434" i="3" s="1"/>
  <c r="B1433" i="3"/>
  <c r="G1433" i="3" s="1"/>
  <c r="B1432" i="3"/>
  <c r="G1432" i="3" s="1"/>
  <c r="B1431" i="3"/>
  <c r="G1431" i="3" s="1"/>
  <c r="B1430" i="3"/>
  <c r="G1430" i="3" s="1"/>
  <c r="B1429" i="3"/>
  <c r="G1429" i="3" s="1"/>
  <c r="B1428" i="3"/>
  <c r="G1428" i="3" s="1"/>
  <c r="B1427" i="3"/>
  <c r="G1427" i="3" s="1"/>
  <c r="B1426" i="3"/>
  <c r="G1426" i="3" s="1"/>
  <c r="B1425" i="3"/>
  <c r="G1425" i="3" s="1"/>
  <c r="B1424" i="3"/>
  <c r="G1424" i="3" s="1"/>
  <c r="B1423" i="3"/>
  <c r="G1423" i="3" s="1"/>
  <c r="B1422" i="3"/>
  <c r="G1422" i="3" s="1"/>
  <c r="B1421" i="3"/>
  <c r="G1421" i="3" s="1"/>
  <c r="B1420" i="3"/>
  <c r="G1420" i="3" s="1"/>
  <c r="B1419" i="3"/>
  <c r="G1419" i="3" s="1"/>
  <c r="B1418" i="3"/>
  <c r="G1418" i="3" s="1"/>
  <c r="B1417" i="3"/>
  <c r="G1417" i="3" s="1"/>
  <c r="B1416" i="3"/>
  <c r="G1416" i="3" s="1"/>
  <c r="B1415" i="3"/>
  <c r="G1415" i="3" s="1"/>
  <c r="B1414" i="3"/>
  <c r="G1414" i="3" s="1"/>
  <c r="B1413" i="3"/>
  <c r="G1413" i="3" s="1"/>
  <c r="B1412" i="3"/>
  <c r="G1412" i="3" s="1"/>
  <c r="B1411" i="3"/>
  <c r="G1411" i="3" s="1"/>
  <c r="B1410" i="3"/>
  <c r="G1410" i="3" s="1"/>
  <c r="B1409" i="3"/>
  <c r="G1409" i="3" s="1"/>
  <c r="B1408" i="3"/>
  <c r="G1408" i="3" s="1"/>
  <c r="B1407" i="3"/>
  <c r="G1407" i="3" s="1"/>
  <c r="B1406" i="3"/>
  <c r="G1406" i="3" s="1"/>
  <c r="B1405" i="3"/>
  <c r="G1405" i="3" s="1"/>
  <c r="B1404" i="3"/>
  <c r="G1404" i="3" s="1"/>
  <c r="B1403" i="3"/>
  <c r="G1403" i="3" s="1"/>
  <c r="B1402" i="3"/>
  <c r="G1402" i="3" s="1"/>
  <c r="B1401" i="3"/>
  <c r="G1401" i="3" s="1"/>
  <c r="B1400" i="3"/>
  <c r="G1400" i="3" s="1"/>
  <c r="B1399" i="3"/>
  <c r="G1399" i="3" s="1"/>
  <c r="B1398" i="3"/>
  <c r="G1398" i="3" s="1"/>
  <c r="B1397" i="3"/>
  <c r="G1397" i="3" s="1"/>
  <c r="B1396" i="3"/>
  <c r="G1396" i="3" s="1"/>
  <c r="B1395" i="3"/>
  <c r="G1395" i="3" s="1"/>
  <c r="B1394" i="3"/>
  <c r="G1394" i="3" s="1"/>
  <c r="B1393" i="3"/>
  <c r="G1393" i="3" s="1"/>
  <c r="B1392" i="3"/>
  <c r="G1392" i="3" s="1"/>
  <c r="B1391" i="3"/>
  <c r="G1391" i="3" s="1"/>
  <c r="B1390" i="3"/>
  <c r="G1390" i="3" s="1"/>
  <c r="B1389" i="3"/>
  <c r="G1389" i="3" s="1"/>
  <c r="B1388" i="3"/>
  <c r="G1388" i="3" s="1"/>
  <c r="B1387" i="3"/>
  <c r="G1387" i="3" s="1"/>
  <c r="B1386" i="3"/>
  <c r="G1386" i="3" s="1"/>
  <c r="B1385" i="3"/>
  <c r="G1385" i="3" s="1"/>
  <c r="B1384" i="3"/>
  <c r="G1384" i="3" s="1"/>
  <c r="B1383" i="3"/>
  <c r="G1383" i="3" s="1"/>
  <c r="B1382" i="3"/>
  <c r="G1382" i="3" s="1"/>
  <c r="B1381" i="3"/>
  <c r="G1381" i="3" s="1"/>
  <c r="B1380" i="3"/>
  <c r="G1380" i="3" s="1"/>
  <c r="B1379" i="3"/>
  <c r="G1379" i="3" s="1"/>
  <c r="B1378" i="3"/>
  <c r="G1378" i="3" s="1"/>
  <c r="B1377" i="3"/>
  <c r="G1377" i="3" s="1"/>
  <c r="B1376" i="3"/>
  <c r="G1376" i="3" s="1"/>
  <c r="B1375" i="3"/>
  <c r="G1375" i="3" s="1"/>
  <c r="B1374" i="3"/>
  <c r="G1374" i="3" s="1"/>
  <c r="B1373" i="3"/>
  <c r="G1373" i="3" s="1"/>
  <c r="B1372" i="3"/>
  <c r="G1372" i="3" s="1"/>
  <c r="B1371" i="3"/>
  <c r="G1371" i="3" s="1"/>
  <c r="B1370" i="3"/>
  <c r="G1370" i="3" s="1"/>
  <c r="B1369" i="3"/>
  <c r="G1369" i="3" s="1"/>
  <c r="B1368" i="3"/>
  <c r="G1368" i="3" s="1"/>
  <c r="B1367" i="3"/>
  <c r="G1367" i="3" s="1"/>
  <c r="B1366" i="3"/>
  <c r="G1366" i="3" s="1"/>
  <c r="B1365" i="3"/>
  <c r="G1365" i="3" s="1"/>
  <c r="B1364" i="3"/>
  <c r="G1364" i="3" s="1"/>
  <c r="B1363" i="3"/>
  <c r="G1363" i="3" s="1"/>
  <c r="B1362" i="3"/>
  <c r="G1362" i="3" s="1"/>
  <c r="B1361" i="3"/>
  <c r="G1361" i="3" s="1"/>
  <c r="B1360" i="3"/>
  <c r="G1360" i="3" s="1"/>
  <c r="B1359" i="3"/>
  <c r="G1359" i="3" s="1"/>
  <c r="B1358" i="3"/>
  <c r="G1358" i="3" s="1"/>
  <c r="B1357" i="3"/>
  <c r="G1357" i="3" s="1"/>
  <c r="B1356" i="3"/>
  <c r="G1356" i="3" s="1"/>
  <c r="B1355" i="3"/>
  <c r="G1355" i="3" s="1"/>
  <c r="B1354" i="3"/>
  <c r="G1354" i="3" s="1"/>
  <c r="B1353" i="3"/>
  <c r="G1353" i="3" s="1"/>
  <c r="B1352" i="3"/>
  <c r="G1352" i="3" s="1"/>
  <c r="B1351" i="3"/>
  <c r="G1351" i="3" s="1"/>
  <c r="B1350" i="3"/>
  <c r="G1350" i="3" s="1"/>
  <c r="B1349" i="3"/>
  <c r="G1349" i="3" s="1"/>
  <c r="B1348" i="3"/>
  <c r="G1348" i="3" s="1"/>
  <c r="B1347" i="3"/>
  <c r="G1347" i="3" s="1"/>
  <c r="B1346" i="3"/>
  <c r="G1346" i="3" s="1"/>
  <c r="B1345" i="3"/>
  <c r="G1345" i="3" s="1"/>
  <c r="B1344" i="3"/>
  <c r="G1344" i="3" s="1"/>
  <c r="B1343" i="3"/>
  <c r="G1343" i="3" s="1"/>
  <c r="B1342" i="3"/>
  <c r="G1342" i="3" s="1"/>
  <c r="B1341" i="3"/>
  <c r="G1341" i="3" s="1"/>
  <c r="B1340" i="3"/>
  <c r="G1340" i="3" s="1"/>
  <c r="B1339" i="3"/>
  <c r="G1339" i="3" s="1"/>
  <c r="B1338" i="3"/>
  <c r="G1338" i="3" s="1"/>
  <c r="B1337" i="3"/>
  <c r="G1337" i="3" s="1"/>
  <c r="B1336" i="3"/>
  <c r="G1336" i="3" s="1"/>
  <c r="B1335" i="3"/>
  <c r="G1335" i="3" s="1"/>
  <c r="B1334" i="3"/>
  <c r="G1334" i="3" s="1"/>
  <c r="B1333" i="3"/>
  <c r="G1333" i="3" s="1"/>
  <c r="B1332" i="3"/>
  <c r="G1332" i="3" s="1"/>
  <c r="B1331" i="3"/>
  <c r="G1331" i="3" s="1"/>
  <c r="B1330" i="3"/>
  <c r="G1330" i="3" s="1"/>
  <c r="B1329" i="3"/>
  <c r="G1329" i="3" s="1"/>
  <c r="B1328" i="3"/>
  <c r="G1328" i="3" s="1"/>
  <c r="B1327" i="3"/>
  <c r="G1327" i="3" s="1"/>
  <c r="B1326" i="3"/>
  <c r="G1326" i="3" s="1"/>
  <c r="B1325" i="3"/>
  <c r="G1325" i="3" s="1"/>
  <c r="B1324" i="3"/>
  <c r="G1324" i="3" s="1"/>
  <c r="B1323" i="3"/>
  <c r="G1323" i="3" s="1"/>
  <c r="B1322" i="3"/>
  <c r="G1322" i="3" s="1"/>
  <c r="B1321" i="3"/>
  <c r="G1321" i="3" s="1"/>
  <c r="B1320" i="3"/>
  <c r="G1320" i="3" s="1"/>
  <c r="B1319" i="3"/>
  <c r="G1319" i="3" s="1"/>
  <c r="B1318" i="3"/>
  <c r="G1318" i="3" s="1"/>
  <c r="B1317" i="3"/>
  <c r="G1317" i="3" s="1"/>
  <c r="B1316" i="3"/>
  <c r="G1316" i="3" s="1"/>
  <c r="B1315" i="3"/>
  <c r="G1315" i="3" s="1"/>
  <c r="B1314" i="3"/>
  <c r="G1314" i="3" s="1"/>
  <c r="B1313" i="3"/>
  <c r="G1313" i="3" s="1"/>
  <c r="B1312" i="3"/>
  <c r="G1312" i="3" s="1"/>
  <c r="B1311" i="3"/>
  <c r="G1311" i="3" s="1"/>
  <c r="B1310" i="3"/>
  <c r="G1310" i="3" s="1"/>
  <c r="B1309" i="3"/>
  <c r="G1309" i="3" s="1"/>
  <c r="B1308" i="3"/>
  <c r="G1308" i="3" s="1"/>
  <c r="B1307" i="3"/>
  <c r="G1307" i="3" s="1"/>
  <c r="B1306" i="3"/>
  <c r="G1306" i="3" s="1"/>
  <c r="B1305" i="3"/>
  <c r="G1305" i="3" s="1"/>
  <c r="B1304" i="3"/>
  <c r="G1304" i="3" s="1"/>
  <c r="B1303" i="3"/>
  <c r="G1303" i="3" s="1"/>
  <c r="B1302" i="3"/>
  <c r="G1302" i="3" s="1"/>
  <c r="B1301" i="3"/>
  <c r="G1301" i="3" s="1"/>
  <c r="B1300" i="3"/>
  <c r="G1300" i="3" s="1"/>
  <c r="B1299" i="3"/>
  <c r="G1299" i="3" s="1"/>
  <c r="B1298" i="3"/>
  <c r="G1298" i="3" s="1"/>
  <c r="B1297" i="3"/>
  <c r="G1297" i="3" s="1"/>
  <c r="B1296" i="3"/>
  <c r="G1296" i="3" s="1"/>
  <c r="B1295" i="3"/>
  <c r="G1295" i="3" s="1"/>
  <c r="B1294" i="3"/>
  <c r="G1294" i="3" s="1"/>
  <c r="B1293" i="3"/>
  <c r="G1293" i="3" s="1"/>
  <c r="B1292" i="3"/>
  <c r="G1292" i="3" s="1"/>
  <c r="B1291" i="3"/>
  <c r="G1291" i="3" s="1"/>
  <c r="B1290" i="3"/>
  <c r="G1290" i="3" s="1"/>
  <c r="B1289" i="3"/>
  <c r="G1289" i="3" s="1"/>
  <c r="B1288" i="3"/>
  <c r="G1288" i="3" s="1"/>
  <c r="B1287" i="3"/>
  <c r="G1287" i="3" s="1"/>
  <c r="B1286" i="3"/>
  <c r="G1286" i="3" s="1"/>
  <c r="B1285" i="3"/>
  <c r="G1285" i="3" s="1"/>
  <c r="B1284" i="3"/>
  <c r="G1284" i="3" s="1"/>
  <c r="B1283" i="3"/>
  <c r="G1283" i="3" s="1"/>
  <c r="B1282" i="3"/>
  <c r="G1282" i="3" s="1"/>
  <c r="B1281" i="3"/>
  <c r="G1281" i="3" s="1"/>
  <c r="B1280" i="3"/>
  <c r="G1280" i="3" s="1"/>
  <c r="B1279" i="3"/>
  <c r="G1279" i="3" s="1"/>
  <c r="B1278" i="3"/>
  <c r="G1278" i="3" s="1"/>
  <c r="B1277" i="3"/>
  <c r="G1277" i="3" s="1"/>
  <c r="B1276" i="3"/>
  <c r="G1276" i="3" s="1"/>
  <c r="B1275" i="3"/>
  <c r="G1275" i="3" s="1"/>
  <c r="B1274" i="3"/>
  <c r="G1274" i="3" s="1"/>
  <c r="B1273" i="3"/>
  <c r="G1273" i="3" s="1"/>
  <c r="B1272" i="3"/>
  <c r="G1272" i="3" s="1"/>
  <c r="B1271" i="3"/>
  <c r="G1271" i="3" s="1"/>
  <c r="B1270" i="3"/>
  <c r="G1270" i="3" s="1"/>
  <c r="B1269" i="3"/>
  <c r="G1269" i="3" s="1"/>
  <c r="B1268" i="3"/>
  <c r="G1268" i="3" s="1"/>
  <c r="B1267" i="3"/>
  <c r="G1267" i="3" s="1"/>
  <c r="B1266" i="3"/>
  <c r="G1266" i="3" s="1"/>
  <c r="B1265" i="3"/>
  <c r="G1265" i="3" s="1"/>
  <c r="B1264" i="3"/>
  <c r="G1264" i="3" s="1"/>
  <c r="B1263" i="3"/>
  <c r="G1263" i="3" s="1"/>
  <c r="B1262" i="3"/>
  <c r="G1262" i="3" s="1"/>
  <c r="B1261" i="3"/>
  <c r="G1261" i="3" s="1"/>
  <c r="B1260" i="3"/>
  <c r="G1260" i="3" s="1"/>
  <c r="B1259" i="3"/>
  <c r="G1259" i="3" s="1"/>
  <c r="B1258" i="3"/>
  <c r="G1258" i="3" s="1"/>
  <c r="B1257" i="3"/>
  <c r="G1257" i="3" s="1"/>
  <c r="B1256" i="3"/>
  <c r="G1256" i="3" s="1"/>
  <c r="B1255" i="3"/>
  <c r="G1255" i="3" s="1"/>
  <c r="B1254" i="3"/>
  <c r="G1254" i="3" s="1"/>
  <c r="B1253" i="3"/>
  <c r="G1253" i="3" s="1"/>
  <c r="B1252" i="3"/>
  <c r="G1252" i="3" s="1"/>
  <c r="B1251" i="3"/>
  <c r="G1251" i="3" s="1"/>
  <c r="B1250" i="3"/>
  <c r="G1250" i="3" s="1"/>
  <c r="B1249" i="3"/>
  <c r="G1249" i="3" s="1"/>
  <c r="B1248" i="3"/>
  <c r="G1248" i="3" s="1"/>
  <c r="B1247" i="3"/>
  <c r="G1247" i="3" s="1"/>
  <c r="B1246" i="3"/>
  <c r="G1246" i="3" s="1"/>
  <c r="B1245" i="3"/>
  <c r="G1245" i="3" s="1"/>
  <c r="B1244" i="3"/>
  <c r="G1244" i="3" s="1"/>
  <c r="B1243" i="3"/>
  <c r="G1243" i="3" s="1"/>
  <c r="B1242" i="3"/>
  <c r="G1242" i="3" s="1"/>
  <c r="B1241" i="3"/>
  <c r="G1241" i="3" s="1"/>
  <c r="B1240" i="3"/>
  <c r="G1240" i="3" s="1"/>
  <c r="B1239" i="3"/>
  <c r="G1239" i="3" s="1"/>
  <c r="B1238" i="3"/>
  <c r="G1238" i="3" s="1"/>
  <c r="B1237" i="3"/>
  <c r="G1237" i="3" s="1"/>
  <c r="B1236" i="3"/>
  <c r="G1236" i="3" s="1"/>
  <c r="B1235" i="3"/>
  <c r="G1235" i="3" s="1"/>
  <c r="B1234" i="3"/>
  <c r="G1234" i="3" s="1"/>
  <c r="B1233" i="3"/>
  <c r="G1233" i="3" s="1"/>
  <c r="B1232" i="3"/>
  <c r="G1232" i="3" s="1"/>
  <c r="B1231" i="3"/>
  <c r="G1231" i="3" s="1"/>
  <c r="B1230" i="3"/>
  <c r="G1230" i="3" s="1"/>
  <c r="B1229" i="3"/>
  <c r="G1229" i="3" s="1"/>
  <c r="B1228" i="3"/>
  <c r="G1228" i="3" s="1"/>
  <c r="B1227" i="3"/>
  <c r="G1227" i="3" s="1"/>
  <c r="B1226" i="3"/>
  <c r="G1226" i="3" s="1"/>
  <c r="B1225" i="3"/>
  <c r="G1225" i="3" s="1"/>
  <c r="B1224" i="3"/>
  <c r="G1224" i="3" s="1"/>
  <c r="B1223" i="3"/>
  <c r="G1223" i="3" s="1"/>
  <c r="B1222" i="3"/>
  <c r="G1222" i="3" s="1"/>
  <c r="B1221" i="3"/>
  <c r="G1221" i="3" s="1"/>
  <c r="B1220" i="3"/>
  <c r="G1220" i="3" s="1"/>
  <c r="B1219" i="3"/>
  <c r="G1219" i="3" s="1"/>
  <c r="B1218" i="3"/>
  <c r="G1218" i="3" s="1"/>
  <c r="B1217" i="3"/>
  <c r="G1217" i="3" s="1"/>
  <c r="B1216" i="3"/>
  <c r="G1216" i="3" s="1"/>
  <c r="B1215" i="3"/>
  <c r="G1215" i="3" s="1"/>
  <c r="B1214" i="3"/>
  <c r="G1214" i="3" s="1"/>
  <c r="B1213" i="3"/>
  <c r="G1213" i="3" s="1"/>
  <c r="B1212" i="3"/>
  <c r="G1212" i="3" s="1"/>
  <c r="B1211" i="3"/>
  <c r="G1211" i="3" s="1"/>
  <c r="B1210" i="3"/>
  <c r="G1210" i="3" s="1"/>
  <c r="G1209" i="3"/>
  <c r="B1209" i="3"/>
  <c r="B1208" i="3"/>
  <c r="G1208" i="3" s="1"/>
  <c r="B1207" i="3"/>
  <c r="G1207" i="3" s="1"/>
  <c r="B1206" i="3"/>
  <c r="G1206" i="3" s="1"/>
  <c r="B1205" i="3"/>
  <c r="G1205" i="3" s="1"/>
  <c r="B1204" i="3"/>
  <c r="G1204" i="3" s="1"/>
  <c r="B1203" i="3"/>
  <c r="G1203" i="3" s="1"/>
  <c r="B1202" i="3"/>
  <c r="G1202" i="3" s="1"/>
  <c r="B1201" i="3"/>
  <c r="G1201" i="3" s="1"/>
  <c r="B1200" i="3"/>
  <c r="G1200" i="3" s="1"/>
  <c r="B1199" i="3"/>
  <c r="G1199" i="3" s="1"/>
  <c r="B1198" i="3"/>
  <c r="G1198" i="3" s="1"/>
  <c r="B1197" i="3"/>
  <c r="G1197" i="3" s="1"/>
  <c r="B1196" i="3"/>
  <c r="G1196" i="3" s="1"/>
  <c r="B1195" i="3"/>
  <c r="G1195" i="3" s="1"/>
  <c r="B1194" i="3"/>
  <c r="G1194" i="3" s="1"/>
  <c r="B1193" i="3"/>
  <c r="G1193" i="3" s="1"/>
  <c r="B1192" i="3"/>
  <c r="G1192" i="3" s="1"/>
  <c r="B1191" i="3"/>
  <c r="G1191" i="3" s="1"/>
  <c r="B1190" i="3"/>
  <c r="G1190" i="3" s="1"/>
  <c r="B1189" i="3"/>
  <c r="G1189" i="3" s="1"/>
  <c r="B1188" i="3"/>
  <c r="G1188" i="3" s="1"/>
  <c r="B1187" i="3"/>
  <c r="G1187" i="3" s="1"/>
  <c r="B1186" i="3"/>
  <c r="G1186" i="3" s="1"/>
  <c r="B1185" i="3"/>
  <c r="G1185" i="3" s="1"/>
  <c r="B1184" i="3"/>
  <c r="G1184" i="3" s="1"/>
  <c r="B1183" i="3"/>
  <c r="G1183" i="3" s="1"/>
  <c r="B1182" i="3"/>
  <c r="G1182" i="3" s="1"/>
  <c r="B1181" i="3"/>
  <c r="G1181" i="3" s="1"/>
  <c r="B1180" i="3"/>
  <c r="G1180" i="3" s="1"/>
  <c r="B1179" i="3"/>
  <c r="G1179" i="3" s="1"/>
  <c r="B1178" i="3"/>
  <c r="G1178" i="3" s="1"/>
  <c r="B1177" i="3"/>
  <c r="G1177" i="3" s="1"/>
  <c r="B1176" i="3"/>
  <c r="G1176" i="3" s="1"/>
  <c r="B1175" i="3"/>
  <c r="G1175" i="3" s="1"/>
  <c r="B1174" i="3"/>
  <c r="G1174" i="3" s="1"/>
  <c r="B1173" i="3"/>
  <c r="G1173" i="3" s="1"/>
  <c r="B1172" i="3"/>
  <c r="G1172" i="3" s="1"/>
  <c r="B1171" i="3"/>
  <c r="G1171" i="3" s="1"/>
  <c r="B1170" i="3"/>
  <c r="G1170" i="3" s="1"/>
  <c r="B1169" i="3"/>
  <c r="G1169" i="3" s="1"/>
  <c r="B1168" i="3"/>
  <c r="G1168" i="3" s="1"/>
  <c r="B1167" i="3"/>
  <c r="G1167" i="3" s="1"/>
  <c r="B1166" i="3"/>
  <c r="G1166" i="3" s="1"/>
  <c r="B1165" i="3"/>
  <c r="G1165" i="3" s="1"/>
  <c r="B1164" i="3"/>
  <c r="G1164" i="3" s="1"/>
  <c r="B1163" i="3"/>
  <c r="G1163" i="3" s="1"/>
  <c r="B1162" i="3"/>
  <c r="G1162" i="3" s="1"/>
  <c r="B1161" i="3"/>
  <c r="G1161" i="3" s="1"/>
  <c r="B1160" i="3"/>
  <c r="G1160" i="3" s="1"/>
  <c r="B1159" i="3"/>
  <c r="G1159" i="3" s="1"/>
  <c r="B1158" i="3"/>
  <c r="G1158" i="3" s="1"/>
  <c r="B1157" i="3"/>
  <c r="G1157" i="3" s="1"/>
  <c r="B1156" i="3"/>
  <c r="G1156" i="3" s="1"/>
  <c r="B1155" i="3"/>
  <c r="G1155" i="3" s="1"/>
  <c r="B1154" i="3"/>
  <c r="G1154" i="3" s="1"/>
  <c r="B1153" i="3"/>
  <c r="G1153" i="3" s="1"/>
  <c r="B1152" i="3"/>
  <c r="G1152" i="3" s="1"/>
  <c r="B1151" i="3"/>
  <c r="G1151" i="3" s="1"/>
  <c r="B1150" i="3"/>
  <c r="G1150" i="3" s="1"/>
  <c r="B1149" i="3"/>
  <c r="G1149" i="3" s="1"/>
  <c r="B1148" i="3"/>
  <c r="G1148" i="3" s="1"/>
  <c r="B1147" i="3"/>
  <c r="G1147" i="3" s="1"/>
  <c r="B1146" i="3"/>
  <c r="G1146" i="3" s="1"/>
  <c r="B1145" i="3"/>
  <c r="G1145" i="3" s="1"/>
  <c r="B1144" i="3"/>
  <c r="G1144" i="3" s="1"/>
  <c r="B1143" i="3"/>
  <c r="G1143" i="3" s="1"/>
  <c r="B1142" i="3"/>
  <c r="G1142" i="3" s="1"/>
  <c r="B1141" i="3"/>
  <c r="G1141" i="3" s="1"/>
  <c r="B1140" i="3"/>
  <c r="G1140" i="3" s="1"/>
  <c r="B1139" i="3"/>
  <c r="G1139" i="3" s="1"/>
  <c r="B1138" i="3"/>
  <c r="G1138" i="3" s="1"/>
  <c r="B1137" i="3"/>
  <c r="G1137" i="3" s="1"/>
  <c r="B1136" i="3"/>
  <c r="G1136" i="3" s="1"/>
  <c r="B1135" i="3"/>
  <c r="G1135" i="3" s="1"/>
  <c r="B1134" i="3"/>
  <c r="G1134" i="3" s="1"/>
  <c r="B1133" i="3"/>
  <c r="G1133" i="3" s="1"/>
  <c r="B1132" i="3"/>
  <c r="G1132" i="3" s="1"/>
  <c r="B1131" i="3"/>
  <c r="G1131" i="3" s="1"/>
  <c r="B1130" i="3"/>
  <c r="G1130" i="3" s="1"/>
  <c r="B1129" i="3"/>
  <c r="G1129" i="3" s="1"/>
  <c r="B1128" i="3"/>
  <c r="G1128" i="3" s="1"/>
  <c r="B1127" i="3"/>
  <c r="G1127" i="3" s="1"/>
  <c r="B1126" i="3"/>
  <c r="G1126" i="3" s="1"/>
  <c r="B1125" i="3"/>
  <c r="G1125" i="3" s="1"/>
  <c r="B1124" i="3"/>
  <c r="G1124" i="3" s="1"/>
  <c r="B1123" i="3"/>
  <c r="G1123" i="3" s="1"/>
  <c r="B1122" i="3"/>
  <c r="G1122" i="3" s="1"/>
  <c r="B1121" i="3"/>
  <c r="G1121" i="3" s="1"/>
  <c r="B1120" i="3"/>
  <c r="G1120" i="3" s="1"/>
  <c r="B1119" i="3"/>
  <c r="G1119" i="3" s="1"/>
  <c r="B1118" i="3"/>
  <c r="G1118" i="3" s="1"/>
  <c r="B1117" i="3"/>
  <c r="G1117" i="3" s="1"/>
  <c r="B1116" i="3"/>
  <c r="G1116" i="3" s="1"/>
  <c r="B1115" i="3"/>
  <c r="G1115" i="3" s="1"/>
  <c r="B1114" i="3"/>
  <c r="G1114" i="3" s="1"/>
  <c r="B1113" i="3"/>
  <c r="G1113" i="3" s="1"/>
  <c r="B1112" i="3"/>
  <c r="G1112" i="3" s="1"/>
  <c r="B1111" i="3"/>
  <c r="G1111" i="3" s="1"/>
  <c r="B1110" i="3"/>
  <c r="G1110" i="3" s="1"/>
  <c r="B1109" i="3"/>
  <c r="G1109" i="3" s="1"/>
  <c r="B1108" i="3"/>
  <c r="G1108" i="3" s="1"/>
  <c r="B1107" i="3"/>
  <c r="G1107" i="3" s="1"/>
  <c r="B1106" i="3"/>
  <c r="G1106" i="3" s="1"/>
  <c r="B1105" i="3"/>
  <c r="G1105" i="3" s="1"/>
  <c r="B1104" i="3"/>
  <c r="G1104" i="3" s="1"/>
  <c r="B1103" i="3"/>
  <c r="G1103" i="3" s="1"/>
  <c r="B1102" i="3"/>
  <c r="G1102" i="3" s="1"/>
  <c r="B1101" i="3"/>
  <c r="G1101" i="3" s="1"/>
  <c r="B1100" i="3"/>
  <c r="G1100" i="3" s="1"/>
  <c r="B1099" i="3"/>
  <c r="G1099" i="3" s="1"/>
  <c r="B1098" i="3"/>
  <c r="G1098" i="3" s="1"/>
  <c r="B1097" i="3"/>
  <c r="G1097" i="3" s="1"/>
  <c r="B1096" i="3"/>
  <c r="G1096" i="3" s="1"/>
  <c r="B1095" i="3"/>
  <c r="G1095" i="3" s="1"/>
  <c r="B1094" i="3"/>
  <c r="G1094" i="3" s="1"/>
  <c r="B1093" i="3"/>
  <c r="G1093" i="3" s="1"/>
  <c r="B1092" i="3"/>
  <c r="G1092" i="3" s="1"/>
  <c r="B1091" i="3"/>
  <c r="G1091" i="3" s="1"/>
  <c r="B1090" i="3"/>
  <c r="G1090" i="3" s="1"/>
  <c r="B1089" i="3"/>
  <c r="G1089" i="3" s="1"/>
  <c r="B1088" i="3"/>
  <c r="G1088" i="3" s="1"/>
  <c r="B1087" i="3"/>
  <c r="G1087" i="3" s="1"/>
  <c r="B1086" i="3"/>
  <c r="G1086" i="3" s="1"/>
  <c r="B1085" i="3"/>
  <c r="G1085" i="3" s="1"/>
  <c r="B1084" i="3"/>
  <c r="G1084" i="3" s="1"/>
  <c r="B1083" i="3"/>
  <c r="G1083" i="3" s="1"/>
  <c r="B1082" i="3"/>
  <c r="G1082" i="3" s="1"/>
  <c r="B1081" i="3"/>
  <c r="G1081" i="3" s="1"/>
  <c r="B1080" i="3"/>
  <c r="G1080" i="3" s="1"/>
  <c r="B1079" i="3"/>
  <c r="G1079" i="3" s="1"/>
  <c r="B1078" i="3"/>
  <c r="G1078" i="3" s="1"/>
  <c r="B1077" i="3"/>
  <c r="G1077" i="3" s="1"/>
  <c r="B1076" i="3"/>
  <c r="G1076" i="3" s="1"/>
  <c r="B1075" i="3"/>
  <c r="G1075" i="3" s="1"/>
  <c r="B1074" i="3"/>
  <c r="G1074" i="3" s="1"/>
  <c r="B1073" i="3"/>
  <c r="G1073" i="3" s="1"/>
  <c r="B1072" i="3"/>
  <c r="G1072" i="3" s="1"/>
  <c r="B1071" i="3"/>
  <c r="G1071" i="3" s="1"/>
  <c r="B1070" i="3"/>
  <c r="G1070" i="3" s="1"/>
  <c r="B1069" i="3"/>
  <c r="G1069" i="3" s="1"/>
  <c r="B1068" i="3"/>
  <c r="G1068" i="3" s="1"/>
  <c r="B1067" i="3"/>
  <c r="G1067" i="3" s="1"/>
  <c r="B1066" i="3"/>
  <c r="G1066" i="3" s="1"/>
  <c r="B1065" i="3"/>
  <c r="G1065" i="3" s="1"/>
  <c r="B1064" i="3"/>
  <c r="G1064" i="3" s="1"/>
  <c r="B1063" i="3"/>
  <c r="G1063" i="3" s="1"/>
  <c r="B1062" i="3"/>
  <c r="G1062" i="3" s="1"/>
  <c r="B1061" i="3"/>
  <c r="G1061" i="3" s="1"/>
  <c r="B1060" i="3"/>
  <c r="G1060" i="3" s="1"/>
  <c r="B1059" i="3"/>
  <c r="G1059" i="3" s="1"/>
  <c r="B1058" i="3"/>
  <c r="G1058" i="3" s="1"/>
  <c r="B1057" i="3"/>
  <c r="G1057" i="3" s="1"/>
  <c r="B1056" i="3"/>
  <c r="G1056" i="3" s="1"/>
  <c r="B1055" i="3"/>
  <c r="G1055" i="3" s="1"/>
  <c r="B1054" i="3"/>
  <c r="G1054" i="3" s="1"/>
  <c r="B1053" i="3"/>
  <c r="G1053" i="3" s="1"/>
  <c r="B1052" i="3"/>
  <c r="G1052" i="3" s="1"/>
  <c r="B1051" i="3"/>
  <c r="G1051" i="3" s="1"/>
  <c r="B1050" i="3"/>
  <c r="G1050" i="3" s="1"/>
  <c r="B1049" i="3"/>
  <c r="G1049" i="3" s="1"/>
  <c r="B1048" i="3"/>
  <c r="G1048" i="3" s="1"/>
  <c r="B1047" i="3"/>
  <c r="G1047" i="3" s="1"/>
  <c r="B1046" i="3"/>
  <c r="G1046" i="3" s="1"/>
  <c r="B1045" i="3"/>
  <c r="G1045" i="3" s="1"/>
  <c r="B1044" i="3"/>
  <c r="G1044" i="3" s="1"/>
  <c r="B1043" i="3"/>
  <c r="G1043" i="3" s="1"/>
  <c r="B1042" i="3"/>
  <c r="G1042" i="3" s="1"/>
  <c r="B1041" i="3"/>
  <c r="G1041" i="3" s="1"/>
  <c r="B1040" i="3"/>
  <c r="G1040" i="3" s="1"/>
  <c r="B1039" i="3"/>
  <c r="G1039" i="3" s="1"/>
  <c r="B1038" i="3"/>
  <c r="G1038" i="3" s="1"/>
  <c r="B1037" i="3"/>
  <c r="G1037" i="3" s="1"/>
  <c r="B1036" i="3"/>
  <c r="G1036" i="3" s="1"/>
  <c r="B1035" i="3"/>
  <c r="G1035" i="3" s="1"/>
  <c r="B1034" i="3"/>
  <c r="G1034" i="3" s="1"/>
  <c r="B1033" i="3"/>
  <c r="G1033" i="3" s="1"/>
  <c r="B1032" i="3"/>
  <c r="G1032" i="3" s="1"/>
  <c r="B1031" i="3"/>
  <c r="G1031" i="3" s="1"/>
  <c r="B1030" i="3"/>
  <c r="G1030" i="3" s="1"/>
  <c r="B1029" i="3"/>
  <c r="G1029" i="3" s="1"/>
  <c r="B1028" i="3"/>
  <c r="G1028" i="3" s="1"/>
  <c r="B1027" i="3"/>
  <c r="G1027" i="3" s="1"/>
  <c r="B1026" i="3"/>
  <c r="G1026" i="3" s="1"/>
  <c r="B1025" i="3"/>
  <c r="G1025" i="3" s="1"/>
  <c r="B1024" i="3"/>
  <c r="G1024" i="3" s="1"/>
  <c r="B1023" i="3"/>
  <c r="G1023" i="3" s="1"/>
  <c r="B1022" i="3"/>
  <c r="G1022" i="3" s="1"/>
  <c r="B1021" i="3"/>
  <c r="G1021" i="3" s="1"/>
  <c r="B1020" i="3"/>
  <c r="G1020" i="3" s="1"/>
  <c r="B1019" i="3"/>
  <c r="G1019" i="3" s="1"/>
  <c r="B1018" i="3"/>
  <c r="G1018" i="3" s="1"/>
  <c r="B1017" i="3"/>
  <c r="G1017" i="3" s="1"/>
  <c r="B1016" i="3"/>
  <c r="G1016" i="3" s="1"/>
  <c r="B1015" i="3"/>
  <c r="G1015" i="3" s="1"/>
  <c r="B1014" i="3"/>
  <c r="G1014" i="3" s="1"/>
  <c r="B1013" i="3"/>
  <c r="G1013" i="3" s="1"/>
  <c r="B1012" i="3"/>
  <c r="G1012" i="3" s="1"/>
  <c r="B1011" i="3"/>
  <c r="G1011" i="3" s="1"/>
  <c r="B1010" i="3"/>
  <c r="G1010" i="3" s="1"/>
  <c r="B1009" i="3"/>
  <c r="G1009" i="3" s="1"/>
  <c r="B1008" i="3"/>
  <c r="G1008" i="3" s="1"/>
  <c r="B1007" i="3"/>
  <c r="G1007" i="3" s="1"/>
  <c r="B1006" i="3"/>
  <c r="G1006" i="3" s="1"/>
  <c r="B1005" i="3"/>
  <c r="G1005" i="3" s="1"/>
  <c r="B1004" i="3"/>
  <c r="G1004" i="3" s="1"/>
  <c r="B1003" i="3"/>
  <c r="G1003" i="3" s="1"/>
  <c r="B1002" i="3"/>
  <c r="G1002" i="3" s="1"/>
  <c r="B1001" i="3"/>
  <c r="G1001" i="3" s="1"/>
  <c r="B1000" i="3"/>
  <c r="G1000" i="3" s="1"/>
  <c r="B999" i="3"/>
  <c r="G999" i="3" s="1"/>
  <c r="B998" i="3"/>
  <c r="G998" i="3" s="1"/>
  <c r="B997" i="3"/>
  <c r="G997" i="3" s="1"/>
  <c r="B996" i="3"/>
  <c r="G996" i="3" s="1"/>
  <c r="B995" i="3"/>
  <c r="G995" i="3" s="1"/>
  <c r="B994" i="3"/>
  <c r="G994" i="3" s="1"/>
  <c r="B993" i="3"/>
  <c r="G993" i="3" s="1"/>
  <c r="B992" i="3"/>
  <c r="G992" i="3" s="1"/>
  <c r="B991" i="3"/>
  <c r="G991" i="3" s="1"/>
  <c r="B990" i="3"/>
  <c r="G990" i="3" s="1"/>
  <c r="B989" i="3"/>
  <c r="G989" i="3" s="1"/>
  <c r="B988" i="3"/>
  <c r="G988" i="3" s="1"/>
  <c r="B987" i="3"/>
  <c r="G987" i="3" s="1"/>
  <c r="B986" i="3"/>
  <c r="G986" i="3" s="1"/>
  <c r="B985" i="3"/>
  <c r="G985" i="3" s="1"/>
  <c r="B984" i="3"/>
  <c r="G984" i="3" s="1"/>
  <c r="B983" i="3"/>
  <c r="G983" i="3" s="1"/>
  <c r="B982" i="3"/>
  <c r="G982" i="3" s="1"/>
  <c r="B981" i="3"/>
  <c r="G981" i="3" s="1"/>
  <c r="B980" i="3"/>
  <c r="G980" i="3" s="1"/>
  <c r="B979" i="3"/>
  <c r="G979" i="3" s="1"/>
  <c r="B978" i="3"/>
  <c r="G978" i="3" s="1"/>
  <c r="B977" i="3"/>
  <c r="G977" i="3" s="1"/>
  <c r="B976" i="3"/>
  <c r="G976" i="3" s="1"/>
  <c r="B975" i="3"/>
  <c r="G975" i="3" s="1"/>
  <c r="B974" i="3"/>
  <c r="G974" i="3" s="1"/>
  <c r="B973" i="3"/>
  <c r="G973" i="3" s="1"/>
  <c r="B972" i="3"/>
  <c r="G972" i="3" s="1"/>
  <c r="B971" i="3"/>
  <c r="G971" i="3" s="1"/>
  <c r="B970" i="3"/>
  <c r="G970" i="3" s="1"/>
  <c r="B969" i="3"/>
  <c r="G969" i="3" s="1"/>
  <c r="B968" i="3"/>
  <c r="G968" i="3" s="1"/>
  <c r="B967" i="3"/>
  <c r="G967" i="3" s="1"/>
  <c r="B966" i="3"/>
  <c r="G966" i="3" s="1"/>
  <c r="B965" i="3"/>
  <c r="G965" i="3" s="1"/>
  <c r="B964" i="3"/>
  <c r="G964" i="3" s="1"/>
  <c r="B963" i="3"/>
  <c r="G963" i="3" s="1"/>
  <c r="B962" i="3"/>
  <c r="G962" i="3" s="1"/>
  <c r="B961" i="3"/>
  <c r="G961" i="3" s="1"/>
  <c r="B960" i="3"/>
  <c r="G960" i="3" s="1"/>
  <c r="B959" i="3"/>
  <c r="G959" i="3" s="1"/>
  <c r="B958" i="3"/>
  <c r="G958" i="3" s="1"/>
  <c r="B957" i="3"/>
  <c r="G957" i="3" s="1"/>
  <c r="B956" i="3"/>
  <c r="G956" i="3" s="1"/>
  <c r="B955" i="3"/>
  <c r="G955" i="3" s="1"/>
  <c r="B954" i="3"/>
  <c r="G954" i="3" s="1"/>
  <c r="B953" i="3"/>
  <c r="G953" i="3" s="1"/>
  <c r="B952" i="3"/>
  <c r="G952" i="3" s="1"/>
  <c r="B951" i="3"/>
  <c r="G951" i="3" s="1"/>
  <c r="B950" i="3"/>
  <c r="G950" i="3" s="1"/>
  <c r="B949" i="3"/>
  <c r="G949" i="3" s="1"/>
  <c r="B948" i="3"/>
  <c r="G948" i="3" s="1"/>
  <c r="B947" i="3"/>
  <c r="G947" i="3" s="1"/>
  <c r="B946" i="3"/>
  <c r="G946" i="3" s="1"/>
  <c r="B945" i="3"/>
  <c r="G945" i="3" s="1"/>
  <c r="B944" i="3"/>
  <c r="G944" i="3" s="1"/>
  <c r="B943" i="3"/>
  <c r="G943" i="3" s="1"/>
  <c r="B942" i="3"/>
  <c r="G942" i="3" s="1"/>
  <c r="B941" i="3"/>
  <c r="G941" i="3" s="1"/>
  <c r="B940" i="3"/>
  <c r="G940" i="3" s="1"/>
  <c r="B939" i="3"/>
  <c r="G939" i="3" s="1"/>
  <c r="B938" i="3"/>
  <c r="G938" i="3" s="1"/>
  <c r="B937" i="3"/>
  <c r="G937" i="3" s="1"/>
  <c r="B936" i="3"/>
  <c r="G936" i="3" s="1"/>
  <c r="B935" i="3"/>
  <c r="G935" i="3" s="1"/>
  <c r="B934" i="3"/>
  <c r="G934" i="3" s="1"/>
  <c r="B933" i="3"/>
  <c r="G933" i="3" s="1"/>
  <c r="B932" i="3"/>
  <c r="G932" i="3" s="1"/>
  <c r="B931" i="3"/>
  <c r="G931" i="3" s="1"/>
  <c r="B930" i="3"/>
  <c r="G930" i="3" s="1"/>
  <c r="B929" i="3"/>
  <c r="G929" i="3" s="1"/>
  <c r="B928" i="3"/>
  <c r="G928" i="3" s="1"/>
  <c r="B927" i="3"/>
  <c r="G927" i="3" s="1"/>
  <c r="B926" i="3"/>
  <c r="G926" i="3" s="1"/>
  <c r="B925" i="3"/>
  <c r="G925" i="3" s="1"/>
  <c r="B924" i="3"/>
  <c r="G924" i="3" s="1"/>
  <c r="B923" i="3"/>
  <c r="G923" i="3" s="1"/>
  <c r="B922" i="3"/>
  <c r="G922" i="3" s="1"/>
  <c r="B921" i="3"/>
  <c r="G921" i="3" s="1"/>
  <c r="B920" i="3"/>
  <c r="G920" i="3" s="1"/>
  <c r="B919" i="3"/>
  <c r="G919" i="3" s="1"/>
  <c r="B918" i="3"/>
  <c r="G918" i="3" s="1"/>
  <c r="B917" i="3"/>
  <c r="G917" i="3" s="1"/>
  <c r="B916" i="3"/>
  <c r="G916" i="3" s="1"/>
  <c r="B915" i="3"/>
  <c r="G915" i="3" s="1"/>
  <c r="B914" i="3"/>
  <c r="G914" i="3" s="1"/>
  <c r="B913" i="3"/>
  <c r="G913" i="3" s="1"/>
  <c r="B912" i="3"/>
  <c r="G912" i="3" s="1"/>
  <c r="B911" i="3"/>
  <c r="G911" i="3" s="1"/>
  <c r="B910" i="3"/>
  <c r="G910" i="3" s="1"/>
  <c r="B909" i="3"/>
  <c r="G909" i="3" s="1"/>
  <c r="B908" i="3"/>
  <c r="G908" i="3" s="1"/>
  <c r="B907" i="3"/>
  <c r="G907" i="3" s="1"/>
  <c r="B906" i="3"/>
  <c r="G906" i="3" s="1"/>
  <c r="B905" i="3"/>
  <c r="G905" i="3" s="1"/>
  <c r="B904" i="3"/>
  <c r="G904" i="3" s="1"/>
  <c r="B903" i="3"/>
  <c r="G903" i="3" s="1"/>
  <c r="B902" i="3"/>
  <c r="G902" i="3" s="1"/>
  <c r="B901" i="3"/>
  <c r="G901" i="3" s="1"/>
  <c r="B900" i="3"/>
  <c r="G900" i="3" s="1"/>
  <c r="B899" i="3"/>
  <c r="G899" i="3" s="1"/>
  <c r="B898" i="3"/>
  <c r="G898" i="3" s="1"/>
  <c r="B897" i="3"/>
  <c r="G897" i="3" s="1"/>
  <c r="B896" i="3"/>
  <c r="G896" i="3" s="1"/>
  <c r="B895" i="3"/>
  <c r="G895" i="3" s="1"/>
  <c r="B894" i="3"/>
  <c r="G894" i="3" s="1"/>
  <c r="B893" i="3"/>
  <c r="G893" i="3" s="1"/>
  <c r="B892" i="3"/>
  <c r="G892" i="3" s="1"/>
  <c r="B891" i="3"/>
  <c r="G891" i="3" s="1"/>
  <c r="B890" i="3"/>
  <c r="G890" i="3" s="1"/>
  <c r="B889" i="3"/>
  <c r="G889" i="3" s="1"/>
  <c r="B888" i="3"/>
  <c r="G888" i="3" s="1"/>
  <c r="B887" i="3"/>
  <c r="G887" i="3" s="1"/>
  <c r="B886" i="3"/>
  <c r="G886" i="3" s="1"/>
  <c r="B885" i="3"/>
  <c r="G885" i="3" s="1"/>
  <c r="B884" i="3"/>
  <c r="G884" i="3" s="1"/>
  <c r="B883" i="3"/>
  <c r="G883" i="3" s="1"/>
  <c r="B882" i="3"/>
  <c r="G882" i="3" s="1"/>
  <c r="B881" i="3"/>
  <c r="G881" i="3" s="1"/>
  <c r="B880" i="3"/>
  <c r="G880" i="3" s="1"/>
  <c r="B879" i="3"/>
  <c r="G879" i="3" s="1"/>
  <c r="B878" i="3"/>
  <c r="G878" i="3" s="1"/>
  <c r="B877" i="3"/>
  <c r="G877" i="3" s="1"/>
  <c r="B876" i="3"/>
  <c r="G876" i="3" s="1"/>
  <c r="B875" i="3"/>
  <c r="G875" i="3" s="1"/>
  <c r="B874" i="3"/>
  <c r="G874" i="3" s="1"/>
  <c r="B873" i="3"/>
  <c r="G873" i="3" s="1"/>
  <c r="B872" i="3"/>
  <c r="G872" i="3" s="1"/>
  <c r="B871" i="3"/>
  <c r="G871" i="3" s="1"/>
  <c r="B870" i="3"/>
  <c r="G870" i="3" s="1"/>
  <c r="B869" i="3"/>
  <c r="G869" i="3" s="1"/>
  <c r="B868" i="3"/>
  <c r="G868" i="3" s="1"/>
  <c r="B867" i="3"/>
  <c r="G867" i="3" s="1"/>
  <c r="B866" i="3"/>
  <c r="G866" i="3" s="1"/>
  <c r="B865" i="3"/>
  <c r="G865" i="3" s="1"/>
  <c r="B864" i="3"/>
  <c r="G864" i="3" s="1"/>
  <c r="B863" i="3"/>
  <c r="G863" i="3" s="1"/>
  <c r="B862" i="3"/>
  <c r="G862" i="3" s="1"/>
  <c r="B861" i="3"/>
  <c r="G861" i="3" s="1"/>
  <c r="B860" i="3"/>
  <c r="G860" i="3" s="1"/>
  <c r="B859" i="3"/>
  <c r="G859" i="3" s="1"/>
  <c r="B858" i="3"/>
  <c r="G858" i="3" s="1"/>
  <c r="B857" i="3"/>
  <c r="G857" i="3" s="1"/>
  <c r="B856" i="3"/>
  <c r="G856" i="3" s="1"/>
  <c r="B855" i="3"/>
  <c r="G855" i="3" s="1"/>
  <c r="B854" i="3"/>
  <c r="G854" i="3" s="1"/>
  <c r="B853" i="3"/>
  <c r="G853" i="3" s="1"/>
  <c r="B852" i="3"/>
  <c r="G852" i="3" s="1"/>
  <c r="B851" i="3"/>
  <c r="G851" i="3" s="1"/>
  <c r="B850" i="3"/>
  <c r="G850" i="3" s="1"/>
  <c r="B849" i="3"/>
  <c r="G849" i="3" s="1"/>
  <c r="B848" i="3"/>
  <c r="G848" i="3" s="1"/>
  <c r="B847" i="3"/>
  <c r="G847" i="3" s="1"/>
  <c r="B846" i="3"/>
  <c r="G846" i="3" s="1"/>
  <c r="B845" i="3"/>
  <c r="G845" i="3" s="1"/>
  <c r="B844" i="3"/>
  <c r="G844" i="3" s="1"/>
  <c r="B843" i="3"/>
  <c r="G843" i="3" s="1"/>
  <c r="B842" i="3"/>
  <c r="G842" i="3" s="1"/>
  <c r="B841" i="3"/>
  <c r="G841" i="3" s="1"/>
  <c r="B840" i="3"/>
  <c r="G840" i="3" s="1"/>
  <c r="B839" i="3"/>
  <c r="G839" i="3" s="1"/>
  <c r="B838" i="3"/>
  <c r="G838" i="3" s="1"/>
  <c r="B837" i="3"/>
  <c r="G837" i="3" s="1"/>
  <c r="B836" i="3"/>
  <c r="G836" i="3" s="1"/>
  <c r="B835" i="3"/>
  <c r="G835" i="3" s="1"/>
  <c r="B834" i="3"/>
  <c r="G834" i="3" s="1"/>
  <c r="B833" i="3"/>
  <c r="G833" i="3" s="1"/>
  <c r="B832" i="3"/>
  <c r="G832" i="3" s="1"/>
  <c r="B831" i="3"/>
  <c r="G831" i="3" s="1"/>
  <c r="B830" i="3"/>
  <c r="G830" i="3" s="1"/>
  <c r="B829" i="3"/>
  <c r="G829" i="3" s="1"/>
  <c r="B828" i="3"/>
  <c r="G828" i="3" s="1"/>
  <c r="B827" i="3"/>
  <c r="G827" i="3" s="1"/>
  <c r="B826" i="3"/>
  <c r="G826" i="3" s="1"/>
  <c r="B825" i="3"/>
  <c r="G825" i="3" s="1"/>
  <c r="B824" i="3"/>
  <c r="G824" i="3" s="1"/>
  <c r="B823" i="3"/>
  <c r="G823" i="3" s="1"/>
  <c r="B822" i="3"/>
  <c r="G822" i="3" s="1"/>
  <c r="B821" i="3"/>
  <c r="G821" i="3" s="1"/>
  <c r="B820" i="3"/>
  <c r="G820" i="3" s="1"/>
  <c r="B819" i="3"/>
  <c r="G819" i="3" s="1"/>
  <c r="B818" i="3"/>
  <c r="G818" i="3" s="1"/>
  <c r="B817" i="3"/>
  <c r="G817" i="3" s="1"/>
  <c r="B816" i="3"/>
  <c r="G816" i="3" s="1"/>
  <c r="B815" i="3"/>
  <c r="G815" i="3" s="1"/>
  <c r="B814" i="3"/>
  <c r="G814" i="3" s="1"/>
  <c r="B813" i="3"/>
  <c r="G813" i="3" s="1"/>
  <c r="B812" i="3"/>
  <c r="G812" i="3" s="1"/>
  <c r="B811" i="3"/>
  <c r="G811" i="3" s="1"/>
  <c r="B810" i="3"/>
  <c r="G810" i="3" s="1"/>
  <c r="B809" i="3"/>
  <c r="G809" i="3" s="1"/>
  <c r="G808" i="3"/>
  <c r="B808" i="3"/>
  <c r="B807" i="3"/>
  <c r="G807" i="3" s="1"/>
  <c r="B806" i="3"/>
  <c r="G806" i="3" s="1"/>
  <c r="B805" i="3"/>
  <c r="G805" i="3" s="1"/>
  <c r="B804" i="3"/>
  <c r="G804" i="3" s="1"/>
  <c r="B803" i="3"/>
  <c r="G803" i="3" s="1"/>
  <c r="B802" i="3"/>
  <c r="G802" i="3" s="1"/>
  <c r="B801" i="3"/>
  <c r="G801" i="3" s="1"/>
  <c r="B800" i="3"/>
  <c r="G800" i="3" s="1"/>
  <c r="B799" i="3"/>
  <c r="G799" i="3" s="1"/>
  <c r="B798" i="3"/>
  <c r="G798" i="3" s="1"/>
  <c r="B797" i="3"/>
  <c r="G797" i="3" s="1"/>
  <c r="B796" i="3"/>
  <c r="G796" i="3" s="1"/>
  <c r="B795" i="3"/>
  <c r="G795" i="3" s="1"/>
  <c r="B794" i="3"/>
  <c r="G794" i="3" s="1"/>
  <c r="B793" i="3"/>
  <c r="G793" i="3" s="1"/>
  <c r="B792" i="3"/>
  <c r="G792" i="3" s="1"/>
  <c r="B791" i="3"/>
  <c r="G791" i="3" s="1"/>
  <c r="B790" i="3"/>
  <c r="G790" i="3" s="1"/>
  <c r="B789" i="3"/>
  <c r="G789" i="3" s="1"/>
  <c r="B788" i="3"/>
  <c r="G788" i="3" s="1"/>
  <c r="B787" i="3"/>
  <c r="G787" i="3" s="1"/>
  <c r="B786" i="3"/>
  <c r="G786" i="3" s="1"/>
  <c r="B785" i="3"/>
  <c r="G785" i="3" s="1"/>
  <c r="B784" i="3"/>
  <c r="G784" i="3" s="1"/>
  <c r="B783" i="3"/>
  <c r="G783" i="3" s="1"/>
  <c r="B782" i="3"/>
  <c r="G782" i="3" s="1"/>
  <c r="B781" i="3"/>
  <c r="G781" i="3" s="1"/>
  <c r="B780" i="3"/>
  <c r="G780" i="3" s="1"/>
  <c r="B779" i="3"/>
  <c r="G779" i="3" s="1"/>
  <c r="B778" i="3"/>
  <c r="G778" i="3" s="1"/>
  <c r="B777" i="3"/>
  <c r="G777" i="3" s="1"/>
  <c r="B776" i="3"/>
  <c r="G776" i="3" s="1"/>
  <c r="B775" i="3"/>
  <c r="G775" i="3" s="1"/>
  <c r="B774" i="3"/>
  <c r="G774" i="3" s="1"/>
  <c r="B773" i="3"/>
  <c r="G773" i="3" s="1"/>
  <c r="B772" i="3"/>
  <c r="G772" i="3" s="1"/>
  <c r="B771" i="3"/>
  <c r="G771" i="3" s="1"/>
  <c r="B770" i="3"/>
  <c r="G770" i="3" s="1"/>
  <c r="B769" i="3"/>
  <c r="G769" i="3" s="1"/>
  <c r="B768" i="3"/>
  <c r="G768" i="3" s="1"/>
  <c r="B767" i="3"/>
  <c r="G767" i="3" s="1"/>
  <c r="B766" i="3"/>
  <c r="G766" i="3" s="1"/>
  <c r="B765" i="3"/>
  <c r="G765" i="3" s="1"/>
  <c r="B764" i="3"/>
  <c r="G764" i="3" s="1"/>
  <c r="B763" i="3"/>
  <c r="G763" i="3" s="1"/>
  <c r="B762" i="3"/>
  <c r="G762" i="3" s="1"/>
  <c r="B761" i="3"/>
  <c r="G761" i="3" s="1"/>
  <c r="B760" i="3"/>
  <c r="G760" i="3" s="1"/>
  <c r="B759" i="3"/>
  <c r="G759" i="3" s="1"/>
  <c r="B758" i="3"/>
  <c r="G758" i="3" s="1"/>
  <c r="B757" i="3"/>
  <c r="G757" i="3" s="1"/>
  <c r="B756" i="3"/>
  <c r="G756" i="3" s="1"/>
  <c r="B755" i="3"/>
  <c r="G755" i="3" s="1"/>
  <c r="B754" i="3"/>
  <c r="G754" i="3" s="1"/>
  <c r="B753" i="3"/>
  <c r="G753" i="3" s="1"/>
  <c r="B752" i="3"/>
  <c r="G752" i="3" s="1"/>
  <c r="B751" i="3"/>
  <c r="G751" i="3" s="1"/>
  <c r="B750" i="3"/>
  <c r="G750" i="3" s="1"/>
  <c r="B749" i="3"/>
  <c r="G749" i="3" s="1"/>
  <c r="B748" i="3"/>
  <c r="G748" i="3" s="1"/>
  <c r="B747" i="3"/>
  <c r="G747" i="3" s="1"/>
  <c r="B746" i="3"/>
  <c r="G746" i="3" s="1"/>
  <c r="B745" i="3"/>
  <c r="G745" i="3" s="1"/>
  <c r="B744" i="3"/>
  <c r="G744" i="3" s="1"/>
  <c r="B743" i="3"/>
  <c r="G743" i="3" s="1"/>
  <c r="B742" i="3"/>
  <c r="G742" i="3" s="1"/>
  <c r="B741" i="3"/>
  <c r="G741" i="3" s="1"/>
  <c r="B740" i="3"/>
  <c r="G740" i="3" s="1"/>
  <c r="B739" i="3"/>
  <c r="G739" i="3" s="1"/>
  <c r="B738" i="3"/>
  <c r="G738" i="3" s="1"/>
  <c r="B737" i="3"/>
  <c r="G737" i="3" s="1"/>
  <c r="B736" i="3"/>
  <c r="G736" i="3" s="1"/>
  <c r="B735" i="3"/>
  <c r="G735" i="3" s="1"/>
  <c r="B734" i="3"/>
  <c r="G734" i="3" s="1"/>
  <c r="B733" i="3"/>
  <c r="G733" i="3" s="1"/>
  <c r="B732" i="3"/>
  <c r="G732" i="3" s="1"/>
  <c r="B731" i="3"/>
  <c r="G731" i="3" s="1"/>
  <c r="B730" i="3"/>
  <c r="G730" i="3" s="1"/>
  <c r="B729" i="3"/>
  <c r="G729" i="3" s="1"/>
  <c r="B728" i="3"/>
  <c r="G728" i="3" s="1"/>
  <c r="B727" i="3"/>
  <c r="G727" i="3" s="1"/>
  <c r="B726" i="3"/>
  <c r="G726" i="3" s="1"/>
  <c r="B725" i="3"/>
  <c r="G725" i="3" s="1"/>
  <c r="B724" i="3"/>
  <c r="G724" i="3" s="1"/>
  <c r="B723" i="3"/>
  <c r="G723" i="3" s="1"/>
  <c r="B722" i="3"/>
  <c r="G722" i="3" s="1"/>
  <c r="B721" i="3"/>
  <c r="G721" i="3" s="1"/>
  <c r="B720" i="3"/>
  <c r="G720" i="3" s="1"/>
  <c r="B719" i="3"/>
  <c r="G719" i="3" s="1"/>
  <c r="B718" i="3"/>
  <c r="G718" i="3" s="1"/>
  <c r="B717" i="3"/>
  <c r="G717" i="3" s="1"/>
  <c r="B716" i="3"/>
  <c r="G716" i="3" s="1"/>
  <c r="B715" i="3"/>
  <c r="G715" i="3" s="1"/>
  <c r="B714" i="3"/>
  <c r="G714" i="3" s="1"/>
  <c r="B713" i="3"/>
  <c r="G713" i="3" s="1"/>
  <c r="B712" i="3"/>
  <c r="G712" i="3" s="1"/>
  <c r="B711" i="3"/>
  <c r="G711" i="3" s="1"/>
  <c r="B710" i="3"/>
  <c r="G710" i="3" s="1"/>
  <c r="B709" i="3"/>
  <c r="G709" i="3" s="1"/>
  <c r="B708" i="3"/>
  <c r="G708" i="3" s="1"/>
  <c r="B707" i="3"/>
  <c r="G707" i="3" s="1"/>
  <c r="B706" i="3"/>
  <c r="G706" i="3" s="1"/>
  <c r="B705" i="3"/>
  <c r="G705" i="3" s="1"/>
  <c r="B704" i="3"/>
  <c r="G704" i="3" s="1"/>
  <c r="B703" i="3"/>
  <c r="G703" i="3" s="1"/>
  <c r="B702" i="3"/>
  <c r="G702" i="3" s="1"/>
  <c r="B701" i="3"/>
  <c r="G701" i="3" s="1"/>
  <c r="B700" i="3"/>
  <c r="G700" i="3" s="1"/>
  <c r="B699" i="3"/>
  <c r="G699" i="3" s="1"/>
  <c r="B698" i="3"/>
  <c r="G698" i="3" s="1"/>
  <c r="B697" i="3"/>
  <c r="G697" i="3" s="1"/>
  <c r="B696" i="3"/>
  <c r="G696" i="3" s="1"/>
  <c r="B695" i="3"/>
  <c r="G695" i="3" s="1"/>
  <c r="B694" i="3"/>
  <c r="G694" i="3" s="1"/>
  <c r="B693" i="3"/>
  <c r="G693" i="3" s="1"/>
  <c r="B692" i="3"/>
  <c r="G692" i="3" s="1"/>
  <c r="B691" i="3"/>
  <c r="G691" i="3" s="1"/>
  <c r="B690" i="3"/>
  <c r="G690" i="3" s="1"/>
  <c r="B689" i="3"/>
  <c r="G689" i="3" s="1"/>
  <c r="B688" i="3"/>
  <c r="G688" i="3" s="1"/>
  <c r="B687" i="3"/>
  <c r="G687" i="3" s="1"/>
  <c r="B686" i="3"/>
  <c r="G686" i="3" s="1"/>
  <c r="B685" i="3"/>
  <c r="G685" i="3" s="1"/>
  <c r="B684" i="3"/>
  <c r="G684" i="3" s="1"/>
  <c r="B683" i="3"/>
  <c r="G683" i="3" s="1"/>
  <c r="B682" i="3"/>
  <c r="G682" i="3" s="1"/>
  <c r="B681" i="3"/>
  <c r="G681" i="3" s="1"/>
  <c r="B680" i="3"/>
  <c r="G680" i="3" s="1"/>
  <c r="B679" i="3"/>
  <c r="G679" i="3" s="1"/>
  <c r="B678" i="3"/>
  <c r="G678" i="3" s="1"/>
  <c r="B677" i="3"/>
  <c r="G677" i="3" s="1"/>
  <c r="B676" i="3"/>
  <c r="G676" i="3" s="1"/>
  <c r="B675" i="3"/>
  <c r="G675" i="3" s="1"/>
  <c r="B674" i="3"/>
  <c r="G674" i="3" s="1"/>
  <c r="B673" i="3"/>
  <c r="G673" i="3" s="1"/>
  <c r="B672" i="3"/>
  <c r="G672" i="3" s="1"/>
  <c r="B671" i="3"/>
  <c r="G671" i="3" s="1"/>
  <c r="B670" i="3"/>
  <c r="G670" i="3" s="1"/>
  <c r="B669" i="3"/>
  <c r="G669" i="3" s="1"/>
  <c r="B668" i="3"/>
  <c r="G668" i="3" s="1"/>
  <c r="B667" i="3"/>
  <c r="G667" i="3" s="1"/>
  <c r="B666" i="3"/>
  <c r="G666" i="3" s="1"/>
  <c r="B665" i="3"/>
  <c r="G665" i="3" s="1"/>
  <c r="B664" i="3"/>
  <c r="G664" i="3" s="1"/>
  <c r="B663" i="3"/>
  <c r="G663" i="3" s="1"/>
  <c r="B662" i="3"/>
  <c r="G662" i="3" s="1"/>
  <c r="B661" i="3"/>
  <c r="G661" i="3" s="1"/>
  <c r="B660" i="3"/>
  <c r="G660" i="3" s="1"/>
  <c r="B659" i="3"/>
  <c r="G659" i="3" s="1"/>
  <c r="B658" i="3"/>
  <c r="G658" i="3" s="1"/>
  <c r="B657" i="3"/>
  <c r="G657" i="3" s="1"/>
  <c r="B656" i="3"/>
  <c r="G656" i="3" s="1"/>
  <c r="B655" i="3"/>
  <c r="G655" i="3" s="1"/>
  <c r="B654" i="3"/>
  <c r="G654" i="3" s="1"/>
  <c r="B653" i="3"/>
  <c r="G653" i="3" s="1"/>
  <c r="B652" i="3"/>
  <c r="G652" i="3" s="1"/>
  <c r="B651" i="3"/>
  <c r="G651" i="3" s="1"/>
  <c r="B650" i="3"/>
  <c r="G650" i="3" s="1"/>
  <c r="B649" i="3"/>
  <c r="G649" i="3" s="1"/>
  <c r="B648" i="3"/>
  <c r="G648" i="3" s="1"/>
  <c r="B647" i="3"/>
  <c r="G647" i="3" s="1"/>
  <c r="B646" i="3"/>
  <c r="G646" i="3" s="1"/>
  <c r="B645" i="3"/>
  <c r="G645" i="3" s="1"/>
  <c r="B644" i="3"/>
  <c r="G644" i="3" s="1"/>
  <c r="B643" i="3"/>
  <c r="G643" i="3" s="1"/>
  <c r="B642" i="3"/>
  <c r="G642" i="3" s="1"/>
  <c r="B641" i="3"/>
  <c r="G641" i="3" s="1"/>
  <c r="B640" i="3"/>
  <c r="G640" i="3" s="1"/>
  <c r="B639" i="3"/>
  <c r="G639" i="3" s="1"/>
  <c r="B638" i="3"/>
  <c r="G638" i="3" s="1"/>
  <c r="B637" i="3"/>
  <c r="G637" i="3" s="1"/>
  <c r="B636" i="3"/>
  <c r="G636" i="3" s="1"/>
  <c r="B635" i="3"/>
  <c r="G635" i="3" s="1"/>
  <c r="B634" i="3"/>
  <c r="G634" i="3" s="1"/>
  <c r="B633" i="3"/>
  <c r="G633" i="3" s="1"/>
  <c r="B632" i="3"/>
  <c r="G632" i="3" s="1"/>
  <c r="B631" i="3"/>
  <c r="G631" i="3" s="1"/>
  <c r="B630" i="3"/>
  <c r="G630" i="3" s="1"/>
  <c r="B629" i="3"/>
  <c r="G629" i="3" s="1"/>
  <c r="B628" i="3"/>
  <c r="G628" i="3" s="1"/>
  <c r="B627" i="3"/>
  <c r="G627" i="3" s="1"/>
  <c r="B626" i="3"/>
  <c r="G626" i="3" s="1"/>
  <c r="B625" i="3"/>
  <c r="G625" i="3" s="1"/>
  <c r="B624" i="3"/>
  <c r="G624" i="3" s="1"/>
  <c r="B623" i="3"/>
  <c r="G623" i="3" s="1"/>
  <c r="B622" i="3"/>
  <c r="G622" i="3" s="1"/>
  <c r="B621" i="3"/>
  <c r="G621" i="3" s="1"/>
  <c r="B620" i="3"/>
  <c r="G620" i="3" s="1"/>
  <c r="B619" i="3"/>
  <c r="G619" i="3" s="1"/>
  <c r="B618" i="3"/>
  <c r="G618" i="3" s="1"/>
  <c r="B617" i="3"/>
  <c r="G617" i="3" s="1"/>
  <c r="B616" i="3"/>
  <c r="G616" i="3" s="1"/>
  <c r="B615" i="3"/>
  <c r="G615" i="3" s="1"/>
  <c r="B614" i="3"/>
  <c r="G614" i="3" s="1"/>
  <c r="B613" i="3"/>
  <c r="G613" i="3" s="1"/>
  <c r="B612" i="3"/>
  <c r="G612" i="3" s="1"/>
  <c r="B611" i="3"/>
  <c r="G611" i="3" s="1"/>
  <c r="B610" i="3"/>
  <c r="G610" i="3" s="1"/>
  <c r="B609" i="3"/>
  <c r="G609" i="3" s="1"/>
  <c r="B608" i="3"/>
  <c r="G608" i="3" s="1"/>
  <c r="B607" i="3"/>
  <c r="G607" i="3" s="1"/>
  <c r="B606" i="3"/>
  <c r="G606" i="3" s="1"/>
  <c r="B605" i="3"/>
  <c r="G605" i="3" s="1"/>
  <c r="B604" i="3"/>
  <c r="G604" i="3" s="1"/>
  <c r="B603" i="3"/>
  <c r="G603" i="3" s="1"/>
  <c r="B602" i="3"/>
  <c r="G602" i="3" s="1"/>
  <c r="B601" i="3"/>
  <c r="G601" i="3" s="1"/>
  <c r="B600" i="3"/>
  <c r="G600" i="3" s="1"/>
  <c r="B599" i="3"/>
  <c r="G599" i="3" s="1"/>
  <c r="B598" i="3"/>
  <c r="G598" i="3" s="1"/>
  <c r="B597" i="3"/>
  <c r="G597" i="3" s="1"/>
  <c r="B596" i="3"/>
  <c r="G596" i="3" s="1"/>
  <c r="B595" i="3"/>
  <c r="G595" i="3" s="1"/>
  <c r="B594" i="3"/>
  <c r="G594" i="3" s="1"/>
  <c r="B593" i="3"/>
  <c r="G593" i="3" s="1"/>
  <c r="B592" i="3"/>
  <c r="G592" i="3" s="1"/>
  <c r="B591" i="3"/>
  <c r="G591" i="3" s="1"/>
  <c r="B590" i="3"/>
  <c r="G590" i="3" s="1"/>
  <c r="B589" i="3"/>
  <c r="G589" i="3" s="1"/>
  <c r="B588" i="3"/>
  <c r="G588" i="3" s="1"/>
  <c r="B587" i="3"/>
  <c r="G587" i="3" s="1"/>
  <c r="B586" i="3"/>
  <c r="G586" i="3" s="1"/>
  <c r="B585" i="3"/>
  <c r="G585" i="3" s="1"/>
  <c r="B584" i="3"/>
  <c r="G584" i="3" s="1"/>
  <c r="B583" i="3"/>
  <c r="G583" i="3" s="1"/>
  <c r="B582" i="3"/>
  <c r="G582" i="3" s="1"/>
  <c r="B581" i="3"/>
  <c r="G581" i="3" s="1"/>
  <c r="B580" i="3"/>
  <c r="G580" i="3" s="1"/>
  <c r="B579" i="3"/>
  <c r="G579" i="3" s="1"/>
  <c r="B578" i="3"/>
  <c r="G578" i="3" s="1"/>
  <c r="B577" i="3"/>
  <c r="G577" i="3" s="1"/>
  <c r="B576" i="3"/>
  <c r="G576" i="3" s="1"/>
  <c r="B575" i="3"/>
  <c r="G575" i="3" s="1"/>
  <c r="B574" i="3"/>
  <c r="G574" i="3" s="1"/>
  <c r="B573" i="3"/>
  <c r="G573" i="3" s="1"/>
  <c r="B572" i="3"/>
  <c r="G572" i="3" s="1"/>
  <c r="B571" i="3"/>
  <c r="G571" i="3" s="1"/>
  <c r="B570" i="3"/>
  <c r="G570" i="3" s="1"/>
  <c r="B569" i="3"/>
  <c r="G569" i="3" s="1"/>
  <c r="B568" i="3"/>
  <c r="G568" i="3" s="1"/>
  <c r="B567" i="3"/>
  <c r="G567" i="3" s="1"/>
  <c r="B566" i="3"/>
  <c r="G566" i="3" s="1"/>
  <c r="B565" i="3"/>
  <c r="G565" i="3" s="1"/>
  <c r="B564" i="3"/>
  <c r="G564" i="3" s="1"/>
  <c r="B563" i="3"/>
  <c r="G563" i="3" s="1"/>
  <c r="B562" i="3"/>
  <c r="G562" i="3" s="1"/>
  <c r="B561" i="3"/>
  <c r="G561" i="3" s="1"/>
  <c r="B560" i="3"/>
  <c r="G560" i="3" s="1"/>
  <c r="B559" i="3"/>
  <c r="G559" i="3" s="1"/>
  <c r="B558" i="3"/>
  <c r="G558" i="3" s="1"/>
  <c r="B557" i="3"/>
  <c r="G557" i="3" s="1"/>
  <c r="B556" i="3"/>
  <c r="G556" i="3" s="1"/>
  <c r="B555" i="3"/>
  <c r="G555" i="3" s="1"/>
  <c r="B554" i="3"/>
  <c r="G554" i="3" s="1"/>
  <c r="B553" i="3"/>
  <c r="G553" i="3" s="1"/>
  <c r="B552" i="3"/>
  <c r="G552" i="3" s="1"/>
  <c r="B551" i="3"/>
  <c r="G551" i="3" s="1"/>
  <c r="B550" i="3"/>
  <c r="G550" i="3" s="1"/>
  <c r="B549" i="3"/>
  <c r="G549" i="3" s="1"/>
  <c r="B548" i="3"/>
  <c r="G548" i="3" s="1"/>
  <c r="B547" i="3"/>
  <c r="G547" i="3" s="1"/>
  <c r="B546" i="3"/>
  <c r="G546" i="3" s="1"/>
  <c r="B545" i="3"/>
  <c r="G545" i="3" s="1"/>
  <c r="B544" i="3"/>
  <c r="G544" i="3" s="1"/>
  <c r="B543" i="3"/>
  <c r="G543" i="3" s="1"/>
  <c r="B542" i="3"/>
  <c r="G542" i="3" s="1"/>
  <c r="B541" i="3"/>
  <c r="G541" i="3" s="1"/>
  <c r="B540" i="3"/>
  <c r="G540" i="3" s="1"/>
  <c r="B539" i="3"/>
  <c r="G539" i="3" s="1"/>
  <c r="B538" i="3"/>
  <c r="G538" i="3" s="1"/>
  <c r="B537" i="3"/>
  <c r="G537" i="3" s="1"/>
  <c r="B536" i="3"/>
  <c r="G536" i="3" s="1"/>
  <c r="B535" i="3"/>
  <c r="G535" i="3" s="1"/>
  <c r="B534" i="3"/>
  <c r="G534" i="3" s="1"/>
  <c r="B533" i="3"/>
  <c r="G533" i="3" s="1"/>
  <c r="B532" i="3"/>
  <c r="G532" i="3" s="1"/>
  <c r="B531" i="3"/>
  <c r="G531" i="3" s="1"/>
  <c r="B530" i="3"/>
  <c r="G530" i="3" s="1"/>
  <c r="B529" i="3"/>
  <c r="G529" i="3" s="1"/>
  <c r="B528" i="3"/>
  <c r="G528" i="3" s="1"/>
  <c r="B527" i="3"/>
  <c r="G527" i="3" s="1"/>
  <c r="B526" i="3"/>
  <c r="G526" i="3" s="1"/>
  <c r="B525" i="3"/>
  <c r="G525" i="3" s="1"/>
  <c r="B524" i="3"/>
  <c r="G524" i="3" s="1"/>
  <c r="B523" i="3"/>
  <c r="G523" i="3" s="1"/>
  <c r="B522" i="3"/>
  <c r="G522" i="3" s="1"/>
  <c r="B521" i="3"/>
  <c r="G521" i="3" s="1"/>
  <c r="B520" i="3"/>
  <c r="G520" i="3" s="1"/>
  <c r="B519" i="3"/>
  <c r="G519" i="3" s="1"/>
  <c r="B518" i="3"/>
  <c r="G518" i="3" s="1"/>
  <c r="B517" i="3"/>
  <c r="G517" i="3" s="1"/>
  <c r="B516" i="3"/>
  <c r="G516" i="3" s="1"/>
  <c r="B515" i="3"/>
  <c r="G515" i="3" s="1"/>
  <c r="B514" i="3"/>
  <c r="G514" i="3" s="1"/>
  <c r="B513" i="3"/>
  <c r="G513" i="3" s="1"/>
  <c r="B512" i="3"/>
  <c r="G512" i="3" s="1"/>
  <c r="B511" i="3"/>
  <c r="G511" i="3" s="1"/>
  <c r="B510" i="3"/>
  <c r="G510" i="3" s="1"/>
  <c r="B509" i="3"/>
  <c r="G509" i="3" s="1"/>
  <c r="B508" i="3"/>
  <c r="G508" i="3" s="1"/>
  <c r="B507" i="3"/>
  <c r="G507" i="3" s="1"/>
  <c r="B506" i="3"/>
  <c r="G506" i="3" s="1"/>
  <c r="B505" i="3"/>
  <c r="G505" i="3" s="1"/>
  <c r="B504" i="3"/>
  <c r="G504" i="3" s="1"/>
  <c r="B503" i="3"/>
  <c r="G503" i="3" s="1"/>
  <c r="B502" i="3"/>
  <c r="G502" i="3" s="1"/>
  <c r="B501" i="3"/>
  <c r="G501" i="3" s="1"/>
  <c r="B500" i="3"/>
  <c r="G500" i="3" s="1"/>
  <c r="B499" i="3"/>
  <c r="G499" i="3" s="1"/>
  <c r="B498" i="3"/>
  <c r="G498" i="3" s="1"/>
  <c r="B497" i="3"/>
  <c r="G497" i="3" s="1"/>
  <c r="B496" i="3"/>
  <c r="G496" i="3" s="1"/>
  <c r="B495" i="3"/>
  <c r="G495" i="3" s="1"/>
  <c r="B494" i="3"/>
  <c r="G494" i="3" s="1"/>
  <c r="B493" i="3"/>
  <c r="G493" i="3" s="1"/>
  <c r="B492" i="3"/>
  <c r="G492" i="3" s="1"/>
  <c r="B491" i="3"/>
  <c r="G491" i="3" s="1"/>
  <c r="B490" i="3"/>
  <c r="G490" i="3" s="1"/>
  <c r="B489" i="3"/>
  <c r="G489" i="3" s="1"/>
  <c r="B488" i="3"/>
  <c r="G488" i="3" s="1"/>
  <c r="B487" i="3"/>
  <c r="G487" i="3" s="1"/>
  <c r="B486" i="3"/>
  <c r="G486" i="3" s="1"/>
  <c r="B485" i="3"/>
  <c r="G485" i="3" s="1"/>
  <c r="B484" i="3"/>
  <c r="G484" i="3" s="1"/>
  <c r="B483" i="3"/>
  <c r="G483" i="3" s="1"/>
  <c r="B482" i="3"/>
  <c r="G482" i="3" s="1"/>
  <c r="B481" i="3"/>
  <c r="G481" i="3" s="1"/>
  <c r="B480" i="3"/>
  <c r="G480" i="3" s="1"/>
  <c r="B479" i="3"/>
  <c r="G479" i="3" s="1"/>
  <c r="B478" i="3"/>
  <c r="G478" i="3" s="1"/>
  <c r="B477" i="3"/>
  <c r="G477" i="3" s="1"/>
  <c r="B476" i="3"/>
  <c r="G476" i="3" s="1"/>
  <c r="B475" i="3"/>
  <c r="G475" i="3" s="1"/>
  <c r="B474" i="3"/>
  <c r="G474" i="3" s="1"/>
  <c r="B473" i="3"/>
  <c r="G473" i="3" s="1"/>
  <c r="B472" i="3"/>
  <c r="G472" i="3" s="1"/>
  <c r="B471" i="3"/>
  <c r="G471" i="3" s="1"/>
  <c r="B470" i="3"/>
  <c r="G470" i="3" s="1"/>
  <c r="B469" i="3"/>
  <c r="G469" i="3" s="1"/>
  <c r="B468" i="3"/>
  <c r="G468" i="3" s="1"/>
  <c r="B467" i="3"/>
  <c r="G467" i="3" s="1"/>
  <c r="B466" i="3"/>
  <c r="G466" i="3" s="1"/>
  <c r="B465" i="3"/>
  <c r="G465" i="3" s="1"/>
  <c r="B464" i="3"/>
  <c r="G464" i="3" s="1"/>
  <c r="B463" i="3"/>
  <c r="G463" i="3" s="1"/>
  <c r="B462" i="3"/>
  <c r="G462" i="3" s="1"/>
  <c r="B461" i="3"/>
  <c r="G461" i="3" s="1"/>
  <c r="B460" i="3"/>
  <c r="G460" i="3" s="1"/>
  <c r="B459" i="3"/>
  <c r="G459" i="3" s="1"/>
  <c r="B458" i="3"/>
  <c r="G458" i="3" s="1"/>
  <c r="B457" i="3"/>
  <c r="G457" i="3" s="1"/>
  <c r="B456" i="3"/>
  <c r="G456" i="3" s="1"/>
  <c r="B455" i="3"/>
  <c r="G455" i="3" s="1"/>
  <c r="B454" i="3"/>
  <c r="G454" i="3" s="1"/>
  <c r="B453" i="3"/>
  <c r="G453" i="3" s="1"/>
  <c r="B452" i="3"/>
  <c r="G452" i="3" s="1"/>
  <c r="B451" i="3"/>
  <c r="G451" i="3" s="1"/>
  <c r="B450" i="3"/>
  <c r="G450" i="3" s="1"/>
  <c r="B449" i="3"/>
  <c r="G449" i="3" s="1"/>
  <c r="B448" i="3"/>
  <c r="G448" i="3" s="1"/>
  <c r="B447" i="3"/>
  <c r="G447" i="3" s="1"/>
  <c r="B446" i="3"/>
  <c r="G446" i="3" s="1"/>
  <c r="B445" i="3"/>
  <c r="G445" i="3" s="1"/>
  <c r="B444" i="3"/>
  <c r="G444" i="3" s="1"/>
  <c r="B443" i="3"/>
  <c r="G443" i="3" s="1"/>
  <c r="B442" i="3"/>
  <c r="G442" i="3" s="1"/>
  <c r="B441" i="3"/>
  <c r="G441" i="3" s="1"/>
  <c r="B440" i="3"/>
  <c r="G440" i="3" s="1"/>
  <c r="B439" i="3"/>
  <c r="G439" i="3" s="1"/>
  <c r="B438" i="3"/>
  <c r="G438" i="3" s="1"/>
  <c r="B437" i="3"/>
  <c r="G437" i="3" s="1"/>
  <c r="B436" i="3"/>
  <c r="G436" i="3" s="1"/>
  <c r="B435" i="3"/>
  <c r="G435" i="3" s="1"/>
  <c r="B434" i="3"/>
  <c r="G434" i="3" s="1"/>
  <c r="B433" i="3"/>
  <c r="G433" i="3" s="1"/>
  <c r="B432" i="3"/>
  <c r="G432" i="3" s="1"/>
  <c r="B431" i="3"/>
  <c r="G431" i="3" s="1"/>
  <c r="B430" i="3"/>
  <c r="G430" i="3" s="1"/>
  <c r="B429" i="3"/>
  <c r="G429" i="3" s="1"/>
  <c r="B428" i="3"/>
  <c r="G428" i="3" s="1"/>
  <c r="B427" i="3"/>
  <c r="G427" i="3" s="1"/>
  <c r="B426" i="3"/>
  <c r="G426" i="3" s="1"/>
  <c r="B425" i="3"/>
  <c r="G425" i="3" s="1"/>
  <c r="B424" i="3"/>
  <c r="G424" i="3" s="1"/>
  <c r="B423" i="3"/>
  <c r="G423" i="3" s="1"/>
  <c r="B422" i="3"/>
  <c r="G422" i="3" s="1"/>
  <c r="B421" i="3"/>
  <c r="G421" i="3" s="1"/>
  <c r="B420" i="3"/>
  <c r="G420" i="3" s="1"/>
  <c r="B419" i="3"/>
  <c r="G419" i="3" s="1"/>
  <c r="B418" i="3"/>
  <c r="G418" i="3" s="1"/>
  <c r="B417" i="3"/>
  <c r="G417" i="3" s="1"/>
  <c r="B416" i="3"/>
  <c r="G416" i="3" s="1"/>
  <c r="B415" i="3"/>
  <c r="G415" i="3" s="1"/>
  <c r="B414" i="3"/>
  <c r="G414" i="3" s="1"/>
  <c r="B413" i="3"/>
  <c r="G413" i="3" s="1"/>
  <c r="B412" i="3"/>
  <c r="G412" i="3" s="1"/>
  <c r="B411" i="3"/>
  <c r="G411" i="3" s="1"/>
  <c r="B410" i="3"/>
  <c r="G410" i="3" s="1"/>
  <c r="B409" i="3"/>
  <c r="G409" i="3" s="1"/>
  <c r="B408" i="3"/>
  <c r="G408" i="3" s="1"/>
  <c r="B407" i="3"/>
  <c r="G407" i="3" s="1"/>
  <c r="B406" i="3"/>
  <c r="G406" i="3" s="1"/>
  <c r="B405" i="3"/>
  <c r="G405" i="3" s="1"/>
  <c r="B404" i="3"/>
  <c r="G404" i="3" s="1"/>
  <c r="B403" i="3"/>
  <c r="G403" i="3" s="1"/>
  <c r="B402" i="3"/>
  <c r="G402" i="3" s="1"/>
  <c r="B401" i="3"/>
  <c r="G401" i="3" s="1"/>
  <c r="B400" i="3"/>
  <c r="G400" i="3" s="1"/>
  <c r="B399" i="3"/>
  <c r="G399" i="3" s="1"/>
  <c r="B398" i="3"/>
  <c r="G398" i="3" s="1"/>
  <c r="B397" i="3"/>
  <c r="G397" i="3" s="1"/>
  <c r="B396" i="3"/>
  <c r="G396" i="3" s="1"/>
  <c r="B395" i="3"/>
  <c r="G395" i="3" s="1"/>
  <c r="B394" i="3"/>
  <c r="G394" i="3" s="1"/>
  <c r="B393" i="3"/>
  <c r="G393" i="3" s="1"/>
  <c r="B392" i="3"/>
  <c r="G392" i="3" s="1"/>
  <c r="B391" i="3"/>
  <c r="G391" i="3" s="1"/>
  <c r="B390" i="3"/>
  <c r="G390" i="3" s="1"/>
  <c r="B389" i="3"/>
  <c r="G389" i="3" s="1"/>
  <c r="B388" i="3"/>
  <c r="G388" i="3" s="1"/>
  <c r="B387" i="3"/>
  <c r="G387" i="3" s="1"/>
  <c r="B386" i="3"/>
  <c r="G386" i="3" s="1"/>
  <c r="B385" i="3"/>
  <c r="G385" i="3" s="1"/>
  <c r="B384" i="3"/>
  <c r="G384" i="3" s="1"/>
  <c r="B383" i="3"/>
  <c r="G383" i="3" s="1"/>
  <c r="B382" i="3"/>
  <c r="G382" i="3" s="1"/>
  <c r="B381" i="3"/>
  <c r="G381" i="3" s="1"/>
  <c r="B380" i="3"/>
  <c r="G380" i="3" s="1"/>
  <c r="B379" i="3"/>
  <c r="G379" i="3" s="1"/>
  <c r="B378" i="3"/>
  <c r="G378" i="3" s="1"/>
  <c r="B377" i="3"/>
  <c r="G377" i="3" s="1"/>
  <c r="B376" i="3"/>
  <c r="G376" i="3" s="1"/>
  <c r="B375" i="3"/>
  <c r="G375" i="3" s="1"/>
  <c r="B374" i="3"/>
  <c r="G374" i="3" s="1"/>
  <c r="B373" i="3"/>
  <c r="G373" i="3" s="1"/>
  <c r="B372" i="3"/>
  <c r="G372" i="3" s="1"/>
  <c r="B371" i="3"/>
  <c r="G371" i="3" s="1"/>
  <c r="B370" i="3"/>
  <c r="G370" i="3" s="1"/>
  <c r="B369" i="3"/>
  <c r="G369" i="3" s="1"/>
  <c r="B368" i="3"/>
  <c r="G368" i="3" s="1"/>
  <c r="B367" i="3"/>
  <c r="G367" i="3" s="1"/>
  <c r="B366" i="3"/>
  <c r="G366" i="3" s="1"/>
  <c r="B365" i="3"/>
  <c r="G365" i="3" s="1"/>
  <c r="B364" i="3"/>
  <c r="G364" i="3" s="1"/>
  <c r="B363" i="3"/>
  <c r="G363" i="3" s="1"/>
  <c r="B362" i="3"/>
  <c r="G362" i="3" s="1"/>
  <c r="B361" i="3"/>
  <c r="G361" i="3" s="1"/>
  <c r="B360" i="3"/>
  <c r="G360" i="3" s="1"/>
  <c r="B359" i="3"/>
  <c r="G359" i="3" s="1"/>
  <c r="B358" i="3"/>
  <c r="G358" i="3" s="1"/>
  <c r="B357" i="3"/>
  <c r="G357" i="3" s="1"/>
  <c r="B356" i="3"/>
  <c r="G356" i="3" s="1"/>
  <c r="B355" i="3"/>
  <c r="G355" i="3" s="1"/>
  <c r="B354" i="3"/>
  <c r="G354" i="3" s="1"/>
  <c r="B353" i="3"/>
  <c r="G353" i="3" s="1"/>
  <c r="B352" i="3"/>
  <c r="G352" i="3" s="1"/>
  <c r="B351" i="3"/>
  <c r="G351" i="3" s="1"/>
  <c r="B350" i="3"/>
  <c r="G350" i="3" s="1"/>
  <c r="B349" i="3"/>
  <c r="G349" i="3" s="1"/>
  <c r="B348" i="3"/>
  <c r="G348" i="3" s="1"/>
  <c r="B347" i="3"/>
  <c r="G347" i="3" s="1"/>
  <c r="B346" i="3"/>
  <c r="G346" i="3" s="1"/>
  <c r="B345" i="3"/>
  <c r="G345" i="3" s="1"/>
  <c r="B344" i="3"/>
  <c r="G344" i="3" s="1"/>
  <c r="B343" i="3"/>
  <c r="G343" i="3" s="1"/>
  <c r="B342" i="3"/>
  <c r="G342" i="3" s="1"/>
  <c r="B341" i="3"/>
  <c r="G341" i="3" s="1"/>
  <c r="B340" i="3"/>
  <c r="G340" i="3" s="1"/>
  <c r="B339" i="3"/>
  <c r="G339" i="3" s="1"/>
  <c r="B338" i="3"/>
  <c r="G338" i="3" s="1"/>
  <c r="B337" i="3"/>
  <c r="G337" i="3" s="1"/>
  <c r="B336" i="3"/>
  <c r="G336" i="3" s="1"/>
  <c r="B335" i="3"/>
  <c r="G335" i="3" s="1"/>
  <c r="B334" i="3"/>
  <c r="G334" i="3" s="1"/>
  <c r="B333" i="3"/>
  <c r="G333" i="3" s="1"/>
  <c r="B332" i="3"/>
  <c r="G332" i="3" s="1"/>
  <c r="B331" i="3"/>
  <c r="G331" i="3" s="1"/>
  <c r="B330" i="3"/>
  <c r="G330" i="3" s="1"/>
  <c r="B329" i="3"/>
  <c r="G329" i="3" s="1"/>
  <c r="B328" i="3"/>
  <c r="G328" i="3" s="1"/>
  <c r="B327" i="3"/>
  <c r="G327" i="3" s="1"/>
  <c r="B326" i="3"/>
  <c r="G326" i="3" s="1"/>
  <c r="B325" i="3"/>
  <c r="G325" i="3" s="1"/>
  <c r="B324" i="3"/>
  <c r="G324" i="3" s="1"/>
  <c r="B323" i="3"/>
  <c r="G323" i="3" s="1"/>
  <c r="B322" i="3"/>
  <c r="G322" i="3" s="1"/>
  <c r="B321" i="3"/>
  <c r="G321" i="3" s="1"/>
  <c r="B320" i="3"/>
  <c r="G320" i="3" s="1"/>
  <c r="B319" i="3"/>
  <c r="G319" i="3" s="1"/>
  <c r="B318" i="3"/>
  <c r="G318" i="3" s="1"/>
  <c r="B317" i="3"/>
  <c r="G317" i="3" s="1"/>
  <c r="B316" i="3"/>
  <c r="G316" i="3" s="1"/>
  <c r="B315" i="3"/>
  <c r="G315" i="3" s="1"/>
  <c r="B314" i="3"/>
  <c r="G314" i="3" s="1"/>
  <c r="B313" i="3"/>
  <c r="G313" i="3" s="1"/>
  <c r="B312" i="3"/>
  <c r="G312" i="3" s="1"/>
  <c r="B311" i="3"/>
  <c r="G311" i="3" s="1"/>
  <c r="B310" i="3"/>
  <c r="G310" i="3" s="1"/>
  <c r="B309" i="3"/>
  <c r="G309" i="3" s="1"/>
  <c r="B308" i="3"/>
  <c r="G308" i="3" s="1"/>
  <c r="B307" i="3"/>
  <c r="G307" i="3" s="1"/>
  <c r="B306" i="3"/>
  <c r="G306" i="3" s="1"/>
  <c r="B305" i="3"/>
  <c r="G305" i="3" s="1"/>
  <c r="B304" i="3"/>
  <c r="G304" i="3" s="1"/>
  <c r="B303" i="3"/>
  <c r="G303" i="3" s="1"/>
  <c r="B302" i="3"/>
  <c r="G302" i="3" s="1"/>
  <c r="B301" i="3"/>
  <c r="G301" i="3" s="1"/>
  <c r="B300" i="3"/>
  <c r="G300" i="3" s="1"/>
  <c r="B299" i="3"/>
  <c r="G299" i="3" s="1"/>
  <c r="B298" i="3"/>
  <c r="G298" i="3" s="1"/>
  <c r="B297" i="3"/>
  <c r="G297" i="3" s="1"/>
  <c r="B296" i="3"/>
  <c r="G296" i="3" s="1"/>
  <c r="B295" i="3"/>
  <c r="G295" i="3" s="1"/>
  <c r="B294" i="3"/>
  <c r="G294" i="3" s="1"/>
  <c r="B293" i="3"/>
  <c r="G293" i="3" s="1"/>
  <c r="B292" i="3"/>
  <c r="G292" i="3" s="1"/>
  <c r="B291" i="3"/>
  <c r="G291" i="3" s="1"/>
  <c r="B290" i="3"/>
  <c r="G290" i="3" s="1"/>
  <c r="B289" i="3"/>
  <c r="G289" i="3" s="1"/>
  <c r="B288" i="3"/>
  <c r="G288" i="3" s="1"/>
  <c r="B287" i="3"/>
  <c r="G287" i="3" s="1"/>
  <c r="B286" i="3"/>
  <c r="G286" i="3" s="1"/>
  <c r="B285" i="3"/>
  <c r="G285" i="3" s="1"/>
  <c r="B284" i="3"/>
  <c r="G284" i="3" s="1"/>
  <c r="B283" i="3"/>
  <c r="G283" i="3" s="1"/>
  <c r="B282" i="3"/>
  <c r="G282" i="3" s="1"/>
  <c r="B281" i="3"/>
  <c r="G281" i="3" s="1"/>
  <c r="B280" i="3"/>
  <c r="G280" i="3" s="1"/>
  <c r="B279" i="3"/>
  <c r="G279" i="3" s="1"/>
  <c r="B278" i="3"/>
  <c r="G278" i="3" s="1"/>
  <c r="B277" i="3"/>
  <c r="G277" i="3" s="1"/>
  <c r="B276" i="3"/>
  <c r="G276" i="3" s="1"/>
  <c r="B275" i="3"/>
  <c r="G275" i="3" s="1"/>
  <c r="B274" i="3"/>
  <c r="G274" i="3" s="1"/>
  <c r="B273" i="3"/>
  <c r="G273" i="3" s="1"/>
  <c r="B272" i="3"/>
  <c r="G272" i="3" s="1"/>
  <c r="B271" i="3"/>
  <c r="G271" i="3" s="1"/>
  <c r="B270" i="3"/>
  <c r="G270" i="3" s="1"/>
  <c r="B269" i="3"/>
  <c r="G269" i="3" s="1"/>
  <c r="B268" i="3"/>
  <c r="G268" i="3" s="1"/>
  <c r="B267" i="3"/>
  <c r="G267" i="3" s="1"/>
  <c r="B266" i="3"/>
  <c r="G266" i="3" s="1"/>
  <c r="B265" i="3"/>
  <c r="G265" i="3" s="1"/>
  <c r="B264" i="3"/>
  <c r="G264" i="3" s="1"/>
  <c r="B263" i="3"/>
  <c r="G263" i="3" s="1"/>
  <c r="B262" i="3"/>
  <c r="G262" i="3" s="1"/>
  <c r="B261" i="3"/>
  <c r="G261" i="3" s="1"/>
  <c r="B260" i="3"/>
  <c r="G260" i="3" s="1"/>
  <c r="B259" i="3"/>
  <c r="G259" i="3" s="1"/>
  <c r="B258" i="3"/>
  <c r="G258" i="3" s="1"/>
  <c r="B257" i="3"/>
  <c r="G257" i="3" s="1"/>
  <c r="B256" i="3"/>
  <c r="G256" i="3" s="1"/>
  <c r="B255" i="3"/>
  <c r="G255" i="3" s="1"/>
  <c r="B254" i="3"/>
  <c r="G254" i="3" s="1"/>
  <c r="B253" i="3"/>
  <c r="G253" i="3" s="1"/>
  <c r="B252" i="3"/>
  <c r="G252" i="3" s="1"/>
  <c r="B251" i="3"/>
  <c r="G251" i="3" s="1"/>
  <c r="B250" i="3"/>
  <c r="G250" i="3" s="1"/>
  <c r="B249" i="3"/>
  <c r="G249" i="3" s="1"/>
  <c r="B248" i="3"/>
  <c r="G248" i="3" s="1"/>
  <c r="B247" i="3"/>
  <c r="G247" i="3" s="1"/>
  <c r="B246" i="3"/>
  <c r="G246" i="3" s="1"/>
  <c r="B245" i="3"/>
  <c r="G245" i="3" s="1"/>
  <c r="B244" i="3"/>
  <c r="G244" i="3" s="1"/>
  <c r="B243" i="3"/>
  <c r="G243" i="3" s="1"/>
  <c r="B242" i="3"/>
  <c r="G242" i="3" s="1"/>
  <c r="B241" i="3"/>
  <c r="G241" i="3" s="1"/>
  <c r="B240" i="3"/>
  <c r="G240" i="3" s="1"/>
  <c r="B239" i="3"/>
  <c r="G239" i="3" s="1"/>
  <c r="B238" i="3"/>
  <c r="G238" i="3" s="1"/>
  <c r="B237" i="3"/>
  <c r="G237" i="3" s="1"/>
  <c r="B236" i="3"/>
  <c r="G236" i="3" s="1"/>
  <c r="B235" i="3"/>
  <c r="G235" i="3" s="1"/>
  <c r="B234" i="3"/>
  <c r="G234" i="3" s="1"/>
  <c r="B233" i="3"/>
  <c r="G233" i="3" s="1"/>
  <c r="B232" i="3"/>
  <c r="G232" i="3" s="1"/>
  <c r="B231" i="3"/>
  <c r="G231" i="3" s="1"/>
  <c r="B230" i="3"/>
  <c r="G230" i="3" s="1"/>
  <c r="B229" i="3"/>
  <c r="G229" i="3" s="1"/>
  <c r="B228" i="3"/>
  <c r="G228" i="3" s="1"/>
  <c r="B227" i="3"/>
  <c r="G227" i="3" s="1"/>
  <c r="B226" i="3"/>
  <c r="G226" i="3" s="1"/>
  <c r="B225" i="3"/>
  <c r="G225" i="3" s="1"/>
  <c r="B224" i="3"/>
  <c r="G224" i="3" s="1"/>
  <c r="B223" i="3"/>
  <c r="G223" i="3" s="1"/>
  <c r="B222" i="3"/>
  <c r="G222" i="3" s="1"/>
  <c r="B221" i="3"/>
  <c r="G221" i="3" s="1"/>
  <c r="B220" i="3"/>
  <c r="G220" i="3" s="1"/>
  <c r="B219" i="3"/>
  <c r="G219" i="3" s="1"/>
  <c r="B218" i="3"/>
  <c r="G218" i="3" s="1"/>
  <c r="B217" i="3"/>
  <c r="G217" i="3" s="1"/>
  <c r="B216" i="3"/>
  <c r="G216" i="3" s="1"/>
  <c r="B215" i="3"/>
  <c r="G215" i="3" s="1"/>
  <c r="B214" i="3"/>
  <c r="G214" i="3" s="1"/>
  <c r="B213" i="3"/>
  <c r="G213" i="3" s="1"/>
  <c r="B212" i="3"/>
  <c r="G212" i="3" s="1"/>
  <c r="B211" i="3"/>
  <c r="G211" i="3" s="1"/>
  <c r="B210" i="3"/>
  <c r="G210" i="3" s="1"/>
  <c r="B209" i="3"/>
  <c r="G209" i="3" s="1"/>
  <c r="B208" i="3"/>
  <c r="G208" i="3" s="1"/>
  <c r="B207" i="3"/>
  <c r="G207" i="3" s="1"/>
  <c r="B206" i="3"/>
  <c r="G206" i="3" s="1"/>
  <c r="B205" i="3"/>
  <c r="G205" i="3" s="1"/>
  <c r="B204" i="3"/>
  <c r="G204" i="3" s="1"/>
  <c r="B203" i="3"/>
  <c r="G203" i="3" s="1"/>
  <c r="B202" i="3"/>
  <c r="G202" i="3" s="1"/>
  <c r="B201" i="3"/>
  <c r="G201" i="3" s="1"/>
  <c r="B200" i="3"/>
  <c r="G200" i="3" s="1"/>
  <c r="B199" i="3"/>
  <c r="G199" i="3" s="1"/>
  <c r="B198" i="3"/>
  <c r="G198" i="3" s="1"/>
  <c r="B197" i="3"/>
  <c r="G197" i="3" s="1"/>
  <c r="B196" i="3"/>
  <c r="G196" i="3" s="1"/>
  <c r="B195" i="3"/>
  <c r="G195" i="3" s="1"/>
  <c r="B194" i="3"/>
  <c r="G194" i="3" s="1"/>
  <c r="B193" i="3"/>
  <c r="G193" i="3" s="1"/>
  <c r="B192" i="3"/>
  <c r="G192" i="3" s="1"/>
  <c r="B191" i="3"/>
  <c r="G191" i="3" s="1"/>
  <c r="B190" i="3"/>
  <c r="G190" i="3" s="1"/>
  <c r="B189" i="3"/>
  <c r="G189" i="3" s="1"/>
  <c r="B188" i="3"/>
  <c r="G188" i="3" s="1"/>
  <c r="B187" i="3"/>
  <c r="G187" i="3" s="1"/>
  <c r="B186" i="3"/>
  <c r="G186" i="3" s="1"/>
  <c r="B185" i="3"/>
  <c r="G185" i="3" s="1"/>
  <c r="B184" i="3"/>
  <c r="G184" i="3" s="1"/>
  <c r="B183" i="3"/>
  <c r="G183" i="3" s="1"/>
  <c r="B182" i="3"/>
  <c r="G182" i="3" s="1"/>
  <c r="B181" i="3"/>
  <c r="G181" i="3" s="1"/>
  <c r="B180" i="3"/>
  <c r="G180" i="3" s="1"/>
  <c r="B179" i="3"/>
  <c r="G179" i="3" s="1"/>
  <c r="B178" i="3"/>
  <c r="G178" i="3" s="1"/>
  <c r="B177" i="3"/>
  <c r="G177" i="3" s="1"/>
  <c r="B176" i="3"/>
  <c r="G176" i="3" s="1"/>
  <c r="B175" i="3"/>
  <c r="G175" i="3" s="1"/>
  <c r="B174" i="3"/>
  <c r="G174" i="3" s="1"/>
  <c r="B173" i="3"/>
  <c r="G173" i="3" s="1"/>
  <c r="B172" i="3"/>
  <c r="G172" i="3" s="1"/>
  <c r="B171" i="3"/>
  <c r="G171" i="3" s="1"/>
  <c r="B170" i="3"/>
  <c r="G170" i="3" s="1"/>
  <c r="B169" i="3"/>
  <c r="G169" i="3" s="1"/>
  <c r="B168" i="3"/>
  <c r="G168" i="3" s="1"/>
  <c r="B167" i="3"/>
  <c r="G167" i="3" s="1"/>
  <c r="B166" i="3"/>
  <c r="G166" i="3" s="1"/>
  <c r="B165" i="3"/>
  <c r="G165" i="3" s="1"/>
  <c r="B164" i="3"/>
  <c r="G164" i="3" s="1"/>
  <c r="B163" i="3"/>
  <c r="G163" i="3" s="1"/>
  <c r="B162" i="3"/>
  <c r="G162" i="3" s="1"/>
  <c r="B161" i="3"/>
  <c r="G161" i="3" s="1"/>
  <c r="B160" i="3"/>
  <c r="G160" i="3" s="1"/>
  <c r="B159" i="3"/>
  <c r="G159" i="3" s="1"/>
  <c r="B158" i="3"/>
  <c r="G158" i="3" s="1"/>
  <c r="B157" i="3"/>
  <c r="G157" i="3" s="1"/>
  <c r="B156" i="3"/>
  <c r="G156" i="3" s="1"/>
  <c r="B155" i="3"/>
  <c r="G155" i="3" s="1"/>
  <c r="B154" i="3"/>
  <c r="G154" i="3" s="1"/>
  <c r="B153" i="3"/>
  <c r="G153" i="3" s="1"/>
  <c r="B152" i="3"/>
  <c r="G152" i="3" s="1"/>
  <c r="B151" i="3"/>
  <c r="G151" i="3" s="1"/>
  <c r="B150" i="3"/>
  <c r="G150" i="3" s="1"/>
  <c r="B149" i="3"/>
  <c r="G149" i="3" s="1"/>
  <c r="B148" i="3"/>
  <c r="G148" i="3" s="1"/>
  <c r="B147" i="3"/>
  <c r="G147" i="3" s="1"/>
  <c r="B146" i="3"/>
  <c r="G146" i="3" s="1"/>
  <c r="B145" i="3"/>
  <c r="G145" i="3" s="1"/>
  <c r="B144" i="3"/>
  <c r="G144" i="3" s="1"/>
  <c r="B143" i="3"/>
  <c r="G143" i="3" s="1"/>
  <c r="B142" i="3"/>
  <c r="G142" i="3" s="1"/>
  <c r="B141" i="3"/>
  <c r="G141" i="3" s="1"/>
  <c r="B140" i="3"/>
  <c r="G140" i="3" s="1"/>
  <c r="B139" i="3"/>
  <c r="G139" i="3" s="1"/>
  <c r="B138" i="3"/>
  <c r="G138" i="3" s="1"/>
  <c r="B137" i="3"/>
  <c r="G137" i="3" s="1"/>
  <c r="B136" i="3"/>
  <c r="G136" i="3" s="1"/>
  <c r="B135" i="3"/>
  <c r="G135" i="3" s="1"/>
  <c r="B134" i="3"/>
  <c r="G134" i="3" s="1"/>
  <c r="B133" i="3"/>
  <c r="G133" i="3" s="1"/>
  <c r="B132" i="3"/>
  <c r="G132" i="3" s="1"/>
  <c r="B131" i="3"/>
  <c r="G131" i="3" s="1"/>
  <c r="B130" i="3"/>
  <c r="G130" i="3" s="1"/>
  <c r="B129" i="3"/>
  <c r="G129" i="3" s="1"/>
  <c r="B128" i="3"/>
  <c r="G128" i="3" s="1"/>
  <c r="B127" i="3"/>
  <c r="G127" i="3" s="1"/>
  <c r="B126" i="3"/>
  <c r="G126" i="3" s="1"/>
  <c r="B125" i="3"/>
  <c r="G125" i="3" s="1"/>
  <c r="B124" i="3"/>
  <c r="G124" i="3" s="1"/>
  <c r="B123" i="3"/>
  <c r="G123" i="3" s="1"/>
  <c r="B122" i="3"/>
  <c r="G122" i="3" s="1"/>
  <c r="B121" i="3"/>
  <c r="G121" i="3" s="1"/>
  <c r="B120" i="3"/>
  <c r="G120" i="3" s="1"/>
  <c r="B119" i="3"/>
  <c r="G119" i="3" s="1"/>
  <c r="B118" i="3"/>
  <c r="G118" i="3" s="1"/>
  <c r="B117" i="3"/>
  <c r="G117" i="3" s="1"/>
  <c r="B116" i="3"/>
  <c r="G116" i="3" s="1"/>
  <c r="B115" i="3"/>
  <c r="G115" i="3" s="1"/>
  <c r="B114" i="3"/>
  <c r="G114" i="3" s="1"/>
  <c r="B113" i="3"/>
  <c r="G113" i="3" s="1"/>
  <c r="B112" i="3"/>
  <c r="G112" i="3" s="1"/>
  <c r="B111" i="3"/>
  <c r="G111" i="3" s="1"/>
  <c r="B110" i="3"/>
  <c r="G110" i="3" s="1"/>
  <c r="B109" i="3"/>
  <c r="G109" i="3" s="1"/>
  <c r="B108" i="3"/>
  <c r="G108" i="3" s="1"/>
  <c r="B107" i="3"/>
  <c r="G107" i="3" s="1"/>
  <c r="B106" i="3"/>
  <c r="G106" i="3" s="1"/>
  <c r="B105" i="3"/>
  <c r="G105" i="3" s="1"/>
  <c r="B104" i="3"/>
  <c r="G104" i="3" s="1"/>
  <c r="B103" i="3"/>
  <c r="G103" i="3" s="1"/>
  <c r="B102" i="3"/>
  <c r="G102" i="3" s="1"/>
  <c r="B101" i="3"/>
  <c r="G101" i="3" s="1"/>
  <c r="B100" i="3"/>
  <c r="G100" i="3" s="1"/>
  <c r="B99" i="3"/>
  <c r="G99" i="3" s="1"/>
  <c r="B98" i="3"/>
  <c r="G98" i="3" s="1"/>
  <c r="B97" i="3"/>
  <c r="G97" i="3" s="1"/>
  <c r="B96" i="3"/>
  <c r="G96" i="3" s="1"/>
  <c r="B95" i="3"/>
  <c r="G95" i="3" s="1"/>
  <c r="B94" i="3"/>
  <c r="G94" i="3" s="1"/>
  <c r="B93" i="3"/>
  <c r="G93" i="3" s="1"/>
  <c r="B92" i="3"/>
  <c r="G92" i="3" s="1"/>
  <c r="B91" i="3"/>
  <c r="G91" i="3" s="1"/>
  <c r="B90" i="3"/>
  <c r="G90" i="3" s="1"/>
  <c r="B89" i="3"/>
  <c r="G89" i="3" s="1"/>
  <c r="B88" i="3"/>
  <c r="G88" i="3" s="1"/>
  <c r="B87" i="3"/>
  <c r="G87" i="3" s="1"/>
  <c r="B86" i="3"/>
  <c r="G86" i="3" s="1"/>
  <c r="B85" i="3"/>
  <c r="G85" i="3" s="1"/>
  <c r="B84" i="3"/>
  <c r="G84" i="3" s="1"/>
  <c r="B83" i="3"/>
  <c r="G83" i="3" s="1"/>
  <c r="B82" i="3"/>
  <c r="G82" i="3" s="1"/>
  <c r="B81" i="3"/>
  <c r="G81" i="3" s="1"/>
  <c r="B80" i="3"/>
  <c r="G80" i="3" s="1"/>
  <c r="B79" i="3"/>
  <c r="G79" i="3" s="1"/>
  <c r="B78" i="3"/>
  <c r="G78" i="3" s="1"/>
  <c r="B77" i="3"/>
  <c r="G77" i="3" s="1"/>
  <c r="B76" i="3"/>
  <c r="G76" i="3" s="1"/>
  <c r="B75" i="3"/>
  <c r="G75" i="3" s="1"/>
  <c r="B74" i="3"/>
  <c r="G74" i="3" s="1"/>
  <c r="B73" i="3"/>
  <c r="G73" i="3" s="1"/>
  <c r="B72" i="3"/>
  <c r="G72" i="3" s="1"/>
  <c r="B71" i="3"/>
  <c r="G71" i="3" s="1"/>
  <c r="B70" i="3"/>
  <c r="G70" i="3" s="1"/>
  <c r="B69" i="3"/>
  <c r="G69" i="3" s="1"/>
  <c r="B68" i="3"/>
  <c r="G68" i="3" s="1"/>
  <c r="B67" i="3"/>
  <c r="G67" i="3" s="1"/>
  <c r="B66" i="3"/>
  <c r="G66" i="3" s="1"/>
  <c r="B65" i="3"/>
  <c r="G65" i="3" s="1"/>
  <c r="B64" i="3"/>
  <c r="G64" i="3" s="1"/>
  <c r="B63" i="3"/>
  <c r="G63" i="3" s="1"/>
  <c r="B62" i="3"/>
  <c r="G62" i="3" s="1"/>
  <c r="B61" i="3"/>
  <c r="G61" i="3" s="1"/>
  <c r="B60" i="3"/>
  <c r="G60" i="3" s="1"/>
  <c r="B59" i="3"/>
  <c r="G59" i="3" s="1"/>
  <c r="B58" i="3"/>
  <c r="G58" i="3" s="1"/>
  <c r="B57" i="3"/>
  <c r="G57" i="3" s="1"/>
  <c r="B56" i="3"/>
  <c r="G56" i="3" s="1"/>
  <c r="B55" i="3"/>
  <c r="G55" i="3" s="1"/>
  <c r="B54" i="3"/>
  <c r="G54" i="3" s="1"/>
  <c r="B53" i="3"/>
  <c r="G53" i="3" s="1"/>
  <c r="B52" i="3"/>
  <c r="G52" i="3" s="1"/>
  <c r="B51" i="3"/>
  <c r="G51" i="3" s="1"/>
  <c r="B50" i="3"/>
  <c r="G50" i="3" s="1"/>
  <c r="B49" i="3"/>
  <c r="G49" i="3" s="1"/>
  <c r="B48" i="3"/>
  <c r="G48" i="3" s="1"/>
  <c r="B47" i="3"/>
  <c r="G47" i="3" s="1"/>
  <c r="B46" i="3"/>
  <c r="G46" i="3" s="1"/>
  <c r="B45" i="3"/>
  <c r="G45" i="3" s="1"/>
  <c r="B44" i="3"/>
  <c r="G44" i="3" s="1"/>
  <c r="B43" i="3"/>
  <c r="G43" i="3" s="1"/>
  <c r="B42" i="3"/>
  <c r="G42" i="3" s="1"/>
  <c r="B41" i="3"/>
  <c r="G41" i="3" s="1"/>
  <c r="B40" i="3"/>
  <c r="G40" i="3" s="1"/>
  <c r="B39" i="3"/>
  <c r="G39" i="3" s="1"/>
  <c r="B38" i="3"/>
  <c r="G38" i="3" s="1"/>
  <c r="B37" i="3"/>
  <c r="G37" i="3" s="1"/>
  <c r="B36" i="3"/>
  <c r="G36" i="3" s="1"/>
  <c r="B35" i="3"/>
  <c r="G35" i="3" s="1"/>
  <c r="B34" i="3"/>
  <c r="G34" i="3" s="1"/>
  <c r="B33" i="3"/>
  <c r="G33" i="3" s="1"/>
  <c r="B32" i="3"/>
  <c r="G32" i="3" s="1"/>
  <c r="B31" i="3"/>
  <c r="G31" i="3" s="1"/>
  <c r="B30" i="3"/>
  <c r="G30" i="3" s="1"/>
  <c r="B29" i="3"/>
  <c r="G29" i="3" s="1"/>
  <c r="B28" i="3"/>
  <c r="G28" i="3" s="1"/>
  <c r="B27" i="3"/>
  <c r="G27" i="3" s="1"/>
  <c r="B26" i="3"/>
  <c r="G26" i="3" s="1"/>
  <c r="B25" i="3"/>
  <c r="G25" i="3" s="1"/>
  <c r="B24" i="3"/>
  <c r="G24" i="3" s="1"/>
  <c r="B23" i="3"/>
  <c r="G23" i="3" s="1"/>
  <c r="B22" i="3"/>
  <c r="G22" i="3" s="1"/>
  <c r="B21" i="3"/>
  <c r="G21" i="3" s="1"/>
  <c r="B20" i="3"/>
  <c r="G20" i="3" s="1"/>
  <c r="B19" i="3"/>
  <c r="G19" i="3" s="1"/>
  <c r="B18" i="3"/>
  <c r="G18" i="3" s="1"/>
  <c r="B17" i="3"/>
  <c r="G17" i="3" s="1"/>
  <c r="B16" i="3"/>
  <c r="G16" i="3" s="1"/>
  <c r="B15" i="3"/>
  <c r="G15" i="3" s="1"/>
  <c r="B14" i="3"/>
  <c r="G14" i="3" s="1"/>
  <c r="B13" i="3"/>
  <c r="G13" i="3" s="1"/>
  <c r="B12" i="3"/>
  <c r="G12" i="3" s="1"/>
  <c r="B11" i="3"/>
  <c r="G11" i="3" s="1"/>
  <c r="B10" i="3"/>
  <c r="G10" i="3" s="1"/>
  <c r="E9" i="3"/>
  <c r="E10" i="3" s="1"/>
  <c r="D9" i="3"/>
  <c r="B9" i="3"/>
  <c r="G9" i="3" s="1"/>
  <c r="F8" i="3"/>
  <c r="B8" i="3"/>
  <c r="G8" i="3" s="1"/>
  <c r="B13" i="2"/>
  <c r="D15" i="6" l="1"/>
  <c r="E15" i="6"/>
  <c r="E14" i="6"/>
  <c r="D14" i="6"/>
  <c r="E13" i="6"/>
  <c r="D13" i="6"/>
  <c r="B13" i="4"/>
  <c r="B6" i="4"/>
  <c r="B8" i="4" s="1"/>
  <c r="B5" i="4"/>
  <c r="B7" i="4" s="1"/>
  <c r="B9" i="4" s="1"/>
  <c r="D7" i="5" s="1"/>
  <c r="I10" i="3"/>
  <c r="F9" i="3"/>
  <c r="D10" i="3"/>
  <c r="H9" i="3"/>
  <c r="I9" i="3"/>
  <c r="J9" i="3"/>
  <c r="J8" i="3"/>
  <c r="H8" i="3"/>
  <c r="I8" i="3"/>
  <c r="C2975" i="3"/>
  <c r="C1845" i="3"/>
  <c r="C1790" i="3"/>
  <c r="C1788" i="3"/>
  <c r="C1791" i="3"/>
  <c r="C1787" i="3"/>
  <c r="C1792" i="3"/>
  <c r="C1786" i="3"/>
  <c r="C1793" i="3"/>
  <c r="C1785" i="3"/>
  <c r="C1794" i="3"/>
  <c r="C1784" i="3"/>
  <c r="C1795" i="3"/>
  <c r="C1783" i="3"/>
  <c r="C1796" i="3"/>
  <c r="C1782" i="3"/>
  <c r="C1797" i="3"/>
  <c r="C1781" i="3"/>
  <c r="C1798" i="3"/>
  <c r="C1780" i="3"/>
  <c r="C1799" i="3"/>
  <c r="C1779" i="3"/>
  <c r="C1800" i="3"/>
  <c r="C1778" i="3"/>
  <c r="C1801" i="3"/>
  <c r="C1777" i="3"/>
  <c r="C1802" i="3"/>
  <c r="C1776" i="3"/>
  <c r="C1803" i="3"/>
  <c r="C1775" i="3"/>
  <c r="C1804" i="3"/>
  <c r="C1774" i="3"/>
  <c r="C1805" i="3"/>
  <c r="C1773" i="3"/>
  <c r="C1806" i="3"/>
  <c r="C1772" i="3"/>
  <c r="C1807" i="3"/>
  <c r="C1771" i="3"/>
  <c r="C1808" i="3"/>
  <c r="C1770" i="3"/>
  <c r="C1809" i="3"/>
  <c r="C1769" i="3"/>
  <c r="C1810" i="3"/>
  <c r="C1768" i="3"/>
  <c r="C1811" i="3"/>
  <c r="C1767" i="3"/>
  <c r="C1812" i="3"/>
  <c r="C1766" i="3"/>
  <c r="C1813" i="3"/>
  <c r="C1765" i="3"/>
  <c r="C1814" i="3"/>
  <c r="C1764" i="3"/>
  <c r="C1815" i="3"/>
  <c r="C1763" i="3"/>
  <c r="C1816" i="3"/>
  <c r="C1762" i="3"/>
  <c r="C1817" i="3"/>
  <c r="C1761" i="3"/>
  <c r="C1818" i="3"/>
  <c r="C1760" i="3"/>
  <c r="C1819" i="3"/>
  <c r="C1759" i="3"/>
  <c r="C1820" i="3"/>
  <c r="C1758" i="3"/>
  <c r="C1821" i="3"/>
  <c r="C1757" i="3"/>
  <c r="C1822" i="3"/>
  <c r="C1756" i="3"/>
  <c r="C1823" i="3"/>
  <c r="C1755" i="3"/>
  <c r="C1824" i="3"/>
  <c r="C1754" i="3"/>
  <c r="C1825" i="3"/>
  <c r="C1753" i="3"/>
  <c r="C1826" i="3"/>
  <c r="C1752" i="3"/>
  <c r="C1827" i="3"/>
  <c r="C1751" i="3"/>
  <c r="C1828" i="3"/>
  <c r="C1750" i="3"/>
  <c r="C1829" i="3"/>
  <c r="C1749" i="3"/>
  <c r="C1830" i="3"/>
  <c r="C1748" i="3"/>
  <c r="C1831" i="3"/>
  <c r="C1747" i="3"/>
  <c r="C1832" i="3"/>
  <c r="C1746" i="3"/>
  <c r="C1833" i="3"/>
  <c r="C1745" i="3"/>
  <c r="C1834" i="3"/>
  <c r="C1744" i="3"/>
  <c r="C1835" i="3"/>
  <c r="C1743" i="3"/>
  <c r="C1836" i="3"/>
  <c r="C1742" i="3"/>
  <c r="C1837" i="3"/>
  <c r="C1741" i="3"/>
  <c r="C1838" i="3"/>
  <c r="C1740" i="3"/>
  <c r="C1839" i="3"/>
  <c r="C1739" i="3"/>
  <c r="C1840" i="3"/>
  <c r="C1738" i="3"/>
  <c r="C1841" i="3"/>
  <c r="C1737" i="3"/>
  <c r="C1842" i="3"/>
  <c r="C1736" i="3"/>
  <c r="C1843" i="3"/>
  <c r="C1735" i="3"/>
  <c r="C1844" i="3"/>
  <c r="C1734" i="3"/>
  <c r="C3861" i="3"/>
  <c r="C1733" i="3"/>
  <c r="C3860" i="3"/>
  <c r="C1732" i="3"/>
  <c r="C1846" i="3"/>
  <c r="C1731" i="3"/>
  <c r="C1847" i="3"/>
  <c r="C1730" i="3"/>
  <c r="C1848" i="3"/>
  <c r="C1729" i="3"/>
  <c r="C1849" i="3"/>
  <c r="C1728" i="3"/>
  <c r="C1850" i="3"/>
  <c r="C1727" i="3"/>
  <c r="C1851" i="3"/>
  <c r="C1726" i="3"/>
  <c r="C1852" i="3"/>
  <c r="C1725" i="3"/>
  <c r="C1853" i="3"/>
  <c r="C1724" i="3"/>
  <c r="C1854" i="3"/>
  <c r="C1723" i="3"/>
  <c r="C1855" i="3"/>
  <c r="C1722" i="3"/>
  <c r="C1856" i="3"/>
  <c r="C1721" i="3"/>
  <c r="C1857" i="3"/>
  <c r="C1720" i="3"/>
  <c r="C1858" i="3"/>
  <c r="C1719" i="3"/>
  <c r="C1859" i="3"/>
  <c r="C1718" i="3"/>
  <c r="C1860" i="3"/>
  <c r="C1717" i="3"/>
  <c r="C1861" i="3"/>
  <c r="C1716" i="3"/>
  <c r="C1862" i="3"/>
  <c r="C1715" i="3"/>
  <c r="C1863" i="3"/>
  <c r="C1714" i="3"/>
  <c r="C1864" i="3"/>
  <c r="C1713" i="3"/>
  <c r="C1865" i="3"/>
  <c r="C1712" i="3"/>
  <c r="C1866" i="3"/>
  <c r="C1711" i="3"/>
  <c r="C1867" i="3"/>
  <c r="C1710" i="3"/>
  <c r="C1868" i="3"/>
  <c r="C1709" i="3"/>
  <c r="C1869" i="3"/>
  <c r="C1708" i="3"/>
  <c r="C1870" i="3"/>
  <c r="C1707" i="3"/>
  <c r="C1871" i="3"/>
  <c r="C1706" i="3"/>
  <c r="C1872" i="3"/>
  <c r="C1705" i="3"/>
  <c r="C1873" i="3"/>
  <c r="C1704" i="3"/>
  <c r="C1874" i="3"/>
  <c r="C1703" i="3"/>
  <c r="C1875" i="3"/>
  <c r="C1702" i="3"/>
  <c r="C1876" i="3"/>
  <c r="C1701" i="3"/>
  <c r="C1877" i="3"/>
  <c r="C1700" i="3"/>
  <c r="C1878" i="3"/>
  <c r="C1699" i="3"/>
  <c r="C1879" i="3"/>
  <c r="C1698" i="3"/>
  <c r="C1880" i="3"/>
  <c r="C1697" i="3"/>
  <c r="C1881" i="3"/>
  <c r="C1696" i="3"/>
  <c r="C1882" i="3"/>
  <c r="C1695" i="3"/>
  <c r="C1883" i="3"/>
  <c r="C1694" i="3"/>
  <c r="C1884" i="3"/>
  <c r="C1693" i="3"/>
  <c r="C1885" i="3"/>
  <c r="C1692" i="3"/>
  <c r="C1886" i="3"/>
  <c r="C1691" i="3"/>
  <c r="C1887" i="3"/>
  <c r="C1690" i="3"/>
  <c r="C1888" i="3"/>
  <c r="C1689" i="3"/>
  <c r="C1889" i="3"/>
  <c r="C1688" i="3"/>
  <c r="C1890" i="3"/>
  <c r="C1687" i="3"/>
  <c r="C1891" i="3"/>
  <c r="C1686" i="3"/>
  <c r="C1892" i="3"/>
  <c r="C1685" i="3"/>
  <c r="C1893" i="3"/>
  <c r="C1684" i="3"/>
  <c r="C1894" i="3"/>
  <c r="C1683" i="3"/>
  <c r="C1895" i="3"/>
  <c r="C1682" i="3"/>
  <c r="C1896" i="3"/>
  <c r="C1681" i="3"/>
  <c r="C1897" i="3"/>
  <c r="C1680" i="3"/>
  <c r="C1898" i="3"/>
  <c r="C1679" i="3"/>
  <c r="C1899" i="3"/>
  <c r="C1678" i="3"/>
  <c r="C1900" i="3"/>
  <c r="C1677" i="3"/>
  <c r="C1901" i="3"/>
  <c r="C1676" i="3"/>
  <c r="C1902" i="3"/>
  <c r="C1675" i="3"/>
  <c r="C1903" i="3"/>
  <c r="C1674" i="3"/>
  <c r="C1904" i="3"/>
  <c r="C1673" i="3"/>
  <c r="C1905" i="3"/>
  <c r="C1672" i="3"/>
  <c r="C1906" i="3"/>
  <c r="C1671" i="3"/>
  <c r="C1907" i="3"/>
  <c r="C1670" i="3"/>
  <c r="C1908" i="3"/>
  <c r="C1669" i="3"/>
  <c r="C1909" i="3"/>
  <c r="C1668" i="3"/>
  <c r="C1910" i="3"/>
  <c r="C1667" i="3"/>
  <c r="C1911" i="3"/>
  <c r="C1666" i="3"/>
  <c r="C1912" i="3"/>
  <c r="C1665" i="3"/>
  <c r="C1913" i="3"/>
  <c r="C1664" i="3"/>
  <c r="C1914" i="3"/>
  <c r="C1663" i="3"/>
  <c r="C1915" i="3"/>
  <c r="C1662" i="3"/>
  <c r="C1916" i="3"/>
  <c r="C1661" i="3"/>
  <c r="C1917" i="3"/>
  <c r="C1660" i="3"/>
  <c r="C1918" i="3"/>
  <c r="C1659" i="3"/>
  <c r="C1919" i="3"/>
  <c r="C1658" i="3"/>
  <c r="C1920" i="3"/>
  <c r="C1657" i="3"/>
  <c r="C1921" i="3"/>
  <c r="C1656" i="3"/>
  <c r="C1922" i="3"/>
  <c r="C1655" i="3"/>
  <c r="C1923" i="3"/>
  <c r="C1654" i="3"/>
  <c r="C1924" i="3"/>
  <c r="C1653" i="3"/>
  <c r="C1925" i="3"/>
  <c r="C1652" i="3"/>
  <c r="C1926" i="3"/>
  <c r="C1651" i="3"/>
  <c r="C1927" i="3"/>
  <c r="C1650" i="3"/>
  <c r="C1928" i="3"/>
  <c r="C1649" i="3"/>
  <c r="C1929" i="3"/>
  <c r="C1648" i="3"/>
  <c r="C1930" i="3"/>
  <c r="C1647" i="3"/>
  <c r="C1931" i="3"/>
  <c r="C1646" i="3"/>
  <c r="C1932" i="3"/>
  <c r="C1645" i="3"/>
  <c r="C1933" i="3"/>
  <c r="C1644" i="3"/>
  <c r="C1934" i="3"/>
  <c r="C1643" i="3"/>
  <c r="C1935" i="3"/>
  <c r="C1642" i="3"/>
  <c r="C1936" i="3"/>
  <c r="C1641" i="3"/>
  <c r="C1937" i="3"/>
  <c r="C1640" i="3"/>
  <c r="C1938" i="3"/>
  <c r="C1639" i="3"/>
  <c r="C1939" i="3"/>
  <c r="C1638" i="3"/>
  <c r="C1940" i="3"/>
  <c r="C1637" i="3"/>
  <c r="C1941" i="3"/>
  <c r="C1636" i="3"/>
  <c r="C1942" i="3"/>
  <c r="C1635" i="3"/>
  <c r="C1943" i="3"/>
  <c r="C1634" i="3"/>
  <c r="C1944" i="3"/>
  <c r="C1633" i="3"/>
  <c r="C1945" i="3"/>
  <c r="C1632" i="3"/>
  <c r="C1946" i="3"/>
  <c r="C1631" i="3"/>
  <c r="C1947" i="3"/>
  <c r="C1630" i="3"/>
  <c r="C1948" i="3"/>
  <c r="C1629" i="3"/>
  <c r="C1949" i="3"/>
  <c r="C1628" i="3"/>
  <c r="C1950" i="3"/>
  <c r="C1627" i="3"/>
  <c r="C1951" i="3"/>
  <c r="C1626" i="3"/>
  <c r="C1952" i="3"/>
  <c r="C1625" i="3"/>
  <c r="C1953" i="3"/>
  <c r="C1624" i="3"/>
  <c r="C1954" i="3"/>
  <c r="C1623" i="3"/>
  <c r="C1955" i="3"/>
  <c r="C1622" i="3"/>
  <c r="C1956" i="3"/>
  <c r="C1621" i="3"/>
  <c r="C1957" i="3"/>
  <c r="C1620" i="3"/>
  <c r="C1958" i="3"/>
  <c r="C1619" i="3"/>
  <c r="C1959" i="3"/>
  <c r="C1618" i="3"/>
  <c r="C1960" i="3"/>
  <c r="C1617" i="3"/>
  <c r="C1961" i="3"/>
  <c r="C1616" i="3"/>
  <c r="C1962" i="3"/>
  <c r="C1615" i="3"/>
  <c r="C1963" i="3"/>
  <c r="C1614" i="3"/>
  <c r="C1964" i="3"/>
  <c r="C1613" i="3"/>
  <c r="C1965" i="3"/>
  <c r="C1612" i="3"/>
  <c r="C1966" i="3"/>
  <c r="C1611" i="3"/>
  <c r="C1967" i="3"/>
  <c r="C1610" i="3"/>
  <c r="C3862" i="3"/>
  <c r="C3081" i="3"/>
  <c r="C3072" i="3"/>
  <c r="C3068" i="3"/>
  <c r="C3863" i="3"/>
  <c r="C3864" i="3"/>
  <c r="C3865" i="3"/>
  <c r="C3053" i="3"/>
  <c r="C3049" i="3"/>
  <c r="C3866" i="3"/>
  <c r="C3041" i="3"/>
  <c r="C3867" i="3"/>
  <c r="C3868" i="3"/>
  <c r="C3869" i="3"/>
  <c r="C3870" i="3"/>
  <c r="C3871" i="3"/>
  <c r="C3872" i="3"/>
  <c r="C3873" i="3"/>
  <c r="C3874" i="3"/>
  <c r="C3875" i="3"/>
  <c r="C3876" i="3"/>
  <c r="C3877" i="3"/>
  <c r="C1968" i="3"/>
  <c r="C1969" i="3"/>
  <c r="C1970" i="3"/>
  <c r="C1609" i="3"/>
  <c r="C1971" i="3"/>
  <c r="C1608" i="3"/>
  <c r="C1972" i="3"/>
  <c r="C1607" i="3"/>
  <c r="C1973" i="3"/>
  <c r="C1606" i="3"/>
  <c r="C1974" i="3"/>
  <c r="C1605" i="3"/>
  <c r="C1975" i="3"/>
  <c r="C1604" i="3"/>
  <c r="C1976" i="3"/>
  <c r="C1603" i="3"/>
  <c r="C1977" i="3"/>
  <c r="C1602" i="3"/>
  <c r="C1978" i="3"/>
  <c r="C1601" i="3"/>
  <c r="C1979" i="3"/>
  <c r="C1600" i="3"/>
  <c r="C1980" i="3"/>
  <c r="C1599" i="3"/>
  <c r="C1981" i="3"/>
  <c r="C1598" i="3"/>
  <c r="C1982" i="3"/>
  <c r="C1597" i="3"/>
  <c r="C1983" i="3"/>
  <c r="C1596" i="3"/>
  <c r="C1984" i="3"/>
  <c r="C1595" i="3"/>
  <c r="C1985" i="3"/>
  <c r="C1594" i="3"/>
  <c r="C1986" i="3"/>
  <c r="C1593" i="3"/>
  <c r="C1987" i="3"/>
  <c r="C1592" i="3"/>
  <c r="C1988" i="3"/>
  <c r="C1591" i="3"/>
  <c r="C1989" i="3"/>
  <c r="C1590" i="3"/>
  <c r="C1990" i="3"/>
  <c r="C1589" i="3"/>
  <c r="C1991" i="3"/>
  <c r="C1588" i="3"/>
  <c r="C1992" i="3"/>
  <c r="C1587" i="3"/>
  <c r="C1993" i="3"/>
  <c r="C1586" i="3"/>
  <c r="C1994" i="3"/>
  <c r="C1585" i="3"/>
  <c r="C1995" i="3"/>
  <c r="C1584" i="3"/>
  <c r="C1996" i="3"/>
  <c r="C1583" i="3"/>
  <c r="C1997" i="3"/>
  <c r="C1582" i="3"/>
  <c r="C1998" i="3"/>
  <c r="C1581" i="3"/>
  <c r="C1999" i="3"/>
  <c r="C1580" i="3"/>
  <c r="C2000" i="3"/>
  <c r="C1579" i="3"/>
  <c r="C2001" i="3"/>
  <c r="C1578" i="3"/>
  <c r="C2002" i="3"/>
  <c r="C1577" i="3"/>
  <c r="C2003" i="3"/>
  <c r="C1576" i="3"/>
  <c r="C2004" i="3"/>
  <c r="C1575" i="3"/>
  <c r="C2005" i="3"/>
  <c r="C1574" i="3"/>
  <c r="C2006" i="3"/>
  <c r="C1573" i="3"/>
  <c r="C2007" i="3"/>
  <c r="C1572" i="3"/>
  <c r="C2008" i="3"/>
  <c r="C1571" i="3"/>
  <c r="C2009" i="3"/>
  <c r="C1570" i="3"/>
  <c r="C2010" i="3"/>
  <c r="C1569" i="3"/>
  <c r="C3859" i="3"/>
  <c r="C1568" i="3"/>
  <c r="C3858" i="3"/>
  <c r="C1567" i="3"/>
  <c r="C3857" i="3"/>
  <c r="C1566" i="3"/>
  <c r="C3856" i="3"/>
  <c r="C1565" i="3"/>
  <c r="C3855" i="3"/>
  <c r="C1564" i="3"/>
  <c r="C3854" i="3"/>
  <c r="C1563" i="3"/>
  <c r="C3853" i="3"/>
  <c r="C1562" i="3"/>
  <c r="C3852" i="3"/>
  <c r="C1561" i="3"/>
  <c r="C3011" i="3"/>
  <c r="C1560" i="3"/>
  <c r="C3046" i="3"/>
  <c r="C1559" i="3"/>
  <c r="C3851" i="3"/>
  <c r="C2980" i="3"/>
  <c r="C3850" i="3"/>
  <c r="C2989" i="3"/>
  <c r="C2011" i="3"/>
  <c r="C1556" i="3"/>
  <c r="C2012" i="3"/>
  <c r="C1555" i="3"/>
  <c r="C2013" i="3"/>
  <c r="C1554" i="3"/>
  <c r="C2014" i="3"/>
  <c r="C1553" i="3"/>
  <c r="C2015" i="3"/>
  <c r="C1552" i="3"/>
  <c r="C2016" i="3"/>
  <c r="C1551" i="3"/>
  <c r="C2017" i="3"/>
  <c r="C1550" i="3"/>
  <c r="C2018" i="3"/>
  <c r="C1549" i="3"/>
  <c r="C2019" i="3"/>
  <c r="C1548" i="3"/>
  <c r="C2020" i="3"/>
  <c r="C1547" i="3"/>
  <c r="C2021" i="3"/>
  <c r="C1546" i="3"/>
  <c r="C2022" i="3"/>
  <c r="C1545" i="3"/>
  <c r="C2023" i="3"/>
  <c r="C1544" i="3"/>
  <c r="C2024" i="3"/>
  <c r="C1543" i="3"/>
  <c r="C2025" i="3"/>
  <c r="C1542" i="3"/>
  <c r="C2026" i="3"/>
  <c r="C1541" i="3"/>
  <c r="C2027" i="3"/>
  <c r="C1540" i="3"/>
  <c r="C2028" i="3"/>
  <c r="C1539" i="3"/>
  <c r="C2029" i="3"/>
  <c r="C1538" i="3"/>
  <c r="C2030" i="3"/>
  <c r="C1537" i="3"/>
  <c r="C2031" i="3"/>
  <c r="C1536" i="3"/>
  <c r="C2032" i="3"/>
  <c r="C1535" i="3"/>
  <c r="C2033" i="3"/>
  <c r="C1534" i="3"/>
  <c r="C2034" i="3"/>
  <c r="C1533" i="3"/>
  <c r="C2035" i="3"/>
  <c r="C1532" i="3"/>
  <c r="C2036" i="3"/>
  <c r="C1531" i="3"/>
  <c r="C2037" i="3"/>
  <c r="C1530" i="3"/>
  <c r="C2038" i="3"/>
  <c r="C1529" i="3"/>
  <c r="C2039" i="3"/>
  <c r="C1528" i="3"/>
  <c r="C2040" i="3"/>
  <c r="C1527" i="3"/>
  <c r="C2041" i="3"/>
  <c r="C1526" i="3"/>
  <c r="C2042" i="3"/>
  <c r="C1525" i="3"/>
  <c r="C2043" i="3"/>
  <c r="C1524" i="3"/>
  <c r="C2044" i="3"/>
  <c r="C1523" i="3"/>
  <c r="C2045" i="3"/>
  <c r="C1522" i="3"/>
  <c r="C2046" i="3"/>
  <c r="C1521" i="3"/>
  <c r="C2047" i="3"/>
  <c r="C1520" i="3"/>
  <c r="C2048" i="3"/>
  <c r="C1519" i="3"/>
  <c r="C2049" i="3"/>
  <c r="C1518" i="3"/>
  <c r="C2050" i="3"/>
  <c r="C1517" i="3"/>
  <c r="C2051" i="3"/>
  <c r="C1516" i="3"/>
  <c r="C2052" i="3"/>
  <c r="C1515" i="3"/>
  <c r="C2053" i="3"/>
  <c r="C1514" i="3"/>
  <c r="C2054" i="3"/>
  <c r="C1513" i="3"/>
  <c r="C2055" i="3"/>
  <c r="C1512" i="3"/>
  <c r="C2056" i="3"/>
  <c r="C1511" i="3"/>
  <c r="C2057" i="3"/>
  <c r="C1510" i="3"/>
  <c r="C2058" i="3"/>
  <c r="C1509" i="3"/>
  <c r="C2059" i="3"/>
  <c r="C1508" i="3"/>
  <c r="C2060" i="3"/>
  <c r="C1507" i="3"/>
  <c r="C2061" i="3"/>
  <c r="C1506" i="3"/>
  <c r="C2062" i="3"/>
  <c r="C1505" i="3"/>
  <c r="C2063" i="3"/>
  <c r="C1504" i="3"/>
  <c r="C2064" i="3"/>
  <c r="C1503" i="3"/>
  <c r="C2065" i="3"/>
  <c r="C1502" i="3"/>
  <c r="C2066" i="3"/>
  <c r="C1501" i="3"/>
  <c r="C2067" i="3"/>
  <c r="C1500" i="3"/>
  <c r="C2068" i="3"/>
  <c r="C1499" i="3"/>
  <c r="C2069" i="3"/>
  <c r="C1498" i="3"/>
  <c r="C2070" i="3"/>
  <c r="C1497" i="3"/>
  <c r="C2071" i="3"/>
  <c r="C1496" i="3"/>
  <c r="C2072" i="3"/>
  <c r="C1495" i="3"/>
  <c r="C2073" i="3"/>
  <c r="C1494" i="3"/>
  <c r="C2074" i="3"/>
  <c r="C1493" i="3"/>
  <c r="C2075" i="3"/>
  <c r="C1492" i="3"/>
  <c r="C2076" i="3"/>
  <c r="C1491" i="3"/>
  <c r="C2077" i="3"/>
  <c r="C1490" i="3"/>
  <c r="C2078" i="3"/>
  <c r="C1489" i="3"/>
  <c r="C2079" i="3"/>
  <c r="C1488" i="3"/>
  <c r="C2080" i="3"/>
  <c r="C1487" i="3"/>
  <c r="C2081" i="3"/>
  <c r="C1486" i="3"/>
  <c r="C2082" i="3"/>
  <c r="C1485" i="3"/>
  <c r="C2083" i="3"/>
  <c r="C1484" i="3"/>
  <c r="C2084" i="3"/>
  <c r="C1483" i="3"/>
  <c r="C2085" i="3"/>
  <c r="C1482" i="3"/>
  <c r="C2086" i="3"/>
  <c r="C1481" i="3"/>
  <c r="C2087" i="3"/>
  <c r="C1480" i="3"/>
  <c r="C2088" i="3"/>
  <c r="C1479" i="3"/>
  <c r="C2089" i="3"/>
  <c r="C1478" i="3"/>
  <c r="C2090" i="3"/>
  <c r="C1477" i="3"/>
  <c r="C2091" i="3"/>
  <c r="C1476" i="3"/>
  <c r="C2092" i="3"/>
  <c r="C1475" i="3"/>
  <c r="C2093" i="3"/>
  <c r="C1474" i="3"/>
  <c r="C2094" i="3"/>
  <c r="C1473" i="3"/>
  <c r="C2095" i="3"/>
  <c r="C1472" i="3"/>
  <c r="C2096" i="3"/>
  <c r="C1471" i="3"/>
  <c r="C2097" i="3"/>
  <c r="C1470" i="3"/>
  <c r="C2098" i="3"/>
  <c r="C1469" i="3"/>
  <c r="C2099" i="3"/>
  <c r="C1468" i="3"/>
  <c r="C2100" i="3"/>
  <c r="C1467" i="3"/>
  <c r="C2101" i="3"/>
  <c r="C1466" i="3"/>
  <c r="C2102" i="3"/>
  <c r="C1465" i="3"/>
  <c r="C2103" i="3"/>
  <c r="C1464" i="3"/>
  <c r="C2104" i="3"/>
  <c r="C1463" i="3"/>
  <c r="C2105" i="3"/>
  <c r="C1462" i="3"/>
  <c r="C2106" i="3"/>
  <c r="C1461" i="3"/>
  <c r="C2107" i="3"/>
  <c r="C1460" i="3"/>
  <c r="C2108" i="3"/>
  <c r="C1459" i="3"/>
  <c r="C2109" i="3"/>
  <c r="C1458" i="3"/>
  <c r="C2110" i="3"/>
  <c r="C1457" i="3"/>
  <c r="C2111" i="3"/>
  <c r="C1456" i="3"/>
  <c r="C2112" i="3"/>
  <c r="C1455" i="3"/>
  <c r="C2113" i="3"/>
  <c r="C1454" i="3"/>
  <c r="C2114" i="3"/>
  <c r="C1453" i="3"/>
  <c r="C2115" i="3"/>
  <c r="C1452" i="3"/>
  <c r="C2116" i="3"/>
  <c r="C1451" i="3"/>
  <c r="C2117" i="3"/>
  <c r="C1450" i="3"/>
  <c r="C2118" i="3"/>
  <c r="C1449" i="3"/>
  <c r="C2119" i="3"/>
  <c r="C1448" i="3"/>
  <c r="C2120" i="3"/>
  <c r="C1447" i="3"/>
  <c r="C2121" i="3"/>
  <c r="C1446" i="3"/>
  <c r="C2122" i="3"/>
  <c r="C1445" i="3"/>
  <c r="C2123" i="3"/>
  <c r="C1444" i="3"/>
  <c r="C2124" i="3"/>
  <c r="C1443" i="3"/>
  <c r="C2125" i="3"/>
  <c r="C1442" i="3"/>
  <c r="C2126" i="3"/>
  <c r="C1441" i="3"/>
  <c r="C2127" i="3"/>
  <c r="C1440" i="3"/>
  <c r="C2128" i="3"/>
  <c r="C1439" i="3"/>
  <c r="C2129" i="3"/>
  <c r="C1438" i="3"/>
  <c r="C2130" i="3"/>
  <c r="C1437" i="3"/>
  <c r="C2131" i="3"/>
  <c r="C1436" i="3"/>
  <c r="C2132" i="3"/>
  <c r="C1435" i="3"/>
  <c r="C2133" i="3"/>
  <c r="C1434" i="3"/>
  <c r="C2134" i="3"/>
  <c r="C1433" i="3"/>
  <c r="C2135" i="3"/>
  <c r="C1432" i="3"/>
  <c r="C2136" i="3"/>
  <c r="C1431" i="3"/>
  <c r="C2137" i="3"/>
  <c r="C1430" i="3"/>
  <c r="C2138" i="3"/>
  <c r="C1429" i="3"/>
  <c r="C2139" i="3"/>
  <c r="C1428" i="3"/>
  <c r="C2140" i="3"/>
  <c r="C1427" i="3"/>
  <c r="C2141" i="3"/>
  <c r="C1426" i="3"/>
  <c r="C2142" i="3"/>
  <c r="C1425" i="3"/>
  <c r="C2143" i="3"/>
  <c r="C1424" i="3"/>
  <c r="C2144" i="3"/>
  <c r="C1423" i="3"/>
  <c r="C2145" i="3"/>
  <c r="C1422" i="3"/>
  <c r="C2146" i="3"/>
  <c r="C1421" i="3"/>
  <c r="C2147" i="3"/>
  <c r="C1420" i="3"/>
  <c r="C2148" i="3"/>
  <c r="C1419" i="3"/>
  <c r="C2149" i="3"/>
  <c r="C1418" i="3"/>
  <c r="C2150" i="3"/>
  <c r="C1417" i="3"/>
  <c r="C2151" i="3"/>
  <c r="C1416" i="3"/>
  <c r="C2152" i="3"/>
  <c r="C1415" i="3"/>
  <c r="C2153" i="3"/>
  <c r="C1414" i="3"/>
  <c r="C2154" i="3"/>
  <c r="C1413" i="3"/>
  <c r="C2155" i="3"/>
  <c r="C1412" i="3"/>
  <c r="C2156" i="3"/>
  <c r="C1411" i="3"/>
  <c r="C2157" i="3"/>
  <c r="C1410" i="3"/>
  <c r="C2158" i="3"/>
  <c r="C1409" i="3"/>
  <c r="C2159" i="3"/>
  <c r="C1408" i="3"/>
  <c r="C2160" i="3"/>
  <c r="C1407" i="3"/>
  <c r="C2161" i="3"/>
  <c r="C1406" i="3"/>
  <c r="C2162" i="3"/>
  <c r="C1405" i="3"/>
  <c r="C2163" i="3"/>
  <c r="C1404" i="3"/>
  <c r="C2164" i="3"/>
  <c r="C1403" i="3"/>
  <c r="C2165" i="3"/>
  <c r="C1402" i="3"/>
  <c r="C2166" i="3"/>
  <c r="C1401" i="3"/>
  <c r="C2167" i="3"/>
  <c r="C1400" i="3"/>
  <c r="C2168" i="3"/>
  <c r="C1399" i="3"/>
  <c r="C2169" i="3"/>
  <c r="C1398" i="3"/>
  <c r="C2170" i="3"/>
  <c r="C1397" i="3"/>
  <c r="C2171" i="3"/>
  <c r="C1396" i="3"/>
  <c r="C2172" i="3"/>
  <c r="C1395" i="3"/>
  <c r="C2173" i="3"/>
  <c r="C1394" i="3"/>
  <c r="C2174" i="3"/>
  <c r="C1393" i="3"/>
  <c r="C2175" i="3"/>
  <c r="C1392" i="3"/>
  <c r="C2176" i="3"/>
  <c r="C1391" i="3"/>
  <c r="C2177" i="3"/>
  <c r="C1390" i="3"/>
  <c r="C2178" i="3"/>
  <c r="C1389" i="3"/>
  <c r="C2179" i="3"/>
  <c r="C1388" i="3"/>
  <c r="C2180" i="3"/>
  <c r="C1387" i="3"/>
  <c r="C2181" i="3"/>
  <c r="C1386" i="3"/>
  <c r="C2182" i="3"/>
  <c r="C1385" i="3"/>
  <c r="C2183" i="3"/>
  <c r="C1384" i="3"/>
  <c r="C2184" i="3"/>
  <c r="C1383" i="3"/>
  <c r="C2185" i="3"/>
  <c r="C1382" i="3"/>
  <c r="C2186" i="3"/>
  <c r="C1381" i="3"/>
  <c r="C2187" i="3"/>
  <c r="C1380" i="3"/>
  <c r="C2188" i="3"/>
  <c r="C1379" i="3"/>
  <c r="C2189" i="3"/>
  <c r="C1378" i="3"/>
  <c r="C2190" i="3"/>
  <c r="C1377" i="3"/>
  <c r="C2191" i="3"/>
  <c r="C1376" i="3"/>
  <c r="C2192" i="3"/>
  <c r="C1375" i="3"/>
  <c r="C2193" i="3"/>
  <c r="C1374" i="3"/>
  <c r="C2194" i="3"/>
  <c r="C1373" i="3"/>
  <c r="C2195" i="3"/>
  <c r="C1372" i="3"/>
  <c r="C2196" i="3"/>
  <c r="C1371" i="3"/>
  <c r="C2197" i="3"/>
  <c r="C1370" i="3"/>
  <c r="C2198" i="3"/>
  <c r="C1369" i="3"/>
  <c r="C2199" i="3"/>
  <c r="C1368" i="3"/>
  <c r="C2200" i="3"/>
  <c r="C1367" i="3"/>
  <c r="C2201" i="3"/>
  <c r="C1366" i="3"/>
  <c r="C2202" i="3"/>
  <c r="C1365" i="3"/>
  <c r="C2203" i="3"/>
  <c r="C1364" i="3"/>
  <c r="C2204" i="3"/>
  <c r="C1363" i="3"/>
  <c r="C2205" i="3"/>
  <c r="C1362" i="3"/>
  <c r="C2206" i="3"/>
  <c r="C1361" i="3"/>
  <c r="C2207" i="3"/>
  <c r="C1360" i="3"/>
  <c r="C2208" i="3"/>
  <c r="C1359" i="3"/>
  <c r="C2209" i="3"/>
  <c r="C1358" i="3"/>
  <c r="C2210" i="3"/>
  <c r="C1357" i="3"/>
  <c r="C2211" i="3"/>
  <c r="C1356" i="3"/>
  <c r="C2212" i="3"/>
  <c r="C1355" i="3"/>
  <c r="C2213" i="3"/>
  <c r="C1354" i="3"/>
  <c r="C2214" i="3"/>
  <c r="C1353" i="3"/>
  <c r="C2215" i="3"/>
  <c r="C1352" i="3"/>
  <c r="C2216" i="3"/>
  <c r="C1351" i="3"/>
  <c r="C2217" i="3"/>
  <c r="C1350" i="3"/>
  <c r="C2218" i="3"/>
  <c r="C1349" i="3"/>
  <c r="C2219" i="3"/>
  <c r="C1348" i="3"/>
  <c r="C2220" i="3"/>
  <c r="C1347" i="3"/>
  <c r="C2221" i="3"/>
  <c r="C1346" i="3"/>
  <c r="C2222" i="3"/>
  <c r="C1345" i="3"/>
  <c r="C2223" i="3"/>
  <c r="C1344" i="3"/>
  <c r="C2224" i="3"/>
  <c r="C1343" i="3"/>
  <c r="C2225" i="3"/>
  <c r="C1342" i="3"/>
  <c r="C2226" i="3"/>
  <c r="C1341" i="3"/>
  <c r="C2227" i="3"/>
  <c r="C1340" i="3"/>
  <c r="C2228" i="3"/>
  <c r="C1339" i="3"/>
  <c r="C2229" i="3"/>
  <c r="C1338" i="3"/>
  <c r="C2230" i="3"/>
  <c r="C1337" i="3"/>
  <c r="C2231" i="3"/>
  <c r="C1336" i="3"/>
  <c r="C2232" i="3"/>
  <c r="C1335" i="3"/>
  <c r="C2233" i="3"/>
  <c r="C1334" i="3"/>
  <c r="C2234" i="3"/>
  <c r="C1333" i="3"/>
  <c r="C2235" i="3"/>
  <c r="C1332" i="3"/>
  <c r="C2236" i="3"/>
  <c r="C1331" i="3"/>
  <c r="C2237" i="3"/>
  <c r="C1330" i="3"/>
  <c r="C2238" i="3"/>
  <c r="C1329" i="3"/>
  <c r="C2239" i="3"/>
  <c r="C1328" i="3"/>
  <c r="C2240" i="3"/>
  <c r="C1327" i="3"/>
  <c r="C2241" i="3"/>
  <c r="C1326" i="3"/>
  <c r="C2242" i="3"/>
  <c r="C1325" i="3"/>
  <c r="C2243" i="3"/>
  <c r="C1324" i="3"/>
  <c r="C2244" i="3"/>
  <c r="C1323" i="3"/>
  <c r="C2245" i="3"/>
  <c r="C1322" i="3"/>
  <c r="C2246" i="3"/>
  <c r="C1321" i="3"/>
  <c r="C2247" i="3"/>
  <c r="C1320" i="3"/>
  <c r="C2248" i="3"/>
  <c r="C1319" i="3"/>
  <c r="C2249" i="3"/>
  <c r="C1318" i="3"/>
  <c r="C2250" i="3"/>
  <c r="C1317" i="3"/>
  <c r="C2251" i="3"/>
  <c r="C1316" i="3"/>
  <c r="C2252" i="3"/>
  <c r="C1315" i="3"/>
  <c r="C2253" i="3"/>
  <c r="C1314" i="3"/>
  <c r="C2254" i="3"/>
  <c r="C1313" i="3"/>
  <c r="C2255" i="3"/>
  <c r="C1312" i="3"/>
  <c r="C2256" i="3"/>
  <c r="C1311" i="3"/>
  <c r="C2257" i="3"/>
  <c r="C1310" i="3"/>
  <c r="C2258" i="3"/>
  <c r="C1309" i="3"/>
  <c r="C2259" i="3"/>
  <c r="C1308" i="3"/>
  <c r="C2260" i="3"/>
  <c r="C1307" i="3"/>
  <c r="C2261" i="3"/>
  <c r="C1306" i="3"/>
  <c r="C2262" i="3"/>
  <c r="C1305" i="3"/>
  <c r="C2263" i="3"/>
  <c r="C1304" i="3"/>
  <c r="C2264" i="3"/>
  <c r="C1303" i="3"/>
  <c r="C2265" i="3"/>
  <c r="C1302" i="3"/>
  <c r="C2266" i="3"/>
  <c r="C1301" i="3"/>
  <c r="C2267" i="3"/>
  <c r="C1300" i="3"/>
  <c r="C2268" i="3"/>
  <c r="C1299" i="3"/>
  <c r="C2269" i="3"/>
  <c r="C1298" i="3"/>
  <c r="C2270" i="3"/>
  <c r="C1297" i="3"/>
  <c r="C2271" i="3"/>
  <c r="C1296" i="3"/>
  <c r="C2272" i="3"/>
  <c r="C1295" i="3"/>
  <c r="C2273" i="3"/>
  <c r="C1294" i="3"/>
  <c r="C2274" i="3"/>
  <c r="C1293" i="3"/>
  <c r="C2275" i="3"/>
  <c r="C1292" i="3"/>
  <c r="C2276" i="3"/>
  <c r="C1291" i="3"/>
  <c r="C2277" i="3"/>
  <c r="C1290" i="3"/>
  <c r="C2278" i="3"/>
  <c r="C1289" i="3"/>
  <c r="C2279" i="3"/>
  <c r="C1288" i="3"/>
  <c r="C2280" i="3"/>
  <c r="C1287" i="3"/>
  <c r="C2281" i="3"/>
  <c r="C1286" i="3"/>
  <c r="C2282" i="3"/>
  <c r="C1285" i="3"/>
  <c r="C2283" i="3"/>
  <c r="C1284" i="3"/>
  <c r="C2284" i="3"/>
  <c r="C1283" i="3"/>
  <c r="C2285" i="3"/>
  <c r="C1282" i="3"/>
  <c r="C2286" i="3"/>
  <c r="C1281" i="3"/>
  <c r="C2287" i="3"/>
  <c r="C1280" i="3"/>
  <c r="C2288" i="3"/>
  <c r="C1279" i="3"/>
  <c r="C2289" i="3"/>
  <c r="C1278" i="3"/>
  <c r="C2290" i="3"/>
  <c r="C1277" i="3"/>
  <c r="C2291" i="3"/>
  <c r="C1276" i="3"/>
  <c r="C2292" i="3"/>
  <c r="C1275" i="3"/>
  <c r="C2293" i="3"/>
  <c r="C1274" i="3"/>
  <c r="C2294" i="3"/>
  <c r="C1273" i="3"/>
  <c r="C2295" i="3"/>
  <c r="C1272" i="3"/>
  <c r="C2296" i="3"/>
  <c r="C1271" i="3"/>
  <c r="C2297" i="3"/>
  <c r="C1270" i="3"/>
  <c r="C2298" i="3"/>
  <c r="C1269" i="3"/>
  <c r="C2299" i="3"/>
  <c r="C1268" i="3"/>
  <c r="C2300" i="3"/>
  <c r="C1267" i="3"/>
  <c r="C2301" i="3"/>
  <c r="C1266" i="3"/>
  <c r="C2302" i="3"/>
  <c r="C1265" i="3"/>
  <c r="C2303" i="3"/>
  <c r="C1264" i="3"/>
  <c r="C2304" i="3"/>
  <c r="C1263" i="3"/>
  <c r="C2305" i="3"/>
  <c r="C1262" i="3"/>
  <c r="C2306" i="3"/>
  <c r="C1261" i="3"/>
  <c r="C2307" i="3"/>
  <c r="C1260" i="3"/>
  <c r="C2308" i="3"/>
  <c r="C1259" i="3"/>
  <c r="C2309" i="3"/>
  <c r="C1258" i="3"/>
  <c r="C2310" i="3"/>
  <c r="C1257" i="3"/>
  <c r="C2311" i="3"/>
  <c r="C1256" i="3"/>
  <c r="C2312" i="3"/>
  <c r="C1255" i="3"/>
  <c r="C2313" i="3"/>
  <c r="C1254" i="3"/>
  <c r="C2314" i="3"/>
  <c r="C1253" i="3"/>
  <c r="C2315" i="3"/>
  <c r="C1252" i="3"/>
  <c r="C2316" i="3"/>
  <c r="C1251" i="3"/>
  <c r="C2317" i="3"/>
  <c r="C1250" i="3"/>
  <c r="C2318" i="3"/>
  <c r="C1249" i="3"/>
  <c r="C2319" i="3"/>
  <c r="C1248" i="3"/>
  <c r="C2320" i="3"/>
  <c r="C1247" i="3"/>
  <c r="C2321" i="3"/>
  <c r="C1246" i="3"/>
  <c r="C2322" i="3"/>
  <c r="C1245" i="3"/>
  <c r="C2323" i="3"/>
  <c r="C1244" i="3"/>
  <c r="C2324" i="3"/>
  <c r="C1243" i="3"/>
  <c r="C2325" i="3"/>
  <c r="C1242" i="3"/>
  <c r="C2326" i="3"/>
  <c r="C1241" i="3"/>
  <c r="C2327" i="3"/>
  <c r="C1240" i="3"/>
  <c r="C2328" i="3"/>
  <c r="C1239" i="3"/>
  <c r="C2329" i="3"/>
  <c r="C1238" i="3"/>
  <c r="C2330" i="3"/>
  <c r="C1237" i="3"/>
  <c r="C2331" i="3"/>
  <c r="C1236" i="3"/>
  <c r="C2332" i="3"/>
  <c r="C1235" i="3"/>
  <c r="C2333" i="3"/>
  <c r="C1234" i="3"/>
  <c r="C2334" i="3"/>
  <c r="C1233" i="3"/>
  <c r="C2335" i="3"/>
  <c r="C1232" i="3"/>
  <c r="C2336" i="3"/>
  <c r="C1231" i="3"/>
  <c r="C2337" i="3"/>
  <c r="C1230" i="3"/>
  <c r="C2338" i="3"/>
  <c r="C1229" i="3"/>
  <c r="C2339" i="3"/>
  <c r="C1228" i="3"/>
  <c r="C2340" i="3"/>
  <c r="C1227" i="3"/>
  <c r="C2341" i="3"/>
  <c r="C1226" i="3"/>
  <c r="C2342" i="3"/>
  <c r="C1225" i="3"/>
  <c r="C2343" i="3"/>
  <c r="C1224" i="3"/>
  <c r="C2344" i="3"/>
  <c r="C1223" i="3"/>
  <c r="C2345" i="3"/>
  <c r="C1222" i="3"/>
  <c r="C2346" i="3"/>
  <c r="C1221" i="3"/>
  <c r="C2347" i="3"/>
  <c r="C1220" i="3"/>
  <c r="C2348" i="3"/>
  <c r="C1219" i="3"/>
  <c r="C2349" i="3"/>
  <c r="C1218" i="3"/>
  <c r="C2350" i="3"/>
  <c r="C1217" i="3"/>
  <c r="C2351" i="3"/>
  <c r="C1216" i="3"/>
  <c r="C2352" i="3"/>
  <c r="C1215" i="3"/>
  <c r="C2353" i="3"/>
  <c r="C1214" i="3"/>
  <c r="C2354" i="3"/>
  <c r="C1213" i="3"/>
  <c r="C2355" i="3"/>
  <c r="C1212" i="3"/>
  <c r="C2356" i="3"/>
  <c r="C1211" i="3"/>
  <c r="C2357" i="3"/>
  <c r="C1210" i="3"/>
  <c r="C2358" i="3"/>
  <c r="C2359" i="3"/>
  <c r="C2360" i="3"/>
  <c r="C1209" i="3"/>
  <c r="B14" i="2"/>
  <c r="C3878" i="3"/>
  <c r="C3879" i="3"/>
  <c r="C3880" i="3"/>
  <c r="C3881" i="3"/>
  <c r="C3882" i="3"/>
  <c r="C3883" i="3"/>
  <c r="C3884" i="3"/>
  <c r="C3885" i="3"/>
  <c r="C3886" i="3"/>
  <c r="C3887" i="3"/>
  <c r="C3888" i="3"/>
  <c r="C3889" i="3"/>
  <c r="C3890" i="3"/>
  <c r="C3891" i="3"/>
  <c r="C3892" i="3"/>
  <c r="C3893" i="3"/>
  <c r="C3894" i="3"/>
  <c r="C3895" i="3"/>
  <c r="C3896" i="3"/>
  <c r="C3897" i="3"/>
  <c r="C3898" i="3"/>
  <c r="C3899" i="3"/>
  <c r="C3900" i="3"/>
  <c r="C3901" i="3"/>
  <c r="C3902" i="3"/>
  <c r="C3903" i="3"/>
  <c r="C3904" i="3"/>
  <c r="C3905" i="3"/>
  <c r="C3906" i="3"/>
  <c r="C3907" i="3"/>
  <c r="C3908" i="3"/>
  <c r="C3909" i="3"/>
  <c r="C3910" i="3"/>
  <c r="C3911" i="3"/>
  <c r="C3912" i="3"/>
  <c r="C3913" i="3"/>
  <c r="C2361" i="3"/>
  <c r="C2362" i="3"/>
  <c r="C2363" i="3"/>
  <c r="C2364" i="3"/>
  <c r="C2365" i="3"/>
  <c r="C2366" i="3"/>
  <c r="C2367" i="3"/>
  <c r="C2368" i="3"/>
  <c r="C1208" i="3"/>
  <c r="C2369" i="3"/>
  <c r="C1207" i="3"/>
  <c r="C2370" i="3"/>
  <c r="C1206" i="3"/>
  <c r="C2371" i="3"/>
  <c r="C1205" i="3"/>
  <c r="C2372" i="3"/>
  <c r="C1204" i="3"/>
  <c r="C2373" i="3"/>
  <c r="C1203" i="3"/>
  <c r="C2374" i="3"/>
  <c r="C1202" i="3"/>
  <c r="C2375" i="3"/>
  <c r="C1201" i="3"/>
  <c r="C2376" i="3"/>
  <c r="C1200" i="3"/>
  <c r="C2377" i="3"/>
  <c r="C1199" i="3"/>
  <c r="C2378" i="3"/>
  <c r="C1198" i="3"/>
  <c r="C2379" i="3"/>
  <c r="C1197" i="3"/>
  <c r="C2380" i="3"/>
  <c r="C1196" i="3"/>
  <c r="C2381" i="3"/>
  <c r="C1195" i="3"/>
  <c r="C2382" i="3"/>
  <c r="C1194" i="3"/>
  <c r="C2383" i="3"/>
  <c r="C1193" i="3"/>
  <c r="C2384" i="3"/>
  <c r="C1192" i="3"/>
  <c r="C2385" i="3"/>
  <c r="C1191" i="3"/>
  <c r="C2386" i="3"/>
  <c r="C1190" i="3"/>
  <c r="C2387" i="3"/>
  <c r="C1189" i="3"/>
  <c r="C2388" i="3"/>
  <c r="C1188" i="3"/>
  <c r="C2389" i="3"/>
  <c r="C1187" i="3"/>
  <c r="C2390" i="3"/>
  <c r="C1186" i="3"/>
  <c r="C2391" i="3"/>
  <c r="C1185" i="3"/>
  <c r="C2392" i="3"/>
  <c r="C1184" i="3"/>
  <c r="C2393" i="3"/>
  <c r="C1183" i="3"/>
  <c r="C2394" i="3"/>
  <c r="C1182" i="3"/>
  <c r="C2395" i="3"/>
  <c r="C1181" i="3"/>
  <c r="C2396" i="3"/>
  <c r="C1180" i="3"/>
  <c r="C2397" i="3"/>
  <c r="C1179" i="3"/>
  <c r="C2398" i="3"/>
  <c r="C1178" i="3"/>
  <c r="C2399" i="3"/>
  <c r="C1177" i="3"/>
  <c r="C2400" i="3"/>
  <c r="C1176" i="3"/>
  <c r="C2401" i="3"/>
  <c r="C1175" i="3"/>
  <c r="C2402" i="3"/>
  <c r="C1174" i="3"/>
  <c r="C2403" i="3"/>
  <c r="C1173" i="3"/>
  <c r="C2404" i="3"/>
  <c r="C1172" i="3"/>
  <c r="C2405" i="3"/>
  <c r="C1171" i="3"/>
  <c r="C2406" i="3"/>
  <c r="C1170" i="3"/>
  <c r="C2407" i="3"/>
  <c r="C1169" i="3"/>
  <c r="C2408" i="3"/>
  <c r="C1168" i="3"/>
  <c r="C2409" i="3"/>
  <c r="C1167" i="3"/>
  <c r="C2410" i="3"/>
  <c r="C1166" i="3"/>
  <c r="C2450" i="3"/>
  <c r="C1165" i="3"/>
  <c r="C2451" i="3"/>
  <c r="C1164" i="3"/>
  <c r="C2452" i="3"/>
  <c r="C1163" i="3"/>
  <c r="C2453" i="3"/>
  <c r="C1162" i="3"/>
  <c r="C2454" i="3"/>
  <c r="C1161" i="3"/>
  <c r="C2455" i="3"/>
  <c r="C1160" i="3"/>
  <c r="C2456" i="3"/>
  <c r="C1159" i="3"/>
  <c r="C2457" i="3"/>
  <c r="C1158" i="3"/>
  <c r="C2458" i="3"/>
  <c r="C1157" i="3"/>
  <c r="C2459" i="3"/>
  <c r="C1156" i="3"/>
  <c r="C2460" i="3"/>
  <c r="C1155" i="3"/>
  <c r="C2461" i="3"/>
  <c r="C1154" i="3"/>
  <c r="C2462" i="3"/>
  <c r="C1153" i="3"/>
  <c r="C2463" i="3"/>
  <c r="C1152" i="3"/>
  <c r="C2464" i="3"/>
  <c r="C1151" i="3"/>
  <c r="C2465" i="3"/>
  <c r="C1150" i="3"/>
  <c r="C2466" i="3"/>
  <c r="C1149" i="3"/>
  <c r="C2467" i="3"/>
  <c r="C1148" i="3"/>
  <c r="C2468" i="3"/>
  <c r="C1147" i="3"/>
  <c r="C2469" i="3"/>
  <c r="C1146" i="3"/>
  <c r="C2470" i="3"/>
  <c r="C1145" i="3"/>
  <c r="C2471" i="3"/>
  <c r="C1144" i="3"/>
  <c r="C2472" i="3"/>
  <c r="C1143" i="3"/>
  <c r="C2473" i="3"/>
  <c r="C1142" i="3"/>
  <c r="C2474" i="3"/>
  <c r="C1141" i="3"/>
  <c r="C2475" i="3"/>
  <c r="C1140" i="3"/>
  <c r="C2476" i="3"/>
  <c r="C1139" i="3"/>
  <c r="C2477" i="3"/>
  <c r="C1138" i="3"/>
  <c r="C2478" i="3"/>
  <c r="C1137" i="3"/>
  <c r="C2479" i="3"/>
  <c r="C1136" i="3"/>
  <c r="C2480" i="3"/>
  <c r="C1135" i="3"/>
  <c r="C2481" i="3"/>
  <c r="C1134" i="3"/>
  <c r="C2482" i="3"/>
  <c r="C1133" i="3"/>
  <c r="C2483" i="3"/>
  <c r="C1132" i="3"/>
  <c r="C2484" i="3"/>
  <c r="C1131" i="3"/>
  <c r="C2485" i="3"/>
  <c r="C1130" i="3"/>
  <c r="C2486" i="3"/>
  <c r="C1129" i="3"/>
  <c r="C2487" i="3"/>
  <c r="C1128" i="3"/>
  <c r="C2488" i="3"/>
  <c r="C1127" i="3"/>
  <c r="C2489" i="3"/>
  <c r="C1126" i="3"/>
  <c r="C2490" i="3"/>
  <c r="C1125" i="3"/>
  <c r="C2491" i="3"/>
  <c r="C1124" i="3"/>
  <c r="C2492" i="3"/>
  <c r="C1123" i="3"/>
  <c r="C2493" i="3"/>
  <c r="C1122" i="3"/>
  <c r="C2494" i="3"/>
  <c r="C1121" i="3"/>
  <c r="C2495" i="3"/>
  <c r="C1120" i="3"/>
  <c r="C2496" i="3"/>
  <c r="C1119" i="3"/>
  <c r="C2497" i="3"/>
  <c r="C1118" i="3"/>
  <c r="C2498" i="3"/>
  <c r="C1117" i="3"/>
  <c r="C2499" i="3"/>
  <c r="C1116" i="3"/>
  <c r="C2500" i="3"/>
  <c r="C1115" i="3"/>
  <c r="C2501" i="3"/>
  <c r="C1114" i="3"/>
  <c r="C2502" i="3"/>
  <c r="C1113" i="3"/>
  <c r="C2503" i="3"/>
  <c r="C1112" i="3"/>
  <c r="C2504" i="3"/>
  <c r="C1111" i="3"/>
  <c r="C2505" i="3"/>
  <c r="C1110" i="3"/>
  <c r="C2506" i="3"/>
  <c r="C1109" i="3"/>
  <c r="C2507" i="3"/>
  <c r="C1108" i="3"/>
  <c r="C2508" i="3"/>
  <c r="C1107" i="3"/>
  <c r="C2509" i="3"/>
  <c r="C1106" i="3"/>
  <c r="C2510" i="3"/>
  <c r="C1105" i="3"/>
  <c r="C2511" i="3"/>
  <c r="C1104" i="3"/>
  <c r="C2512" i="3"/>
  <c r="C1103" i="3"/>
  <c r="C2513" i="3"/>
  <c r="C1102" i="3"/>
  <c r="C2514" i="3"/>
  <c r="C1101" i="3"/>
  <c r="C2515" i="3"/>
  <c r="C1100" i="3"/>
  <c r="C2516" i="3"/>
  <c r="C1099" i="3"/>
  <c r="C2517" i="3"/>
  <c r="C1098" i="3"/>
  <c r="C2518" i="3"/>
  <c r="C1097" i="3"/>
  <c r="C2519" i="3"/>
  <c r="C1096" i="3"/>
  <c r="C2520" i="3"/>
  <c r="C1095" i="3"/>
  <c r="C2521" i="3"/>
  <c r="C1094" i="3"/>
  <c r="C2522" i="3"/>
  <c r="C1093" i="3"/>
  <c r="C2523" i="3"/>
  <c r="C1092" i="3"/>
  <c r="C2524" i="3"/>
  <c r="C1091" i="3"/>
  <c r="C2525" i="3"/>
  <c r="C1090" i="3"/>
  <c r="C2526" i="3"/>
  <c r="C1089" i="3"/>
  <c r="C2527" i="3"/>
  <c r="C1088" i="3"/>
  <c r="C2528" i="3"/>
  <c r="C1087" i="3"/>
  <c r="C2529" i="3"/>
  <c r="C1086" i="3"/>
  <c r="C2530" i="3"/>
  <c r="C1085" i="3"/>
  <c r="C2531" i="3"/>
  <c r="C1084" i="3"/>
  <c r="C2532" i="3"/>
  <c r="C1083" i="3"/>
  <c r="C2533" i="3"/>
  <c r="C1082" i="3"/>
  <c r="C2534" i="3"/>
  <c r="C1081" i="3"/>
  <c r="C2535" i="3"/>
  <c r="C1080" i="3"/>
  <c r="C2536" i="3"/>
  <c r="C1079" i="3"/>
  <c r="C2537" i="3"/>
  <c r="C1078" i="3"/>
  <c r="C2538" i="3"/>
  <c r="C1077" i="3"/>
  <c r="C2539" i="3"/>
  <c r="C1076" i="3"/>
  <c r="C2540" i="3"/>
  <c r="C1075" i="3"/>
  <c r="C2541" i="3"/>
  <c r="C1074" i="3"/>
  <c r="C2542" i="3"/>
  <c r="C1073" i="3"/>
  <c r="C2543" i="3"/>
  <c r="C1072" i="3"/>
  <c r="C2544" i="3"/>
  <c r="C1071" i="3"/>
  <c r="C2545" i="3"/>
  <c r="C1070" i="3"/>
  <c r="C2546" i="3"/>
  <c r="C1069" i="3"/>
  <c r="C2547" i="3"/>
  <c r="C1068" i="3"/>
  <c r="C2548" i="3"/>
  <c r="C1067" i="3"/>
  <c r="C2549" i="3"/>
  <c r="C1066" i="3"/>
  <c r="C2550" i="3"/>
  <c r="C1065" i="3"/>
  <c r="C2551" i="3"/>
  <c r="C1064" i="3"/>
  <c r="C2552" i="3"/>
  <c r="C1063" i="3"/>
  <c r="C2553" i="3"/>
  <c r="C1062" i="3"/>
  <c r="C2554" i="3"/>
  <c r="C1061" i="3"/>
  <c r="C2555" i="3"/>
  <c r="C1060" i="3"/>
  <c r="C2556" i="3"/>
  <c r="C1059" i="3"/>
  <c r="C2557" i="3"/>
  <c r="C1058" i="3"/>
  <c r="C2558" i="3"/>
  <c r="C1057" i="3"/>
  <c r="C2559" i="3"/>
  <c r="C1056" i="3"/>
  <c r="C2560" i="3"/>
  <c r="C1055" i="3"/>
  <c r="C2561" i="3"/>
  <c r="C1054" i="3"/>
  <c r="C2562" i="3"/>
  <c r="C1053" i="3"/>
  <c r="C2563" i="3"/>
  <c r="C1052" i="3"/>
  <c r="C2564" i="3"/>
  <c r="C1051" i="3"/>
  <c r="C2565" i="3"/>
  <c r="C1050" i="3"/>
  <c r="C2566" i="3"/>
  <c r="C1049" i="3"/>
  <c r="C2567" i="3"/>
  <c r="C1048" i="3"/>
  <c r="C2568" i="3"/>
  <c r="C1047" i="3"/>
  <c r="C2569" i="3"/>
  <c r="C1046" i="3"/>
  <c r="C2570" i="3"/>
  <c r="C1045" i="3"/>
  <c r="C2571" i="3"/>
  <c r="C1044" i="3"/>
  <c r="C2572" i="3"/>
  <c r="C1043" i="3"/>
  <c r="C2573" i="3"/>
  <c r="C1042" i="3"/>
  <c r="C2574" i="3"/>
  <c r="C1041" i="3"/>
  <c r="C2575" i="3"/>
  <c r="C1040" i="3"/>
  <c r="C2576" i="3"/>
  <c r="C1039" i="3"/>
  <c r="C2577" i="3"/>
  <c r="C1038" i="3"/>
  <c r="C2578" i="3"/>
  <c r="C1037" i="3"/>
  <c r="C2579" i="3"/>
  <c r="C1036" i="3"/>
  <c r="C2580" i="3"/>
  <c r="C1035" i="3"/>
  <c r="C2581" i="3"/>
  <c r="C1034" i="3"/>
  <c r="C2582" i="3"/>
  <c r="C1033" i="3"/>
  <c r="C2583" i="3"/>
  <c r="C1032" i="3"/>
  <c r="C2584" i="3"/>
  <c r="C1031" i="3"/>
  <c r="C2585" i="3"/>
  <c r="C1030" i="3"/>
  <c r="C2586" i="3"/>
  <c r="C1029" i="3"/>
  <c r="C2587" i="3"/>
  <c r="C1028" i="3"/>
  <c r="C2588" i="3"/>
  <c r="C1027" i="3"/>
  <c r="C2589" i="3"/>
  <c r="C1026" i="3"/>
  <c r="C2590" i="3"/>
  <c r="C1025" i="3"/>
  <c r="C2591" i="3"/>
  <c r="C1024" i="3"/>
  <c r="C2592" i="3"/>
  <c r="C1023" i="3"/>
  <c r="C2593" i="3"/>
  <c r="C1022" i="3"/>
  <c r="C2594" i="3"/>
  <c r="C1021" i="3"/>
  <c r="C2595" i="3"/>
  <c r="C1020" i="3"/>
  <c r="C2596" i="3"/>
  <c r="C1019" i="3"/>
  <c r="C2597" i="3"/>
  <c r="C1018" i="3"/>
  <c r="C2598" i="3"/>
  <c r="C1017" i="3"/>
  <c r="C2599" i="3"/>
  <c r="C1016" i="3"/>
  <c r="C2600" i="3"/>
  <c r="C1015" i="3"/>
  <c r="C2601" i="3"/>
  <c r="C1014" i="3"/>
  <c r="C2602" i="3"/>
  <c r="C1013" i="3"/>
  <c r="C2603" i="3"/>
  <c r="C1012" i="3"/>
  <c r="C2604" i="3"/>
  <c r="C1011" i="3"/>
  <c r="C2605" i="3"/>
  <c r="C1010" i="3"/>
  <c r="C2606" i="3"/>
  <c r="C1009" i="3"/>
  <c r="C2607" i="3"/>
  <c r="C1008" i="3"/>
  <c r="C2608" i="3"/>
  <c r="C1007" i="3"/>
  <c r="C2609" i="3"/>
  <c r="C1006" i="3"/>
  <c r="C2610" i="3"/>
  <c r="C1005" i="3"/>
  <c r="C2611" i="3"/>
  <c r="C1004" i="3"/>
  <c r="C2612" i="3"/>
  <c r="C1003" i="3"/>
  <c r="C2613" i="3"/>
  <c r="C1002" i="3"/>
  <c r="C2614" i="3"/>
  <c r="C1001" i="3"/>
  <c r="C2615" i="3"/>
  <c r="C1000" i="3"/>
  <c r="C2616" i="3"/>
  <c r="C999" i="3"/>
  <c r="C2617" i="3"/>
  <c r="C998" i="3"/>
  <c r="C2618" i="3"/>
  <c r="C997" i="3"/>
  <c r="C2619" i="3"/>
  <c r="C996" i="3"/>
  <c r="C2620" i="3"/>
  <c r="C995" i="3"/>
  <c r="C2621" i="3"/>
  <c r="C994" i="3"/>
  <c r="C2622" i="3"/>
  <c r="C993" i="3"/>
  <c r="C2623" i="3"/>
  <c r="C992" i="3"/>
  <c r="C2624" i="3"/>
  <c r="C991" i="3"/>
  <c r="C2625" i="3"/>
  <c r="C990" i="3"/>
  <c r="C2626" i="3"/>
  <c r="C989" i="3"/>
  <c r="C2627" i="3"/>
  <c r="C988" i="3"/>
  <c r="C2628" i="3"/>
  <c r="C987" i="3"/>
  <c r="C2629" i="3"/>
  <c r="C986" i="3"/>
  <c r="C2630" i="3"/>
  <c r="C985" i="3"/>
  <c r="C2631" i="3"/>
  <c r="C984" i="3"/>
  <c r="C2632" i="3"/>
  <c r="C983" i="3"/>
  <c r="C2633" i="3"/>
  <c r="C982" i="3"/>
  <c r="C2634" i="3"/>
  <c r="C981" i="3"/>
  <c r="C2635" i="3"/>
  <c r="C980" i="3"/>
  <c r="C2636" i="3"/>
  <c r="C979" i="3"/>
  <c r="C2637" i="3"/>
  <c r="C978" i="3"/>
  <c r="C2638" i="3"/>
  <c r="C977" i="3"/>
  <c r="C2639" i="3"/>
  <c r="C976" i="3"/>
  <c r="C2640" i="3"/>
  <c r="C975" i="3"/>
  <c r="C2641" i="3"/>
  <c r="C974" i="3"/>
  <c r="C2642" i="3"/>
  <c r="C973" i="3"/>
  <c r="C2643" i="3"/>
  <c r="C972" i="3"/>
  <c r="C2644" i="3"/>
  <c r="C971" i="3"/>
  <c r="C2645" i="3"/>
  <c r="C970" i="3"/>
  <c r="C2646" i="3"/>
  <c r="C969" i="3"/>
  <c r="C2647" i="3"/>
  <c r="C968" i="3"/>
  <c r="C2648" i="3"/>
  <c r="C967" i="3"/>
  <c r="C2649" i="3"/>
  <c r="C966" i="3"/>
  <c r="C2650" i="3"/>
  <c r="C965" i="3"/>
  <c r="C2651" i="3"/>
  <c r="C964" i="3"/>
  <c r="C2652" i="3"/>
  <c r="C963" i="3"/>
  <c r="C2653" i="3"/>
  <c r="C962" i="3"/>
  <c r="C2654" i="3"/>
  <c r="C961" i="3"/>
  <c r="C2655" i="3"/>
  <c r="C960" i="3"/>
  <c r="C2656" i="3"/>
  <c r="C959" i="3"/>
  <c r="C2657" i="3"/>
  <c r="C958" i="3"/>
  <c r="C2658" i="3"/>
  <c r="C957" i="3"/>
  <c r="C2659" i="3"/>
  <c r="C956" i="3"/>
  <c r="C2660" i="3"/>
  <c r="C955" i="3"/>
  <c r="C2661" i="3"/>
  <c r="C954" i="3"/>
  <c r="C2662" i="3"/>
  <c r="C953" i="3"/>
  <c r="C2663" i="3"/>
  <c r="C952" i="3"/>
  <c r="C2664" i="3"/>
  <c r="C951" i="3"/>
  <c r="C2665" i="3"/>
  <c r="C950" i="3"/>
  <c r="C2666" i="3"/>
  <c r="C949" i="3"/>
  <c r="C2667" i="3"/>
  <c r="C948" i="3"/>
  <c r="C2668" i="3"/>
  <c r="C947" i="3"/>
  <c r="C2669" i="3"/>
  <c r="C946" i="3"/>
  <c r="C2670" i="3"/>
  <c r="C945" i="3"/>
  <c r="C2671" i="3"/>
  <c r="C944" i="3"/>
  <c r="C2672" i="3"/>
  <c r="C943" i="3"/>
  <c r="C2673" i="3"/>
  <c r="C942" i="3"/>
  <c r="C2674" i="3"/>
  <c r="C941" i="3"/>
  <c r="C2675" i="3"/>
  <c r="C940" i="3"/>
  <c r="C2676" i="3"/>
  <c r="C939" i="3"/>
  <c r="C2677" i="3"/>
  <c r="C938" i="3"/>
  <c r="C2678" i="3"/>
  <c r="C937" i="3"/>
  <c r="C2679" i="3"/>
  <c r="C936" i="3"/>
  <c r="C2680" i="3"/>
  <c r="C935" i="3"/>
  <c r="C2681" i="3"/>
  <c r="C934" i="3"/>
  <c r="C2682" i="3"/>
  <c r="C933" i="3"/>
  <c r="C2683" i="3"/>
  <c r="C932" i="3"/>
  <c r="C2684" i="3"/>
  <c r="C931" i="3"/>
  <c r="C2685" i="3"/>
  <c r="C930" i="3"/>
  <c r="C2686" i="3"/>
  <c r="C929" i="3"/>
  <c r="C2687" i="3"/>
  <c r="C928" i="3"/>
  <c r="C2688" i="3"/>
  <c r="C927" i="3"/>
  <c r="C2689" i="3"/>
  <c r="C926" i="3"/>
  <c r="C2690" i="3"/>
  <c r="C925" i="3"/>
  <c r="C2691" i="3"/>
  <c r="C924" i="3"/>
  <c r="C2692" i="3"/>
  <c r="C923" i="3"/>
  <c r="C2693" i="3"/>
  <c r="C922" i="3"/>
  <c r="C2694" i="3"/>
  <c r="C921" i="3"/>
  <c r="C2695" i="3"/>
  <c r="C920" i="3"/>
  <c r="C2696" i="3"/>
  <c r="C919" i="3"/>
  <c r="C2697" i="3"/>
  <c r="C918" i="3"/>
  <c r="C2698" i="3"/>
  <c r="C917" i="3"/>
  <c r="C2699" i="3"/>
  <c r="C916" i="3"/>
  <c r="C2700" i="3"/>
  <c r="C915" i="3"/>
  <c r="C2701" i="3"/>
  <c r="C914" i="3"/>
  <c r="C2702" i="3"/>
  <c r="C913" i="3"/>
  <c r="C2703" i="3"/>
  <c r="C912" i="3"/>
  <c r="C2704" i="3"/>
  <c r="C911" i="3"/>
  <c r="C2705" i="3"/>
  <c r="C910" i="3"/>
  <c r="C2706" i="3"/>
  <c r="C909" i="3"/>
  <c r="C2707" i="3"/>
  <c r="C908" i="3"/>
  <c r="C2708" i="3"/>
  <c r="C907" i="3"/>
  <c r="C2709" i="3"/>
  <c r="C906" i="3"/>
  <c r="C2710" i="3"/>
  <c r="C905" i="3"/>
  <c r="C2711" i="3"/>
  <c r="C904" i="3"/>
  <c r="C2712" i="3"/>
  <c r="C903" i="3"/>
  <c r="C2713" i="3"/>
  <c r="C902" i="3"/>
  <c r="C2714" i="3"/>
  <c r="C901" i="3"/>
  <c r="C2715" i="3"/>
  <c r="C900" i="3"/>
  <c r="C2716" i="3"/>
  <c r="C899" i="3"/>
  <c r="C2717" i="3"/>
  <c r="C898" i="3"/>
  <c r="C2718" i="3"/>
  <c r="C897" i="3"/>
  <c r="C2719" i="3"/>
  <c r="C896" i="3"/>
  <c r="C2720" i="3"/>
  <c r="C895" i="3"/>
  <c r="C2721" i="3"/>
  <c r="C894" i="3"/>
  <c r="C2722" i="3"/>
  <c r="C893" i="3"/>
  <c r="C2723" i="3"/>
  <c r="C892" i="3"/>
  <c r="C2724" i="3"/>
  <c r="C891" i="3"/>
  <c r="C2725" i="3"/>
  <c r="C890" i="3"/>
  <c r="C2726" i="3"/>
  <c r="C889" i="3"/>
  <c r="C2727" i="3"/>
  <c r="C888" i="3"/>
  <c r="C2728" i="3"/>
  <c r="C887" i="3"/>
  <c r="C2729" i="3"/>
  <c r="C886" i="3"/>
  <c r="C2730" i="3"/>
  <c r="C885" i="3"/>
  <c r="C2731" i="3"/>
  <c r="C884" i="3"/>
  <c r="C2732" i="3"/>
  <c r="C883" i="3"/>
  <c r="C2733" i="3"/>
  <c r="C882" i="3"/>
  <c r="C2734" i="3"/>
  <c r="C881" i="3"/>
  <c r="C2735" i="3"/>
  <c r="C880" i="3"/>
  <c r="C2736" i="3"/>
  <c r="C879" i="3"/>
  <c r="C2737" i="3"/>
  <c r="C878" i="3"/>
  <c r="C2738" i="3"/>
  <c r="C877" i="3"/>
  <c r="C2739" i="3"/>
  <c r="C876" i="3"/>
  <c r="C2740" i="3"/>
  <c r="C875" i="3"/>
  <c r="C2741" i="3"/>
  <c r="C1789" i="3"/>
  <c r="C2742" i="3"/>
  <c r="C873" i="3"/>
  <c r="C2743" i="3"/>
  <c r="C872" i="3"/>
  <c r="C2744" i="3"/>
  <c r="C871" i="3"/>
  <c r="C2745" i="3"/>
  <c r="C870" i="3"/>
  <c r="C2746" i="3"/>
  <c r="C869" i="3"/>
  <c r="C2747" i="3"/>
  <c r="C868" i="3"/>
  <c r="C2748" i="3"/>
  <c r="C867" i="3"/>
  <c r="C2749" i="3"/>
  <c r="C866" i="3"/>
  <c r="C2750" i="3"/>
  <c r="C865" i="3"/>
  <c r="C2751" i="3"/>
  <c r="C864" i="3"/>
  <c r="C2752" i="3"/>
  <c r="C863" i="3"/>
  <c r="C2753" i="3"/>
  <c r="C862" i="3"/>
  <c r="C2754" i="3"/>
  <c r="C861" i="3"/>
  <c r="C2755" i="3"/>
  <c r="C860" i="3"/>
  <c r="C2756" i="3"/>
  <c r="C859" i="3"/>
  <c r="C2757" i="3"/>
  <c r="C858" i="3"/>
  <c r="C2758" i="3"/>
  <c r="C857" i="3"/>
  <c r="C2759" i="3"/>
  <c r="C856" i="3"/>
  <c r="C2760" i="3"/>
  <c r="C855" i="3"/>
  <c r="C2761" i="3"/>
  <c r="C854" i="3"/>
  <c r="C2762" i="3"/>
  <c r="C853" i="3"/>
  <c r="C2763" i="3"/>
  <c r="C852" i="3"/>
  <c r="C2764" i="3"/>
  <c r="C851" i="3"/>
  <c r="C2765" i="3"/>
  <c r="C850" i="3"/>
  <c r="C2766" i="3"/>
  <c r="C849" i="3"/>
  <c r="C2767" i="3"/>
  <c r="C848" i="3"/>
  <c r="C2768" i="3"/>
  <c r="C847" i="3"/>
  <c r="C2769" i="3"/>
  <c r="C846" i="3"/>
  <c r="C2770" i="3"/>
  <c r="C845" i="3"/>
  <c r="C2771" i="3"/>
  <c r="C844" i="3"/>
  <c r="C2772" i="3"/>
  <c r="C843" i="3"/>
  <c r="C2773" i="3"/>
  <c r="C842" i="3"/>
  <c r="C2774" i="3"/>
  <c r="C841" i="3"/>
  <c r="C2775" i="3"/>
  <c r="C840" i="3"/>
  <c r="C2776" i="3"/>
  <c r="C839" i="3"/>
  <c r="C2777" i="3"/>
  <c r="C838" i="3"/>
  <c r="C2778" i="3"/>
  <c r="C837" i="3"/>
  <c r="C2779" i="3"/>
  <c r="C836" i="3"/>
  <c r="C2780" i="3"/>
  <c r="C835" i="3"/>
  <c r="C2781" i="3"/>
  <c r="C834" i="3"/>
  <c r="C2782" i="3"/>
  <c r="C833" i="3"/>
  <c r="C2783" i="3"/>
  <c r="C832" i="3"/>
  <c r="C2784" i="3"/>
  <c r="C831" i="3"/>
  <c r="C2785" i="3"/>
  <c r="C830" i="3"/>
  <c r="C2786" i="3"/>
  <c r="C829" i="3"/>
  <c r="C2787" i="3"/>
  <c r="C828" i="3"/>
  <c r="C2788" i="3"/>
  <c r="C827" i="3"/>
  <c r="C2789" i="3"/>
  <c r="C826" i="3"/>
  <c r="C2790" i="3"/>
  <c r="C825" i="3"/>
  <c r="C2791" i="3"/>
  <c r="C824" i="3"/>
  <c r="C2792" i="3"/>
  <c r="C823" i="3"/>
  <c r="C2793" i="3"/>
  <c r="C822" i="3"/>
  <c r="C2794" i="3"/>
  <c r="C821" i="3"/>
  <c r="C2795" i="3"/>
  <c r="C820" i="3"/>
  <c r="C2796" i="3"/>
  <c r="C819" i="3"/>
  <c r="C2797" i="3"/>
  <c r="C818" i="3"/>
  <c r="C2798" i="3"/>
  <c r="C817" i="3"/>
  <c r="C2799" i="3"/>
  <c r="C816" i="3"/>
  <c r="C2800" i="3"/>
  <c r="C815" i="3"/>
  <c r="C2801" i="3"/>
  <c r="C814" i="3"/>
  <c r="C2802" i="3"/>
  <c r="C813" i="3"/>
  <c r="C2803" i="3"/>
  <c r="C812" i="3"/>
  <c r="C2804" i="3"/>
  <c r="C811" i="3"/>
  <c r="C2805" i="3"/>
  <c r="C810" i="3"/>
  <c r="C2806" i="3"/>
  <c r="C809" i="3"/>
  <c r="C2807" i="3"/>
  <c r="C2808" i="3"/>
  <c r="C2809" i="3"/>
  <c r="C431" i="3"/>
  <c r="C2810" i="3"/>
  <c r="C430" i="3"/>
  <c r="C2811" i="3"/>
  <c r="C428" i="3"/>
  <c r="C427" i="3"/>
  <c r="C3849" i="3"/>
  <c r="C426" i="3"/>
  <c r="C3848" i="3"/>
  <c r="C3847" i="3"/>
  <c r="C3846" i="3"/>
  <c r="C421" i="3"/>
  <c r="C3845" i="3"/>
  <c r="C3844" i="3"/>
  <c r="C417" i="3"/>
  <c r="C3843" i="3"/>
  <c r="C416" i="3"/>
  <c r="C2994" i="3"/>
  <c r="C3008" i="3"/>
  <c r="C414" i="3"/>
  <c r="C3842" i="3"/>
  <c r="C3841" i="3"/>
  <c r="C3840" i="3"/>
  <c r="C3839" i="3"/>
  <c r="C409" i="3"/>
  <c r="C3040" i="3"/>
  <c r="C228" i="3"/>
  <c r="C3838" i="3"/>
  <c r="C3837" i="3"/>
  <c r="C225" i="3"/>
  <c r="C3836" i="3"/>
  <c r="C3057" i="3"/>
  <c r="C3835" i="3"/>
  <c r="C3834" i="3"/>
  <c r="C217" i="3"/>
  <c r="C3833" i="3"/>
  <c r="C3832" i="3"/>
  <c r="C209" i="3"/>
  <c r="C3831" i="3"/>
  <c r="C3830" i="3"/>
  <c r="C3829" i="3"/>
  <c r="C205" i="3"/>
  <c r="C3080" i="3"/>
  <c r="C204" i="3"/>
  <c r="C3082" i="3"/>
  <c r="C201" i="3"/>
  <c r="C3828" i="3"/>
  <c r="C199" i="3"/>
  <c r="C3089" i="3"/>
  <c r="C3091" i="3"/>
  <c r="C3827" i="3"/>
  <c r="C194" i="3"/>
  <c r="C3095" i="3"/>
  <c r="C3826" i="3"/>
  <c r="C191" i="3"/>
  <c r="C3825" i="3"/>
  <c r="C189" i="3"/>
  <c r="C3103" i="3"/>
  <c r="C187" i="3"/>
  <c r="C3824" i="3"/>
  <c r="C3104" i="3"/>
  <c r="C3107" i="3"/>
  <c r="C176" i="3"/>
  <c r="C3823" i="3"/>
  <c r="C174" i="3"/>
  <c r="C3114" i="3"/>
  <c r="C3822" i="3"/>
  <c r="C3116" i="3"/>
  <c r="C171" i="3"/>
  <c r="C3821" i="3"/>
  <c r="C168" i="3"/>
  <c r="C3123" i="3"/>
  <c r="C167" i="3"/>
  <c r="C3820" i="3"/>
  <c r="C3819" i="3"/>
  <c r="C3818" i="3"/>
  <c r="C162" i="3"/>
  <c r="C3130" i="3"/>
  <c r="C161" i="3"/>
  <c r="C3817" i="3"/>
  <c r="C157" i="3"/>
  <c r="C3131" i="3"/>
  <c r="C3816" i="3"/>
  <c r="C3132" i="3"/>
  <c r="C3815" i="3"/>
  <c r="C3133" i="3"/>
  <c r="C151" i="3"/>
  <c r="C3814" i="3"/>
  <c r="C3134" i="3"/>
  <c r="C3813" i="3"/>
  <c r="C3135" i="3"/>
  <c r="C145" i="3"/>
  <c r="C144" i="3"/>
  <c r="C3812" i="3"/>
  <c r="C141" i="3"/>
  <c r="C3136" i="3"/>
  <c r="C139" i="3"/>
  <c r="C3811" i="3"/>
  <c r="C134" i="3"/>
  <c r="C130" i="3"/>
  <c r="C3137" i="3"/>
  <c r="C127" i="3"/>
  <c r="C3810" i="3"/>
  <c r="C3138" i="3"/>
  <c r="C120" i="3"/>
  <c r="C3809" i="3"/>
  <c r="C3139" i="3"/>
  <c r="C3808" i="3"/>
  <c r="C114" i="3"/>
  <c r="C3140" i="3"/>
  <c r="C111" i="3"/>
  <c r="C3807" i="3"/>
  <c r="C3141" i="3"/>
  <c r="C3806" i="3"/>
  <c r="C102" i="3"/>
  <c r="C101" i="3"/>
  <c r="C3142" i="3"/>
  <c r="C3805" i="3"/>
  <c r="C97" i="3"/>
  <c r="C3143" i="3"/>
  <c r="C93" i="3"/>
  <c r="C3804" i="3"/>
  <c r="C91" i="3"/>
  <c r="C90" i="3"/>
  <c r="C89" i="3"/>
  <c r="C3144" i="3"/>
  <c r="C84" i="3"/>
  <c r="C3803" i="3"/>
  <c r="C83" i="3"/>
  <c r="C82" i="3"/>
  <c r="C81" i="3"/>
  <c r="C3145" i="3"/>
  <c r="C3802" i="3"/>
  <c r="C3146" i="3"/>
  <c r="C73" i="3"/>
  <c r="C3801" i="3"/>
  <c r="C3147" i="3"/>
  <c r="C71" i="3"/>
  <c r="C3800" i="3"/>
  <c r="C70" i="3"/>
  <c r="C3148" i="3"/>
  <c r="C69" i="3"/>
  <c r="C3799" i="3"/>
  <c r="C68" i="3"/>
  <c r="C3149" i="3"/>
  <c r="C67" i="3"/>
  <c r="C3798" i="3"/>
  <c r="C66" i="3"/>
  <c r="C3150" i="3"/>
  <c r="C3797" i="3"/>
  <c r="C3151" i="3"/>
  <c r="C55" i="3"/>
  <c r="C3796" i="3"/>
  <c r="C54" i="3"/>
  <c r="C52" i="3"/>
  <c r="C51" i="3"/>
  <c r="C3152" i="3"/>
  <c r="C3795" i="3"/>
  <c r="C3153" i="3"/>
  <c r="C3794" i="3"/>
  <c r="C44" i="3"/>
  <c r="C3154" i="3"/>
  <c r="C36" i="3"/>
  <c r="C35" i="3"/>
  <c r="C34" i="3"/>
  <c r="C33" i="3"/>
  <c r="C3793" i="3"/>
  <c r="C32" i="3"/>
  <c r="C31" i="3"/>
  <c r="C3155" i="3"/>
  <c r="C27" i="3"/>
  <c r="C25" i="3"/>
  <c r="C3792" i="3"/>
  <c r="C3156" i="3"/>
  <c r="C23" i="3"/>
  <c r="C22" i="3"/>
  <c r="C3791" i="3"/>
  <c r="C19" i="3"/>
  <c r="C3157" i="3"/>
  <c r="C3790" i="3"/>
  <c r="C13" i="3"/>
  <c r="C3158" i="3"/>
  <c r="C12" i="3"/>
  <c r="C3789" i="3"/>
  <c r="C3159" i="3"/>
  <c r="C3788" i="3"/>
  <c r="C10" i="3"/>
  <c r="C3034" i="3"/>
  <c r="C3914" i="3"/>
  <c r="C3915" i="3"/>
  <c r="C3027" i="3"/>
  <c r="C3026" i="3"/>
  <c r="C3023" i="3"/>
  <c r="C3916" i="3"/>
  <c r="C3022" i="3"/>
  <c r="C3016" i="3"/>
  <c r="C3917" i="3"/>
  <c r="C3918" i="3"/>
  <c r="C3919" i="3"/>
  <c r="C3006" i="3"/>
  <c r="C3002" i="3"/>
  <c r="C2999" i="3"/>
  <c r="C3920" i="3"/>
  <c r="C2996" i="3"/>
  <c r="C2995" i="3"/>
  <c r="C3921" i="3"/>
  <c r="C2992" i="3"/>
  <c r="C2990" i="3"/>
  <c r="C3922" i="3"/>
  <c r="C3923" i="3"/>
  <c r="C3924" i="3"/>
  <c r="C2984" i="3"/>
  <c r="C3925" i="3"/>
  <c r="C3926" i="3"/>
  <c r="C2981" i="3"/>
  <c r="C2978" i="3"/>
  <c r="C2977" i="3"/>
  <c r="C2976" i="3"/>
  <c r="C3927" i="3"/>
  <c r="C2974" i="3"/>
  <c r="C3928" i="3"/>
  <c r="C3929" i="3"/>
  <c r="C3930" i="3"/>
  <c r="C3931" i="3"/>
  <c r="C3932" i="3"/>
  <c r="C3933" i="3"/>
  <c r="C3934" i="3"/>
  <c r="C3935" i="3"/>
  <c r="C3936" i="3"/>
  <c r="C3937" i="3"/>
  <c r="C3938" i="3"/>
  <c r="C3939" i="3"/>
  <c r="C3940" i="3"/>
  <c r="C3941" i="3"/>
  <c r="C3942" i="3"/>
  <c r="C3943" i="3"/>
  <c r="C3944" i="3"/>
  <c r="C3945" i="3"/>
  <c r="C3946" i="3"/>
  <c r="C3947" i="3"/>
  <c r="C3948" i="3"/>
  <c r="C3949" i="3"/>
  <c r="C3950" i="3"/>
  <c r="C3951" i="3"/>
  <c r="C3952" i="3"/>
  <c r="C3953" i="3"/>
  <c r="C3954" i="3"/>
  <c r="C3955" i="3"/>
  <c r="C3160" i="3"/>
  <c r="C3787" i="3"/>
  <c r="C3161" i="3"/>
  <c r="C3786" i="3"/>
  <c r="C3162" i="3"/>
  <c r="C3785" i="3"/>
  <c r="C3163" i="3"/>
  <c r="C3784" i="3"/>
  <c r="C3164" i="3"/>
  <c r="C3783" i="3"/>
  <c r="C3165" i="3"/>
  <c r="C3782" i="3"/>
  <c r="C3166" i="3"/>
  <c r="C3781" i="3"/>
  <c r="C3167" i="3"/>
  <c r="C808" i="3"/>
  <c r="C3780" i="3"/>
  <c r="C807" i="3"/>
  <c r="C3168" i="3"/>
  <c r="C806" i="3"/>
  <c r="C3779" i="3"/>
  <c r="C805" i="3"/>
  <c r="C3169" i="3"/>
  <c r="C804" i="3"/>
  <c r="C3778" i="3"/>
  <c r="C803" i="3"/>
  <c r="C3170" i="3"/>
  <c r="C802" i="3"/>
  <c r="C3777" i="3"/>
  <c r="C801" i="3"/>
  <c r="C3171" i="3"/>
  <c r="C800" i="3"/>
  <c r="C3776" i="3"/>
  <c r="C799" i="3"/>
  <c r="C3172" i="3"/>
  <c r="C798" i="3"/>
  <c r="C3775" i="3"/>
  <c r="C797" i="3"/>
  <c r="C3173" i="3"/>
  <c r="C796" i="3"/>
  <c r="C3774" i="3"/>
  <c r="C795" i="3"/>
  <c r="C3174" i="3"/>
  <c r="C794" i="3"/>
  <c r="C3773" i="3"/>
  <c r="C793" i="3"/>
  <c r="C3175" i="3"/>
  <c r="C792" i="3"/>
  <c r="C3772" i="3"/>
  <c r="C791" i="3"/>
  <c r="C3176" i="3"/>
  <c r="C790" i="3"/>
  <c r="C3771" i="3"/>
  <c r="C789" i="3"/>
  <c r="C3177" i="3"/>
  <c r="C788" i="3"/>
  <c r="C3770" i="3"/>
  <c r="C787" i="3"/>
  <c r="C3178" i="3"/>
  <c r="C786" i="3"/>
  <c r="C3769" i="3"/>
  <c r="C785" i="3"/>
  <c r="C3179" i="3"/>
  <c r="C784" i="3"/>
  <c r="C3768" i="3"/>
  <c r="C783" i="3"/>
  <c r="C3180" i="3"/>
  <c r="C782" i="3"/>
  <c r="C3767" i="3"/>
  <c r="C781" i="3"/>
  <c r="C3181" i="3"/>
  <c r="C780" i="3"/>
  <c r="C3766" i="3"/>
  <c r="C779" i="3"/>
  <c r="C3182" i="3"/>
  <c r="C778" i="3"/>
  <c r="C3765" i="3"/>
  <c r="C777" i="3"/>
  <c r="C3183" i="3"/>
  <c r="C776" i="3"/>
  <c r="C3764" i="3"/>
  <c r="C775" i="3"/>
  <c r="C3184" i="3"/>
  <c r="C774" i="3"/>
  <c r="C3763" i="3"/>
  <c r="C773" i="3"/>
  <c r="C3185" i="3"/>
  <c r="C772" i="3"/>
  <c r="C3762" i="3"/>
  <c r="C771" i="3"/>
  <c r="C3186" i="3"/>
  <c r="C770" i="3"/>
  <c r="C3761" i="3"/>
  <c r="C769" i="3"/>
  <c r="C3187" i="3"/>
  <c r="C768" i="3"/>
  <c r="C3760" i="3"/>
  <c r="C767" i="3"/>
  <c r="C3188" i="3"/>
  <c r="C766" i="3"/>
  <c r="C3759" i="3"/>
  <c r="C765" i="3"/>
  <c r="C3189" i="3"/>
  <c r="C764" i="3"/>
  <c r="C3758" i="3"/>
  <c r="C763" i="3"/>
  <c r="C3190" i="3"/>
  <c r="C762" i="3"/>
  <c r="C3757" i="3"/>
  <c r="C761" i="3"/>
  <c r="C3191" i="3"/>
  <c r="C760" i="3"/>
  <c r="C3756" i="3"/>
  <c r="C759" i="3"/>
  <c r="C3192" i="3"/>
  <c r="C758" i="3"/>
  <c r="C3755" i="3"/>
  <c r="C757" i="3"/>
  <c r="C3193" i="3"/>
  <c r="C756" i="3"/>
  <c r="C3754" i="3"/>
  <c r="C755" i="3"/>
  <c r="C3194" i="3"/>
  <c r="C754" i="3"/>
  <c r="C3753" i="3"/>
  <c r="C753" i="3"/>
  <c r="C3195" i="3"/>
  <c r="C752" i="3"/>
  <c r="C3752" i="3"/>
  <c r="C751" i="3"/>
  <c r="C3196" i="3"/>
  <c r="C750" i="3"/>
  <c r="C3751" i="3"/>
  <c r="C749" i="3"/>
  <c r="C3197" i="3"/>
  <c r="C748" i="3"/>
  <c r="C3750" i="3"/>
  <c r="C747" i="3"/>
  <c r="C3198" i="3"/>
  <c r="C746" i="3"/>
  <c r="C3749" i="3"/>
  <c r="C745" i="3"/>
  <c r="C3199" i="3"/>
  <c r="C744" i="3"/>
  <c r="C3748" i="3"/>
  <c r="C743" i="3"/>
  <c r="C3200" i="3"/>
  <c r="C742" i="3"/>
  <c r="C3747" i="3"/>
  <c r="C741" i="3"/>
  <c r="C3201" i="3"/>
  <c r="C740" i="3"/>
  <c r="C3746" i="3"/>
  <c r="C739" i="3"/>
  <c r="C3202" i="3"/>
  <c r="C738" i="3"/>
  <c r="C3745" i="3"/>
  <c r="C737" i="3"/>
  <c r="C3203" i="3"/>
  <c r="C736" i="3"/>
  <c r="C3744" i="3"/>
  <c r="C735" i="3"/>
  <c r="C3204" i="3"/>
  <c r="C734" i="3"/>
  <c r="C3743" i="3"/>
  <c r="C733" i="3"/>
  <c r="C3205" i="3"/>
  <c r="C732" i="3"/>
  <c r="C3742" i="3"/>
  <c r="C731" i="3"/>
  <c r="C3206" i="3"/>
  <c r="C730" i="3"/>
  <c r="C3741" i="3"/>
  <c r="C729" i="3"/>
  <c r="C3207" i="3"/>
  <c r="C728" i="3"/>
  <c r="C3740" i="3"/>
  <c r="C727" i="3"/>
  <c r="C3208" i="3"/>
  <c r="C726" i="3"/>
  <c r="C3739" i="3"/>
  <c r="C725" i="3"/>
  <c r="C3209" i="3"/>
  <c r="C724" i="3"/>
  <c r="C3738" i="3"/>
  <c r="C723" i="3"/>
  <c r="C3210" i="3"/>
  <c r="C722" i="3"/>
  <c r="C3737" i="3"/>
  <c r="C721" i="3"/>
  <c r="C3211" i="3"/>
  <c r="C720" i="3"/>
  <c r="C3736" i="3"/>
  <c r="C719" i="3"/>
  <c r="C3735" i="3"/>
  <c r="C718" i="3"/>
  <c r="C3734" i="3"/>
  <c r="C717" i="3"/>
  <c r="C3733" i="3"/>
  <c r="C716" i="3"/>
  <c r="C3732" i="3"/>
  <c r="C715" i="3"/>
  <c r="C3731" i="3"/>
  <c r="C714" i="3"/>
  <c r="C3730" i="3"/>
  <c r="C713" i="3"/>
  <c r="C3007" i="3"/>
  <c r="C712" i="3"/>
  <c r="C3729" i="3"/>
  <c r="C711" i="3"/>
  <c r="C3035" i="3"/>
  <c r="C710" i="3"/>
  <c r="C3056" i="3"/>
  <c r="C709" i="3"/>
  <c r="C3066" i="3"/>
  <c r="C708" i="3"/>
  <c r="C3728" i="3"/>
  <c r="C707" i="3"/>
  <c r="C3070" i="3"/>
  <c r="C706" i="3"/>
  <c r="C3727" i="3"/>
  <c r="C705" i="3"/>
  <c r="C3726" i="3"/>
  <c r="C704" i="3"/>
  <c r="C3725" i="3"/>
  <c r="C703" i="3"/>
  <c r="C3724" i="3"/>
  <c r="C702" i="3"/>
  <c r="C3723" i="3"/>
  <c r="C701" i="3"/>
  <c r="C3088" i="3"/>
  <c r="C700" i="3"/>
  <c r="C3722" i="3"/>
  <c r="C699" i="3"/>
  <c r="C3721" i="3"/>
  <c r="C698" i="3"/>
  <c r="C3093" i="3"/>
  <c r="C697" i="3"/>
  <c r="C3720" i="3"/>
  <c r="C696" i="3"/>
  <c r="C3094" i="3"/>
  <c r="C695" i="3"/>
  <c r="C3719" i="3"/>
  <c r="C694" i="3"/>
  <c r="C3718" i="3"/>
  <c r="C693" i="3"/>
  <c r="C3097" i="3"/>
  <c r="C692" i="3"/>
  <c r="C3717" i="3"/>
  <c r="C691" i="3"/>
  <c r="C3099" i="3"/>
  <c r="C690" i="3"/>
  <c r="C3716" i="3"/>
  <c r="C689" i="3"/>
  <c r="C3100" i="3"/>
  <c r="C688" i="3"/>
  <c r="C3102" i="3"/>
  <c r="C687" i="3"/>
  <c r="C3106" i="3"/>
  <c r="C686" i="3"/>
  <c r="C3715" i="3"/>
  <c r="C685" i="3"/>
  <c r="C3714" i="3"/>
  <c r="C684" i="3"/>
  <c r="C3108" i="3"/>
  <c r="C683" i="3"/>
  <c r="C3713" i="3"/>
  <c r="C682" i="3"/>
  <c r="C3109" i="3"/>
  <c r="C681" i="3"/>
  <c r="C3712" i="3"/>
  <c r="C680" i="3"/>
  <c r="C3113" i="3"/>
  <c r="C679" i="3"/>
  <c r="C3711" i="3"/>
  <c r="C678" i="3"/>
  <c r="C3710" i="3"/>
  <c r="C677" i="3"/>
  <c r="C3117" i="3"/>
  <c r="C676" i="3"/>
  <c r="C3709" i="3"/>
  <c r="C675" i="3"/>
  <c r="C3118" i="3"/>
  <c r="C674" i="3"/>
  <c r="C3708" i="3"/>
  <c r="C673" i="3"/>
  <c r="C3707" i="3"/>
  <c r="C672" i="3"/>
  <c r="C3706" i="3"/>
  <c r="C671" i="3"/>
  <c r="C3122" i="3"/>
  <c r="C670" i="3"/>
  <c r="C3705" i="3"/>
  <c r="C669" i="3"/>
  <c r="C3124" i="3"/>
  <c r="C668" i="3"/>
  <c r="C3704" i="3"/>
  <c r="C667" i="3"/>
  <c r="C3212" i="3"/>
  <c r="C666" i="3"/>
  <c r="C3703" i="3"/>
  <c r="C665" i="3"/>
  <c r="C3217" i="3"/>
  <c r="C664" i="3"/>
  <c r="C3218" i="3"/>
  <c r="C663" i="3"/>
  <c r="C3219" i="3"/>
  <c r="C662" i="3"/>
  <c r="C3702" i="3"/>
  <c r="C661" i="3"/>
  <c r="C3221" i="3"/>
  <c r="C660" i="3"/>
  <c r="C3701" i="3"/>
  <c r="C659" i="3"/>
  <c r="C3223" i="3"/>
  <c r="C658" i="3"/>
  <c r="C3224" i="3"/>
  <c r="C657" i="3"/>
  <c r="C3700" i="3"/>
  <c r="C656" i="3"/>
  <c r="C3225" i="3"/>
  <c r="C655" i="3"/>
  <c r="C3699" i="3"/>
  <c r="C654" i="3"/>
  <c r="C3227" i="3"/>
  <c r="C653" i="3"/>
  <c r="C3698" i="3"/>
  <c r="C652" i="3"/>
  <c r="C3697" i="3"/>
  <c r="C651" i="3"/>
  <c r="C3229" i="3"/>
  <c r="C650" i="3"/>
  <c r="C3230" i="3"/>
  <c r="C649" i="3"/>
  <c r="C3231" i="3"/>
  <c r="C648" i="3"/>
  <c r="C3696" i="3"/>
  <c r="C647" i="3"/>
  <c r="C3236" i="3"/>
  <c r="C646" i="3"/>
  <c r="C3238" i="3"/>
  <c r="C645" i="3"/>
  <c r="C3695" i="3"/>
  <c r="C644" i="3"/>
  <c r="C3243" i="3"/>
  <c r="C643" i="3"/>
  <c r="C3244" i="3"/>
  <c r="C642" i="3"/>
  <c r="C3694" i="3"/>
  <c r="C641" i="3"/>
  <c r="C3247" i="3"/>
  <c r="C640" i="3"/>
  <c r="C3250" i="3"/>
  <c r="C639" i="3"/>
  <c r="C3693" i="3"/>
  <c r="C638" i="3"/>
  <c r="C3692" i="3"/>
  <c r="C637" i="3"/>
  <c r="C3252" i="3"/>
  <c r="C636" i="3"/>
  <c r="C3691" i="3"/>
  <c r="C635" i="3"/>
  <c r="C3253" i="3"/>
  <c r="C634" i="3"/>
  <c r="C3690" i="3"/>
  <c r="C633" i="3"/>
  <c r="C3256" i="3"/>
  <c r="C632" i="3"/>
  <c r="C3689" i="3"/>
  <c r="C631" i="3"/>
  <c r="C3258" i="3"/>
  <c r="C630" i="3"/>
  <c r="C3259" i="3"/>
  <c r="C629" i="3"/>
  <c r="C3260" i="3"/>
  <c r="C628" i="3"/>
  <c r="C3688" i="3"/>
  <c r="C627" i="3"/>
  <c r="C3262" i="3"/>
  <c r="C626" i="3"/>
  <c r="C3687" i="3"/>
  <c r="C625" i="3"/>
  <c r="C3263" i="3"/>
  <c r="C624" i="3"/>
  <c r="C3686" i="3"/>
  <c r="C623" i="3"/>
  <c r="C3265" i="3"/>
  <c r="C622" i="3"/>
  <c r="C3685" i="3"/>
  <c r="C621" i="3"/>
  <c r="C3267" i="3"/>
  <c r="C620" i="3"/>
  <c r="C3270" i="3"/>
  <c r="C619" i="3"/>
  <c r="C3272" i="3"/>
  <c r="C618" i="3"/>
  <c r="C3274" i="3"/>
  <c r="C617" i="3"/>
  <c r="C3684" i="3"/>
  <c r="C616" i="3"/>
  <c r="C3276" i="3"/>
  <c r="C615" i="3"/>
  <c r="C3683" i="3"/>
  <c r="C614" i="3"/>
  <c r="C3282" i="3"/>
  <c r="C613" i="3"/>
  <c r="C3287" i="3"/>
  <c r="C612" i="3"/>
  <c r="C3682" i="3"/>
  <c r="C611" i="3"/>
  <c r="C3681" i="3"/>
  <c r="C610" i="3"/>
  <c r="C3289" i="3"/>
  <c r="C609" i="3"/>
  <c r="C3680" i="3"/>
  <c r="C608" i="3"/>
  <c r="C3292" i="3"/>
  <c r="C607" i="3"/>
  <c r="C3294" i="3"/>
  <c r="C606" i="3"/>
  <c r="C3679" i="3"/>
  <c r="C605" i="3"/>
  <c r="C3298" i="3"/>
  <c r="C604" i="3"/>
  <c r="C3299" i="3"/>
  <c r="C603" i="3"/>
  <c r="C3300" i="3"/>
  <c r="C602" i="3"/>
  <c r="C3303" i="3"/>
  <c r="C601" i="3"/>
  <c r="C3678" i="3"/>
  <c r="C600" i="3"/>
  <c r="C3677" i="3"/>
  <c r="C599" i="3"/>
  <c r="C3676" i="3"/>
  <c r="C598" i="3"/>
  <c r="C3675" i="3"/>
  <c r="C597" i="3"/>
  <c r="C3309" i="3"/>
  <c r="C596" i="3"/>
  <c r="C3312" i="3"/>
  <c r="C595" i="3"/>
  <c r="C3674" i="3"/>
  <c r="C594" i="3"/>
  <c r="C3315" i="3"/>
  <c r="C593" i="3"/>
  <c r="C3673" i="3"/>
  <c r="C592" i="3"/>
  <c r="C3672" i="3"/>
  <c r="C591" i="3"/>
  <c r="C3319" i="3"/>
  <c r="C590" i="3"/>
  <c r="C3331" i="3"/>
  <c r="C589" i="3"/>
  <c r="C3671" i="3"/>
  <c r="C588" i="3"/>
  <c r="C3335" i="3"/>
  <c r="C587" i="3"/>
  <c r="C3670" i="3"/>
  <c r="C586" i="3"/>
  <c r="C3337" i="3"/>
  <c r="C585" i="3"/>
  <c r="C3341" i="3"/>
  <c r="C584" i="3"/>
  <c r="C3669" i="3"/>
  <c r="C583" i="3"/>
  <c r="C3343" i="3"/>
  <c r="C582" i="3"/>
  <c r="C3668" i="3"/>
  <c r="C581" i="3"/>
  <c r="C3350" i="3"/>
  <c r="C580" i="3"/>
  <c r="C3667" i="3"/>
  <c r="C579" i="3"/>
  <c r="C3351" i="3"/>
  <c r="C578" i="3"/>
  <c r="C3666" i="3"/>
  <c r="C577" i="3"/>
  <c r="C3353" i="3"/>
  <c r="C576" i="3"/>
  <c r="C3360" i="3"/>
  <c r="C575" i="3"/>
  <c r="C3361" i="3"/>
  <c r="C574" i="3"/>
  <c r="C3665" i="3"/>
  <c r="C573" i="3"/>
  <c r="C3365" i="3"/>
  <c r="C572" i="3"/>
  <c r="C3664" i="3"/>
  <c r="C571" i="3"/>
  <c r="C3663" i="3"/>
  <c r="C570" i="3"/>
  <c r="C3662" i="3"/>
  <c r="C569" i="3"/>
  <c r="C3661" i="3"/>
  <c r="C568" i="3"/>
  <c r="C3660" i="3"/>
  <c r="C567" i="3"/>
  <c r="C3374" i="3"/>
  <c r="C566" i="3"/>
  <c r="C3376" i="3"/>
  <c r="C565" i="3"/>
  <c r="C3378" i="3"/>
  <c r="C564" i="3"/>
  <c r="C3659" i="3"/>
  <c r="C563" i="3"/>
  <c r="C3658" i="3"/>
  <c r="C562" i="3"/>
  <c r="C3380" i="3"/>
  <c r="C561" i="3"/>
  <c r="C3383" i="3"/>
  <c r="C560" i="3"/>
  <c r="C3657" i="3"/>
  <c r="C559" i="3"/>
  <c r="C3384" i="3"/>
  <c r="C558" i="3"/>
  <c r="C3656" i="3"/>
  <c r="C557" i="3"/>
  <c r="C3655" i="3"/>
  <c r="C556" i="3"/>
  <c r="C3391" i="3"/>
  <c r="C555" i="3"/>
  <c r="C3654" i="3"/>
  <c r="C554" i="3"/>
  <c r="C3392" i="3"/>
  <c r="C553" i="3"/>
  <c r="C3653" i="3"/>
  <c r="C552" i="3"/>
  <c r="C3393" i="3"/>
  <c r="C551" i="3"/>
  <c r="C3652" i="3"/>
  <c r="C550" i="3"/>
  <c r="C3394" i="3"/>
  <c r="C549" i="3"/>
  <c r="C3651" i="3"/>
  <c r="C548" i="3"/>
  <c r="C3395" i="3"/>
  <c r="C547" i="3"/>
  <c r="C3650" i="3"/>
  <c r="C546" i="3"/>
  <c r="C3396" i="3"/>
  <c r="C545" i="3"/>
  <c r="C3649" i="3"/>
  <c r="C544" i="3"/>
  <c r="C3397" i="3"/>
  <c r="C543" i="3"/>
  <c r="C3648" i="3"/>
  <c r="C542" i="3"/>
  <c r="C3398" i="3"/>
  <c r="C541" i="3"/>
  <c r="C3647" i="3"/>
  <c r="C540" i="3"/>
  <c r="C3399" i="3"/>
  <c r="C539" i="3"/>
  <c r="C3646" i="3"/>
  <c r="C538" i="3"/>
  <c r="C3400" i="3"/>
  <c r="C537" i="3"/>
  <c r="C3645" i="3"/>
  <c r="C536" i="3"/>
  <c r="C3401" i="3"/>
  <c r="C535" i="3"/>
  <c r="C3644" i="3"/>
  <c r="C534" i="3"/>
  <c r="C3402" i="3"/>
  <c r="C533" i="3"/>
  <c r="C3643" i="3"/>
  <c r="C532" i="3"/>
  <c r="C3403" i="3"/>
  <c r="C531" i="3"/>
  <c r="C3642" i="3"/>
  <c r="C530" i="3"/>
  <c r="C3404" i="3"/>
  <c r="C529" i="3"/>
  <c r="C3641" i="3"/>
  <c r="C528" i="3"/>
  <c r="C3405" i="3"/>
  <c r="C527" i="3"/>
  <c r="C3640" i="3"/>
  <c r="C526" i="3"/>
  <c r="C3406" i="3"/>
  <c r="C525" i="3"/>
  <c r="C3639" i="3"/>
  <c r="C524" i="3"/>
  <c r="C3407" i="3"/>
  <c r="C523" i="3"/>
  <c r="C3638" i="3"/>
  <c r="C522" i="3"/>
  <c r="C3408" i="3"/>
  <c r="C521" i="3"/>
  <c r="C3637" i="3"/>
  <c r="C520" i="3"/>
  <c r="C3409" i="3"/>
  <c r="C519" i="3"/>
  <c r="C3636" i="3"/>
  <c r="C518" i="3"/>
  <c r="C3410" i="3"/>
  <c r="C517" i="3"/>
  <c r="C3635" i="3"/>
  <c r="C516" i="3"/>
  <c r="C3411" i="3"/>
  <c r="C515" i="3"/>
  <c r="C3634" i="3"/>
  <c r="C514" i="3"/>
  <c r="C3412" i="3"/>
  <c r="C513" i="3"/>
  <c r="C3633" i="3"/>
  <c r="C512" i="3"/>
  <c r="C3413" i="3"/>
  <c r="C511" i="3"/>
  <c r="C3632" i="3"/>
  <c r="C510" i="3"/>
  <c r="C3414" i="3"/>
  <c r="C509" i="3"/>
  <c r="C3631" i="3"/>
  <c r="C508" i="3"/>
  <c r="C3415" i="3"/>
  <c r="C507" i="3"/>
  <c r="C3630" i="3"/>
  <c r="C506" i="3"/>
  <c r="C3416" i="3"/>
  <c r="C505" i="3"/>
  <c r="C3629" i="3"/>
  <c r="C504" i="3"/>
  <c r="C3417" i="3"/>
  <c r="C503" i="3"/>
  <c r="C3628" i="3"/>
  <c r="C502" i="3"/>
  <c r="C3418" i="3"/>
  <c r="C501" i="3"/>
  <c r="C3627" i="3"/>
  <c r="C500" i="3"/>
  <c r="C3419" i="3"/>
  <c r="C499" i="3"/>
  <c r="C3626" i="3"/>
  <c r="C498" i="3"/>
  <c r="C3420" i="3"/>
  <c r="C497" i="3"/>
  <c r="C3625" i="3"/>
  <c r="C496" i="3"/>
  <c r="C3421" i="3"/>
  <c r="C495" i="3"/>
  <c r="C3624" i="3"/>
  <c r="C494" i="3"/>
  <c r="C3422" i="3"/>
  <c r="C493" i="3"/>
  <c r="C3623" i="3"/>
  <c r="C492" i="3"/>
  <c r="C3423" i="3"/>
  <c r="C491" i="3"/>
  <c r="C3622" i="3"/>
  <c r="C490" i="3"/>
  <c r="C3424" i="3"/>
  <c r="C489" i="3"/>
  <c r="C3621" i="3"/>
  <c r="C488" i="3"/>
  <c r="C3425" i="3"/>
  <c r="C487" i="3"/>
  <c r="C3620" i="3"/>
  <c r="C486" i="3"/>
  <c r="C3426" i="3"/>
  <c r="C485" i="3"/>
  <c r="C3619" i="3"/>
  <c r="C484" i="3"/>
  <c r="C3427" i="3"/>
  <c r="C483" i="3"/>
  <c r="C3618" i="3"/>
  <c r="C482" i="3"/>
  <c r="C3428" i="3"/>
  <c r="C481" i="3"/>
  <c r="C3617" i="3"/>
  <c r="C480" i="3"/>
  <c r="C3429" i="3"/>
  <c r="C479" i="3"/>
  <c r="C3616" i="3"/>
  <c r="C478" i="3"/>
  <c r="C3430" i="3"/>
  <c r="C477" i="3"/>
  <c r="C3615" i="3"/>
  <c r="C476" i="3"/>
  <c r="C3431" i="3"/>
  <c r="C475" i="3"/>
  <c r="C3614" i="3"/>
  <c r="C474" i="3"/>
  <c r="C3432" i="3"/>
  <c r="C473" i="3"/>
  <c r="C3613" i="3"/>
  <c r="C472" i="3"/>
  <c r="C3433" i="3"/>
  <c r="C471" i="3"/>
  <c r="C3390" i="3"/>
  <c r="C470" i="3"/>
  <c r="C3434" i="3"/>
  <c r="C469" i="3"/>
  <c r="C3389" i="3"/>
  <c r="C468" i="3"/>
  <c r="C3435" i="3"/>
  <c r="C467" i="3"/>
  <c r="C3388" i="3"/>
  <c r="C466" i="3"/>
  <c r="C3436" i="3"/>
  <c r="C465" i="3"/>
  <c r="C3387" i="3"/>
  <c r="C464" i="3"/>
  <c r="C3437" i="3"/>
  <c r="C463" i="3"/>
  <c r="C3386" i="3"/>
  <c r="C462" i="3"/>
  <c r="C3438" i="3"/>
  <c r="C461" i="3"/>
  <c r="C3385" i="3"/>
  <c r="C460" i="3"/>
  <c r="C3439" i="3"/>
  <c r="C459" i="3"/>
  <c r="C3382" i="3"/>
  <c r="C458" i="3"/>
  <c r="C3440" i="3"/>
  <c r="C457" i="3"/>
  <c r="C3381" i="3"/>
  <c r="C456" i="3"/>
  <c r="C3441" i="3"/>
  <c r="C455" i="3"/>
  <c r="C3379" i="3"/>
  <c r="C454" i="3"/>
  <c r="C3442" i="3"/>
  <c r="C453" i="3"/>
  <c r="C3377" i="3"/>
  <c r="C452" i="3"/>
  <c r="C3443" i="3"/>
  <c r="C451" i="3"/>
  <c r="C3375" i="3"/>
  <c r="C450" i="3"/>
  <c r="C3444" i="3"/>
  <c r="C449" i="3"/>
  <c r="C3373" i="3"/>
  <c r="C448" i="3"/>
  <c r="C3445" i="3"/>
  <c r="C447" i="3"/>
  <c r="C3372" i="3"/>
  <c r="C446" i="3"/>
  <c r="C3446" i="3"/>
  <c r="C445" i="3"/>
  <c r="C3371" i="3"/>
  <c r="C444" i="3"/>
  <c r="C3447" i="3"/>
  <c r="C443" i="3"/>
  <c r="C3370" i="3"/>
  <c r="C442" i="3"/>
  <c r="C3448" i="3"/>
  <c r="C441" i="3"/>
  <c r="C3369" i="3"/>
  <c r="C440" i="3"/>
  <c r="C3449" i="3"/>
  <c r="C439" i="3"/>
  <c r="C3368" i="3"/>
  <c r="C438" i="3"/>
  <c r="C3450" i="3"/>
  <c r="C437" i="3"/>
  <c r="C3367" i="3"/>
  <c r="C436" i="3"/>
  <c r="C3451" i="3"/>
  <c r="C435" i="3"/>
  <c r="C3366" i="3"/>
  <c r="C434" i="3"/>
  <c r="C3452" i="3"/>
  <c r="C433" i="3"/>
  <c r="C3364" i="3"/>
  <c r="C432" i="3"/>
  <c r="C3453" i="3"/>
  <c r="C429" i="3"/>
  <c r="C3363" i="3"/>
  <c r="C3454" i="3"/>
  <c r="C3362" i="3"/>
  <c r="C425" i="3"/>
  <c r="C424" i="3"/>
  <c r="C3455" i="3"/>
  <c r="C423" i="3"/>
  <c r="C422" i="3"/>
  <c r="C420" i="3"/>
  <c r="C3359" i="3"/>
  <c r="C419" i="3"/>
  <c r="C418" i="3"/>
  <c r="C3456" i="3"/>
  <c r="C415" i="3"/>
  <c r="C413" i="3"/>
  <c r="C412" i="3"/>
  <c r="C411" i="3"/>
  <c r="C410" i="3"/>
  <c r="C3358" i="3"/>
  <c r="C408" i="3"/>
  <c r="C3457" i="3"/>
  <c r="C3357" i="3"/>
  <c r="C3458" i="3"/>
  <c r="C224" i="3"/>
  <c r="C223" i="3"/>
  <c r="C222" i="3"/>
  <c r="C3356" i="3"/>
  <c r="C220" i="3"/>
  <c r="C218" i="3"/>
  <c r="C3459" i="3"/>
  <c r="C3355" i="3"/>
  <c r="C216" i="3"/>
  <c r="C215" i="3"/>
  <c r="C3460" i="3"/>
  <c r="C214" i="3"/>
  <c r="C212" i="3"/>
  <c r="C211" i="3"/>
  <c r="C3354" i="3"/>
  <c r="C210" i="3"/>
  <c r="C3461" i="3"/>
  <c r="C208" i="3"/>
  <c r="C207" i="3"/>
  <c r="C3352" i="3"/>
  <c r="C206" i="3"/>
  <c r="C3462" i="3"/>
  <c r="C3349" i="3"/>
  <c r="C200" i="3"/>
  <c r="C3463" i="3"/>
  <c r="C198" i="3"/>
  <c r="C3348" i="3"/>
  <c r="C197" i="3"/>
  <c r="C196" i="3"/>
  <c r="C195" i="3"/>
  <c r="C193" i="3"/>
  <c r="C3464" i="3"/>
  <c r="C190" i="3"/>
  <c r="C3347" i="3"/>
  <c r="C3465" i="3"/>
  <c r="C188" i="3"/>
  <c r="C186" i="3"/>
  <c r="C185" i="3"/>
  <c r="C184" i="3"/>
  <c r="C183" i="3"/>
  <c r="C3346" i="3"/>
  <c r="C182" i="3"/>
  <c r="C181" i="3"/>
  <c r="C3466" i="3"/>
  <c r="C179" i="3"/>
  <c r="C3345" i="3"/>
  <c r="C3467" i="3"/>
  <c r="C175" i="3"/>
  <c r="C173" i="3"/>
  <c r="C172" i="3"/>
  <c r="C3344" i="3"/>
  <c r="C170" i="3"/>
  <c r="C169" i="3"/>
  <c r="C3468" i="3"/>
  <c r="C166" i="3"/>
  <c r="C3342" i="3"/>
  <c r="C165" i="3"/>
  <c r="C164" i="3"/>
  <c r="C3469" i="3"/>
  <c r="C163" i="3"/>
  <c r="C3340" i="3"/>
  <c r="C160" i="3"/>
  <c r="C3470" i="3"/>
  <c r="C159" i="3"/>
  <c r="C158" i="3"/>
  <c r="C3339" i="3"/>
  <c r="C156" i="3"/>
  <c r="C155" i="3"/>
  <c r="C154" i="3"/>
  <c r="C153" i="3"/>
  <c r="C152" i="3"/>
  <c r="C3471" i="3"/>
  <c r="C150" i="3"/>
  <c r="C149" i="3"/>
  <c r="C148" i="3"/>
  <c r="C147" i="3"/>
  <c r="C146" i="3"/>
  <c r="C3338" i="3"/>
  <c r="C3472" i="3"/>
  <c r="C3336" i="3"/>
  <c r="C142" i="3"/>
  <c r="C3473" i="3"/>
  <c r="C3334" i="3"/>
  <c r="C140" i="3"/>
  <c r="C3474" i="3"/>
  <c r="C138" i="3"/>
  <c r="C3333" i="3"/>
  <c r="C3475" i="3"/>
  <c r="C3332" i="3"/>
  <c r="C3476" i="3"/>
  <c r="C132" i="3"/>
  <c r="C3330" i="3"/>
  <c r="C3477" i="3"/>
  <c r="C129" i="3"/>
  <c r="C3329" i="3"/>
  <c r="C128" i="3"/>
  <c r="C3478" i="3"/>
  <c r="C126" i="3"/>
  <c r="C3328" i="3"/>
  <c r="C124" i="3"/>
  <c r="C123" i="3"/>
  <c r="C3479" i="3"/>
  <c r="C121" i="3"/>
  <c r="C3327" i="3"/>
  <c r="C119" i="3"/>
  <c r="C3480" i="3"/>
  <c r="C118" i="3"/>
  <c r="C117" i="3"/>
  <c r="C115" i="3"/>
  <c r="C3326" i="3"/>
  <c r="C113" i="3"/>
  <c r="C3481" i="3"/>
  <c r="C112" i="3"/>
  <c r="C3325" i="3"/>
  <c r="C110" i="3"/>
  <c r="C109" i="3"/>
  <c r="C108" i="3"/>
  <c r="C3482" i="3"/>
  <c r="C107" i="3"/>
  <c r="C3324" i="3"/>
  <c r="C106" i="3"/>
  <c r="C3483" i="3"/>
  <c r="C105" i="3"/>
  <c r="C3323" i="3"/>
  <c r="C3484" i="3"/>
  <c r="C100" i="3"/>
  <c r="C3322" i="3"/>
  <c r="C99" i="3"/>
  <c r="C3485" i="3"/>
  <c r="C3321" i="3"/>
  <c r="C3486" i="3"/>
  <c r="C94" i="3"/>
  <c r="C3320" i="3"/>
  <c r="C92" i="3"/>
  <c r="C3487" i="3"/>
  <c r="C3318" i="3"/>
  <c r="C3488" i="3"/>
  <c r="C3317" i="3"/>
  <c r="C88" i="3"/>
  <c r="C3489" i="3"/>
  <c r="C87" i="3"/>
  <c r="C86" i="3"/>
  <c r="C85" i="3"/>
  <c r="C3316" i="3"/>
  <c r="C3490" i="3"/>
  <c r="C3314" i="3"/>
  <c r="C3491" i="3"/>
  <c r="C80" i="3"/>
  <c r="C3313" i="3"/>
  <c r="C3492" i="3"/>
  <c r="C77" i="3"/>
  <c r="C75" i="3"/>
  <c r="C74" i="3"/>
  <c r="C72" i="3"/>
  <c r="C3311" i="3"/>
  <c r="C63" i="3"/>
  <c r="C3493" i="3"/>
  <c r="C61" i="3"/>
  <c r="C60" i="3"/>
  <c r="C3310" i="3"/>
  <c r="C59" i="3"/>
  <c r="C3494" i="3"/>
  <c r="C3308" i="3"/>
  <c r="C57" i="3"/>
  <c r="C3495" i="3"/>
  <c r="C3307" i="3"/>
  <c r="C3496" i="3"/>
  <c r="C3306" i="3"/>
  <c r="C50" i="3"/>
  <c r="C3497" i="3"/>
  <c r="C49" i="3"/>
  <c r="C48" i="3"/>
  <c r="C47" i="3"/>
  <c r="C3305" i="3"/>
  <c r="C3498" i="3"/>
  <c r="C43" i="3"/>
  <c r="C3304" i="3"/>
  <c r="C3499" i="3"/>
  <c r="C40" i="3"/>
  <c r="C39" i="3"/>
  <c r="C3302" i="3"/>
  <c r="C37" i="3"/>
  <c r="C3500" i="3"/>
  <c r="C3301" i="3"/>
  <c r="C3501" i="3"/>
  <c r="C3297" i="3"/>
  <c r="C3502" i="3"/>
  <c r="C3296" i="3"/>
  <c r="C30" i="3"/>
  <c r="C3503" i="3"/>
  <c r="C28" i="3"/>
  <c r="C3295" i="3"/>
  <c r="C3504" i="3"/>
  <c r="C26" i="3"/>
  <c r="C3293" i="3"/>
  <c r="C24" i="3"/>
  <c r="C20" i="3"/>
  <c r="C18" i="3"/>
  <c r="C3505" i="3"/>
  <c r="C17" i="3"/>
  <c r="C3291" i="3"/>
  <c r="C16" i="3"/>
  <c r="C3506" i="3"/>
  <c r="C3290" i="3"/>
  <c r="C3507" i="3"/>
  <c r="C8" i="3"/>
  <c r="C3956" i="3"/>
  <c r="C3036" i="3"/>
  <c r="C3029" i="3"/>
  <c r="C3957" i="3"/>
  <c r="C3958" i="3"/>
  <c r="C3959" i="3"/>
  <c r="C3960" i="3"/>
  <c r="C3024" i="3"/>
  <c r="C3961" i="3"/>
  <c r="C3017" i="3"/>
  <c r="C3015" i="3"/>
  <c r="C3013" i="3"/>
  <c r="C3962" i="3"/>
  <c r="C3012" i="3"/>
  <c r="C3010" i="3"/>
  <c r="C3963" i="3"/>
  <c r="C3964" i="3"/>
  <c r="C3005" i="3"/>
  <c r="C3001" i="3"/>
  <c r="C3000" i="3"/>
  <c r="C3965" i="3"/>
  <c r="C3966" i="3"/>
  <c r="C2997" i="3"/>
  <c r="C3967" i="3"/>
  <c r="C3968" i="3"/>
  <c r="C2993" i="3"/>
  <c r="C3969" i="3"/>
  <c r="C2988" i="3"/>
  <c r="C2987" i="3"/>
  <c r="C3970" i="3"/>
  <c r="C2986" i="3"/>
  <c r="C2985" i="3"/>
  <c r="C2983" i="3"/>
  <c r="C2982" i="3"/>
  <c r="C3971" i="3"/>
  <c r="C2979" i="3"/>
  <c r="C3972" i="3"/>
  <c r="C3973" i="3"/>
  <c r="C3974" i="3"/>
  <c r="C3975" i="3"/>
  <c r="C3976" i="3"/>
  <c r="C3977" i="3"/>
  <c r="C3978" i="3"/>
  <c r="C3979" i="3"/>
  <c r="C3980" i="3"/>
  <c r="C3981" i="3"/>
  <c r="C3982" i="3"/>
  <c r="C3983" i="3"/>
  <c r="C3984" i="3"/>
  <c r="C3985" i="3"/>
  <c r="C3986" i="3"/>
  <c r="C3987" i="3"/>
  <c r="C3988" i="3"/>
  <c r="C3989" i="3"/>
  <c r="C3990" i="3"/>
  <c r="C3991" i="3"/>
  <c r="C3992" i="3"/>
  <c r="C3993" i="3"/>
  <c r="C3994" i="3"/>
  <c r="C3995" i="3"/>
  <c r="C3996" i="3"/>
  <c r="C3997" i="3"/>
  <c r="C3998" i="3"/>
  <c r="C3999" i="3"/>
  <c r="C3288" i="3"/>
  <c r="C3508" i="3"/>
  <c r="C3286" i="3"/>
  <c r="C3509" i="3"/>
  <c r="C3285" i="3"/>
  <c r="C3510" i="3"/>
  <c r="C3284" i="3"/>
  <c r="C3511" i="3"/>
  <c r="C3283" i="3"/>
  <c r="C3512" i="3"/>
  <c r="C407" i="3"/>
  <c r="C3281" i="3"/>
  <c r="C406" i="3"/>
  <c r="C3513" i="3"/>
  <c r="C405" i="3"/>
  <c r="C3280" i="3"/>
  <c r="C404" i="3"/>
  <c r="C3514" i="3"/>
  <c r="C403" i="3"/>
  <c r="C3279" i="3"/>
  <c r="C402" i="3"/>
  <c r="C3515" i="3"/>
  <c r="C401" i="3"/>
  <c r="C3278" i="3"/>
  <c r="C400" i="3"/>
  <c r="C3516" i="3"/>
  <c r="C399" i="3"/>
  <c r="C3277" i="3"/>
  <c r="C398" i="3"/>
  <c r="C3517" i="3"/>
  <c r="C397" i="3"/>
  <c r="C3275" i="3"/>
  <c r="C396" i="3"/>
  <c r="C3518" i="3"/>
  <c r="C395" i="3"/>
  <c r="C3273" i="3"/>
  <c r="C394" i="3"/>
  <c r="C3519" i="3"/>
  <c r="C393" i="3"/>
  <c r="C3271" i="3"/>
  <c r="C392" i="3"/>
  <c r="C3520" i="3"/>
  <c r="C391" i="3"/>
  <c r="C3269" i="3"/>
  <c r="C390" i="3"/>
  <c r="C3521" i="3"/>
  <c r="C389" i="3"/>
  <c r="C3268" i="3"/>
  <c r="C388" i="3"/>
  <c r="C3522" i="3"/>
  <c r="C387" i="3"/>
  <c r="C3266" i="3"/>
  <c r="C386" i="3"/>
  <c r="C3523" i="3"/>
  <c r="C385" i="3"/>
  <c r="C3264" i="3"/>
  <c r="C384" i="3"/>
  <c r="C3524" i="3"/>
  <c r="C383" i="3"/>
  <c r="C3261" i="3"/>
  <c r="C382" i="3"/>
  <c r="C3525" i="3"/>
  <c r="C381" i="3"/>
  <c r="C3257" i="3"/>
  <c r="C380" i="3"/>
  <c r="C3526" i="3"/>
  <c r="C379" i="3"/>
  <c r="C3255" i="3"/>
  <c r="C378" i="3"/>
  <c r="C3527" i="3"/>
  <c r="C377" i="3"/>
  <c r="C3254" i="3"/>
  <c r="C376" i="3"/>
  <c r="C3528" i="3"/>
  <c r="C375" i="3"/>
  <c r="C3251" i="3"/>
  <c r="C374" i="3"/>
  <c r="C3529" i="3"/>
  <c r="C373" i="3"/>
  <c r="C3249" i="3"/>
  <c r="C372" i="3"/>
  <c r="C3530" i="3"/>
  <c r="C371" i="3"/>
  <c r="C3248" i="3"/>
  <c r="C370" i="3"/>
  <c r="C3531" i="3"/>
  <c r="C369" i="3"/>
  <c r="C3246" i="3"/>
  <c r="C368" i="3"/>
  <c r="C3532" i="3"/>
  <c r="C367" i="3"/>
  <c r="C3245" i="3"/>
  <c r="C366" i="3"/>
  <c r="C3533" i="3"/>
  <c r="C365" i="3"/>
  <c r="C3242" i="3"/>
  <c r="C364" i="3"/>
  <c r="C3534" i="3"/>
  <c r="C363" i="3"/>
  <c r="C3241" i="3"/>
  <c r="C362" i="3"/>
  <c r="C3535" i="3"/>
  <c r="C361" i="3"/>
  <c r="C3240" i="3"/>
  <c r="C360" i="3"/>
  <c r="C3536" i="3"/>
  <c r="C359" i="3"/>
  <c r="C3239" i="3"/>
  <c r="C358" i="3"/>
  <c r="C3537" i="3"/>
  <c r="C357" i="3"/>
  <c r="C3237" i="3"/>
  <c r="C356" i="3"/>
  <c r="C3538" i="3"/>
  <c r="C355" i="3"/>
  <c r="C3235" i="3"/>
  <c r="C354" i="3"/>
  <c r="C3539" i="3"/>
  <c r="C353" i="3"/>
  <c r="C3234" i="3"/>
  <c r="C352" i="3"/>
  <c r="C3540" i="3"/>
  <c r="C351" i="3"/>
  <c r="C3233" i="3"/>
  <c r="C350" i="3"/>
  <c r="C3541" i="3"/>
  <c r="C349" i="3"/>
  <c r="C3232" i="3"/>
  <c r="C348" i="3"/>
  <c r="C3542" i="3"/>
  <c r="C347" i="3"/>
  <c r="C3228" i="3"/>
  <c r="C346" i="3"/>
  <c r="C3543" i="3"/>
  <c r="C345" i="3"/>
  <c r="C3226" i="3"/>
  <c r="C344" i="3"/>
  <c r="C3544" i="3"/>
  <c r="C343" i="3"/>
  <c r="C3222" i="3"/>
  <c r="C342" i="3"/>
  <c r="C3545" i="3"/>
  <c r="C341" i="3"/>
  <c r="C3220" i="3"/>
  <c r="C340" i="3"/>
  <c r="C3546" i="3"/>
  <c r="C339" i="3"/>
  <c r="C3216" i="3"/>
  <c r="C338" i="3"/>
  <c r="C3547" i="3"/>
  <c r="C337" i="3"/>
  <c r="C3215" i="3"/>
  <c r="C336" i="3"/>
  <c r="C3548" i="3"/>
  <c r="C335" i="3"/>
  <c r="C3214" i="3"/>
  <c r="C334" i="3"/>
  <c r="C3549" i="3"/>
  <c r="C333" i="3"/>
  <c r="C3213" i="3"/>
  <c r="C332" i="3"/>
  <c r="C3550" i="3"/>
  <c r="C331" i="3"/>
  <c r="C3129" i="3"/>
  <c r="C330" i="3"/>
  <c r="C3551" i="3"/>
  <c r="C329" i="3"/>
  <c r="C3128" i="3"/>
  <c r="C328" i="3"/>
  <c r="C3552" i="3"/>
  <c r="C327" i="3"/>
  <c r="C3127" i="3"/>
  <c r="C326" i="3"/>
  <c r="C3553" i="3"/>
  <c r="C325" i="3"/>
  <c r="C3126" i="3"/>
  <c r="C324" i="3"/>
  <c r="C3554" i="3"/>
  <c r="C323" i="3"/>
  <c r="C3125" i="3"/>
  <c r="C322" i="3"/>
  <c r="C3555" i="3"/>
  <c r="C321" i="3"/>
  <c r="C3121" i="3"/>
  <c r="C320" i="3"/>
  <c r="C3556" i="3"/>
  <c r="C319" i="3"/>
  <c r="C3120" i="3"/>
  <c r="C318" i="3"/>
  <c r="C3557" i="3"/>
  <c r="C317" i="3"/>
  <c r="C3119" i="3"/>
  <c r="C316" i="3"/>
  <c r="C3558" i="3"/>
  <c r="C315" i="3"/>
  <c r="C3115" i="3"/>
  <c r="C314" i="3"/>
  <c r="C3559" i="3"/>
  <c r="C313" i="3"/>
  <c r="C3112" i="3"/>
  <c r="C312" i="3"/>
  <c r="C3560" i="3"/>
  <c r="C311" i="3"/>
  <c r="C3111" i="3"/>
  <c r="C310" i="3"/>
  <c r="C3561" i="3"/>
  <c r="C309" i="3"/>
  <c r="C3110" i="3"/>
  <c r="C308" i="3"/>
  <c r="C3562" i="3"/>
  <c r="C307" i="3"/>
  <c r="C3105" i="3"/>
  <c r="C306" i="3"/>
  <c r="C3563" i="3"/>
  <c r="C305" i="3"/>
  <c r="C3101" i="3"/>
  <c r="C304" i="3"/>
  <c r="C3564" i="3"/>
  <c r="C303" i="3"/>
  <c r="C3098" i="3"/>
  <c r="C302" i="3"/>
  <c r="C3565" i="3"/>
  <c r="C301" i="3"/>
  <c r="C3096" i="3"/>
  <c r="C300" i="3"/>
  <c r="C3566" i="3"/>
  <c r="C299" i="3"/>
  <c r="C3092" i="3"/>
  <c r="C298" i="3"/>
  <c r="C3567" i="3"/>
  <c r="C297" i="3"/>
  <c r="C3090" i="3"/>
  <c r="C296" i="3"/>
  <c r="C3568" i="3"/>
  <c r="C295" i="3"/>
  <c r="C3087" i="3"/>
  <c r="C294" i="3"/>
  <c r="C3569" i="3"/>
  <c r="C293" i="3"/>
  <c r="C3086" i="3"/>
  <c r="C292" i="3"/>
  <c r="C3570" i="3"/>
  <c r="C291" i="3"/>
  <c r="C3085" i="3"/>
  <c r="C290" i="3"/>
  <c r="C3571" i="3"/>
  <c r="C289" i="3"/>
  <c r="C3084" i="3"/>
  <c r="C288" i="3"/>
  <c r="C3572" i="3"/>
  <c r="C287" i="3"/>
  <c r="C3083" i="3"/>
  <c r="C286" i="3"/>
  <c r="C3573" i="3"/>
  <c r="C285" i="3"/>
  <c r="C3079" i="3"/>
  <c r="C284" i="3"/>
  <c r="C3574" i="3"/>
  <c r="C283" i="3"/>
  <c r="C3078" i="3"/>
  <c r="C282" i="3"/>
  <c r="C3575" i="3"/>
  <c r="C281" i="3"/>
  <c r="C3077" i="3"/>
  <c r="C280" i="3"/>
  <c r="C3576" i="3"/>
  <c r="C279" i="3"/>
  <c r="C3076" i="3"/>
  <c r="C278" i="3"/>
  <c r="C3577" i="3"/>
  <c r="C277" i="3"/>
  <c r="C3075" i="3"/>
  <c r="C276" i="3"/>
  <c r="C3578" i="3"/>
  <c r="C275" i="3"/>
  <c r="C3074" i="3"/>
  <c r="C274" i="3"/>
  <c r="C3579" i="3"/>
  <c r="C273" i="3"/>
  <c r="C3073" i="3"/>
  <c r="C272" i="3"/>
  <c r="C3580" i="3"/>
  <c r="C271" i="3"/>
  <c r="C3071" i="3"/>
  <c r="C270" i="3"/>
  <c r="C3581" i="3"/>
  <c r="C269" i="3"/>
  <c r="C3069" i="3"/>
  <c r="C268" i="3"/>
  <c r="C3582" i="3"/>
  <c r="C267" i="3"/>
  <c r="C3067" i="3"/>
  <c r="C266" i="3"/>
  <c r="C3583" i="3"/>
  <c r="C265" i="3"/>
  <c r="C3065" i="3"/>
  <c r="C264" i="3"/>
  <c r="C3584" i="3"/>
  <c r="C263" i="3"/>
  <c r="C3064" i="3"/>
  <c r="C262" i="3"/>
  <c r="C3585" i="3"/>
  <c r="C261" i="3"/>
  <c r="C3063" i="3"/>
  <c r="C260" i="3"/>
  <c r="C3586" i="3"/>
  <c r="C259" i="3"/>
  <c r="C3062" i="3"/>
  <c r="C258" i="3"/>
  <c r="C3587" i="3"/>
  <c r="C257" i="3"/>
  <c r="C3061" i="3"/>
  <c r="C256" i="3"/>
  <c r="C3588" i="3"/>
  <c r="C255" i="3"/>
  <c r="C3060" i="3"/>
  <c r="C254" i="3"/>
  <c r="C3589" i="3"/>
  <c r="C253" i="3"/>
  <c r="C3059" i="3"/>
  <c r="C252" i="3"/>
  <c r="C3590" i="3"/>
  <c r="C251" i="3"/>
  <c r="C3058" i="3"/>
  <c r="C250" i="3"/>
  <c r="C3591" i="3"/>
  <c r="C249" i="3"/>
  <c r="C3055" i="3"/>
  <c r="C248" i="3"/>
  <c r="C3592" i="3"/>
  <c r="C247" i="3"/>
  <c r="C3054" i="3"/>
  <c r="C246" i="3"/>
  <c r="C3593" i="3"/>
  <c r="C245" i="3"/>
  <c r="C3052" i="3"/>
  <c r="C244" i="3"/>
  <c r="C3594" i="3"/>
  <c r="C243" i="3"/>
  <c r="C3051" i="3"/>
  <c r="C242" i="3"/>
  <c r="C3595" i="3"/>
  <c r="C241" i="3"/>
  <c r="C3050" i="3"/>
  <c r="C240" i="3"/>
  <c r="C3596" i="3"/>
  <c r="C239" i="3"/>
  <c r="C3048" i="3"/>
  <c r="C238" i="3"/>
  <c r="C3597" i="3"/>
  <c r="C237" i="3"/>
  <c r="C3047" i="3"/>
  <c r="C236" i="3"/>
  <c r="C3598" i="3"/>
  <c r="C235" i="3"/>
  <c r="C3045" i="3"/>
  <c r="C234" i="3"/>
  <c r="C3599" i="3"/>
  <c r="C233" i="3"/>
  <c r="C3044" i="3"/>
  <c r="C232" i="3"/>
  <c r="C3600" i="3"/>
  <c r="C231" i="3"/>
  <c r="C3043" i="3"/>
  <c r="C230" i="3"/>
  <c r="C3601" i="3"/>
  <c r="C229" i="3"/>
  <c r="C227" i="3"/>
  <c r="C226" i="3"/>
  <c r="C221" i="3"/>
  <c r="C219" i="3"/>
  <c r="C3042" i="3"/>
  <c r="C3602" i="3"/>
  <c r="C213" i="3"/>
  <c r="C3039" i="3"/>
  <c r="C203" i="3"/>
  <c r="C202" i="3"/>
  <c r="C3603" i="3"/>
  <c r="C192" i="3"/>
  <c r="C3038" i="3"/>
  <c r="C3604" i="3"/>
  <c r="C3037" i="3"/>
  <c r="C180" i="3"/>
  <c r="C3605" i="3"/>
  <c r="C178" i="3"/>
  <c r="C177" i="3"/>
  <c r="C3033" i="3"/>
  <c r="C3606" i="3"/>
  <c r="C143" i="3"/>
  <c r="C137" i="3"/>
  <c r="C136" i="3"/>
  <c r="C3032" i="3"/>
  <c r="C135" i="3"/>
  <c r="C133" i="3"/>
  <c r="C131" i="3"/>
  <c r="C3607" i="3"/>
  <c r="C125" i="3"/>
  <c r="C3031" i="3"/>
  <c r="C122" i="3"/>
  <c r="C3608" i="3"/>
  <c r="C116" i="3"/>
  <c r="C3030" i="3"/>
  <c r="C3609" i="3"/>
  <c r="C104" i="3"/>
  <c r="C103" i="3"/>
  <c r="C98" i="3"/>
  <c r="C96" i="3"/>
  <c r="C95" i="3"/>
  <c r="C3028" i="3"/>
  <c r="C79" i="3"/>
  <c r="C78" i="3"/>
  <c r="C76" i="3"/>
  <c r="C3610" i="3"/>
  <c r="C3025" i="3"/>
  <c r="C3611" i="3"/>
  <c r="C65" i="3"/>
  <c r="C64" i="3"/>
  <c r="C62" i="3"/>
  <c r="C58" i="3"/>
  <c r="C56" i="3"/>
  <c r="C53" i="3"/>
  <c r="C3021" i="3"/>
  <c r="C3612" i="3"/>
  <c r="C46" i="3"/>
  <c r="C45" i="3"/>
  <c r="C42" i="3"/>
  <c r="C41" i="3"/>
  <c r="C3020" i="3"/>
  <c r="C3019" i="3"/>
  <c r="C38" i="3"/>
  <c r="C29" i="3"/>
  <c r="C3018" i="3"/>
  <c r="C3014" i="3"/>
  <c r="C21" i="3"/>
  <c r="C3009" i="3"/>
  <c r="C15" i="3"/>
  <c r="C14" i="3"/>
  <c r="C3004" i="3"/>
  <c r="C11" i="3"/>
  <c r="C3003" i="3"/>
  <c r="C9" i="3"/>
  <c r="C2998" i="3"/>
  <c r="C4000" i="3"/>
  <c r="C2991" i="3"/>
  <c r="C4001" i="3"/>
  <c r="C4002" i="3"/>
  <c r="C4003" i="3"/>
  <c r="C4004" i="3"/>
  <c r="C4005" i="3"/>
  <c r="C4006" i="3"/>
  <c r="C4007" i="3"/>
  <c r="C4008" i="3"/>
  <c r="C1557" i="3"/>
  <c r="C1558" i="3"/>
  <c r="C874" i="3"/>
  <c r="B10" i="4" l="1"/>
  <c r="D6" i="5"/>
  <c r="E11" i="3"/>
  <c r="F10" i="3"/>
  <c r="D11" i="3"/>
  <c r="J10" i="3"/>
  <c r="H10" i="3"/>
  <c r="B11" i="4" l="1"/>
  <c r="D5" i="5" s="1"/>
  <c r="D8" i="5"/>
  <c r="I11" i="3"/>
  <c r="E12" i="3"/>
  <c r="J11" i="3"/>
  <c r="H11" i="3"/>
  <c r="D12" i="3"/>
  <c r="F11" i="3"/>
  <c r="I12" i="3" l="1"/>
  <c r="E13" i="3"/>
  <c r="J12" i="3"/>
  <c r="H12" i="3"/>
  <c r="D13" i="3"/>
  <c r="F12" i="3"/>
  <c r="I13" i="3" l="1"/>
  <c r="E14" i="3"/>
  <c r="J13" i="3"/>
  <c r="H13" i="3"/>
  <c r="F13" i="3"/>
  <c r="D14" i="3"/>
  <c r="I14" i="3" l="1"/>
  <c r="E15" i="3"/>
  <c r="H14" i="3"/>
  <c r="J14" i="3"/>
  <c r="F14" i="3"/>
  <c r="D15" i="3"/>
  <c r="I15" i="3" l="1"/>
  <c r="E16" i="3"/>
  <c r="J15" i="3"/>
  <c r="H15" i="3"/>
  <c r="F15" i="3"/>
  <c r="D16" i="3"/>
  <c r="I16" i="3" l="1"/>
  <c r="E17" i="3"/>
  <c r="J16" i="3"/>
  <c r="H16" i="3"/>
  <c r="D17" i="3"/>
  <c r="F16" i="3"/>
  <c r="I17" i="3" l="1"/>
  <c r="E18" i="3"/>
  <c r="J17" i="3"/>
  <c r="H17" i="3"/>
  <c r="D18" i="3"/>
  <c r="F17" i="3"/>
  <c r="I18" i="3" l="1"/>
  <c r="E19" i="3"/>
  <c r="H18" i="3"/>
  <c r="J18" i="3"/>
  <c r="F18" i="3"/>
  <c r="D19" i="3"/>
  <c r="I19" i="3" l="1"/>
  <c r="E20" i="3"/>
  <c r="J19" i="3"/>
  <c r="H19" i="3"/>
  <c r="F19" i="3"/>
  <c r="D20" i="3"/>
  <c r="I20" i="3" l="1"/>
  <c r="E21" i="3"/>
  <c r="H20" i="3"/>
  <c r="J20" i="3"/>
  <c r="F20" i="3"/>
  <c r="D21" i="3"/>
  <c r="I21" i="3" l="1"/>
  <c r="E22" i="3"/>
  <c r="J21" i="3"/>
  <c r="H21" i="3"/>
  <c r="F21" i="3"/>
  <c r="D22" i="3"/>
  <c r="I22" i="3" l="1"/>
  <c r="E23" i="3"/>
  <c r="H22" i="3"/>
  <c r="J22" i="3"/>
  <c r="F22" i="3"/>
  <c r="D23" i="3"/>
  <c r="I23" i="3" l="1"/>
  <c r="E24" i="3"/>
  <c r="J23" i="3"/>
  <c r="H23" i="3"/>
  <c r="F23" i="3"/>
  <c r="D24" i="3"/>
  <c r="I24" i="3" l="1"/>
  <c r="E25" i="3"/>
  <c r="J24" i="3"/>
  <c r="H24" i="3"/>
  <c r="F24" i="3"/>
  <c r="D25" i="3"/>
  <c r="I25" i="3" l="1"/>
  <c r="E26" i="3"/>
  <c r="H25" i="3"/>
  <c r="J25" i="3"/>
  <c r="F25" i="3"/>
  <c r="D26" i="3"/>
  <c r="I26" i="3" l="1"/>
  <c r="E27" i="3"/>
  <c r="J26" i="3"/>
  <c r="H26" i="3"/>
  <c r="F26" i="3"/>
  <c r="D27" i="3"/>
  <c r="I27" i="3" l="1"/>
  <c r="E28" i="3"/>
  <c r="H27" i="3"/>
  <c r="J27" i="3"/>
  <c r="D28" i="3"/>
  <c r="F27" i="3"/>
  <c r="I28" i="3" l="1"/>
  <c r="E29" i="3"/>
  <c r="J28" i="3"/>
  <c r="H28" i="3"/>
  <c r="D29" i="3"/>
  <c r="F28" i="3"/>
  <c r="I29" i="3" l="1"/>
  <c r="E30" i="3"/>
  <c r="J29" i="3"/>
  <c r="H29" i="3"/>
  <c r="D30" i="3"/>
  <c r="F29" i="3"/>
  <c r="I30" i="3" l="1"/>
  <c r="E31" i="3"/>
  <c r="J30" i="3"/>
  <c r="H30" i="3"/>
  <c r="F30" i="3"/>
  <c r="D31" i="3"/>
  <c r="I31" i="3" l="1"/>
  <c r="E32" i="3"/>
  <c r="J31" i="3"/>
  <c r="H31" i="3"/>
  <c r="D32" i="3"/>
  <c r="F31" i="3"/>
  <c r="I32" i="3" l="1"/>
  <c r="E33" i="3"/>
  <c r="J32" i="3"/>
  <c r="H32" i="3"/>
  <c r="F32" i="3"/>
  <c r="D33" i="3"/>
  <c r="I33" i="3" l="1"/>
  <c r="E34" i="3"/>
  <c r="J33" i="3"/>
  <c r="H33" i="3"/>
  <c r="F33" i="3"/>
  <c r="D34" i="3"/>
  <c r="I34" i="3" l="1"/>
  <c r="E35" i="3"/>
  <c r="J34" i="3"/>
  <c r="H34" i="3"/>
  <c r="F34" i="3"/>
  <c r="D35" i="3"/>
  <c r="I35" i="3" l="1"/>
  <c r="E36" i="3"/>
  <c r="J35" i="3"/>
  <c r="H35" i="3"/>
  <c r="D36" i="3"/>
  <c r="F35" i="3"/>
  <c r="I36" i="3" l="1"/>
  <c r="E37" i="3"/>
  <c r="J36" i="3"/>
  <c r="H36" i="3"/>
  <c r="F36" i="3"/>
  <c r="D37" i="3"/>
  <c r="I37" i="3" l="1"/>
  <c r="E38" i="3"/>
  <c r="J37" i="3"/>
  <c r="H37" i="3"/>
  <c r="D38" i="3"/>
  <c r="F37" i="3"/>
  <c r="I38" i="3" l="1"/>
  <c r="E39" i="3"/>
  <c r="J38" i="3"/>
  <c r="H38" i="3"/>
  <c r="D39" i="3"/>
  <c r="F38" i="3"/>
  <c r="I39" i="3" l="1"/>
  <c r="E40" i="3"/>
  <c r="H39" i="3"/>
  <c r="J39" i="3"/>
  <c r="F39" i="3"/>
  <c r="D40" i="3"/>
  <c r="I40" i="3" l="1"/>
  <c r="E41" i="3"/>
  <c r="J40" i="3"/>
  <c r="H40" i="3"/>
  <c r="F40" i="3"/>
  <c r="D41" i="3"/>
  <c r="I41" i="3" l="1"/>
  <c r="E42" i="3"/>
  <c r="J41" i="3"/>
  <c r="H41" i="3"/>
  <c r="F41" i="3"/>
  <c r="D42" i="3"/>
  <c r="I42" i="3" l="1"/>
  <c r="E43" i="3"/>
  <c r="J42" i="3"/>
  <c r="H42" i="3"/>
  <c r="F42" i="3"/>
  <c r="D43" i="3"/>
  <c r="I43" i="3" l="1"/>
  <c r="E44" i="3"/>
  <c r="J43" i="3"/>
  <c r="H43" i="3"/>
  <c r="F43" i="3"/>
  <c r="D44" i="3"/>
  <c r="I44" i="3" l="1"/>
  <c r="E45" i="3"/>
  <c r="J44" i="3"/>
  <c r="H44" i="3"/>
  <c r="D45" i="3"/>
  <c r="F44" i="3"/>
  <c r="I45" i="3" l="1"/>
  <c r="E46" i="3"/>
  <c r="J45" i="3"/>
  <c r="H45" i="3"/>
  <c r="D46" i="3"/>
  <c r="F45" i="3"/>
  <c r="I46" i="3" l="1"/>
  <c r="E47" i="3"/>
  <c r="J46" i="3"/>
  <c r="H46" i="3"/>
  <c r="D47" i="3"/>
  <c r="F46" i="3"/>
  <c r="I47" i="3" l="1"/>
  <c r="E48" i="3"/>
  <c r="J47" i="3"/>
  <c r="H47" i="3"/>
  <c r="F47" i="3"/>
  <c r="D48" i="3"/>
  <c r="I48" i="3" l="1"/>
  <c r="E49" i="3"/>
  <c r="J48" i="3"/>
  <c r="H48" i="3"/>
  <c r="F48" i="3"/>
  <c r="D49" i="3"/>
  <c r="I49" i="3" l="1"/>
  <c r="E50" i="3"/>
  <c r="J49" i="3"/>
  <c r="H49" i="3"/>
  <c r="F49" i="3"/>
  <c r="D50" i="3"/>
  <c r="I50" i="3" l="1"/>
  <c r="E51" i="3"/>
  <c r="J50" i="3"/>
  <c r="H50" i="3"/>
  <c r="F50" i="3"/>
  <c r="D51" i="3"/>
  <c r="I51" i="3" l="1"/>
  <c r="E52" i="3"/>
  <c r="J51" i="3"/>
  <c r="H51" i="3"/>
  <c r="D52" i="3"/>
  <c r="F51" i="3"/>
  <c r="I52" i="3" l="1"/>
  <c r="E53" i="3"/>
  <c r="J52" i="3"/>
  <c r="H52" i="3"/>
  <c r="F52" i="3"/>
  <c r="D53" i="3"/>
  <c r="I53" i="3" l="1"/>
  <c r="E54" i="3"/>
  <c r="J53" i="3"/>
  <c r="H53" i="3"/>
  <c r="D54" i="3"/>
  <c r="F53" i="3"/>
  <c r="I54" i="3" l="1"/>
  <c r="E55" i="3"/>
  <c r="J54" i="3"/>
  <c r="H54" i="3"/>
  <c r="F54" i="3"/>
  <c r="D55" i="3"/>
  <c r="I55" i="3" l="1"/>
  <c r="E56" i="3"/>
  <c r="J55" i="3"/>
  <c r="H55" i="3"/>
  <c r="F55" i="3"/>
  <c r="D56" i="3"/>
  <c r="I56" i="3" l="1"/>
  <c r="E57" i="3"/>
  <c r="J56" i="3"/>
  <c r="H56" i="3"/>
  <c r="D57" i="3"/>
  <c r="F56" i="3"/>
  <c r="I57" i="3" l="1"/>
  <c r="E58" i="3"/>
  <c r="J57" i="3"/>
  <c r="H57" i="3"/>
  <c r="F57" i="3"/>
  <c r="D58" i="3"/>
  <c r="I58" i="3" l="1"/>
  <c r="E59" i="3"/>
  <c r="J58" i="3"/>
  <c r="H58" i="3"/>
  <c r="D59" i="3"/>
  <c r="F58" i="3"/>
  <c r="I59" i="3" l="1"/>
  <c r="E60" i="3"/>
  <c r="H59" i="3"/>
  <c r="J59" i="3"/>
  <c r="F59" i="3"/>
  <c r="D60" i="3"/>
  <c r="I60" i="3" l="1"/>
  <c r="E61" i="3"/>
  <c r="J60" i="3"/>
  <c r="H60" i="3"/>
  <c r="F60" i="3"/>
  <c r="D61" i="3"/>
  <c r="I61" i="3" l="1"/>
  <c r="E62" i="3"/>
  <c r="J61" i="3"/>
  <c r="H61" i="3"/>
  <c r="F61" i="3"/>
  <c r="D62" i="3"/>
  <c r="I62" i="3" l="1"/>
  <c r="E63" i="3"/>
  <c r="H62" i="3"/>
  <c r="J62" i="3"/>
  <c r="F62" i="3"/>
  <c r="D63" i="3"/>
  <c r="I63" i="3" l="1"/>
  <c r="E64" i="3"/>
  <c r="J63" i="3"/>
  <c r="H63" i="3"/>
  <c r="F63" i="3"/>
  <c r="D64" i="3"/>
  <c r="I64" i="3" l="1"/>
  <c r="E65" i="3"/>
  <c r="H64" i="3"/>
  <c r="J64" i="3"/>
  <c r="F64" i="3"/>
  <c r="D65" i="3"/>
  <c r="I65" i="3" l="1"/>
  <c r="E66" i="3"/>
  <c r="H65" i="3"/>
  <c r="J65" i="3"/>
  <c r="F65" i="3"/>
  <c r="D66" i="3"/>
  <c r="I66" i="3" l="1"/>
  <c r="E67" i="3"/>
  <c r="J66" i="3"/>
  <c r="H66" i="3"/>
  <c r="F66" i="3"/>
  <c r="D67" i="3"/>
  <c r="I67" i="3" l="1"/>
  <c r="E68" i="3"/>
  <c r="J67" i="3"/>
  <c r="H67" i="3"/>
  <c r="F67" i="3"/>
  <c r="D68" i="3"/>
  <c r="I68" i="3" l="1"/>
  <c r="E69" i="3"/>
  <c r="J68" i="3"/>
  <c r="H68" i="3"/>
  <c r="F68" i="3"/>
  <c r="D69" i="3"/>
  <c r="I69" i="3" l="1"/>
  <c r="E70" i="3"/>
  <c r="J69" i="3"/>
  <c r="H69" i="3"/>
  <c r="D70" i="3"/>
  <c r="F69" i="3"/>
  <c r="I70" i="3" l="1"/>
  <c r="E71" i="3"/>
  <c r="J70" i="3"/>
  <c r="H70" i="3"/>
  <c r="F70" i="3"/>
  <c r="D71" i="3"/>
  <c r="I71" i="3" l="1"/>
  <c r="E72" i="3"/>
  <c r="J71" i="3"/>
  <c r="H71" i="3"/>
  <c r="F71" i="3"/>
  <c r="D72" i="3"/>
  <c r="I72" i="3" l="1"/>
  <c r="E73" i="3"/>
  <c r="H72" i="3"/>
  <c r="J72" i="3"/>
  <c r="F72" i="3"/>
  <c r="D73" i="3"/>
  <c r="I73" i="3" l="1"/>
  <c r="E74" i="3"/>
  <c r="H73" i="3"/>
  <c r="J73" i="3"/>
  <c r="D74" i="3"/>
  <c r="F73" i="3"/>
  <c r="I74" i="3" l="1"/>
  <c r="E75" i="3"/>
  <c r="H74" i="3"/>
  <c r="J74" i="3"/>
  <c r="F74" i="3"/>
  <c r="D75" i="3"/>
  <c r="I75" i="3" l="1"/>
  <c r="E76" i="3"/>
  <c r="J75" i="3"/>
  <c r="H75" i="3"/>
  <c r="F75" i="3"/>
  <c r="D76" i="3"/>
  <c r="I76" i="3" l="1"/>
  <c r="E77" i="3"/>
  <c r="H76" i="3"/>
  <c r="J76" i="3"/>
  <c r="F76" i="3"/>
  <c r="D77" i="3"/>
  <c r="I77" i="3" l="1"/>
  <c r="E78" i="3"/>
  <c r="J77" i="3"/>
  <c r="H77" i="3"/>
  <c r="D78" i="3"/>
  <c r="F77" i="3"/>
  <c r="I78" i="3" l="1"/>
  <c r="E79" i="3"/>
  <c r="J78" i="3"/>
  <c r="H78" i="3"/>
  <c r="F78" i="3"/>
  <c r="D79" i="3"/>
  <c r="I79" i="3" l="1"/>
  <c r="E80" i="3"/>
  <c r="J79" i="3"/>
  <c r="H79" i="3"/>
  <c r="F79" i="3"/>
  <c r="D80" i="3"/>
  <c r="I80" i="3" l="1"/>
  <c r="E81" i="3"/>
  <c r="J80" i="3"/>
  <c r="H80" i="3"/>
  <c r="D81" i="3"/>
  <c r="F80" i="3"/>
  <c r="I81" i="3" l="1"/>
  <c r="E82" i="3"/>
  <c r="J81" i="3"/>
  <c r="H81" i="3"/>
  <c r="D82" i="3"/>
  <c r="F81" i="3"/>
  <c r="I82" i="3" l="1"/>
  <c r="E83" i="3"/>
  <c r="J82" i="3"/>
  <c r="H82" i="3"/>
  <c r="D83" i="3"/>
  <c r="F82" i="3"/>
  <c r="I83" i="3" l="1"/>
  <c r="E84" i="3"/>
  <c r="J83" i="3"/>
  <c r="H83" i="3"/>
  <c r="F83" i="3"/>
  <c r="D84" i="3"/>
  <c r="I84" i="3" l="1"/>
  <c r="E85" i="3"/>
  <c r="J84" i="3"/>
  <c r="H84" i="3"/>
  <c r="F84" i="3"/>
  <c r="D85" i="3"/>
  <c r="I85" i="3" l="1"/>
  <c r="E86" i="3"/>
  <c r="H85" i="3"/>
  <c r="J85" i="3"/>
  <c r="F85" i="3"/>
  <c r="D86" i="3"/>
  <c r="I86" i="3" l="1"/>
  <c r="E87" i="3"/>
  <c r="H86" i="3"/>
  <c r="J86" i="3"/>
  <c r="F86" i="3"/>
  <c r="D87" i="3"/>
  <c r="I87" i="3" l="1"/>
  <c r="E88" i="3"/>
  <c r="H87" i="3"/>
  <c r="J87" i="3"/>
  <c r="D88" i="3"/>
  <c r="F87" i="3"/>
  <c r="I88" i="3" l="1"/>
  <c r="E89" i="3"/>
  <c r="J88" i="3"/>
  <c r="H88" i="3"/>
  <c r="D89" i="3"/>
  <c r="F88" i="3"/>
  <c r="I89" i="3" l="1"/>
  <c r="E90" i="3"/>
  <c r="H89" i="3"/>
  <c r="J89" i="3"/>
  <c r="F89" i="3"/>
  <c r="D90" i="3"/>
  <c r="I90" i="3" l="1"/>
  <c r="E91" i="3"/>
  <c r="J90" i="3"/>
  <c r="H90" i="3"/>
  <c r="F90" i="3"/>
  <c r="D91" i="3"/>
  <c r="I91" i="3" l="1"/>
  <c r="E92" i="3"/>
  <c r="J91" i="3"/>
  <c r="H91" i="3"/>
  <c r="F91" i="3"/>
  <c r="D92" i="3"/>
  <c r="I92" i="3" l="1"/>
  <c r="E93" i="3"/>
  <c r="J92" i="3"/>
  <c r="H92" i="3"/>
  <c r="F92" i="3"/>
  <c r="D93" i="3"/>
  <c r="I93" i="3" l="1"/>
  <c r="E94" i="3"/>
  <c r="J93" i="3"/>
  <c r="H93" i="3"/>
  <c r="D94" i="3"/>
  <c r="F93" i="3"/>
  <c r="I94" i="3" l="1"/>
  <c r="E95" i="3"/>
  <c r="H94" i="3"/>
  <c r="J94" i="3"/>
  <c r="F94" i="3"/>
  <c r="D95" i="3"/>
  <c r="I95" i="3" l="1"/>
  <c r="E96" i="3"/>
  <c r="H95" i="3"/>
  <c r="J95" i="3"/>
  <c r="D96" i="3"/>
  <c r="F95" i="3"/>
  <c r="I96" i="3" l="1"/>
  <c r="E97" i="3"/>
  <c r="H96" i="3"/>
  <c r="J96" i="3"/>
  <c r="F96" i="3"/>
  <c r="D97" i="3"/>
  <c r="I97" i="3" l="1"/>
  <c r="E98" i="3"/>
  <c r="J97" i="3"/>
  <c r="H97" i="3"/>
  <c r="F97" i="3"/>
  <c r="D98" i="3"/>
  <c r="I98" i="3" l="1"/>
  <c r="E99" i="3"/>
  <c r="J98" i="3"/>
  <c r="H98" i="3"/>
  <c r="F98" i="3"/>
  <c r="D99" i="3"/>
  <c r="I99" i="3" l="1"/>
  <c r="E100" i="3"/>
  <c r="H99" i="3"/>
  <c r="J99" i="3"/>
  <c r="F99" i="3"/>
  <c r="D100" i="3"/>
  <c r="I100" i="3" l="1"/>
  <c r="E101" i="3"/>
  <c r="J100" i="3"/>
  <c r="H100" i="3"/>
  <c r="F100" i="3"/>
  <c r="D101" i="3"/>
  <c r="I101" i="3" l="1"/>
  <c r="E102" i="3"/>
  <c r="J101" i="3"/>
  <c r="H101" i="3"/>
  <c r="F101" i="3"/>
  <c r="D102" i="3"/>
  <c r="I102" i="3" l="1"/>
  <c r="E103" i="3"/>
  <c r="H102" i="3"/>
  <c r="J102" i="3"/>
  <c r="D103" i="3"/>
  <c r="F102" i="3"/>
  <c r="I103" i="3" l="1"/>
  <c r="E104" i="3"/>
  <c r="H103" i="3"/>
  <c r="J103" i="3"/>
  <c r="F103" i="3"/>
  <c r="D104" i="3"/>
  <c r="I104" i="3" l="1"/>
  <c r="E105" i="3"/>
  <c r="H104" i="3"/>
  <c r="J104" i="3"/>
  <c r="D105" i="3"/>
  <c r="F104" i="3"/>
  <c r="I105" i="3" l="1"/>
  <c r="E106" i="3"/>
  <c r="J105" i="3"/>
  <c r="H105" i="3"/>
  <c r="F105" i="3"/>
  <c r="D106" i="3"/>
  <c r="I106" i="3" l="1"/>
  <c r="E107" i="3"/>
  <c r="H106" i="3"/>
  <c r="J106" i="3"/>
  <c r="F106" i="3"/>
  <c r="D107" i="3"/>
  <c r="I107" i="3" l="1"/>
  <c r="E108" i="3"/>
  <c r="J107" i="3"/>
  <c r="H107" i="3"/>
  <c r="F107" i="3"/>
  <c r="D108" i="3"/>
  <c r="I108" i="3" l="1"/>
  <c r="E109" i="3"/>
  <c r="J108" i="3"/>
  <c r="H108" i="3"/>
  <c r="F108" i="3"/>
  <c r="D109" i="3"/>
  <c r="I109" i="3" l="1"/>
  <c r="E110" i="3"/>
  <c r="J109" i="3"/>
  <c r="H109" i="3"/>
  <c r="F109" i="3"/>
  <c r="D110" i="3"/>
  <c r="I110" i="3" l="1"/>
  <c r="E111" i="3"/>
  <c r="J110" i="3"/>
  <c r="H110" i="3"/>
  <c r="F110" i="3"/>
  <c r="D111" i="3"/>
  <c r="I111" i="3" l="1"/>
  <c r="E112" i="3"/>
  <c r="J111" i="3"/>
  <c r="H111" i="3"/>
  <c r="F111" i="3"/>
  <c r="D112" i="3"/>
  <c r="I112" i="3" l="1"/>
  <c r="E113" i="3"/>
  <c r="H112" i="3"/>
  <c r="J112" i="3"/>
  <c r="F112" i="3"/>
  <c r="D113" i="3"/>
  <c r="I113" i="3" l="1"/>
  <c r="E114" i="3"/>
  <c r="J113" i="3"/>
  <c r="H113" i="3"/>
  <c r="D114" i="3"/>
  <c r="F113" i="3"/>
  <c r="I114" i="3" l="1"/>
  <c r="E115" i="3"/>
  <c r="H114" i="3"/>
  <c r="J114" i="3"/>
  <c r="D115" i="3"/>
  <c r="F114" i="3"/>
  <c r="I115" i="3" l="1"/>
  <c r="E116" i="3"/>
  <c r="H115" i="3"/>
  <c r="J115" i="3"/>
  <c r="F115" i="3"/>
  <c r="D116" i="3"/>
  <c r="I116" i="3" l="1"/>
  <c r="E117" i="3"/>
  <c r="J116" i="3"/>
  <c r="H116" i="3"/>
  <c r="D117" i="3"/>
  <c r="F116" i="3"/>
  <c r="I117" i="3" l="1"/>
  <c r="E118" i="3"/>
  <c r="J117" i="3"/>
  <c r="H117" i="3"/>
  <c r="F117" i="3"/>
  <c r="D118" i="3"/>
  <c r="I118" i="3" l="1"/>
  <c r="E119" i="3"/>
  <c r="J118" i="3"/>
  <c r="H118" i="3"/>
  <c r="D119" i="3"/>
  <c r="F118" i="3"/>
  <c r="I119" i="3" l="1"/>
  <c r="E120" i="3"/>
  <c r="J119" i="3"/>
  <c r="H119" i="3"/>
  <c r="F119" i="3"/>
  <c r="D120" i="3"/>
  <c r="I120" i="3" l="1"/>
  <c r="E121" i="3"/>
  <c r="H120" i="3"/>
  <c r="J120" i="3"/>
  <c r="D121" i="3"/>
  <c r="F120" i="3"/>
  <c r="I121" i="3" l="1"/>
  <c r="E122" i="3"/>
  <c r="H121" i="3"/>
  <c r="J121" i="3"/>
  <c r="F121" i="3"/>
  <c r="D122" i="3"/>
  <c r="I122" i="3" l="1"/>
  <c r="E123" i="3"/>
  <c r="H122" i="3"/>
  <c r="J122" i="3"/>
  <c r="F122" i="3"/>
  <c r="D123" i="3"/>
  <c r="I123" i="3" l="1"/>
  <c r="E124" i="3"/>
  <c r="J123" i="3"/>
  <c r="H123" i="3"/>
  <c r="D124" i="3"/>
  <c r="F123" i="3"/>
  <c r="I124" i="3" l="1"/>
  <c r="E125" i="3"/>
  <c r="J124" i="3"/>
  <c r="H124" i="3"/>
  <c r="F124" i="3"/>
  <c r="D125" i="3"/>
  <c r="I125" i="3" l="1"/>
  <c r="E126" i="3"/>
  <c r="J125" i="3"/>
  <c r="H125" i="3"/>
  <c r="D126" i="3"/>
  <c r="F125" i="3"/>
  <c r="I126" i="3" l="1"/>
  <c r="E127" i="3"/>
  <c r="J126" i="3"/>
  <c r="H126" i="3"/>
  <c r="F126" i="3"/>
  <c r="D127" i="3"/>
  <c r="I127" i="3" l="1"/>
  <c r="E128" i="3"/>
  <c r="H127" i="3"/>
  <c r="J127" i="3"/>
  <c r="F127" i="3"/>
  <c r="D128" i="3"/>
  <c r="I128" i="3" l="1"/>
  <c r="E129" i="3"/>
  <c r="J128" i="3"/>
  <c r="H128" i="3"/>
  <c r="F128" i="3"/>
  <c r="D129" i="3"/>
  <c r="I129" i="3" l="1"/>
  <c r="E130" i="3"/>
  <c r="J129" i="3"/>
  <c r="H129" i="3"/>
  <c r="F129" i="3"/>
  <c r="D130" i="3"/>
  <c r="I130" i="3" l="1"/>
  <c r="E131" i="3"/>
  <c r="J130" i="3"/>
  <c r="H130" i="3"/>
  <c r="F130" i="3"/>
  <c r="D131" i="3"/>
  <c r="I131" i="3" l="1"/>
  <c r="E132" i="3"/>
  <c r="J131" i="3"/>
  <c r="H131" i="3"/>
  <c r="F131" i="3"/>
  <c r="D132" i="3"/>
  <c r="I132" i="3" l="1"/>
  <c r="E133" i="3"/>
  <c r="J132" i="3"/>
  <c r="H132" i="3"/>
  <c r="D133" i="3"/>
  <c r="F132" i="3"/>
  <c r="I133" i="3" l="1"/>
  <c r="E134" i="3"/>
  <c r="J133" i="3"/>
  <c r="H133" i="3"/>
  <c r="D134" i="3"/>
  <c r="F133" i="3"/>
  <c r="I134" i="3" l="1"/>
  <c r="E135" i="3"/>
  <c r="J134" i="3"/>
  <c r="H134" i="3"/>
  <c r="F134" i="3"/>
  <c r="D135" i="3"/>
  <c r="I135" i="3" l="1"/>
  <c r="E136" i="3"/>
  <c r="J135" i="3"/>
  <c r="H135" i="3"/>
  <c r="F135" i="3"/>
  <c r="D136" i="3"/>
  <c r="I136" i="3" l="1"/>
  <c r="E137" i="3"/>
  <c r="J136" i="3"/>
  <c r="H136" i="3"/>
  <c r="F136" i="3"/>
  <c r="D137" i="3"/>
  <c r="I137" i="3" l="1"/>
  <c r="E138" i="3"/>
  <c r="H137" i="3"/>
  <c r="J137" i="3"/>
  <c r="F137" i="3"/>
  <c r="D138" i="3"/>
  <c r="I138" i="3" l="1"/>
  <c r="E139" i="3"/>
  <c r="J138" i="3"/>
  <c r="H138" i="3"/>
  <c r="F138" i="3"/>
  <c r="D139" i="3"/>
  <c r="I139" i="3" l="1"/>
  <c r="E140" i="3"/>
  <c r="J139" i="3"/>
  <c r="H139" i="3"/>
  <c r="F139" i="3"/>
  <c r="D140" i="3"/>
  <c r="I140" i="3" l="1"/>
  <c r="E141" i="3"/>
  <c r="H140" i="3"/>
  <c r="J140" i="3"/>
  <c r="F140" i="3"/>
  <c r="D141" i="3"/>
  <c r="I141" i="3" l="1"/>
  <c r="E142" i="3"/>
  <c r="J141" i="3"/>
  <c r="H141" i="3"/>
  <c r="F141" i="3"/>
  <c r="D142" i="3"/>
  <c r="I142" i="3" l="1"/>
  <c r="E143" i="3"/>
  <c r="J142" i="3"/>
  <c r="H142" i="3"/>
  <c r="F142" i="3"/>
  <c r="D143" i="3"/>
  <c r="I143" i="3" l="1"/>
  <c r="E144" i="3"/>
  <c r="J143" i="3"/>
  <c r="H143" i="3"/>
  <c r="F143" i="3"/>
  <c r="D144" i="3"/>
  <c r="I144" i="3" l="1"/>
  <c r="E145" i="3"/>
  <c r="H144" i="3"/>
  <c r="J144" i="3"/>
  <c r="F144" i="3"/>
  <c r="D145" i="3"/>
  <c r="I145" i="3" l="1"/>
  <c r="E146" i="3"/>
  <c r="H145" i="3"/>
  <c r="J145" i="3"/>
  <c r="F145" i="3"/>
  <c r="D146" i="3"/>
  <c r="I146" i="3" l="1"/>
  <c r="E147" i="3"/>
  <c r="J146" i="3"/>
  <c r="H146" i="3"/>
  <c r="F146" i="3"/>
  <c r="D147" i="3"/>
  <c r="I147" i="3" l="1"/>
  <c r="E148" i="3"/>
  <c r="H147" i="3"/>
  <c r="J147" i="3"/>
  <c r="F147" i="3"/>
  <c r="D148" i="3"/>
  <c r="I148" i="3" l="1"/>
  <c r="E149" i="3"/>
  <c r="H148" i="3"/>
  <c r="J148" i="3"/>
  <c r="D149" i="3"/>
  <c r="F148" i="3"/>
  <c r="I149" i="3" l="1"/>
  <c r="E150" i="3"/>
  <c r="H149" i="3"/>
  <c r="J149" i="3"/>
  <c r="D150" i="3"/>
  <c r="F149" i="3"/>
  <c r="I150" i="3" l="1"/>
  <c r="E151" i="3"/>
  <c r="J150" i="3"/>
  <c r="H150" i="3"/>
  <c r="D151" i="3"/>
  <c r="F150" i="3"/>
  <c r="I151" i="3" l="1"/>
  <c r="E152" i="3"/>
  <c r="J151" i="3"/>
  <c r="H151" i="3"/>
  <c r="F151" i="3"/>
  <c r="D152" i="3"/>
  <c r="I152" i="3" l="1"/>
  <c r="E153" i="3"/>
  <c r="H152" i="3"/>
  <c r="J152" i="3"/>
  <c r="F152" i="3"/>
  <c r="D153" i="3"/>
  <c r="I153" i="3" l="1"/>
  <c r="E154" i="3"/>
  <c r="J153" i="3"/>
  <c r="H153" i="3"/>
  <c r="D154" i="3"/>
  <c r="F153" i="3"/>
  <c r="I154" i="3" l="1"/>
  <c r="E155" i="3"/>
  <c r="J154" i="3"/>
  <c r="H154" i="3"/>
  <c r="F154" i="3"/>
  <c r="D155" i="3"/>
  <c r="I155" i="3" l="1"/>
  <c r="E156" i="3"/>
  <c r="H155" i="3"/>
  <c r="J155" i="3"/>
  <c r="D156" i="3"/>
  <c r="F155" i="3"/>
  <c r="I156" i="3" l="1"/>
  <c r="E157" i="3"/>
  <c r="H156" i="3"/>
  <c r="J156" i="3"/>
  <c r="F156" i="3"/>
  <c r="D157" i="3"/>
  <c r="I157" i="3" l="1"/>
  <c r="E158" i="3"/>
  <c r="J157" i="3"/>
  <c r="H157" i="3"/>
  <c r="F157" i="3"/>
  <c r="D158" i="3"/>
  <c r="I158" i="3" l="1"/>
  <c r="E159" i="3"/>
  <c r="J158" i="3"/>
  <c r="H158" i="3"/>
  <c r="D159" i="3"/>
  <c r="F158" i="3"/>
  <c r="I159" i="3" l="1"/>
  <c r="E160" i="3"/>
  <c r="J159" i="3"/>
  <c r="H159" i="3"/>
  <c r="F159" i="3"/>
  <c r="D160" i="3"/>
  <c r="I160" i="3" l="1"/>
  <c r="E161" i="3"/>
  <c r="J160" i="3"/>
  <c r="H160" i="3"/>
  <c r="F160" i="3"/>
  <c r="D161" i="3"/>
  <c r="I161" i="3" l="1"/>
  <c r="E162" i="3"/>
  <c r="J161" i="3"/>
  <c r="H161" i="3"/>
  <c r="D162" i="3"/>
  <c r="F161" i="3"/>
  <c r="I162" i="3" l="1"/>
  <c r="E163" i="3"/>
  <c r="J162" i="3"/>
  <c r="H162" i="3"/>
  <c r="F162" i="3"/>
  <c r="D163" i="3"/>
  <c r="I163" i="3" l="1"/>
  <c r="E164" i="3"/>
  <c r="J163" i="3"/>
  <c r="H163" i="3"/>
  <c r="F163" i="3"/>
  <c r="D164" i="3"/>
  <c r="I164" i="3" l="1"/>
  <c r="E165" i="3"/>
  <c r="J164" i="3"/>
  <c r="H164" i="3"/>
  <c r="D165" i="3"/>
  <c r="F164" i="3"/>
  <c r="I165" i="3" l="1"/>
  <c r="E166" i="3"/>
  <c r="J165" i="3"/>
  <c r="H165" i="3"/>
  <c r="F165" i="3"/>
  <c r="D166" i="3"/>
  <c r="I166" i="3" l="1"/>
  <c r="E167" i="3"/>
  <c r="H166" i="3"/>
  <c r="J166" i="3"/>
  <c r="D167" i="3"/>
  <c r="F166" i="3"/>
  <c r="I167" i="3" l="1"/>
  <c r="E168" i="3"/>
  <c r="J167" i="3"/>
  <c r="H167" i="3"/>
  <c r="F167" i="3"/>
  <c r="D168" i="3"/>
  <c r="I168" i="3" l="1"/>
  <c r="E169" i="3"/>
  <c r="H168" i="3"/>
  <c r="J168" i="3"/>
  <c r="F168" i="3"/>
  <c r="D169" i="3"/>
  <c r="I169" i="3" l="1"/>
  <c r="E170" i="3"/>
  <c r="H169" i="3"/>
  <c r="J169" i="3"/>
  <c r="F169" i="3"/>
  <c r="D170" i="3"/>
  <c r="I170" i="3" l="1"/>
  <c r="E171" i="3"/>
  <c r="J170" i="3"/>
  <c r="H170" i="3"/>
  <c r="F170" i="3"/>
  <c r="D171" i="3"/>
  <c r="I171" i="3" l="1"/>
  <c r="E172" i="3"/>
  <c r="J171" i="3"/>
  <c r="H171" i="3"/>
  <c r="D172" i="3"/>
  <c r="F171" i="3"/>
  <c r="I172" i="3" l="1"/>
  <c r="E173" i="3"/>
  <c r="J172" i="3"/>
  <c r="H172" i="3"/>
  <c r="D173" i="3"/>
  <c r="F172" i="3"/>
  <c r="I173" i="3" l="1"/>
  <c r="E174" i="3"/>
  <c r="J173" i="3"/>
  <c r="H173" i="3"/>
  <c r="D174" i="3"/>
  <c r="F173" i="3"/>
  <c r="I174" i="3" l="1"/>
  <c r="E175" i="3"/>
  <c r="J174" i="3"/>
  <c r="H174" i="3"/>
  <c r="F174" i="3"/>
  <c r="D175" i="3"/>
  <c r="I175" i="3" l="1"/>
  <c r="E176" i="3"/>
  <c r="J175" i="3"/>
  <c r="H175" i="3"/>
  <c r="F175" i="3"/>
  <c r="D176" i="3"/>
  <c r="I176" i="3" l="1"/>
  <c r="E177" i="3"/>
  <c r="H176" i="3"/>
  <c r="J176" i="3"/>
  <c r="F176" i="3"/>
  <c r="D177" i="3"/>
  <c r="I177" i="3" l="1"/>
  <c r="E178" i="3"/>
  <c r="H177" i="3"/>
  <c r="J177" i="3"/>
  <c r="D178" i="3"/>
  <c r="F177" i="3"/>
  <c r="I178" i="3" l="1"/>
  <c r="E179" i="3"/>
  <c r="J178" i="3"/>
  <c r="H178" i="3"/>
  <c r="F178" i="3"/>
  <c r="D179" i="3"/>
  <c r="I179" i="3" l="1"/>
  <c r="E180" i="3"/>
  <c r="J179" i="3"/>
  <c r="H179" i="3"/>
  <c r="F179" i="3"/>
  <c r="D180" i="3"/>
  <c r="I180" i="3" l="1"/>
  <c r="E181" i="3"/>
  <c r="J180" i="3"/>
  <c r="H180" i="3"/>
  <c r="F180" i="3"/>
  <c r="D181" i="3"/>
  <c r="I181" i="3" l="1"/>
  <c r="E182" i="3"/>
  <c r="H181" i="3"/>
  <c r="J181" i="3"/>
  <c r="D182" i="3"/>
  <c r="F181" i="3"/>
  <c r="I182" i="3" l="1"/>
  <c r="E183" i="3"/>
  <c r="J182" i="3"/>
  <c r="H182" i="3"/>
  <c r="F182" i="3"/>
  <c r="D183" i="3"/>
  <c r="I183" i="3" l="1"/>
  <c r="E184" i="3"/>
  <c r="J183" i="3"/>
  <c r="H183" i="3"/>
  <c r="F183" i="3"/>
  <c r="D184" i="3"/>
  <c r="I184" i="3" l="1"/>
  <c r="E185" i="3"/>
  <c r="J184" i="3"/>
  <c r="H184" i="3"/>
  <c r="F184" i="3"/>
  <c r="D185" i="3"/>
  <c r="I185" i="3" l="1"/>
  <c r="E186" i="3"/>
  <c r="J185" i="3"/>
  <c r="H185" i="3"/>
  <c r="F185" i="3"/>
  <c r="D186" i="3"/>
  <c r="I186" i="3" l="1"/>
  <c r="E187" i="3"/>
  <c r="J186" i="3"/>
  <c r="H186" i="3"/>
  <c r="D187" i="3"/>
  <c r="F186" i="3"/>
  <c r="I187" i="3" l="1"/>
  <c r="E188" i="3"/>
  <c r="J187" i="3"/>
  <c r="H187" i="3"/>
  <c r="D188" i="3"/>
  <c r="F187" i="3"/>
  <c r="I188" i="3" l="1"/>
  <c r="E189" i="3"/>
  <c r="J188" i="3"/>
  <c r="H188" i="3"/>
  <c r="F188" i="3"/>
  <c r="D189" i="3"/>
  <c r="I189" i="3" l="1"/>
  <c r="E190" i="3"/>
  <c r="H189" i="3"/>
  <c r="J189" i="3"/>
  <c r="D190" i="3"/>
  <c r="F189" i="3"/>
  <c r="I190" i="3" l="1"/>
  <c r="E191" i="3"/>
  <c r="J190" i="3"/>
  <c r="H190" i="3"/>
  <c r="F190" i="3"/>
  <c r="D191" i="3"/>
  <c r="I191" i="3" l="1"/>
  <c r="E192" i="3"/>
  <c r="J191" i="3"/>
  <c r="H191" i="3"/>
  <c r="D192" i="3"/>
  <c r="F191" i="3"/>
  <c r="I192" i="3" l="1"/>
  <c r="E193" i="3"/>
  <c r="J192" i="3"/>
  <c r="H192" i="3"/>
  <c r="D193" i="3"/>
  <c r="F192" i="3"/>
  <c r="I193" i="3" l="1"/>
  <c r="E194" i="3"/>
  <c r="J193" i="3"/>
  <c r="H193" i="3"/>
  <c r="F193" i="3"/>
  <c r="D194" i="3"/>
  <c r="I194" i="3" l="1"/>
  <c r="E195" i="3"/>
  <c r="H194" i="3"/>
  <c r="J194" i="3"/>
  <c r="F194" i="3"/>
  <c r="D195" i="3"/>
  <c r="I195" i="3" l="1"/>
  <c r="E196" i="3"/>
  <c r="H195" i="3"/>
  <c r="J195" i="3"/>
  <c r="F195" i="3"/>
  <c r="D196" i="3"/>
  <c r="I196" i="3" l="1"/>
  <c r="E197" i="3"/>
  <c r="J196" i="3"/>
  <c r="H196" i="3"/>
  <c r="F196" i="3"/>
  <c r="D197" i="3"/>
  <c r="I197" i="3" l="1"/>
  <c r="E198" i="3"/>
  <c r="J197" i="3"/>
  <c r="H197" i="3"/>
  <c r="F197" i="3"/>
  <c r="D198" i="3"/>
  <c r="I198" i="3" l="1"/>
  <c r="E199" i="3"/>
  <c r="J198" i="3"/>
  <c r="H198" i="3"/>
  <c r="D199" i="3"/>
  <c r="F198" i="3"/>
  <c r="I199" i="3" l="1"/>
  <c r="E200" i="3"/>
  <c r="J199" i="3"/>
  <c r="H199" i="3"/>
  <c r="D200" i="3"/>
  <c r="F199" i="3"/>
  <c r="I200" i="3" l="1"/>
  <c r="E201" i="3"/>
  <c r="H200" i="3"/>
  <c r="J200" i="3"/>
  <c r="F200" i="3"/>
  <c r="D201" i="3"/>
  <c r="I201" i="3" l="1"/>
  <c r="E202" i="3"/>
  <c r="J201" i="3"/>
  <c r="H201" i="3"/>
  <c r="F201" i="3"/>
  <c r="D202" i="3"/>
  <c r="I202" i="3" l="1"/>
  <c r="E203" i="3"/>
  <c r="H202" i="3"/>
  <c r="J202" i="3"/>
  <c r="F202" i="3"/>
  <c r="D203" i="3"/>
  <c r="I203" i="3" l="1"/>
  <c r="E204" i="3"/>
  <c r="H203" i="3"/>
  <c r="J203" i="3"/>
  <c r="F203" i="3"/>
  <c r="D204" i="3"/>
  <c r="I204" i="3" l="1"/>
  <c r="E205" i="3"/>
  <c r="J204" i="3"/>
  <c r="H204" i="3"/>
  <c r="F204" i="3"/>
  <c r="D205" i="3"/>
  <c r="I205" i="3" l="1"/>
  <c r="E206" i="3"/>
  <c r="J205" i="3"/>
  <c r="H205" i="3"/>
  <c r="F205" i="3"/>
  <c r="D206" i="3"/>
  <c r="I206" i="3" l="1"/>
  <c r="E207" i="3"/>
  <c r="J206" i="3"/>
  <c r="H206" i="3"/>
  <c r="F206" i="3"/>
  <c r="D207" i="3"/>
  <c r="I207" i="3" l="1"/>
  <c r="E208" i="3"/>
  <c r="J207" i="3"/>
  <c r="H207" i="3"/>
  <c r="D208" i="3"/>
  <c r="F207" i="3"/>
  <c r="I208" i="3" l="1"/>
  <c r="E209" i="3"/>
  <c r="H208" i="3"/>
  <c r="J208" i="3"/>
  <c r="D209" i="3"/>
  <c r="F208" i="3"/>
  <c r="I209" i="3" l="1"/>
  <c r="E210" i="3"/>
  <c r="J209" i="3"/>
  <c r="H209" i="3"/>
  <c r="F209" i="3"/>
  <c r="D210" i="3"/>
  <c r="I210" i="3" l="1"/>
  <c r="E211" i="3"/>
  <c r="J210" i="3"/>
  <c r="H210" i="3"/>
  <c r="F210" i="3"/>
  <c r="D211" i="3"/>
  <c r="I211" i="3" l="1"/>
  <c r="E212" i="3"/>
  <c r="J211" i="3"/>
  <c r="H211" i="3"/>
  <c r="F211" i="3"/>
  <c r="D212" i="3"/>
  <c r="I212" i="3" l="1"/>
  <c r="E213" i="3"/>
  <c r="H212" i="3"/>
  <c r="J212" i="3"/>
  <c r="F212" i="3"/>
  <c r="D213" i="3"/>
  <c r="I213" i="3" l="1"/>
  <c r="E214" i="3"/>
  <c r="J213" i="3"/>
  <c r="H213" i="3"/>
  <c r="F213" i="3"/>
  <c r="D214" i="3"/>
  <c r="I214" i="3" l="1"/>
  <c r="E215" i="3"/>
  <c r="J214" i="3"/>
  <c r="H214" i="3"/>
  <c r="F214" i="3"/>
  <c r="D215" i="3"/>
  <c r="I215" i="3" l="1"/>
  <c r="E216" i="3"/>
  <c r="H215" i="3"/>
  <c r="J215" i="3"/>
  <c r="F215" i="3"/>
  <c r="D216" i="3"/>
  <c r="I216" i="3" l="1"/>
  <c r="E217" i="3"/>
  <c r="J216" i="3"/>
  <c r="H216" i="3"/>
  <c r="F216" i="3"/>
  <c r="D217" i="3"/>
  <c r="I217" i="3" l="1"/>
  <c r="E218" i="3"/>
  <c r="H217" i="3"/>
  <c r="J217" i="3"/>
  <c r="F217" i="3"/>
  <c r="D218" i="3"/>
  <c r="I218" i="3" l="1"/>
  <c r="E219" i="3"/>
  <c r="J218" i="3"/>
  <c r="H218" i="3"/>
  <c r="D219" i="3"/>
  <c r="F218" i="3"/>
  <c r="I219" i="3" l="1"/>
  <c r="E220" i="3"/>
  <c r="J219" i="3"/>
  <c r="H219" i="3"/>
  <c r="D220" i="3"/>
  <c r="F219" i="3"/>
  <c r="I220" i="3" l="1"/>
  <c r="E221" i="3"/>
  <c r="J220" i="3"/>
  <c r="H220" i="3"/>
  <c r="F220" i="3"/>
  <c r="D221" i="3"/>
  <c r="I221" i="3" l="1"/>
  <c r="E222" i="3"/>
  <c r="J221" i="3"/>
  <c r="H221" i="3"/>
  <c r="F221" i="3"/>
  <c r="D222" i="3"/>
  <c r="I222" i="3" l="1"/>
  <c r="E223" i="3"/>
  <c r="H222" i="3"/>
  <c r="J222" i="3"/>
  <c r="D223" i="3"/>
  <c r="F222" i="3"/>
  <c r="I223" i="3" l="1"/>
  <c r="E224" i="3"/>
  <c r="H223" i="3"/>
  <c r="J223" i="3"/>
  <c r="D224" i="3"/>
  <c r="F223" i="3"/>
  <c r="I224" i="3" l="1"/>
  <c r="E225" i="3"/>
  <c r="J224" i="3"/>
  <c r="H224" i="3"/>
  <c r="F224" i="3"/>
  <c r="D225" i="3"/>
  <c r="I225" i="3" l="1"/>
  <c r="E226" i="3"/>
  <c r="J225" i="3"/>
  <c r="H225" i="3"/>
  <c r="D226" i="3"/>
  <c r="F225" i="3"/>
  <c r="I226" i="3" l="1"/>
  <c r="E227" i="3"/>
  <c r="H226" i="3"/>
  <c r="J226" i="3"/>
  <c r="F226" i="3"/>
  <c r="D227" i="3"/>
  <c r="I227" i="3" l="1"/>
  <c r="E228" i="3"/>
  <c r="J227" i="3"/>
  <c r="H227" i="3"/>
  <c r="D228" i="3"/>
  <c r="F227" i="3"/>
  <c r="I228" i="3" l="1"/>
  <c r="E229" i="3"/>
  <c r="H228" i="3"/>
  <c r="J228" i="3"/>
  <c r="D229" i="3"/>
  <c r="F228" i="3"/>
  <c r="I229" i="3" l="1"/>
  <c r="E230" i="3"/>
  <c r="J229" i="3"/>
  <c r="H229" i="3"/>
  <c r="F229" i="3"/>
  <c r="D230" i="3"/>
  <c r="I230" i="3" l="1"/>
  <c r="E231" i="3"/>
  <c r="J230" i="3"/>
  <c r="H230" i="3"/>
  <c r="F230" i="3"/>
  <c r="D231" i="3"/>
  <c r="I231" i="3" l="1"/>
  <c r="E232" i="3"/>
  <c r="J231" i="3"/>
  <c r="H231" i="3"/>
  <c r="F231" i="3"/>
  <c r="D232" i="3"/>
  <c r="I232" i="3" l="1"/>
  <c r="E233" i="3"/>
  <c r="J232" i="3"/>
  <c r="H232" i="3"/>
  <c r="F232" i="3"/>
  <c r="D233" i="3"/>
  <c r="I233" i="3" l="1"/>
  <c r="E234" i="3"/>
  <c r="J233" i="3"/>
  <c r="H233" i="3"/>
  <c r="F233" i="3"/>
  <c r="D234" i="3"/>
  <c r="I234" i="3" l="1"/>
  <c r="E235" i="3"/>
  <c r="J234" i="3"/>
  <c r="H234" i="3"/>
  <c r="F234" i="3"/>
  <c r="D235" i="3"/>
  <c r="I235" i="3" l="1"/>
  <c r="E236" i="3"/>
  <c r="J235" i="3"/>
  <c r="H235" i="3"/>
  <c r="F235" i="3"/>
  <c r="D236" i="3"/>
  <c r="I236" i="3" l="1"/>
  <c r="E237" i="3"/>
  <c r="J236" i="3"/>
  <c r="H236" i="3"/>
  <c r="F236" i="3"/>
  <c r="D237" i="3"/>
  <c r="I237" i="3" l="1"/>
  <c r="E238" i="3"/>
  <c r="J237" i="3"/>
  <c r="H237" i="3"/>
  <c r="F237" i="3"/>
  <c r="D238" i="3"/>
  <c r="I238" i="3" l="1"/>
  <c r="E239" i="3"/>
  <c r="J238" i="3"/>
  <c r="H238" i="3"/>
  <c r="F238" i="3"/>
  <c r="D239" i="3"/>
  <c r="I239" i="3" l="1"/>
  <c r="E240" i="3"/>
  <c r="J239" i="3"/>
  <c r="H239" i="3"/>
  <c r="F239" i="3"/>
  <c r="D240" i="3"/>
  <c r="I240" i="3" l="1"/>
  <c r="E241" i="3"/>
  <c r="J240" i="3"/>
  <c r="H240" i="3"/>
  <c r="F240" i="3"/>
  <c r="D241" i="3"/>
  <c r="I241" i="3" l="1"/>
  <c r="E242" i="3"/>
  <c r="J241" i="3"/>
  <c r="H241" i="3"/>
  <c r="F241" i="3"/>
  <c r="D242" i="3"/>
  <c r="I242" i="3" l="1"/>
  <c r="E243" i="3"/>
  <c r="J242" i="3"/>
  <c r="H242" i="3"/>
  <c r="F242" i="3"/>
  <c r="D243" i="3"/>
  <c r="I243" i="3" l="1"/>
  <c r="E244" i="3"/>
  <c r="J243" i="3"/>
  <c r="H243" i="3"/>
  <c r="F243" i="3"/>
  <c r="D244" i="3"/>
  <c r="I244" i="3" l="1"/>
  <c r="E245" i="3"/>
  <c r="J244" i="3"/>
  <c r="H244" i="3"/>
  <c r="F244" i="3"/>
  <c r="D245" i="3"/>
  <c r="I245" i="3" l="1"/>
  <c r="E246" i="3"/>
  <c r="J245" i="3"/>
  <c r="H245" i="3"/>
  <c r="F245" i="3"/>
  <c r="D246" i="3"/>
  <c r="I246" i="3" l="1"/>
  <c r="E247" i="3"/>
  <c r="J246" i="3"/>
  <c r="H246" i="3"/>
  <c r="F246" i="3"/>
  <c r="D247" i="3"/>
  <c r="I247" i="3" l="1"/>
  <c r="E248" i="3"/>
  <c r="J247" i="3"/>
  <c r="H247" i="3"/>
  <c r="F247" i="3"/>
  <c r="D248" i="3"/>
  <c r="I248" i="3" l="1"/>
  <c r="E249" i="3"/>
  <c r="J248" i="3"/>
  <c r="H248" i="3"/>
  <c r="F248" i="3"/>
  <c r="D249" i="3"/>
  <c r="I249" i="3" l="1"/>
  <c r="E250" i="3"/>
  <c r="J249" i="3"/>
  <c r="H249" i="3"/>
  <c r="F249" i="3"/>
  <c r="D250" i="3"/>
  <c r="I250" i="3" l="1"/>
  <c r="E251" i="3"/>
  <c r="J250" i="3"/>
  <c r="H250" i="3"/>
  <c r="F250" i="3"/>
  <c r="D251" i="3"/>
  <c r="I251" i="3" l="1"/>
  <c r="E252" i="3"/>
  <c r="J251" i="3"/>
  <c r="H251" i="3"/>
  <c r="F251" i="3"/>
  <c r="D252" i="3"/>
  <c r="I252" i="3" l="1"/>
  <c r="E253" i="3"/>
  <c r="J252" i="3"/>
  <c r="H252" i="3"/>
  <c r="F252" i="3"/>
  <c r="D253" i="3"/>
  <c r="I253" i="3" l="1"/>
  <c r="E254" i="3"/>
  <c r="J253" i="3"/>
  <c r="H253" i="3"/>
  <c r="F253" i="3"/>
  <c r="D254" i="3"/>
  <c r="I254" i="3" l="1"/>
  <c r="E255" i="3"/>
  <c r="J254" i="3"/>
  <c r="H254" i="3"/>
  <c r="F254" i="3"/>
  <c r="D255" i="3"/>
  <c r="I255" i="3" l="1"/>
  <c r="E256" i="3"/>
  <c r="J255" i="3"/>
  <c r="H255" i="3"/>
  <c r="F255" i="3"/>
  <c r="D256" i="3"/>
  <c r="I256" i="3" l="1"/>
  <c r="E257" i="3"/>
  <c r="J256" i="3"/>
  <c r="H256" i="3"/>
  <c r="F256" i="3"/>
  <c r="D257" i="3"/>
  <c r="I257" i="3" l="1"/>
  <c r="E258" i="3"/>
  <c r="J257" i="3"/>
  <c r="H257" i="3"/>
  <c r="F257" i="3"/>
  <c r="D258" i="3"/>
  <c r="I258" i="3" l="1"/>
  <c r="E259" i="3"/>
  <c r="J258" i="3"/>
  <c r="H258" i="3"/>
  <c r="F258" i="3"/>
  <c r="D259" i="3"/>
  <c r="I259" i="3" l="1"/>
  <c r="E260" i="3"/>
  <c r="J259" i="3"/>
  <c r="H259" i="3"/>
  <c r="F259" i="3"/>
  <c r="D260" i="3"/>
  <c r="I260" i="3" l="1"/>
  <c r="E261" i="3"/>
  <c r="J260" i="3"/>
  <c r="H260" i="3"/>
  <c r="F260" i="3"/>
  <c r="D261" i="3"/>
  <c r="I261" i="3" l="1"/>
  <c r="E262" i="3"/>
  <c r="J261" i="3"/>
  <c r="H261" i="3"/>
  <c r="F261" i="3"/>
  <c r="D262" i="3"/>
  <c r="I262" i="3" l="1"/>
  <c r="E263" i="3"/>
  <c r="J262" i="3"/>
  <c r="H262" i="3"/>
  <c r="F262" i="3"/>
  <c r="D263" i="3"/>
  <c r="I263" i="3" l="1"/>
  <c r="E264" i="3"/>
  <c r="J263" i="3"/>
  <c r="H263" i="3"/>
  <c r="F263" i="3"/>
  <c r="D264" i="3"/>
  <c r="I264" i="3" l="1"/>
  <c r="E265" i="3"/>
  <c r="J264" i="3"/>
  <c r="H264" i="3"/>
  <c r="F264" i="3"/>
  <c r="D265" i="3"/>
  <c r="I265" i="3" l="1"/>
  <c r="E266" i="3"/>
  <c r="J265" i="3"/>
  <c r="H265" i="3"/>
  <c r="F265" i="3"/>
  <c r="D266" i="3"/>
  <c r="I266" i="3" l="1"/>
  <c r="E267" i="3"/>
  <c r="J266" i="3"/>
  <c r="H266" i="3"/>
  <c r="F266" i="3"/>
  <c r="D267" i="3"/>
  <c r="I267" i="3" l="1"/>
  <c r="E268" i="3"/>
  <c r="J267" i="3"/>
  <c r="H267" i="3"/>
  <c r="F267" i="3"/>
  <c r="D268" i="3"/>
  <c r="I268" i="3" l="1"/>
  <c r="E269" i="3"/>
  <c r="J268" i="3"/>
  <c r="H268" i="3"/>
  <c r="F268" i="3"/>
  <c r="D269" i="3"/>
  <c r="I269" i="3" l="1"/>
  <c r="E270" i="3"/>
  <c r="J269" i="3"/>
  <c r="H269" i="3"/>
  <c r="F269" i="3"/>
  <c r="D270" i="3"/>
  <c r="I270" i="3" l="1"/>
  <c r="E271" i="3"/>
  <c r="J270" i="3"/>
  <c r="H270" i="3"/>
  <c r="F270" i="3"/>
  <c r="D271" i="3"/>
  <c r="I271" i="3" l="1"/>
  <c r="E272" i="3"/>
  <c r="J271" i="3"/>
  <c r="H271" i="3"/>
  <c r="F271" i="3"/>
  <c r="D272" i="3"/>
  <c r="I272" i="3" l="1"/>
  <c r="E273" i="3"/>
  <c r="J272" i="3"/>
  <c r="H272" i="3"/>
  <c r="F272" i="3"/>
  <c r="D273" i="3"/>
  <c r="I273" i="3" l="1"/>
  <c r="E274" i="3"/>
  <c r="J273" i="3"/>
  <c r="H273" i="3"/>
  <c r="F273" i="3"/>
  <c r="D274" i="3"/>
  <c r="I274" i="3" l="1"/>
  <c r="E275" i="3"/>
  <c r="J274" i="3"/>
  <c r="H274" i="3"/>
  <c r="F274" i="3"/>
  <c r="D275" i="3"/>
  <c r="I275" i="3" l="1"/>
  <c r="E276" i="3"/>
  <c r="J275" i="3"/>
  <c r="H275" i="3"/>
  <c r="F275" i="3"/>
  <c r="D276" i="3"/>
  <c r="I276" i="3" l="1"/>
  <c r="E277" i="3"/>
  <c r="J276" i="3"/>
  <c r="H276" i="3"/>
  <c r="F276" i="3"/>
  <c r="D277" i="3"/>
  <c r="I277" i="3" l="1"/>
  <c r="E278" i="3"/>
  <c r="J277" i="3"/>
  <c r="H277" i="3"/>
  <c r="F277" i="3"/>
  <c r="D278" i="3"/>
  <c r="I278" i="3" l="1"/>
  <c r="E279" i="3"/>
  <c r="J278" i="3"/>
  <c r="H278" i="3"/>
  <c r="F278" i="3"/>
  <c r="D279" i="3"/>
  <c r="I279" i="3" l="1"/>
  <c r="E280" i="3"/>
  <c r="J279" i="3"/>
  <c r="H279" i="3"/>
  <c r="F279" i="3"/>
  <c r="D280" i="3"/>
  <c r="I280" i="3" l="1"/>
  <c r="E281" i="3"/>
  <c r="J280" i="3"/>
  <c r="H280" i="3"/>
  <c r="F280" i="3"/>
  <c r="D281" i="3"/>
  <c r="I281" i="3" l="1"/>
  <c r="E282" i="3"/>
  <c r="J281" i="3"/>
  <c r="H281" i="3"/>
  <c r="F281" i="3"/>
  <c r="D282" i="3"/>
  <c r="I282" i="3" l="1"/>
  <c r="E283" i="3"/>
  <c r="J282" i="3"/>
  <c r="H282" i="3"/>
  <c r="F282" i="3"/>
  <c r="D283" i="3"/>
  <c r="I283" i="3" l="1"/>
  <c r="E284" i="3"/>
  <c r="J283" i="3"/>
  <c r="H283" i="3"/>
  <c r="F283" i="3"/>
  <c r="D284" i="3"/>
  <c r="I284" i="3" l="1"/>
  <c r="E285" i="3"/>
  <c r="J284" i="3"/>
  <c r="H284" i="3"/>
  <c r="F284" i="3"/>
  <c r="D285" i="3"/>
  <c r="I285" i="3" l="1"/>
  <c r="E286" i="3"/>
  <c r="J285" i="3"/>
  <c r="H285" i="3"/>
  <c r="F285" i="3"/>
  <c r="D286" i="3"/>
  <c r="I286" i="3" l="1"/>
  <c r="E287" i="3"/>
  <c r="J286" i="3"/>
  <c r="H286" i="3"/>
  <c r="F286" i="3"/>
  <c r="D287" i="3"/>
  <c r="I287" i="3" l="1"/>
  <c r="E288" i="3"/>
  <c r="J287" i="3"/>
  <c r="H287" i="3"/>
  <c r="F287" i="3"/>
  <c r="D288" i="3"/>
  <c r="I288" i="3" l="1"/>
  <c r="E289" i="3"/>
  <c r="J288" i="3"/>
  <c r="H288" i="3"/>
  <c r="F288" i="3"/>
  <c r="D289" i="3"/>
  <c r="I289" i="3" l="1"/>
  <c r="E290" i="3"/>
  <c r="J289" i="3"/>
  <c r="H289" i="3"/>
  <c r="F289" i="3"/>
  <c r="D290" i="3"/>
  <c r="I290" i="3" l="1"/>
  <c r="E291" i="3"/>
  <c r="J290" i="3"/>
  <c r="H290" i="3"/>
  <c r="F290" i="3"/>
  <c r="D291" i="3"/>
  <c r="I291" i="3" l="1"/>
  <c r="E292" i="3"/>
  <c r="J291" i="3"/>
  <c r="H291" i="3"/>
  <c r="F291" i="3"/>
  <c r="D292" i="3"/>
  <c r="I292" i="3" l="1"/>
  <c r="E293" i="3"/>
  <c r="J292" i="3"/>
  <c r="H292" i="3"/>
  <c r="F292" i="3"/>
  <c r="D293" i="3"/>
  <c r="I293" i="3" l="1"/>
  <c r="E294" i="3"/>
  <c r="J293" i="3"/>
  <c r="H293" i="3"/>
  <c r="F293" i="3"/>
  <c r="D294" i="3"/>
  <c r="I294" i="3" l="1"/>
  <c r="E295" i="3"/>
  <c r="J294" i="3"/>
  <c r="H294" i="3"/>
  <c r="F294" i="3"/>
  <c r="D295" i="3"/>
  <c r="I295" i="3" l="1"/>
  <c r="E296" i="3"/>
  <c r="J295" i="3"/>
  <c r="H295" i="3"/>
  <c r="F295" i="3"/>
  <c r="D296" i="3"/>
  <c r="I296" i="3" l="1"/>
  <c r="E297" i="3"/>
  <c r="J296" i="3"/>
  <c r="H296" i="3"/>
  <c r="F296" i="3"/>
  <c r="D297" i="3"/>
  <c r="I297" i="3" l="1"/>
  <c r="E298" i="3"/>
  <c r="J297" i="3"/>
  <c r="H297" i="3"/>
  <c r="F297" i="3"/>
  <c r="D298" i="3"/>
  <c r="I298" i="3" l="1"/>
  <c r="E299" i="3"/>
  <c r="J298" i="3"/>
  <c r="H298" i="3"/>
  <c r="F298" i="3"/>
  <c r="D299" i="3"/>
  <c r="I299" i="3" l="1"/>
  <c r="E300" i="3"/>
  <c r="J299" i="3"/>
  <c r="H299" i="3"/>
  <c r="F299" i="3"/>
  <c r="D300" i="3"/>
  <c r="I300" i="3" l="1"/>
  <c r="E301" i="3"/>
  <c r="J300" i="3"/>
  <c r="H300" i="3"/>
  <c r="F300" i="3"/>
  <c r="D301" i="3"/>
  <c r="I301" i="3" l="1"/>
  <c r="E302" i="3"/>
  <c r="J301" i="3"/>
  <c r="H301" i="3"/>
  <c r="F301" i="3"/>
  <c r="D302" i="3"/>
  <c r="I302" i="3" l="1"/>
  <c r="E303" i="3"/>
  <c r="J302" i="3"/>
  <c r="H302" i="3"/>
  <c r="F302" i="3"/>
  <c r="D303" i="3"/>
  <c r="I303" i="3" l="1"/>
  <c r="E304" i="3"/>
  <c r="J303" i="3"/>
  <c r="H303" i="3"/>
  <c r="F303" i="3"/>
  <c r="D304" i="3"/>
  <c r="I304" i="3" l="1"/>
  <c r="E305" i="3"/>
  <c r="J304" i="3"/>
  <c r="H304" i="3"/>
  <c r="F304" i="3"/>
  <c r="D305" i="3"/>
  <c r="I305" i="3" l="1"/>
  <c r="E306" i="3"/>
  <c r="J305" i="3"/>
  <c r="H305" i="3"/>
  <c r="F305" i="3"/>
  <c r="D306" i="3"/>
  <c r="I306" i="3" l="1"/>
  <c r="E307" i="3"/>
  <c r="J306" i="3"/>
  <c r="H306" i="3"/>
  <c r="F306" i="3"/>
  <c r="D307" i="3"/>
  <c r="I307" i="3" l="1"/>
  <c r="E308" i="3"/>
  <c r="J307" i="3"/>
  <c r="H307" i="3"/>
  <c r="F307" i="3"/>
  <c r="D308" i="3"/>
  <c r="I308" i="3" l="1"/>
  <c r="E309" i="3"/>
  <c r="J308" i="3"/>
  <c r="H308" i="3"/>
  <c r="F308" i="3"/>
  <c r="D309" i="3"/>
  <c r="I309" i="3" l="1"/>
  <c r="E310" i="3"/>
  <c r="J309" i="3"/>
  <c r="H309" i="3"/>
  <c r="F309" i="3"/>
  <c r="D310" i="3"/>
  <c r="I310" i="3" l="1"/>
  <c r="E311" i="3"/>
  <c r="J310" i="3"/>
  <c r="H310" i="3"/>
  <c r="F310" i="3"/>
  <c r="D311" i="3"/>
  <c r="I311" i="3" l="1"/>
  <c r="E312" i="3"/>
  <c r="J311" i="3"/>
  <c r="H311" i="3"/>
  <c r="F311" i="3"/>
  <c r="D312" i="3"/>
  <c r="I312" i="3" l="1"/>
  <c r="E313" i="3"/>
  <c r="J312" i="3"/>
  <c r="H312" i="3"/>
  <c r="F312" i="3"/>
  <c r="D313" i="3"/>
  <c r="I313" i="3" l="1"/>
  <c r="E314" i="3"/>
  <c r="J313" i="3"/>
  <c r="H313" i="3"/>
  <c r="F313" i="3"/>
  <c r="D314" i="3"/>
  <c r="I314" i="3" l="1"/>
  <c r="E315" i="3"/>
  <c r="J314" i="3"/>
  <c r="H314" i="3"/>
  <c r="F314" i="3"/>
  <c r="D315" i="3"/>
  <c r="I315" i="3" l="1"/>
  <c r="E316" i="3"/>
  <c r="J315" i="3"/>
  <c r="H315" i="3"/>
  <c r="F315" i="3"/>
  <c r="D316" i="3"/>
  <c r="I316" i="3" l="1"/>
  <c r="E317" i="3"/>
  <c r="J316" i="3"/>
  <c r="H316" i="3"/>
  <c r="F316" i="3"/>
  <c r="D317" i="3"/>
  <c r="I317" i="3" l="1"/>
  <c r="E318" i="3"/>
  <c r="J317" i="3"/>
  <c r="H317" i="3"/>
  <c r="F317" i="3"/>
  <c r="D318" i="3"/>
  <c r="I318" i="3" l="1"/>
  <c r="E319" i="3"/>
  <c r="J318" i="3"/>
  <c r="H318" i="3"/>
  <c r="F318" i="3"/>
  <c r="D319" i="3"/>
  <c r="I319" i="3" l="1"/>
  <c r="E320" i="3"/>
  <c r="J319" i="3"/>
  <c r="H319" i="3"/>
  <c r="F319" i="3"/>
  <c r="D320" i="3"/>
  <c r="I320" i="3" l="1"/>
  <c r="E321" i="3"/>
  <c r="J320" i="3"/>
  <c r="H320" i="3"/>
  <c r="F320" i="3"/>
  <c r="D321" i="3"/>
  <c r="I321" i="3" l="1"/>
  <c r="E322" i="3"/>
  <c r="J321" i="3"/>
  <c r="H321" i="3"/>
  <c r="F321" i="3"/>
  <c r="D322" i="3"/>
  <c r="I322" i="3" l="1"/>
  <c r="E323" i="3"/>
  <c r="J322" i="3"/>
  <c r="H322" i="3"/>
  <c r="F322" i="3"/>
  <c r="D323" i="3"/>
  <c r="I323" i="3" l="1"/>
  <c r="E324" i="3"/>
  <c r="H323" i="3"/>
  <c r="J323" i="3"/>
  <c r="F323" i="3"/>
  <c r="D324" i="3"/>
  <c r="I324" i="3" l="1"/>
  <c r="E325" i="3"/>
  <c r="J324" i="3"/>
  <c r="H324" i="3"/>
  <c r="F324" i="3"/>
  <c r="D325" i="3"/>
  <c r="I325" i="3" l="1"/>
  <c r="E326" i="3"/>
  <c r="J325" i="3"/>
  <c r="H325" i="3"/>
  <c r="F325" i="3"/>
  <c r="D326" i="3"/>
  <c r="I326" i="3" l="1"/>
  <c r="E327" i="3"/>
  <c r="J326" i="3"/>
  <c r="H326" i="3"/>
  <c r="F326" i="3"/>
  <c r="D327" i="3"/>
  <c r="I327" i="3" l="1"/>
  <c r="E328" i="3"/>
  <c r="J327" i="3"/>
  <c r="H327" i="3"/>
  <c r="F327" i="3"/>
  <c r="D328" i="3"/>
  <c r="I328" i="3" l="1"/>
  <c r="E329" i="3"/>
  <c r="H328" i="3"/>
  <c r="J328" i="3"/>
  <c r="F328" i="3"/>
  <c r="D329" i="3"/>
  <c r="I329" i="3" l="1"/>
  <c r="E330" i="3"/>
  <c r="H329" i="3"/>
  <c r="J329" i="3"/>
  <c r="F329" i="3"/>
  <c r="D330" i="3"/>
  <c r="I330" i="3" l="1"/>
  <c r="E331" i="3"/>
  <c r="J330" i="3"/>
  <c r="H330" i="3"/>
  <c r="F330" i="3"/>
  <c r="D331" i="3"/>
  <c r="I331" i="3" l="1"/>
  <c r="E332" i="3"/>
  <c r="J331" i="3"/>
  <c r="H331" i="3"/>
  <c r="F331" i="3"/>
  <c r="D332" i="3"/>
  <c r="I332" i="3" l="1"/>
  <c r="E333" i="3"/>
  <c r="J332" i="3"/>
  <c r="H332" i="3"/>
  <c r="F332" i="3"/>
  <c r="D333" i="3"/>
  <c r="I333" i="3" l="1"/>
  <c r="E334" i="3"/>
  <c r="J333" i="3"/>
  <c r="H333" i="3"/>
  <c r="F333" i="3"/>
  <c r="D334" i="3"/>
  <c r="I334" i="3" l="1"/>
  <c r="E335" i="3"/>
  <c r="H334" i="3"/>
  <c r="J334" i="3"/>
  <c r="F334" i="3"/>
  <c r="D335" i="3"/>
  <c r="I335" i="3" l="1"/>
  <c r="E336" i="3"/>
  <c r="J335" i="3"/>
  <c r="H335" i="3"/>
  <c r="F335" i="3"/>
  <c r="D336" i="3"/>
  <c r="I336" i="3" l="1"/>
  <c r="E337" i="3"/>
  <c r="H336" i="3"/>
  <c r="J336" i="3"/>
  <c r="F336" i="3"/>
  <c r="D337" i="3"/>
  <c r="I337" i="3" l="1"/>
  <c r="E338" i="3"/>
  <c r="J337" i="3"/>
  <c r="H337" i="3"/>
  <c r="F337" i="3"/>
  <c r="D338" i="3"/>
  <c r="I338" i="3" l="1"/>
  <c r="E339" i="3"/>
  <c r="H338" i="3"/>
  <c r="J338" i="3"/>
  <c r="F338" i="3"/>
  <c r="D339" i="3"/>
  <c r="I339" i="3" l="1"/>
  <c r="E340" i="3"/>
  <c r="H339" i="3"/>
  <c r="J339" i="3"/>
  <c r="F339" i="3"/>
  <c r="D340" i="3"/>
  <c r="I340" i="3" l="1"/>
  <c r="E341" i="3"/>
  <c r="J340" i="3"/>
  <c r="H340" i="3"/>
  <c r="F340" i="3"/>
  <c r="D341" i="3"/>
  <c r="I341" i="3" l="1"/>
  <c r="E342" i="3"/>
  <c r="J341" i="3"/>
  <c r="H341" i="3"/>
  <c r="F341" i="3"/>
  <c r="D342" i="3"/>
  <c r="I342" i="3" l="1"/>
  <c r="E343" i="3"/>
  <c r="J342" i="3"/>
  <c r="H342" i="3"/>
  <c r="F342" i="3"/>
  <c r="D343" i="3"/>
  <c r="I343" i="3" l="1"/>
  <c r="E344" i="3"/>
  <c r="H343" i="3"/>
  <c r="J343" i="3"/>
  <c r="F343" i="3"/>
  <c r="D344" i="3"/>
  <c r="I344" i="3" l="1"/>
  <c r="E345" i="3"/>
  <c r="J344" i="3"/>
  <c r="H344" i="3"/>
  <c r="F344" i="3"/>
  <c r="D345" i="3"/>
  <c r="I345" i="3" l="1"/>
  <c r="E346" i="3"/>
  <c r="J345" i="3"/>
  <c r="H345" i="3"/>
  <c r="F345" i="3"/>
  <c r="D346" i="3"/>
  <c r="I346" i="3" l="1"/>
  <c r="E347" i="3"/>
  <c r="J346" i="3"/>
  <c r="H346" i="3"/>
  <c r="F346" i="3"/>
  <c r="D347" i="3"/>
  <c r="I347" i="3" l="1"/>
  <c r="E348" i="3"/>
  <c r="J347" i="3"/>
  <c r="H347" i="3"/>
  <c r="F347" i="3"/>
  <c r="D348" i="3"/>
  <c r="I348" i="3" l="1"/>
  <c r="E349" i="3"/>
  <c r="J348" i="3"/>
  <c r="H348" i="3"/>
  <c r="F348" i="3"/>
  <c r="D349" i="3"/>
  <c r="I349" i="3" l="1"/>
  <c r="E350" i="3"/>
  <c r="J349" i="3"/>
  <c r="H349" i="3"/>
  <c r="F349" i="3"/>
  <c r="D350" i="3"/>
  <c r="I350" i="3" l="1"/>
  <c r="E351" i="3"/>
  <c r="J350" i="3"/>
  <c r="H350" i="3"/>
  <c r="F350" i="3"/>
  <c r="D351" i="3"/>
  <c r="I351" i="3" l="1"/>
  <c r="E352" i="3"/>
  <c r="J351" i="3"/>
  <c r="H351" i="3"/>
  <c r="F351" i="3"/>
  <c r="D352" i="3"/>
  <c r="I352" i="3" l="1"/>
  <c r="E353" i="3"/>
  <c r="J352" i="3"/>
  <c r="H352" i="3"/>
  <c r="F352" i="3"/>
  <c r="D353" i="3"/>
  <c r="I353" i="3" l="1"/>
  <c r="E354" i="3"/>
  <c r="J353" i="3"/>
  <c r="H353" i="3"/>
  <c r="F353" i="3"/>
  <c r="D354" i="3"/>
  <c r="I354" i="3" l="1"/>
  <c r="E355" i="3"/>
  <c r="J354" i="3"/>
  <c r="H354" i="3"/>
  <c r="F354" i="3"/>
  <c r="D355" i="3"/>
  <c r="I355" i="3" l="1"/>
  <c r="E356" i="3"/>
  <c r="J355" i="3"/>
  <c r="H355" i="3"/>
  <c r="F355" i="3"/>
  <c r="D356" i="3"/>
  <c r="I356" i="3" l="1"/>
  <c r="E357" i="3"/>
  <c r="J356" i="3"/>
  <c r="H356" i="3"/>
  <c r="F356" i="3"/>
  <c r="D357" i="3"/>
  <c r="I357" i="3" l="1"/>
  <c r="E358" i="3"/>
  <c r="J357" i="3"/>
  <c r="H357" i="3"/>
  <c r="F357" i="3"/>
  <c r="D358" i="3"/>
  <c r="I358" i="3" l="1"/>
  <c r="E359" i="3"/>
  <c r="J358" i="3"/>
  <c r="H358" i="3"/>
  <c r="F358" i="3"/>
  <c r="D359" i="3"/>
  <c r="I359" i="3" l="1"/>
  <c r="E360" i="3"/>
  <c r="J359" i="3"/>
  <c r="H359" i="3"/>
  <c r="F359" i="3"/>
  <c r="D360" i="3"/>
  <c r="I360" i="3" l="1"/>
  <c r="E361" i="3"/>
  <c r="J360" i="3"/>
  <c r="H360" i="3"/>
  <c r="F360" i="3"/>
  <c r="D361" i="3"/>
  <c r="I361" i="3" l="1"/>
  <c r="E362" i="3"/>
  <c r="J361" i="3"/>
  <c r="H361" i="3"/>
  <c r="F361" i="3"/>
  <c r="D362" i="3"/>
  <c r="I362" i="3" l="1"/>
  <c r="E363" i="3"/>
  <c r="J362" i="3"/>
  <c r="H362" i="3"/>
  <c r="F362" i="3"/>
  <c r="D363" i="3"/>
  <c r="I363" i="3" l="1"/>
  <c r="E364" i="3"/>
  <c r="J363" i="3"/>
  <c r="H363" i="3"/>
  <c r="F363" i="3"/>
  <c r="D364" i="3"/>
  <c r="I364" i="3" l="1"/>
  <c r="E365" i="3"/>
  <c r="J364" i="3"/>
  <c r="H364" i="3"/>
  <c r="F364" i="3"/>
  <c r="D365" i="3"/>
  <c r="I365" i="3" l="1"/>
  <c r="E366" i="3"/>
  <c r="J365" i="3"/>
  <c r="H365" i="3"/>
  <c r="F365" i="3"/>
  <c r="D366" i="3"/>
  <c r="I366" i="3" l="1"/>
  <c r="E367" i="3"/>
  <c r="J366" i="3"/>
  <c r="H366" i="3"/>
  <c r="F366" i="3"/>
  <c r="D367" i="3"/>
  <c r="I367" i="3" l="1"/>
  <c r="E368" i="3"/>
  <c r="J367" i="3"/>
  <c r="H367" i="3"/>
  <c r="F367" i="3"/>
  <c r="D368" i="3"/>
  <c r="I368" i="3" l="1"/>
  <c r="E369" i="3"/>
  <c r="J368" i="3"/>
  <c r="H368" i="3"/>
  <c r="F368" i="3"/>
  <c r="D369" i="3"/>
  <c r="I369" i="3" l="1"/>
  <c r="E370" i="3"/>
  <c r="J369" i="3"/>
  <c r="H369" i="3"/>
  <c r="F369" i="3"/>
  <c r="D370" i="3"/>
  <c r="I370" i="3" l="1"/>
  <c r="E371" i="3"/>
  <c r="J370" i="3"/>
  <c r="H370" i="3"/>
  <c r="F370" i="3"/>
  <c r="D371" i="3"/>
  <c r="I371" i="3" l="1"/>
  <c r="E372" i="3"/>
  <c r="J371" i="3"/>
  <c r="H371" i="3"/>
  <c r="F371" i="3"/>
  <c r="D372" i="3"/>
  <c r="I372" i="3" l="1"/>
  <c r="E373" i="3"/>
  <c r="H372" i="3"/>
  <c r="J372" i="3"/>
  <c r="F372" i="3"/>
  <c r="D373" i="3"/>
  <c r="I373" i="3" l="1"/>
  <c r="E374" i="3"/>
  <c r="J373" i="3"/>
  <c r="H373" i="3"/>
  <c r="F373" i="3"/>
  <c r="D374" i="3"/>
  <c r="I374" i="3" l="1"/>
  <c r="E375" i="3"/>
  <c r="J374" i="3"/>
  <c r="H374" i="3"/>
  <c r="F374" i="3"/>
  <c r="D375" i="3"/>
  <c r="I375" i="3" l="1"/>
  <c r="E376" i="3"/>
  <c r="H375" i="3"/>
  <c r="J375" i="3"/>
  <c r="F375" i="3"/>
  <c r="D376" i="3"/>
  <c r="I376" i="3" l="1"/>
  <c r="E377" i="3"/>
  <c r="J376" i="3"/>
  <c r="H376" i="3"/>
  <c r="F376" i="3"/>
  <c r="D377" i="3"/>
  <c r="I377" i="3" l="1"/>
  <c r="E378" i="3"/>
  <c r="J377" i="3"/>
  <c r="H377" i="3"/>
  <c r="F377" i="3"/>
  <c r="D378" i="3"/>
  <c r="I378" i="3" l="1"/>
  <c r="E379" i="3"/>
  <c r="H378" i="3"/>
  <c r="J378" i="3"/>
  <c r="F378" i="3"/>
  <c r="D379" i="3"/>
  <c r="I379" i="3" l="1"/>
  <c r="E380" i="3"/>
  <c r="J379" i="3"/>
  <c r="H379" i="3"/>
  <c r="F379" i="3"/>
  <c r="D380" i="3"/>
  <c r="I380" i="3" l="1"/>
  <c r="E381" i="3"/>
  <c r="H380" i="3"/>
  <c r="J380" i="3"/>
  <c r="F380" i="3"/>
  <c r="D381" i="3"/>
  <c r="I381" i="3" l="1"/>
  <c r="E382" i="3"/>
  <c r="J381" i="3"/>
  <c r="H381" i="3"/>
  <c r="F381" i="3"/>
  <c r="D382" i="3"/>
  <c r="I382" i="3" l="1"/>
  <c r="E383" i="3"/>
  <c r="H382" i="3"/>
  <c r="J382" i="3"/>
  <c r="F382" i="3"/>
  <c r="D383" i="3"/>
  <c r="I383" i="3" l="1"/>
  <c r="E384" i="3"/>
  <c r="J383" i="3"/>
  <c r="H383" i="3"/>
  <c r="F383" i="3"/>
  <c r="D384" i="3"/>
  <c r="I384" i="3" l="1"/>
  <c r="E385" i="3"/>
  <c r="J384" i="3"/>
  <c r="H384" i="3"/>
  <c r="F384" i="3"/>
  <c r="D385" i="3"/>
  <c r="I385" i="3" l="1"/>
  <c r="E386" i="3"/>
  <c r="J385" i="3"/>
  <c r="H385" i="3"/>
  <c r="F385" i="3"/>
  <c r="D386" i="3"/>
  <c r="I386" i="3" l="1"/>
  <c r="E387" i="3"/>
  <c r="J386" i="3"/>
  <c r="H386" i="3"/>
  <c r="F386" i="3"/>
  <c r="D387" i="3"/>
  <c r="I387" i="3" l="1"/>
  <c r="E388" i="3"/>
  <c r="H387" i="3"/>
  <c r="J387" i="3"/>
  <c r="F387" i="3"/>
  <c r="D388" i="3"/>
  <c r="I388" i="3" l="1"/>
  <c r="E389" i="3"/>
  <c r="H388" i="3"/>
  <c r="J388" i="3"/>
  <c r="F388" i="3"/>
  <c r="D389" i="3"/>
  <c r="I389" i="3" l="1"/>
  <c r="E390" i="3"/>
  <c r="J389" i="3"/>
  <c r="H389" i="3"/>
  <c r="F389" i="3"/>
  <c r="D390" i="3"/>
  <c r="I390" i="3" l="1"/>
  <c r="E391" i="3"/>
  <c r="J390" i="3"/>
  <c r="H390" i="3"/>
  <c r="F390" i="3"/>
  <c r="D391" i="3"/>
  <c r="I391" i="3" l="1"/>
  <c r="E392" i="3"/>
  <c r="J391" i="3"/>
  <c r="H391" i="3"/>
  <c r="F391" i="3"/>
  <c r="D392" i="3"/>
  <c r="I392" i="3" l="1"/>
  <c r="E393" i="3"/>
  <c r="H392" i="3"/>
  <c r="J392" i="3"/>
  <c r="F392" i="3"/>
  <c r="D393" i="3"/>
  <c r="I393" i="3" l="1"/>
  <c r="E394" i="3"/>
  <c r="J393" i="3"/>
  <c r="H393" i="3"/>
  <c r="F393" i="3"/>
  <c r="D394" i="3"/>
  <c r="I394" i="3" l="1"/>
  <c r="E395" i="3"/>
  <c r="J394" i="3"/>
  <c r="H394" i="3"/>
  <c r="F394" i="3"/>
  <c r="D395" i="3"/>
  <c r="I395" i="3" l="1"/>
  <c r="E396" i="3"/>
  <c r="J395" i="3"/>
  <c r="H395" i="3"/>
  <c r="F395" i="3"/>
  <c r="D396" i="3"/>
  <c r="I396" i="3" l="1"/>
  <c r="E397" i="3"/>
  <c r="J396" i="3"/>
  <c r="H396" i="3"/>
  <c r="F396" i="3"/>
  <c r="D397" i="3"/>
  <c r="I397" i="3" l="1"/>
  <c r="E398" i="3"/>
  <c r="J397" i="3"/>
  <c r="H397" i="3"/>
  <c r="F397" i="3"/>
  <c r="D398" i="3"/>
  <c r="I398" i="3" l="1"/>
  <c r="E399" i="3"/>
  <c r="J398" i="3"/>
  <c r="H398" i="3"/>
  <c r="F398" i="3"/>
  <c r="D399" i="3"/>
  <c r="I399" i="3" l="1"/>
  <c r="E400" i="3"/>
  <c r="J399" i="3"/>
  <c r="H399" i="3"/>
  <c r="F399" i="3"/>
  <c r="D400" i="3"/>
  <c r="I400" i="3" l="1"/>
  <c r="E401" i="3"/>
  <c r="J400" i="3"/>
  <c r="H400" i="3"/>
  <c r="F400" i="3"/>
  <c r="D401" i="3"/>
  <c r="I401" i="3" l="1"/>
  <c r="E402" i="3"/>
  <c r="J401" i="3"/>
  <c r="H401" i="3"/>
  <c r="F401" i="3"/>
  <c r="D402" i="3"/>
  <c r="I402" i="3" l="1"/>
  <c r="E403" i="3"/>
  <c r="J402" i="3"/>
  <c r="H402" i="3"/>
  <c r="F402" i="3"/>
  <c r="D403" i="3"/>
  <c r="I403" i="3" l="1"/>
  <c r="E404" i="3"/>
  <c r="J403" i="3"/>
  <c r="H403" i="3"/>
  <c r="F403" i="3"/>
  <c r="D404" i="3"/>
  <c r="I404" i="3" l="1"/>
  <c r="E405" i="3"/>
  <c r="J404" i="3"/>
  <c r="H404" i="3"/>
  <c r="F404" i="3"/>
  <c r="D405" i="3"/>
  <c r="I405" i="3" l="1"/>
  <c r="E406" i="3"/>
  <c r="J405" i="3"/>
  <c r="H405" i="3"/>
  <c r="F405" i="3"/>
  <c r="D406" i="3"/>
  <c r="I406" i="3" l="1"/>
  <c r="E407" i="3"/>
  <c r="J406" i="3"/>
  <c r="H406" i="3"/>
  <c r="F406" i="3"/>
  <c r="D407" i="3"/>
  <c r="I407" i="3" l="1"/>
  <c r="E408" i="3"/>
  <c r="J407" i="3"/>
  <c r="H407" i="3"/>
  <c r="F407" i="3"/>
  <c r="D408" i="3"/>
  <c r="I408" i="3" l="1"/>
  <c r="E409" i="3"/>
  <c r="J408" i="3"/>
  <c r="H408" i="3"/>
  <c r="F408" i="3"/>
  <c r="D409" i="3"/>
  <c r="I409" i="3" l="1"/>
  <c r="E410" i="3"/>
  <c r="H409" i="3"/>
  <c r="J409" i="3"/>
  <c r="F409" i="3"/>
  <c r="D410" i="3"/>
  <c r="I410" i="3" l="1"/>
  <c r="E411" i="3"/>
  <c r="J410" i="3"/>
  <c r="H410" i="3"/>
  <c r="F410" i="3"/>
  <c r="D411" i="3"/>
  <c r="I411" i="3" l="1"/>
  <c r="E412" i="3"/>
  <c r="H411" i="3"/>
  <c r="J411" i="3"/>
  <c r="F411" i="3"/>
  <c r="D412" i="3"/>
  <c r="I412" i="3" l="1"/>
  <c r="E413" i="3"/>
  <c r="J412" i="3"/>
  <c r="H412" i="3"/>
  <c r="D413" i="3"/>
  <c r="F412" i="3"/>
  <c r="I413" i="3" l="1"/>
  <c r="E414" i="3"/>
  <c r="J413" i="3"/>
  <c r="H413" i="3"/>
  <c r="F413" i="3"/>
  <c r="D414" i="3"/>
  <c r="I414" i="3" l="1"/>
  <c r="E415" i="3"/>
  <c r="J414" i="3"/>
  <c r="H414" i="3"/>
  <c r="F414" i="3"/>
  <c r="D415" i="3"/>
  <c r="I415" i="3" l="1"/>
  <c r="E416" i="3"/>
  <c r="H415" i="3"/>
  <c r="J415" i="3"/>
  <c r="F415" i="3"/>
  <c r="D416" i="3"/>
  <c r="I416" i="3" l="1"/>
  <c r="E417" i="3"/>
  <c r="J416" i="3"/>
  <c r="H416" i="3"/>
  <c r="F416" i="3"/>
  <c r="D417" i="3"/>
  <c r="I417" i="3" l="1"/>
  <c r="E418" i="3"/>
  <c r="J417" i="3"/>
  <c r="H417" i="3"/>
  <c r="D418" i="3"/>
  <c r="F417" i="3"/>
  <c r="I418" i="3" l="1"/>
  <c r="E419" i="3"/>
  <c r="J418" i="3"/>
  <c r="H418" i="3"/>
  <c r="F418" i="3"/>
  <c r="D419" i="3"/>
  <c r="I419" i="3" l="1"/>
  <c r="E420" i="3"/>
  <c r="J419" i="3"/>
  <c r="H419" i="3"/>
  <c r="D420" i="3"/>
  <c r="F419" i="3"/>
  <c r="I420" i="3" l="1"/>
  <c r="E421" i="3"/>
  <c r="H420" i="3"/>
  <c r="J420" i="3"/>
  <c r="F420" i="3"/>
  <c r="D421" i="3"/>
  <c r="I421" i="3" l="1"/>
  <c r="E422" i="3"/>
  <c r="J421" i="3"/>
  <c r="H421" i="3"/>
  <c r="F421" i="3"/>
  <c r="D422" i="3"/>
  <c r="I422" i="3" l="1"/>
  <c r="E423" i="3"/>
  <c r="J422" i="3"/>
  <c r="H422" i="3"/>
  <c r="F422" i="3"/>
  <c r="D423" i="3"/>
  <c r="I423" i="3" l="1"/>
  <c r="E424" i="3"/>
  <c r="J423" i="3"/>
  <c r="H423" i="3"/>
  <c r="D424" i="3"/>
  <c r="F423" i="3"/>
  <c r="I424" i="3" l="1"/>
  <c r="E425" i="3"/>
  <c r="J424" i="3"/>
  <c r="H424" i="3"/>
  <c r="F424" i="3"/>
  <c r="D425" i="3"/>
  <c r="I425" i="3" l="1"/>
  <c r="E426" i="3"/>
  <c r="J425" i="3"/>
  <c r="H425" i="3"/>
  <c r="F425" i="3"/>
  <c r="D426" i="3"/>
  <c r="I426" i="3" l="1"/>
  <c r="E427" i="3"/>
  <c r="J426" i="3"/>
  <c r="H426" i="3"/>
  <c r="F426" i="3"/>
  <c r="D427" i="3"/>
  <c r="I427" i="3" l="1"/>
  <c r="E428" i="3"/>
  <c r="J427" i="3"/>
  <c r="H427" i="3"/>
  <c r="F427" i="3"/>
  <c r="D428" i="3"/>
  <c r="I428" i="3" l="1"/>
  <c r="E429" i="3"/>
  <c r="J428" i="3"/>
  <c r="H428" i="3"/>
  <c r="F428" i="3"/>
  <c r="D429" i="3"/>
  <c r="I429" i="3" l="1"/>
  <c r="E430" i="3"/>
  <c r="H429" i="3"/>
  <c r="J429" i="3"/>
  <c r="F429" i="3"/>
  <c r="D430" i="3"/>
  <c r="I430" i="3" l="1"/>
  <c r="E431" i="3"/>
  <c r="J430" i="3"/>
  <c r="H430" i="3"/>
  <c r="D431" i="3"/>
  <c r="F430" i="3"/>
  <c r="I431" i="3" l="1"/>
  <c r="E432" i="3"/>
  <c r="J431" i="3"/>
  <c r="H431" i="3"/>
  <c r="F431" i="3"/>
  <c r="D432" i="3"/>
  <c r="I432" i="3" l="1"/>
  <c r="E433" i="3"/>
  <c r="J432" i="3"/>
  <c r="H432" i="3"/>
  <c r="F432" i="3"/>
  <c r="D433" i="3"/>
  <c r="I433" i="3" l="1"/>
  <c r="E434" i="3"/>
  <c r="J433" i="3"/>
  <c r="H433" i="3"/>
  <c r="F433" i="3"/>
  <c r="D434" i="3"/>
  <c r="I434" i="3" l="1"/>
  <c r="E435" i="3"/>
  <c r="J434" i="3"/>
  <c r="H434" i="3"/>
  <c r="F434" i="3"/>
  <c r="D435" i="3"/>
  <c r="I435" i="3" l="1"/>
  <c r="E436" i="3"/>
  <c r="J435" i="3"/>
  <c r="H435" i="3"/>
  <c r="F435" i="3"/>
  <c r="D436" i="3"/>
  <c r="I436" i="3" l="1"/>
  <c r="E437" i="3"/>
  <c r="J436" i="3"/>
  <c r="H436" i="3"/>
  <c r="F436" i="3"/>
  <c r="D437" i="3"/>
  <c r="I437" i="3" l="1"/>
  <c r="E438" i="3"/>
  <c r="J437" i="3"/>
  <c r="H437" i="3"/>
  <c r="F437" i="3"/>
  <c r="D438" i="3"/>
  <c r="I438" i="3" l="1"/>
  <c r="E439" i="3"/>
  <c r="H438" i="3"/>
  <c r="J438" i="3"/>
  <c r="F438" i="3"/>
  <c r="D439" i="3"/>
  <c r="I439" i="3" l="1"/>
  <c r="E440" i="3"/>
  <c r="H439" i="3"/>
  <c r="J439" i="3"/>
  <c r="F439" i="3"/>
  <c r="D440" i="3"/>
  <c r="I440" i="3" l="1"/>
  <c r="E441" i="3"/>
  <c r="J440" i="3"/>
  <c r="H440" i="3"/>
  <c r="F440" i="3"/>
  <c r="D441" i="3"/>
  <c r="I441" i="3" l="1"/>
  <c r="E442" i="3"/>
  <c r="J441" i="3"/>
  <c r="H441" i="3"/>
  <c r="F441" i="3"/>
  <c r="D442" i="3"/>
  <c r="I442" i="3" l="1"/>
  <c r="E443" i="3"/>
  <c r="J442" i="3"/>
  <c r="H442" i="3"/>
  <c r="F442" i="3"/>
  <c r="D443" i="3"/>
  <c r="I443" i="3" l="1"/>
  <c r="E444" i="3"/>
  <c r="J443" i="3"/>
  <c r="H443" i="3"/>
  <c r="F443" i="3"/>
  <c r="D444" i="3"/>
  <c r="I444" i="3" l="1"/>
  <c r="E445" i="3"/>
  <c r="J444" i="3"/>
  <c r="H444" i="3"/>
  <c r="F444" i="3"/>
  <c r="D445" i="3"/>
  <c r="I445" i="3" l="1"/>
  <c r="E446" i="3"/>
  <c r="J445" i="3"/>
  <c r="H445" i="3"/>
  <c r="F445" i="3"/>
  <c r="D446" i="3"/>
  <c r="I446" i="3" l="1"/>
  <c r="E447" i="3"/>
  <c r="J446" i="3"/>
  <c r="H446" i="3"/>
  <c r="F446" i="3"/>
  <c r="D447" i="3"/>
  <c r="I447" i="3" l="1"/>
  <c r="E448" i="3"/>
  <c r="H447" i="3"/>
  <c r="J447" i="3"/>
  <c r="F447" i="3"/>
  <c r="D448" i="3"/>
  <c r="I448" i="3" l="1"/>
  <c r="E449" i="3"/>
  <c r="J448" i="3"/>
  <c r="H448" i="3"/>
  <c r="F448" i="3"/>
  <c r="D449" i="3"/>
  <c r="I449" i="3" l="1"/>
  <c r="E450" i="3"/>
  <c r="J449" i="3"/>
  <c r="H449" i="3"/>
  <c r="F449" i="3"/>
  <c r="D450" i="3"/>
  <c r="I450" i="3" l="1"/>
  <c r="E451" i="3"/>
  <c r="J450" i="3"/>
  <c r="H450" i="3"/>
  <c r="F450" i="3"/>
  <c r="D451" i="3"/>
  <c r="I451" i="3" l="1"/>
  <c r="E452" i="3"/>
  <c r="J451" i="3"/>
  <c r="H451" i="3"/>
  <c r="F451" i="3"/>
  <c r="D452" i="3"/>
  <c r="I452" i="3" l="1"/>
  <c r="E453" i="3"/>
  <c r="J452" i="3"/>
  <c r="H452" i="3"/>
  <c r="F452" i="3"/>
  <c r="D453" i="3"/>
  <c r="I453" i="3" l="1"/>
  <c r="E454" i="3"/>
  <c r="J453" i="3"/>
  <c r="H453" i="3"/>
  <c r="F453" i="3"/>
  <c r="D454" i="3"/>
  <c r="I454" i="3" l="1"/>
  <c r="E455" i="3"/>
  <c r="J454" i="3"/>
  <c r="H454" i="3"/>
  <c r="F454" i="3"/>
  <c r="D455" i="3"/>
  <c r="I455" i="3" l="1"/>
  <c r="E456" i="3"/>
  <c r="J455" i="3"/>
  <c r="H455" i="3"/>
  <c r="F455" i="3"/>
  <c r="D456" i="3"/>
  <c r="I456" i="3" l="1"/>
  <c r="E457" i="3"/>
  <c r="J456" i="3"/>
  <c r="H456" i="3"/>
  <c r="F456" i="3"/>
  <c r="D457" i="3"/>
  <c r="I457" i="3" l="1"/>
  <c r="E458" i="3"/>
  <c r="J457" i="3"/>
  <c r="H457" i="3"/>
  <c r="F457" i="3"/>
  <c r="D458" i="3"/>
  <c r="I458" i="3" l="1"/>
  <c r="E459" i="3"/>
  <c r="J458" i="3"/>
  <c r="H458" i="3"/>
  <c r="F458" i="3"/>
  <c r="D459" i="3"/>
  <c r="I459" i="3" l="1"/>
  <c r="E460" i="3"/>
  <c r="J459" i="3"/>
  <c r="H459" i="3"/>
  <c r="F459" i="3"/>
  <c r="D460" i="3"/>
  <c r="I460" i="3" l="1"/>
  <c r="E461" i="3"/>
  <c r="J460" i="3"/>
  <c r="H460" i="3"/>
  <c r="F460" i="3"/>
  <c r="D461" i="3"/>
  <c r="I461" i="3" l="1"/>
  <c r="E462" i="3"/>
  <c r="J461" i="3"/>
  <c r="H461" i="3"/>
  <c r="F461" i="3"/>
  <c r="D462" i="3"/>
  <c r="I462" i="3" l="1"/>
  <c r="E463" i="3"/>
  <c r="H462" i="3"/>
  <c r="J462" i="3"/>
  <c r="F462" i="3"/>
  <c r="D463" i="3"/>
  <c r="I463" i="3" l="1"/>
  <c r="E464" i="3"/>
  <c r="J463" i="3"/>
  <c r="H463" i="3"/>
  <c r="F463" i="3"/>
  <c r="D464" i="3"/>
  <c r="I464" i="3" l="1"/>
  <c r="E465" i="3"/>
  <c r="J464" i="3"/>
  <c r="H464" i="3"/>
  <c r="F464" i="3"/>
  <c r="D465" i="3"/>
  <c r="I465" i="3" l="1"/>
  <c r="E466" i="3"/>
  <c r="J465" i="3"/>
  <c r="H465" i="3"/>
  <c r="F465" i="3"/>
  <c r="D466" i="3"/>
  <c r="I466" i="3" l="1"/>
  <c r="E467" i="3"/>
  <c r="J466" i="3"/>
  <c r="H466" i="3"/>
  <c r="F466" i="3"/>
  <c r="D467" i="3"/>
  <c r="I467" i="3" l="1"/>
  <c r="E468" i="3"/>
  <c r="H467" i="3"/>
  <c r="J467" i="3"/>
  <c r="F467" i="3"/>
  <c r="D468" i="3"/>
  <c r="I468" i="3" l="1"/>
  <c r="E469" i="3"/>
  <c r="J468" i="3"/>
  <c r="H468" i="3"/>
  <c r="F468" i="3"/>
  <c r="D469" i="3"/>
  <c r="I469" i="3" l="1"/>
  <c r="E470" i="3"/>
  <c r="H469" i="3"/>
  <c r="J469" i="3"/>
  <c r="F469" i="3"/>
  <c r="D470" i="3"/>
  <c r="I470" i="3" l="1"/>
  <c r="E471" i="3"/>
  <c r="J470" i="3"/>
  <c r="H470" i="3"/>
  <c r="F470" i="3"/>
  <c r="D471" i="3"/>
  <c r="I471" i="3" l="1"/>
  <c r="E472" i="3"/>
  <c r="J471" i="3"/>
  <c r="H471" i="3"/>
  <c r="F471" i="3"/>
  <c r="D472" i="3"/>
  <c r="I472" i="3" l="1"/>
  <c r="E473" i="3"/>
  <c r="J472" i="3"/>
  <c r="H472" i="3"/>
  <c r="F472" i="3"/>
  <c r="D473" i="3"/>
  <c r="I473" i="3" l="1"/>
  <c r="E474" i="3"/>
  <c r="J473" i="3"/>
  <c r="H473" i="3"/>
  <c r="F473" i="3"/>
  <c r="D474" i="3"/>
  <c r="I474" i="3" l="1"/>
  <c r="E475" i="3"/>
  <c r="J474" i="3"/>
  <c r="H474" i="3"/>
  <c r="F474" i="3"/>
  <c r="D475" i="3"/>
  <c r="I475" i="3" l="1"/>
  <c r="E476" i="3"/>
  <c r="J475" i="3"/>
  <c r="H475" i="3"/>
  <c r="F475" i="3"/>
  <c r="D476" i="3"/>
  <c r="I476" i="3" l="1"/>
  <c r="E477" i="3"/>
  <c r="J476" i="3"/>
  <c r="H476" i="3"/>
  <c r="F476" i="3"/>
  <c r="D477" i="3"/>
  <c r="I477" i="3" l="1"/>
  <c r="E478" i="3"/>
  <c r="J477" i="3"/>
  <c r="H477" i="3"/>
  <c r="F477" i="3"/>
  <c r="D478" i="3"/>
  <c r="I478" i="3" l="1"/>
  <c r="E479" i="3"/>
  <c r="J478" i="3"/>
  <c r="H478" i="3"/>
  <c r="F478" i="3"/>
  <c r="D479" i="3"/>
  <c r="I479" i="3" l="1"/>
  <c r="E480" i="3"/>
  <c r="J479" i="3"/>
  <c r="H479" i="3"/>
  <c r="F479" i="3"/>
  <c r="D480" i="3"/>
  <c r="I480" i="3" l="1"/>
  <c r="E481" i="3"/>
  <c r="J480" i="3"/>
  <c r="H480" i="3"/>
  <c r="F480" i="3"/>
  <c r="D481" i="3"/>
  <c r="I481" i="3" l="1"/>
  <c r="E482" i="3"/>
  <c r="J481" i="3"/>
  <c r="H481" i="3"/>
  <c r="F481" i="3"/>
  <c r="D482" i="3"/>
  <c r="I482" i="3" l="1"/>
  <c r="E483" i="3"/>
  <c r="J482" i="3"/>
  <c r="H482" i="3"/>
  <c r="F482" i="3"/>
  <c r="D483" i="3"/>
  <c r="I483" i="3" l="1"/>
  <c r="E484" i="3"/>
  <c r="J483" i="3"/>
  <c r="H483" i="3"/>
  <c r="F483" i="3"/>
  <c r="D484" i="3"/>
  <c r="I484" i="3" l="1"/>
  <c r="E485" i="3"/>
  <c r="J484" i="3"/>
  <c r="H484" i="3"/>
  <c r="F484" i="3"/>
  <c r="D485" i="3"/>
  <c r="I485" i="3" l="1"/>
  <c r="E486" i="3"/>
  <c r="J485" i="3"/>
  <c r="H485" i="3"/>
  <c r="F485" i="3"/>
  <c r="D486" i="3"/>
  <c r="I486" i="3" l="1"/>
  <c r="E487" i="3"/>
  <c r="J486" i="3"/>
  <c r="H486" i="3"/>
  <c r="F486" i="3"/>
  <c r="D487" i="3"/>
  <c r="I487" i="3" l="1"/>
  <c r="E488" i="3"/>
  <c r="J487" i="3"/>
  <c r="H487" i="3"/>
  <c r="F487" i="3"/>
  <c r="D488" i="3"/>
  <c r="I488" i="3" l="1"/>
  <c r="E489" i="3"/>
  <c r="J488" i="3"/>
  <c r="H488" i="3"/>
  <c r="F488" i="3"/>
  <c r="D489" i="3"/>
  <c r="I489" i="3" l="1"/>
  <c r="E490" i="3"/>
  <c r="J489" i="3"/>
  <c r="H489" i="3"/>
  <c r="F489" i="3"/>
  <c r="D490" i="3"/>
  <c r="I490" i="3" l="1"/>
  <c r="E491" i="3"/>
  <c r="J490" i="3"/>
  <c r="H490" i="3"/>
  <c r="F490" i="3"/>
  <c r="D491" i="3"/>
  <c r="I491" i="3" l="1"/>
  <c r="E492" i="3"/>
  <c r="J491" i="3"/>
  <c r="H491" i="3"/>
  <c r="F491" i="3"/>
  <c r="D492" i="3"/>
  <c r="I492" i="3" l="1"/>
  <c r="E493" i="3"/>
  <c r="J492" i="3"/>
  <c r="H492" i="3"/>
  <c r="F492" i="3"/>
  <c r="D493" i="3"/>
  <c r="I493" i="3" l="1"/>
  <c r="E494" i="3"/>
  <c r="J493" i="3"/>
  <c r="H493" i="3"/>
  <c r="F493" i="3"/>
  <c r="D494" i="3"/>
  <c r="I494" i="3" l="1"/>
  <c r="E495" i="3"/>
  <c r="J494" i="3"/>
  <c r="H494" i="3"/>
  <c r="F494" i="3"/>
  <c r="D495" i="3"/>
  <c r="I495" i="3" l="1"/>
  <c r="E496" i="3"/>
  <c r="J495" i="3"/>
  <c r="H495" i="3"/>
  <c r="F495" i="3"/>
  <c r="D496" i="3"/>
  <c r="I496" i="3" l="1"/>
  <c r="E497" i="3"/>
  <c r="H496" i="3"/>
  <c r="J496" i="3"/>
  <c r="F496" i="3"/>
  <c r="D497" i="3"/>
  <c r="I497" i="3" l="1"/>
  <c r="E498" i="3"/>
  <c r="J497" i="3"/>
  <c r="H497" i="3"/>
  <c r="F497" i="3"/>
  <c r="D498" i="3"/>
  <c r="I498" i="3" l="1"/>
  <c r="E499" i="3"/>
  <c r="J498" i="3"/>
  <c r="H498" i="3"/>
  <c r="F498" i="3"/>
  <c r="D499" i="3"/>
  <c r="I499" i="3" l="1"/>
  <c r="E500" i="3"/>
  <c r="H499" i="3"/>
  <c r="J499" i="3"/>
  <c r="F499" i="3"/>
  <c r="D500" i="3"/>
  <c r="I500" i="3" l="1"/>
  <c r="E501" i="3"/>
  <c r="J500" i="3"/>
  <c r="H500" i="3"/>
  <c r="F500" i="3"/>
  <c r="D501" i="3"/>
  <c r="I501" i="3" l="1"/>
  <c r="E502" i="3"/>
  <c r="J501" i="3"/>
  <c r="H501" i="3"/>
  <c r="F501" i="3"/>
  <c r="D502" i="3"/>
  <c r="I502" i="3" l="1"/>
  <c r="E503" i="3"/>
  <c r="J502" i="3"/>
  <c r="H502" i="3"/>
  <c r="F502" i="3"/>
  <c r="D503" i="3"/>
  <c r="I503" i="3" l="1"/>
  <c r="E504" i="3"/>
  <c r="J503" i="3"/>
  <c r="H503" i="3"/>
  <c r="F503" i="3"/>
  <c r="D504" i="3"/>
  <c r="I504" i="3" l="1"/>
  <c r="E505" i="3"/>
  <c r="J504" i="3"/>
  <c r="H504" i="3"/>
  <c r="F504" i="3"/>
  <c r="D505" i="3"/>
  <c r="I505" i="3" l="1"/>
  <c r="E506" i="3"/>
  <c r="J505" i="3"/>
  <c r="H505" i="3"/>
  <c r="F505" i="3"/>
  <c r="D506" i="3"/>
  <c r="I506" i="3" l="1"/>
  <c r="E507" i="3"/>
  <c r="H506" i="3"/>
  <c r="J506" i="3"/>
  <c r="F506" i="3"/>
  <c r="D507" i="3"/>
  <c r="I507" i="3" l="1"/>
  <c r="E508" i="3"/>
  <c r="J507" i="3"/>
  <c r="H507" i="3"/>
  <c r="F507" i="3"/>
  <c r="D508" i="3"/>
  <c r="I508" i="3" l="1"/>
  <c r="E509" i="3"/>
  <c r="J508" i="3"/>
  <c r="H508" i="3"/>
  <c r="F508" i="3"/>
  <c r="D509" i="3"/>
  <c r="I509" i="3" l="1"/>
  <c r="E510" i="3"/>
  <c r="H509" i="3"/>
  <c r="J509" i="3"/>
  <c r="F509" i="3"/>
  <c r="D510" i="3"/>
  <c r="I510" i="3" l="1"/>
  <c r="E511" i="3"/>
  <c r="J510" i="3"/>
  <c r="H510" i="3"/>
  <c r="F510" i="3"/>
  <c r="D511" i="3"/>
  <c r="I511" i="3" l="1"/>
  <c r="E512" i="3"/>
  <c r="J511" i="3"/>
  <c r="H511" i="3"/>
  <c r="F511" i="3"/>
  <c r="D512" i="3"/>
  <c r="I512" i="3" l="1"/>
  <c r="E513" i="3"/>
  <c r="J512" i="3"/>
  <c r="H512" i="3"/>
  <c r="F512" i="3"/>
  <c r="D513" i="3"/>
  <c r="I513" i="3" l="1"/>
  <c r="E514" i="3"/>
  <c r="J513" i="3"/>
  <c r="H513" i="3"/>
  <c r="F513" i="3"/>
  <c r="D514" i="3"/>
  <c r="I514" i="3" l="1"/>
  <c r="E515" i="3"/>
  <c r="J514" i="3"/>
  <c r="H514" i="3"/>
  <c r="F514" i="3"/>
  <c r="D515" i="3"/>
  <c r="I515" i="3" l="1"/>
  <c r="E516" i="3"/>
  <c r="J515" i="3"/>
  <c r="H515" i="3"/>
  <c r="F515" i="3"/>
  <c r="D516" i="3"/>
  <c r="I516" i="3" l="1"/>
  <c r="E517" i="3"/>
  <c r="H516" i="3"/>
  <c r="J516" i="3"/>
  <c r="F516" i="3"/>
  <c r="D517" i="3"/>
  <c r="I517" i="3" l="1"/>
  <c r="E518" i="3"/>
  <c r="J517" i="3"/>
  <c r="H517" i="3"/>
  <c r="F517" i="3"/>
  <c r="D518" i="3"/>
  <c r="I518" i="3" l="1"/>
  <c r="E519" i="3"/>
  <c r="J518" i="3"/>
  <c r="H518" i="3"/>
  <c r="F518" i="3"/>
  <c r="D519" i="3"/>
  <c r="I519" i="3" l="1"/>
  <c r="E520" i="3"/>
  <c r="J519" i="3"/>
  <c r="H519" i="3"/>
  <c r="F519" i="3"/>
  <c r="D520" i="3"/>
  <c r="I520" i="3" l="1"/>
  <c r="E521" i="3"/>
  <c r="J520" i="3"/>
  <c r="H520" i="3"/>
  <c r="F520" i="3"/>
  <c r="D521" i="3"/>
  <c r="I521" i="3" l="1"/>
  <c r="E522" i="3"/>
  <c r="J521" i="3"/>
  <c r="H521" i="3"/>
  <c r="F521" i="3"/>
  <c r="D522" i="3"/>
  <c r="I522" i="3" l="1"/>
  <c r="E523" i="3"/>
  <c r="J522" i="3"/>
  <c r="H522" i="3"/>
  <c r="F522" i="3"/>
  <c r="D523" i="3"/>
  <c r="I523" i="3" l="1"/>
  <c r="E524" i="3"/>
  <c r="J523" i="3"/>
  <c r="H523" i="3"/>
  <c r="F523" i="3"/>
  <c r="D524" i="3"/>
  <c r="I524" i="3" l="1"/>
  <c r="E525" i="3"/>
  <c r="J524" i="3"/>
  <c r="H524" i="3"/>
  <c r="F524" i="3"/>
  <c r="D525" i="3"/>
  <c r="I525" i="3" l="1"/>
  <c r="E526" i="3"/>
  <c r="J525" i="3"/>
  <c r="H525" i="3"/>
  <c r="F525" i="3"/>
  <c r="D526" i="3"/>
  <c r="I526" i="3" l="1"/>
  <c r="E527" i="3"/>
  <c r="J526" i="3"/>
  <c r="H526" i="3"/>
  <c r="F526" i="3"/>
  <c r="D527" i="3"/>
  <c r="I527" i="3" l="1"/>
  <c r="E528" i="3"/>
  <c r="J527" i="3"/>
  <c r="H527" i="3"/>
  <c r="F527" i="3"/>
  <c r="D528" i="3"/>
  <c r="I528" i="3" l="1"/>
  <c r="E529" i="3"/>
  <c r="J528" i="3"/>
  <c r="H528" i="3"/>
  <c r="F528" i="3"/>
  <c r="D529" i="3"/>
  <c r="I529" i="3" l="1"/>
  <c r="E530" i="3"/>
  <c r="J529" i="3"/>
  <c r="H529" i="3"/>
  <c r="F529" i="3"/>
  <c r="D530" i="3"/>
  <c r="I530" i="3" l="1"/>
  <c r="E531" i="3"/>
  <c r="J530" i="3"/>
  <c r="H530" i="3"/>
  <c r="F530" i="3"/>
  <c r="D531" i="3"/>
  <c r="I531" i="3" l="1"/>
  <c r="E532" i="3"/>
  <c r="J531" i="3"/>
  <c r="H531" i="3"/>
  <c r="F531" i="3"/>
  <c r="D532" i="3"/>
  <c r="I532" i="3" l="1"/>
  <c r="E533" i="3"/>
  <c r="J532" i="3"/>
  <c r="H532" i="3"/>
  <c r="F532" i="3"/>
  <c r="D533" i="3"/>
  <c r="I533" i="3" l="1"/>
  <c r="E534" i="3"/>
  <c r="J533" i="3"/>
  <c r="H533" i="3"/>
  <c r="F533" i="3"/>
  <c r="D534" i="3"/>
  <c r="I534" i="3" l="1"/>
  <c r="E535" i="3"/>
  <c r="J534" i="3"/>
  <c r="H534" i="3"/>
  <c r="F534" i="3"/>
  <c r="D535" i="3"/>
  <c r="I535" i="3" l="1"/>
  <c r="E536" i="3"/>
  <c r="J535" i="3"/>
  <c r="H535" i="3"/>
  <c r="F535" i="3"/>
  <c r="D536" i="3"/>
  <c r="I536" i="3" l="1"/>
  <c r="E537" i="3"/>
  <c r="J536" i="3"/>
  <c r="H536" i="3"/>
  <c r="F536" i="3"/>
  <c r="D537" i="3"/>
  <c r="I537" i="3" l="1"/>
  <c r="E538" i="3"/>
  <c r="J537" i="3"/>
  <c r="H537" i="3"/>
  <c r="F537" i="3"/>
  <c r="D538" i="3"/>
  <c r="I538" i="3" l="1"/>
  <c r="E539" i="3"/>
  <c r="J538" i="3"/>
  <c r="H538" i="3"/>
  <c r="F538" i="3"/>
  <c r="D539" i="3"/>
  <c r="I539" i="3" l="1"/>
  <c r="E540" i="3"/>
  <c r="J539" i="3"/>
  <c r="H539" i="3"/>
  <c r="F539" i="3"/>
  <c r="D540" i="3"/>
  <c r="I540" i="3" l="1"/>
  <c r="E541" i="3"/>
  <c r="J540" i="3"/>
  <c r="H540" i="3"/>
  <c r="F540" i="3"/>
  <c r="D541" i="3"/>
  <c r="I541" i="3" l="1"/>
  <c r="E542" i="3"/>
  <c r="J541" i="3"/>
  <c r="H541" i="3"/>
  <c r="F541" i="3"/>
  <c r="D542" i="3"/>
  <c r="I542" i="3" l="1"/>
  <c r="E543" i="3"/>
  <c r="J542" i="3"/>
  <c r="H542" i="3"/>
  <c r="F542" i="3"/>
  <c r="D543" i="3"/>
  <c r="I543" i="3" l="1"/>
  <c r="E544" i="3"/>
  <c r="J543" i="3"/>
  <c r="H543" i="3"/>
  <c r="F543" i="3"/>
  <c r="D544" i="3"/>
  <c r="I544" i="3" l="1"/>
  <c r="E545" i="3"/>
  <c r="J544" i="3"/>
  <c r="H544" i="3"/>
  <c r="F544" i="3"/>
  <c r="D545" i="3"/>
  <c r="I545" i="3" l="1"/>
  <c r="E546" i="3"/>
  <c r="J545" i="3"/>
  <c r="H545" i="3"/>
  <c r="F545" i="3"/>
  <c r="D546" i="3"/>
  <c r="I546" i="3" l="1"/>
  <c r="E547" i="3"/>
  <c r="H546" i="3"/>
  <c r="J546" i="3"/>
  <c r="F546" i="3"/>
  <c r="D547" i="3"/>
  <c r="I547" i="3" l="1"/>
  <c r="E548" i="3"/>
  <c r="J547" i="3"/>
  <c r="H547" i="3"/>
  <c r="F547" i="3"/>
  <c r="D548" i="3"/>
  <c r="I548" i="3" l="1"/>
  <c r="E549" i="3"/>
  <c r="J548" i="3"/>
  <c r="H548" i="3"/>
  <c r="F548" i="3"/>
  <c r="D549" i="3"/>
  <c r="I549" i="3" l="1"/>
  <c r="E550" i="3"/>
  <c r="J549" i="3"/>
  <c r="H549" i="3"/>
  <c r="F549" i="3"/>
  <c r="D550" i="3"/>
  <c r="I550" i="3" l="1"/>
  <c r="E551" i="3"/>
  <c r="J550" i="3"/>
  <c r="H550" i="3"/>
  <c r="F550" i="3"/>
  <c r="D551" i="3"/>
  <c r="I551" i="3" l="1"/>
  <c r="E552" i="3"/>
  <c r="J551" i="3"/>
  <c r="H551" i="3"/>
  <c r="F551" i="3"/>
  <c r="D552" i="3"/>
  <c r="I552" i="3" l="1"/>
  <c r="E553" i="3"/>
  <c r="J552" i="3"/>
  <c r="H552" i="3"/>
  <c r="F552" i="3"/>
  <c r="D553" i="3"/>
  <c r="I553" i="3" l="1"/>
  <c r="E554" i="3"/>
  <c r="J553" i="3"/>
  <c r="H553" i="3"/>
  <c r="F553" i="3"/>
  <c r="D554" i="3"/>
  <c r="I554" i="3" l="1"/>
  <c r="E555" i="3"/>
  <c r="J554" i="3"/>
  <c r="H554" i="3"/>
  <c r="F554" i="3"/>
  <c r="D555" i="3"/>
  <c r="I555" i="3" l="1"/>
  <c r="E556" i="3"/>
  <c r="J555" i="3"/>
  <c r="H555" i="3"/>
  <c r="F555" i="3"/>
  <c r="D556" i="3"/>
  <c r="I556" i="3" l="1"/>
  <c r="E557" i="3"/>
  <c r="J556" i="3"/>
  <c r="H556" i="3"/>
  <c r="F556" i="3"/>
  <c r="D557" i="3"/>
  <c r="I557" i="3" l="1"/>
  <c r="E558" i="3"/>
  <c r="J557" i="3"/>
  <c r="H557" i="3"/>
  <c r="F557" i="3"/>
  <c r="D558" i="3"/>
  <c r="I558" i="3" l="1"/>
  <c r="E559" i="3"/>
  <c r="J558" i="3"/>
  <c r="H558" i="3"/>
  <c r="F558" i="3"/>
  <c r="D559" i="3"/>
  <c r="I559" i="3" l="1"/>
  <c r="E560" i="3"/>
  <c r="J559" i="3"/>
  <c r="H559" i="3"/>
  <c r="F559" i="3"/>
  <c r="D560" i="3"/>
  <c r="I560" i="3" l="1"/>
  <c r="E561" i="3"/>
  <c r="J560" i="3"/>
  <c r="H560" i="3"/>
  <c r="F560" i="3"/>
  <c r="D561" i="3"/>
  <c r="I561" i="3" l="1"/>
  <c r="E562" i="3"/>
  <c r="H561" i="3"/>
  <c r="J561" i="3"/>
  <c r="F561" i="3"/>
  <c r="D562" i="3"/>
  <c r="I562" i="3" l="1"/>
  <c r="E563" i="3"/>
  <c r="J562" i="3"/>
  <c r="H562" i="3"/>
  <c r="F562" i="3"/>
  <c r="D563" i="3"/>
  <c r="I563" i="3" l="1"/>
  <c r="E564" i="3"/>
  <c r="J563" i="3"/>
  <c r="H563" i="3"/>
  <c r="F563" i="3"/>
  <c r="D564" i="3"/>
  <c r="I564" i="3" l="1"/>
  <c r="E565" i="3"/>
  <c r="H564" i="3"/>
  <c r="J564" i="3"/>
  <c r="F564" i="3"/>
  <c r="D565" i="3"/>
  <c r="I565" i="3" l="1"/>
  <c r="E566" i="3"/>
  <c r="H565" i="3"/>
  <c r="J565" i="3"/>
  <c r="F565" i="3"/>
  <c r="D566" i="3"/>
  <c r="I566" i="3" l="1"/>
  <c r="E567" i="3"/>
  <c r="H566" i="3"/>
  <c r="J566" i="3"/>
  <c r="F566" i="3"/>
  <c r="D567" i="3"/>
  <c r="I567" i="3" l="1"/>
  <c r="E568" i="3"/>
  <c r="J567" i="3"/>
  <c r="H567" i="3"/>
  <c r="F567" i="3"/>
  <c r="D568" i="3"/>
  <c r="I568" i="3" l="1"/>
  <c r="E569" i="3"/>
  <c r="J568" i="3"/>
  <c r="H568" i="3"/>
  <c r="F568" i="3"/>
  <c r="D569" i="3"/>
  <c r="I569" i="3" l="1"/>
  <c r="E570" i="3"/>
  <c r="J569" i="3"/>
  <c r="H569" i="3"/>
  <c r="F569" i="3"/>
  <c r="D570" i="3"/>
  <c r="I570" i="3" l="1"/>
  <c r="E571" i="3"/>
  <c r="J570" i="3"/>
  <c r="H570" i="3"/>
  <c r="F570" i="3"/>
  <c r="D571" i="3"/>
  <c r="I571" i="3" l="1"/>
  <c r="E572" i="3"/>
  <c r="J571" i="3"/>
  <c r="H571" i="3"/>
  <c r="F571" i="3"/>
  <c r="D572" i="3"/>
  <c r="I572" i="3" l="1"/>
  <c r="E573" i="3"/>
  <c r="J572" i="3"/>
  <c r="H572" i="3"/>
  <c r="F572" i="3"/>
  <c r="D573" i="3"/>
  <c r="I573" i="3" l="1"/>
  <c r="E574" i="3"/>
  <c r="J573" i="3"/>
  <c r="H573" i="3"/>
  <c r="F573" i="3"/>
  <c r="D574" i="3"/>
  <c r="I574" i="3" l="1"/>
  <c r="E575" i="3"/>
  <c r="J574" i="3"/>
  <c r="H574" i="3"/>
  <c r="F574" i="3"/>
  <c r="D575" i="3"/>
  <c r="I575" i="3" l="1"/>
  <c r="E576" i="3"/>
  <c r="H575" i="3"/>
  <c r="J575" i="3"/>
  <c r="F575" i="3"/>
  <c r="D576" i="3"/>
  <c r="I576" i="3" l="1"/>
  <c r="E577" i="3"/>
  <c r="J576" i="3"/>
  <c r="H576" i="3"/>
  <c r="F576" i="3"/>
  <c r="D577" i="3"/>
  <c r="I577" i="3" l="1"/>
  <c r="E578" i="3"/>
  <c r="J577" i="3"/>
  <c r="H577" i="3"/>
  <c r="F577" i="3"/>
  <c r="D578" i="3"/>
  <c r="I578" i="3" l="1"/>
  <c r="E579" i="3"/>
  <c r="H578" i="3"/>
  <c r="J578" i="3"/>
  <c r="F578" i="3"/>
  <c r="D579" i="3"/>
  <c r="I579" i="3" l="1"/>
  <c r="E580" i="3"/>
  <c r="J579" i="3"/>
  <c r="H579" i="3"/>
  <c r="F579" i="3"/>
  <c r="D580" i="3"/>
  <c r="I580" i="3" l="1"/>
  <c r="E581" i="3"/>
  <c r="H580" i="3"/>
  <c r="J580" i="3"/>
  <c r="F580" i="3"/>
  <c r="D581" i="3"/>
  <c r="I581" i="3" l="1"/>
  <c r="E582" i="3"/>
  <c r="J581" i="3"/>
  <c r="H581" i="3"/>
  <c r="F581" i="3"/>
  <c r="D582" i="3"/>
  <c r="I582" i="3" l="1"/>
  <c r="E583" i="3"/>
  <c r="J582" i="3"/>
  <c r="H582" i="3"/>
  <c r="F582" i="3"/>
  <c r="D583" i="3"/>
  <c r="I583" i="3" l="1"/>
  <c r="E584" i="3"/>
  <c r="J583" i="3"/>
  <c r="H583" i="3"/>
  <c r="F583" i="3"/>
  <c r="D584" i="3"/>
  <c r="I584" i="3" l="1"/>
  <c r="E585" i="3"/>
  <c r="J584" i="3"/>
  <c r="H584" i="3"/>
  <c r="F584" i="3"/>
  <c r="D585" i="3"/>
  <c r="I585" i="3" l="1"/>
  <c r="E586" i="3"/>
  <c r="J585" i="3"/>
  <c r="H585" i="3"/>
  <c r="F585" i="3"/>
  <c r="D586" i="3"/>
  <c r="I586" i="3" l="1"/>
  <c r="E587" i="3"/>
  <c r="J586" i="3"/>
  <c r="H586" i="3"/>
  <c r="F586" i="3"/>
  <c r="D587" i="3"/>
  <c r="I587" i="3" l="1"/>
  <c r="E588" i="3"/>
  <c r="J587" i="3"/>
  <c r="H587" i="3"/>
  <c r="F587" i="3"/>
  <c r="D588" i="3"/>
  <c r="I588" i="3" l="1"/>
  <c r="E589" i="3"/>
  <c r="H588" i="3"/>
  <c r="J588" i="3"/>
  <c r="F588" i="3"/>
  <c r="D589" i="3"/>
  <c r="I589" i="3" l="1"/>
  <c r="E590" i="3"/>
  <c r="H589" i="3"/>
  <c r="J589" i="3"/>
  <c r="F589" i="3"/>
  <c r="D590" i="3"/>
  <c r="I590" i="3" l="1"/>
  <c r="E591" i="3"/>
  <c r="J590" i="3"/>
  <c r="H590" i="3"/>
  <c r="F590" i="3"/>
  <c r="D591" i="3"/>
  <c r="I591" i="3" l="1"/>
  <c r="E592" i="3"/>
  <c r="J591" i="3"/>
  <c r="H591" i="3"/>
  <c r="F591" i="3"/>
  <c r="D592" i="3"/>
  <c r="I592" i="3" l="1"/>
  <c r="E593" i="3"/>
  <c r="H592" i="3"/>
  <c r="J592" i="3"/>
  <c r="F592" i="3"/>
  <c r="D593" i="3"/>
  <c r="I593" i="3" l="1"/>
  <c r="E594" i="3"/>
  <c r="J593" i="3"/>
  <c r="H593" i="3"/>
  <c r="F593" i="3"/>
  <c r="D594" i="3"/>
  <c r="I594" i="3" l="1"/>
  <c r="E595" i="3"/>
  <c r="J594" i="3"/>
  <c r="H594" i="3"/>
  <c r="F594" i="3"/>
  <c r="D595" i="3"/>
  <c r="I595" i="3" l="1"/>
  <c r="E596" i="3"/>
  <c r="J595" i="3"/>
  <c r="H595" i="3"/>
  <c r="F595" i="3"/>
  <c r="D596" i="3"/>
  <c r="I596" i="3" l="1"/>
  <c r="E597" i="3"/>
  <c r="H596" i="3"/>
  <c r="J596" i="3"/>
  <c r="F596" i="3"/>
  <c r="D597" i="3"/>
  <c r="I597" i="3" l="1"/>
  <c r="E598" i="3"/>
  <c r="J597" i="3"/>
  <c r="H597" i="3"/>
  <c r="F597" i="3"/>
  <c r="D598" i="3"/>
  <c r="I598" i="3" l="1"/>
  <c r="E599" i="3"/>
  <c r="J598" i="3"/>
  <c r="H598" i="3"/>
  <c r="F598" i="3"/>
  <c r="D599" i="3"/>
  <c r="I599" i="3" l="1"/>
  <c r="E600" i="3"/>
  <c r="J599" i="3"/>
  <c r="H599" i="3"/>
  <c r="F599" i="3"/>
  <c r="D600" i="3"/>
  <c r="I600" i="3" l="1"/>
  <c r="E601" i="3"/>
  <c r="J600" i="3"/>
  <c r="H600" i="3"/>
  <c r="F600" i="3"/>
  <c r="D601" i="3"/>
  <c r="I601" i="3" l="1"/>
  <c r="E602" i="3"/>
  <c r="H601" i="3"/>
  <c r="J601" i="3"/>
  <c r="F601" i="3"/>
  <c r="D602" i="3"/>
  <c r="I602" i="3" l="1"/>
  <c r="E603" i="3"/>
  <c r="J602" i="3"/>
  <c r="H602" i="3"/>
  <c r="F602" i="3"/>
  <c r="D603" i="3"/>
  <c r="I603" i="3" l="1"/>
  <c r="E604" i="3"/>
  <c r="H603" i="3"/>
  <c r="J603" i="3"/>
  <c r="F603" i="3"/>
  <c r="D604" i="3"/>
  <c r="I604" i="3" l="1"/>
  <c r="E605" i="3"/>
  <c r="J604" i="3"/>
  <c r="H604" i="3"/>
  <c r="F604" i="3"/>
  <c r="D605" i="3"/>
  <c r="I605" i="3" l="1"/>
  <c r="E606" i="3"/>
  <c r="J605" i="3"/>
  <c r="H605" i="3"/>
  <c r="F605" i="3"/>
  <c r="D606" i="3"/>
  <c r="I606" i="3" l="1"/>
  <c r="E607" i="3"/>
  <c r="J606" i="3"/>
  <c r="H606" i="3"/>
  <c r="F606" i="3"/>
  <c r="D607" i="3"/>
  <c r="I607" i="3" l="1"/>
  <c r="E608" i="3"/>
  <c r="H607" i="3"/>
  <c r="J607" i="3"/>
  <c r="F607" i="3"/>
  <c r="D608" i="3"/>
  <c r="I608" i="3" l="1"/>
  <c r="E609" i="3"/>
  <c r="J608" i="3"/>
  <c r="H608" i="3"/>
  <c r="F608" i="3"/>
  <c r="D609" i="3"/>
  <c r="I609" i="3" l="1"/>
  <c r="E610" i="3"/>
  <c r="J609" i="3"/>
  <c r="H609" i="3"/>
  <c r="F609" i="3"/>
  <c r="D610" i="3"/>
  <c r="I610" i="3" l="1"/>
  <c r="E611" i="3"/>
  <c r="H610" i="3"/>
  <c r="J610" i="3"/>
  <c r="F610" i="3"/>
  <c r="D611" i="3"/>
  <c r="I611" i="3" l="1"/>
  <c r="E612" i="3"/>
  <c r="J611" i="3"/>
  <c r="H611" i="3"/>
  <c r="F611" i="3"/>
  <c r="D612" i="3"/>
  <c r="I612" i="3" l="1"/>
  <c r="E613" i="3"/>
  <c r="J612" i="3"/>
  <c r="H612" i="3"/>
  <c r="F612" i="3"/>
  <c r="D613" i="3"/>
  <c r="I613" i="3" l="1"/>
  <c r="E614" i="3"/>
  <c r="J613" i="3"/>
  <c r="H613" i="3"/>
  <c r="F613" i="3"/>
  <c r="D614" i="3"/>
  <c r="I614" i="3" l="1"/>
  <c r="E615" i="3"/>
  <c r="J614" i="3"/>
  <c r="H614" i="3"/>
  <c r="F614" i="3"/>
  <c r="D615" i="3"/>
  <c r="I615" i="3" l="1"/>
  <c r="E616" i="3"/>
  <c r="J615" i="3"/>
  <c r="H615" i="3"/>
  <c r="F615" i="3"/>
  <c r="D616" i="3"/>
  <c r="I616" i="3" l="1"/>
  <c r="E617" i="3"/>
  <c r="J616" i="3"/>
  <c r="H616" i="3"/>
  <c r="F616" i="3"/>
  <c r="D617" i="3"/>
  <c r="I617" i="3" l="1"/>
  <c r="E618" i="3"/>
  <c r="J617" i="3"/>
  <c r="H617" i="3"/>
  <c r="F617" i="3"/>
  <c r="D618" i="3"/>
  <c r="I618" i="3" l="1"/>
  <c r="E619" i="3"/>
  <c r="J618" i="3"/>
  <c r="H618" i="3"/>
  <c r="F618" i="3"/>
  <c r="D619" i="3"/>
  <c r="I619" i="3" l="1"/>
  <c r="E620" i="3"/>
  <c r="H619" i="3"/>
  <c r="J619" i="3"/>
  <c r="F619" i="3"/>
  <c r="D620" i="3"/>
  <c r="I620" i="3" l="1"/>
  <c r="E621" i="3"/>
  <c r="J620" i="3"/>
  <c r="H620" i="3"/>
  <c r="F620" i="3"/>
  <c r="D621" i="3"/>
  <c r="I621" i="3" l="1"/>
  <c r="E622" i="3"/>
  <c r="J621" i="3"/>
  <c r="H621" i="3"/>
  <c r="F621" i="3"/>
  <c r="D622" i="3"/>
  <c r="I622" i="3" l="1"/>
  <c r="E623" i="3"/>
  <c r="H622" i="3"/>
  <c r="J622" i="3"/>
  <c r="F622" i="3"/>
  <c r="D623" i="3"/>
  <c r="I623" i="3" l="1"/>
  <c r="E624" i="3"/>
  <c r="J623" i="3"/>
  <c r="H623" i="3"/>
  <c r="F623" i="3"/>
  <c r="D624" i="3"/>
  <c r="I624" i="3" l="1"/>
  <c r="E625" i="3"/>
  <c r="J624" i="3"/>
  <c r="H624" i="3"/>
  <c r="F624" i="3"/>
  <c r="D625" i="3"/>
  <c r="I625" i="3" l="1"/>
  <c r="E626" i="3"/>
  <c r="J625" i="3"/>
  <c r="H625" i="3"/>
  <c r="F625" i="3"/>
  <c r="D626" i="3"/>
  <c r="I626" i="3" l="1"/>
  <c r="E627" i="3"/>
  <c r="J626" i="3"/>
  <c r="H626" i="3"/>
  <c r="F626" i="3"/>
  <c r="D627" i="3"/>
  <c r="I627" i="3" l="1"/>
  <c r="E628" i="3"/>
  <c r="H627" i="3"/>
  <c r="J627" i="3"/>
  <c r="F627" i="3"/>
  <c r="D628" i="3"/>
  <c r="I628" i="3" l="1"/>
  <c r="E629" i="3"/>
  <c r="J628" i="3"/>
  <c r="H628" i="3"/>
  <c r="F628" i="3"/>
  <c r="D629" i="3"/>
  <c r="I629" i="3" l="1"/>
  <c r="E630" i="3"/>
  <c r="H629" i="3"/>
  <c r="J629" i="3"/>
  <c r="F629" i="3"/>
  <c r="D630" i="3"/>
  <c r="I630" i="3" l="1"/>
  <c r="E631" i="3"/>
  <c r="J630" i="3"/>
  <c r="H630" i="3"/>
  <c r="F630" i="3"/>
  <c r="D631" i="3"/>
  <c r="I631" i="3" l="1"/>
  <c r="E632" i="3"/>
  <c r="J631" i="3"/>
  <c r="H631" i="3"/>
  <c r="F631" i="3"/>
  <c r="D632" i="3"/>
  <c r="I632" i="3" l="1"/>
  <c r="E633" i="3"/>
  <c r="J632" i="3"/>
  <c r="H632" i="3"/>
  <c r="F632" i="3"/>
  <c r="D633" i="3"/>
  <c r="I633" i="3" l="1"/>
  <c r="E634" i="3"/>
  <c r="J633" i="3"/>
  <c r="H633" i="3"/>
  <c r="F633" i="3"/>
  <c r="D634" i="3"/>
  <c r="I634" i="3" l="1"/>
  <c r="E635" i="3"/>
  <c r="J634" i="3"/>
  <c r="H634" i="3"/>
  <c r="F634" i="3"/>
  <c r="D635" i="3"/>
  <c r="I635" i="3" l="1"/>
  <c r="E636" i="3"/>
  <c r="J635" i="3"/>
  <c r="H635" i="3"/>
  <c r="F635" i="3"/>
  <c r="D636" i="3"/>
  <c r="I636" i="3" l="1"/>
  <c r="E637" i="3"/>
  <c r="J636" i="3"/>
  <c r="H636" i="3"/>
  <c r="F636" i="3"/>
  <c r="D637" i="3"/>
  <c r="I637" i="3" l="1"/>
  <c r="E638" i="3"/>
  <c r="J637" i="3"/>
  <c r="H637" i="3"/>
  <c r="F637" i="3"/>
  <c r="D638" i="3"/>
  <c r="I638" i="3" l="1"/>
  <c r="E639" i="3"/>
  <c r="H638" i="3"/>
  <c r="J638" i="3"/>
  <c r="F638" i="3"/>
  <c r="D639" i="3"/>
  <c r="I639" i="3" l="1"/>
  <c r="E640" i="3"/>
  <c r="H639" i="3"/>
  <c r="J639" i="3"/>
  <c r="F639" i="3"/>
  <c r="D640" i="3"/>
  <c r="I640" i="3" l="1"/>
  <c r="E641" i="3"/>
  <c r="J640" i="3"/>
  <c r="H640" i="3"/>
  <c r="F640" i="3"/>
  <c r="D641" i="3"/>
  <c r="I641" i="3" l="1"/>
  <c r="E642" i="3"/>
  <c r="H641" i="3"/>
  <c r="J641" i="3"/>
  <c r="F641" i="3"/>
  <c r="D642" i="3"/>
  <c r="I642" i="3" l="1"/>
  <c r="E643" i="3"/>
  <c r="J642" i="3"/>
  <c r="H642" i="3"/>
  <c r="F642" i="3"/>
  <c r="D643" i="3"/>
  <c r="I643" i="3" l="1"/>
  <c r="E644" i="3"/>
  <c r="J643" i="3"/>
  <c r="H643" i="3"/>
  <c r="F643" i="3"/>
  <c r="D644" i="3"/>
  <c r="I644" i="3" l="1"/>
  <c r="E645" i="3"/>
  <c r="J644" i="3"/>
  <c r="H644" i="3"/>
  <c r="F644" i="3"/>
  <c r="D645" i="3"/>
  <c r="I645" i="3" l="1"/>
  <c r="E646" i="3"/>
  <c r="J645" i="3"/>
  <c r="H645" i="3"/>
  <c r="F645" i="3"/>
  <c r="D646" i="3"/>
  <c r="I646" i="3" l="1"/>
  <c r="E647" i="3"/>
  <c r="J646" i="3"/>
  <c r="H646" i="3"/>
  <c r="F646" i="3"/>
  <c r="D647" i="3"/>
  <c r="I647" i="3" l="1"/>
  <c r="E648" i="3"/>
  <c r="J647" i="3"/>
  <c r="H647" i="3"/>
  <c r="F647" i="3"/>
  <c r="D648" i="3"/>
  <c r="I648" i="3" l="1"/>
  <c r="E649" i="3"/>
  <c r="J648" i="3"/>
  <c r="H648" i="3"/>
  <c r="F648" i="3"/>
  <c r="D649" i="3"/>
  <c r="I649" i="3" l="1"/>
  <c r="E650" i="3"/>
  <c r="J649" i="3"/>
  <c r="H649" i="3"/>
  <c r="F649" i="3"/>
  <c r="D650" i="3"/>
  <c r="I650" i="3" l="1"/>
  <c r="E651" i="3"/>
  <c r="J650" i="3"/>
  <c r="H650" i="3"/>
  <c r="F650" i="3"/>
  <c r="D651" i="3"/>
  <c r="I651" i="3" l="1"/>
  <c r="E652" i="3"/>
  <c r="J651" i="3"/>
  <c r="H651" i="3"/>
  <c r="F651" i="3"/>
  <c r="D652" i="3"/>
  <c r="I652" i="3" l="1"/>
  <c r="E653" i="3"/>
  <c r="H652" i="3"/>
  <c r="J652" i="3"/>
  <c r="F652" i="3"/>
  <c r="D653" i="3"/>
  <c r="I653" i="3" l="1"/>
  <c r="E654" i="3"/>
  <c r="J653" i="3"/>
  <c r="H653" i="3"/>
  <c r="F653" i="3"/>
  <c r="D654" i="3"/>
  <c r="I654" i="3" l="1"/>
  <c r="E655" i="3"/>
  <c r="H654" i="3"/>
  <c r="J654" i="3"/>
  <c r="F654" i="3"/>
  <c r="D655" i="3"/>
  <c r="I655" i="3" l="1"/>
  <c r="E656" i="3"/>
  <c r="J655" i="3"/>
  <c r="H655" i="3"/>
  <c r="F655" i="3"/>
  <c r="D656" i="3"/>
  <c r="I656" i="3" l="1"/>
  <c r="E657" i="3"/>
  <c r="J656" i="3"/>
  <c r="H656" i="3"/>
  <c r="F656" i="3"/>
  <c r="D657" i="3"/>
  <c r="I657" i="3" l="1"/>
  <c r="E658" i="3"/>
  <c r="J657" i="3"/>
  <c r="H657" i="3"/>
  <c r="F657" i="3"/>
  <c r="D658" i="3"/>
  <c r="I658" i="3" l="1"/>
  <c r="E659" i="3"/>
  <c r="J658" i="3"/>
  <c r="H658" i="3"/>
  <c r="F658" i="3"/>
  <c r="D659" i="3"/>
  <c r="I659" i="3" l="1"/>
  <c r="E660" i="3"/>
  <c r="J659" i="3"/>
  <c r="H659" i="3"/>
  <c r="F659" i="3"/>
  <c r="D660" i="3"/>
  <c r="I660" i="3" l="1"/>
  <c r="E661" i="3"/>
  <c r="H660" i="3"/>
  <c r="J660" i="3"/>
  <c r="F660" i="3"/>
  <c r="D661" i="3"/>
  <c r="I661" i="3" l="1"/>
  <c r="E662" i="3"/>
  <c r="J661" i="3"/>
  <c r="H661" i="3"/>
  <c r="F661" i="3"/>
  <c r="D662" i="3"/>
  <c r="I662" i="3" l="1"/>
  <c r="E663" i="3"/>
  <c r="H662" i="3"/>
  <c r="J662" i="3"/>
  <c r="F662" i="3"/>
  <c r="D663" i="3"/>
  <c r="I663" i="3" l="1"/>
  <c r="E664" i="3"/>
  <c r="J663" i="3"/>
  <c r="H663" i="3"/>
  <c r="F663" i="3"/>
  <c r="D664" i="3"/>
  <c r="I664" i="3" l="1"/>
  <c r="E665" i="3"/>
  <c r="J664" i="3"/>
  <c r="H664" i="3"/>
  <c r="F664" i="3"/>
  <c r="D665" i="3"/>
  <c r="I665" i="3" l="1"/>
  <c r="E666" i="3"/>
  <c r="J665" i="3"/>
  <c r="H665" i="3"/>
  <c r="F665" i="3"/>
  <c r="D666" i="3"/>
  <c r="I666" i="3" l="1"/>
  <c r="E667" i="3"/>
  <c r="J666" i="3"/>
  <c r="H666" i="3"/>
  <c r="F666" i="3"/>
  <c r="D667" i="3"/>
  <c r="I667" i="3" l="1"/>
  <c r="E668" i="3"/>
  <c r="J667" i="3"/>
  <c r="H667" i="3"/>
  <c r="F667" i="3"/>
  <c r="D668" i="3"/>
  <c r="I668" i="3" l="1"/>
  <c r="E669" i="3"/>
  <c r="J668" i="3"/>
  <c r="H668" i="3"/>
  <c r="F668" i="3"/>
  <c r="D669" i="3"/>
  <c r="I669" i="3" l="1"/>
  <c r="E670" i="3"/>
  <c r="J669" i="3"/>
  <c r="H669" i="3"/>
  <c r="F669" i="3"/>
  <c r="D670" i="3"/>
  <c r="I670" i="3" l="1"/>
  <c r="E671" i="3"/>
  <c r="J670" i="3"/>
  <c r="H670" i="3"/>
  <c r="F670" i="3"/>
  <c r="D671" i="3"/>
  <c r="I671" i="3" l="1"/>
  <c r="E672" i="3"/>
  <c r="H671" i="3"/>
  <c r="J671" i="3"/>
  <c r="F671" i="3"/>
  <c r="D672" i="3"/>
  <c r="I672" i="3" l="1"/>
  <c r="E673" i="3"/>
  <c r="J672" i="3"/>
  <c r="H672" i="3"/>
  <c r="F672" i="3"/>
  <c r="D673" i="3"/>
  <c r="I673" i="3" l="1"/>
  <c r="E674" i="3"/>
  <c r="H673" i="3"/>
  <c r="J673" i="3"/>
  <c r="F673" i="3"/>
  <c r="D674" i="3"/>
  <c r="I674" i="3" l="1"/>
  <c r="E675" i="3"/>
  <c r="H674" i="3"/>
  <c r="J674" i="3"/>
  <c r="F674" i="3"/>
  <c r="D675" i="3"/>
  <c r="I675" i="3" l="1"/>
  <c r="E676" i="3"/>
  <c r="J675" i="3"/>
  <c r="H675" i="3"/>
  <c r="F675" i="3"/>
  <c r="D676" i="3"/>
  <c r="I676" i="3" l="1"/>
  <c r="E677" i="3"/>
  <c r="J676" i="3"/>
  <c r="H676" i="3"/>
  <c r="F676" i="3"/>
  <c r="D677" i="3"/>
  <c r="I677" i="3" l="1"/>
  <c r="E678" i="3"/>
  <c r="H677" i="3"/>
  <c r="J677" i="3"/>
  <c r="F677" i="3"/>
  <c r="D678" i="3"/>
  <c r="I678" i="3" l="1"/>
  <c r="E679" i="3"/>
  <c r="J678" i="3"/>
  <c r="H678" i="3"/>
  <c r="F678" i="3"/>
  <c r="D679" i="3"/>
  <c r="I679" i="3" l="1"/>
  <c r="E680" i="3"/>
  <c r="J679" i="3"/>
  <c r="H679" i="3"/>
  <c r="F679" i="3"/>
  <c r="D680" i="3"/>
  <c r="I680" i="3" l="1"/>
  <c r="E681" i="3"/>
  <c r="J680" i="3"/>
  <c r="H680" i="3"/>
  <c r="F680" i="3"/>
  <c r="D681" i="3"/>
  <c r="I681" i="3" l="1"/>
  <c r="E682" i="3"/>
  <c r="J681" i="3"/>
  <c r="H681" i="3"/>
  <c r="F681" i="3"/>
  <c r="D682" i="3"/>
  <c r="I682" i="3" l="1"/>
  <c r="E683" i="3"/>
  <c r="J682" i="3"/>
  <c r="H682" i="3"/>
  <c r="F682" i="3"/>
  <c r="D683" i="3"/>
  <c r="I683" i="3" l="1"/>
  <c r="E684" i="3"/>
  <c r="J683" i="3"/>
  <c r="H683" i="3"/>
  <c r="F683" i="3"/>
  <c r="D684" i="3"/>
  <c r="I684" i="3" l="1"/>
  <c r="E685" i="3"/>
  <c r="H684" i="3"/>
  <c r="J684" i="3"/>
  <c r="F684" i="3"/>
  <c r="D685" i="3"/>
  <c r="I685" i="3" l="1"/>
  <c r="E686" i="3"/>
  <c r="H685" i="3"/>
  <c r="J685" i="3"/>
  <c r="F685" i="3"/>
  <c r="D686" i="3"/>
  <c r="I686" i="3" l="1"/>
  <c r="E687" i="3"/>
  <c r="J686" i="3"/>
  <c r="H686" i="3"/>
  <c r="F686" i="3"/>
  <c r="D687" i="3"/>
  <c r="I687" i="3" l="1"/>
  <c r="E688" i="3"/>
  <c r="J687" i="3"/>
  <c r="H687" i="3"/>
  <c r="F687" i="3"/>
  <c r="D688" i="3"/>
  <c r="I688" i="3" l="1"/>
  <c r="E689" i="3"/>
  <c r="H688" i="3"/>
  <c r="J688" i="3"/>
  <c r="F688" i="3"/>
  <c r="D689" i="3"/>
  <c r="I689" i="3" l="1"/>
  <c r="E690" i="3"/>
  <c r="J689" i="3"/>
  <c r="H689" i="3"/>
  <c r="F689" i="3"/>
  <c r="D690" i="3"/>
  <c r="I690" i="3" l="1"/>
  <c r="E691" i="3"/>
  <c r="J690" i="3"/>
  <c r="H690" i="3"/>
  <c r="F690" i="3"/>
  <c r="D691" i="3"/>
  <c r="I691" i="3" l="1"/>
  <c r="E692" i="3"/>
  <c r="J691" i="3"/>
  <c r="H691" i="3"/>
  <c r="F691" i="3"/>
  <c r="D692" i="3"/>
  <c r="I692" i="3" l="1"/>
  <c r="E693" i="3"/>
  <c r="J692" i="3"/>
  <c r="H692" i="3"/>
  <c r="F692" i="3"/>
  <c r="D693" i="3"/>
  <c r="I693" i="3" l="1"/>
  <c r="E694" i="3"/>
  <c r="J693" i="3"/>
  <c r="H693" i="3"/>
  <c r="F693" i="3"/>
  <c r="D694" i="3"/>
  <c r="I694" i="3" l="1"/>
  <c r="E695" i="3"/>
  <c r="J694" i="3"/>
  <c r="H694" i="3"/>
  <c r="F694" i="3"/>
  <c r="D695" i="3"/>
  <c r="I695" i="3" l="1"/>
  <c r="E696" i="3"/>
  <c r="J695" i="3"/>
  <c r="H695" i="3"/>
  <c r="F695" i="3"/>
  <c r="D696" i="3"/>
  <c r="I696" i="3" l="1"/>
  <c r="E697" i="3"/>
  <c r="J696" i="3"/>
  <c r="H696" i="3"/>
  <c r="F696" i="3"/>
  <c r="D697" i="3"/>
  <c r="I697" i="3" l="1"/>
  <c r="E698" i="3"/>
  <c r="J697" i="3"/>
  <c r="H697" i="3"/>
  <c r="F697" i="3"/>
  <c r="D698" i="3"/>
  <c r="I698" i="3" l="1"/>
  <c r="E699" i="3"/>
  <c r="J698" i="3"/>
  <c r="H698" i="3"/>
  <c r="F698" i="3"/>
  <c r="D699" i="3"/>
  <c r="I699" i="3" l="1"/>
  <c r="E700" i="3"/>
  <c r="J699" i="3"/>
  <c r="H699" i="3"/>
  <c r="F699" i="3"/>
  <c r="D700" i="3"/>
  <c r="I700" i="3" l="1"/>
  <c r="E701" i="3"/>
  <c r="J700" i="3"/>
  <c r="H700" i="3"/>
  <c r="F700" i="3"/>
  <c r="D701" i="3"/>
  <c r="I701" i="3" l="1"/>
  <c r="E702" i="3"/>
  <c r="J701" i="3"/>
  <c r="H701" i="3"/>
  <c r="F701" i="3"/>
  <c r="D702" i="3"/>
  <c r="I702" i="3" l="1"/>
  <c r="E703" i="3"/>
  <c r="J702" i="3"/>
  <c r="H702" i="3"/>
  <c r="F702" i="3"/>
  <c r="D703" i="3"/>
  <c r="I703" i="3" l="1"/>
  <c r="E704" i="3"/>
  <c r="H703" i="3"/>
  <c r="J703" i="3"/>
  <c r="F703" i="3"/>
  <c r="D704" i="3"/>
  <c r="I704" i="3" l="1"/>
  <c r="E705" i="3"/>
  <c r="J704" i="3"/>
  <c r="H704" i="3"/>
  <c r="F704" i="3"/>
  <c r="D705" i="3"/>
  <c r="I705" i="3" l="1"/>
  <c r="E706" i="3"/>
  <c r="J705" i="3"/>
  <c r="H705" i="3"/>
  <c r="F705" i="3"/>
  <c r="D706" i="3"/>
  <c r="I706" i="3" l="1"/>
  <c r="E707" i="3"/>
  <c r="J706" i="3"/>
  <c r="H706" i="3"/>
  <c r="F706" i="3"/>
  <c r="D707" i="3"/>
  <c r="I707" i="3" l="1"/>
  <c r="E708" i="3"/>
  <c r="J707" i="3"/>
  <c r="H707" i="3"/>
  <c r="F707" i="3"/>
  <c r="D708" i="3"/>
  <c r="I708" i="3" l="1"/>
  <c r="E709" i="3"/>
  <c r="J708" i="3"/>
  <c r="H708" i="3"/>
  <c r="F708" i="3"/>
  <c r="D709" i="3"/>
  <c r="I709" i="3" l="1"/>
  <c r="E710" i="3"/>
  <c r="J709" i="3"/>
  <c r="H709" i="3"/>
  <c r="F709" i="3"/>
  <c r="D710" i="3"/>
  <c r="I710" i="3" l="1"/>
  <c r="E711" i="3"/>
  <c r="J710" i="3"/>
  <c r="H710" i="3"/>
  <c r="F710" i="3"/>
  <c r="D711" i="3"/>
  <c r="I711" i="3" l="1"/>
  <c r="E712" i="3"/>
  <c r="H711" i="3"/>
  <c r="J711" i="3"/>
  <c r="F711" i="3"/>
  <c r="D712" i="3"/>
  <c r="I712" i="3" l="1"/>
  <c r="E713" i="3"/>
  <c r="J712" i="3"/>
  <c r="H712" i="3"/>
  <c r="F712" i="3"/>
  <c r="D713" i="3"/>
  <c r="I713" i="3" l="1"/>
  <c r="E714" i="3"/>
  <c r="H713" i="3"/>
  <c r="J713" i="3"/>
  <c r="F713" i="3"/>
  <c r="D714" i="3"/>
  <c r="I714" i="3" l="1"/>
  <c r="E715" i="3"/>
  <c r="J714" i="3"/>
  <c r="H714" i="3"/>
  <c r="F714" i="3"/>
  <c r="D715" i="3"/>
  <c r="I715" i="3" l="1"/>
  <c r="E716" i="3"/>
  <c r="J715" i="3"/>
  <c r="H715" i="3"/>
  <c r="F715" i="3"/>
  <c r="D716" i="3"/>
  <c r="I716" i="3" l="1"/>
  <c r="E717" i="3"/>
  <c r="H716" i="3"/>
  <c r="J716" i="3"/>
  <c r="F716" i="3"/>
  <c r="D717" i="3"/>
  <c r="I717" i="3" l="1"/>
  <c r="E718" i="3"/>
  <c r="J717" i="3"/>
  <c r="H717" i="3"/>
  <c r="F717" i="3"/>
  <c r="D718" i="3"/>
  <c r="I718" i="3" l="1"/>
  <c r="E719" i="3"/>
  <c r="H718" i="3"/>
  <c r="J718" i="3"/>
  <c r="F718" i="3"/>
  <c r="D719" i="3"/>
  <c r="I719" i="3" l="1"/>
  <c r="E720" i="3"/>
  <c r="J719" i="3"/>
  <c r="H719" i="3"/>
  <c r="F719" i="3"/>
  <c r="D720" i="3"/>
  <c r="I720" i="3" l="1"/>
  <c r="E721" i="3"/>
  <c r="J720" i="3"/>
  <c r="H720" i="3"/>
  <c r="F720" i="3"/>
  <c r="D721" i="3"/>
  <c r="I721" i="3" l="1"/>
  <c r="E722" i="3"/>
  <c r="H721" i="3"/>
  <c r="J721" i="3"/>
  <c r="F721" i="3"/>
  <c r="D722" i="3"/>
  <c r="I722" i="3" l="1"/>
  <c r="E723" i="3"/>
  <c r="H722" i="3"/>
  <c r="J722" i="3"/>
  <c r="F722" i="3"/>
  <c r="D723" i="3"/>
  <c r="I723" i="3" l="1"/>
  <c r="E724" i="3"/>
  <c r="J723" i="3"/>
  <c r="H723" i="3"/>
  <c r="F723" i="3"/>
  <c r="D724" i="3"/>
  <c r="I724" i="3" l="1"/>
  <c r="E725" i="3"/>
  <c r="J724" i="3"/>
  <c r="H724" i="3"/>
  <c r="F724" i="3"/>
  <c r="D725" i="3"/>
  <c r="I725" i="3" l="1"/>
  <c r="E726" i="3"/>
  <c r="J725" i="3"/>
  <c r="H725" i="3"/>
  <c r="F725" i="3"/>
  <c r="D726" i="3"/>
  <c r="I726" i="3" l="1"/>
  <c r="E727" i="3"/>
  <c r="J726" i="3"/>
  <c r="H726" i="3"/>
  <c r="F726" i="3"/>
  <c r="D727" i="3"/>
  <c r="I727" i="3" l="1"/>
  <c r="E728" i="3"/>
  <c r="J727" i="3"/>
  <c r="H727" i="3"/>
  <c r="F727" i="3"/>
  <c r="D728" i="3"/>
  <c r="I728" i="3" l="1"/>
  <c r="E729" i="3"/>
  <c r="J728" i="3"/>
  <c r="H728" i="3"/>
  <c r="F728" i="3"/>
  <c r="D729" i="3"/>
  <c r="I729" i="3" l="1"/>
  <c r="E730" i="3"/>
  <c r="J729" i="3"/>
  <c r="H729" i="3"/>
  <c r="F729" i="3"/>
  <c r="D730" i="3"/>
  <c r="I730" i="3" l="1"/>
  <c r="E731" i="3"/>
  <c r="J730" i="3"/>
  <c r="H730" i="3"/>
  <c r="F730" i="3"/>
  <c r="D731" i="3"/>
  <c r="I731" i="3" l="1"/>
  <c r="E732" i="3"/>
  <c r="J731" i="3"/>
  <c r="H731" i="3"/>
  <c r="F731" i="3"/>
  <c r="D732" i="3"/>
  <c r="I732" i="3" l="1"/>
  <c r="E733" i="3"/>
  <c r="H732" i="3"/>
  <c r="J732" i="3"/>
  <c r="F732" i="3"/>
  <c r="D733" i="3"/>
  <c r="I733" i="3" l="1"/>
  <c r="E734" i="3"/>
  <c r="J733" i="3"/>
  <c r="H733" i="3"/>
  <c r="F733" i="3"/>
  <c r="D734" i="3"/>
  <c r="I734" i="3" l="1"/>
  <c r="E735" i="3"/>
  <c r="J734" i="3"/>
  <c r="H734" i="3"/>
  <c r="F734" i="3"/>
  <c r="D735" i="3"/>
  <c r="I735" i="3" l="1"/>
  <c r="E736" i="3"/>
  <c r="J735" i="3"/>
  <c r="H735" i="3"/>
  <c r="F735" i="3"/>
  <c r="D736" i="3"/>
  <c r="I736" i="3" l="1"/>
  <c r="E737" i="3"/>
  <c r="J736" i="3"/>
  <c r="H736" i="3"/>
  <c r="F736" i="3"/>
  <c r="D737" i="3"/>
  <c r="I737" i="3" l="1"/>
  <c r="E738" i="3"/>
  <c r="J737" i="3"/>
  <c r="H737" i="3"/>
  <c r="F737" i="3"/>
  <c r="D738" i="3"/>
  <c r="I738" i="3" l="1"/>
  <c r="E739" i="3"/>
  <c r="J738" i="3"/>
  <c r="H738" i="3"/>
  <c r="F738" i="3"/>
  <c r="D739" i="3"/>
  <c r="I739" i="3" l="1"/>
  <c r="E740" i="3"/>
  <c r="H739" i="3"/>
  <c r="J739" i="3"/>
  <c r="F739" i="3"/>
  <c r="D740" i="3"/>
  <c r="I740" i="3" l="1"/>
  <c r="E741" i="3"/>
  <c r="J740" i="3"/>
  <c r="H740" i="3"/>
  <c r="F740" i="3"/>
  <c r="D741" i="3"/>
  <c r="I741" i="3" l="1"/>
  <c r="E742" i="3"/>
  <c r="J741" i="3"/>
  <c r="H741" i="3"/>
  <c r="F741" i="3"/>
  <c r="D742" i="3"/>
  <c r="I742" i="3" l="1"/>
  <c r="E743" i="3"/>
  <c r="J742" i="3"/>
  <c r="H742" i="3"/>
  <c r="F742" i="3"/>
  <c r="D743" i="3"/>
  <c r="I743" i="3" l="1"/>
  <c r="E744" i="3"/>
  <c r="J743" i="3"/>
  <c r="H743" i="3"/>
  <c r="F743" i="3"/>
  <c r="D744" i="3"/>
  <c r="I744" i="3" l="1"/>
  <c r="E745" i="3"/>
  <c r="J744" i="3"/>
  <c r="H744" i="3"/>
  <c r="F744" i="3"/>
  <c r="D745" i="3"/>
  <c r="I745" i="3" l="1"/>
  <c r="E746" i="3"/>
  <c r="J745" i="3"/>
  <c r="H745" i="3"/>
  <c r="F745" i="3"/>
  <c r="D746" i="3"/>
  <c r="I746" i="3" l="1"/>
  <c r="E747" i="3"/>
  <c r="J746" i="3"/>
  <c r="H746" i="3"/>
  <c r="F746" i="3"/>
  <c r="D747" i="3"/>
  <c r="I747" i="3" l="1"/>
  <c r="E748" i="3"/>
  <c r="J747" i="3"/>
  <c r="H747" i="3"/>
  <c r="F747" i="3"/>
  <c r="D748" i="3"/>
  <c r="I748" i="3" l="1"/>
  <c r="E749" i="3"/>
  <c r="J748" i="3"/>
  <c r="H748" i="3"/>
  <c r="F748" i="3"/>
  <c r="D749" i="3"/>
  <c r="I749" i="3" l="1"/>
  <c r="E750" i="3"/>
  <c r="J749" i="3"/>
  <c r="H749" i="3"/>
  <c r="F749" i="3"/>
  <c r="D750" i="3"/>
  <c r="I750" i="3" l="1"/>
  <c r="E751" i="3"/>
  <c r="J750" i="3"/>
  <c r="H750" i="3"/>
  <c r="F750" i="3"/>
  <c r="D751" i="3"/>
  <c r="I751" i="3" l="1"/>
  <c r="E752" i="3"/>
  <c r="J751" i="3"/>
  <c r="H751" i="3"/>
  <c r="F751" i="3"/>
  <c r="D752" i="3"/>
  <c r="I752" i="3" l="1"/>
  <c r="E753" i="3"/>
  <c r="J752" i="3"/>
  <c r="H752" i="3"/>
  <c r="F752" i="3"/>
  <c r="D753" i="3"/>
  <c r="I753" i="3" l="1"/>
  <c r="E754" i="3"/>
  <c r="H753" i="3"/>
  <c r="J753" i="3"/>
  <c r="F753" i="3"/>
  <c r="D754" i="3"/>
  <c r="I754" i="3" l="1"/>
  <c r="E755" i="3"/>
  <c r="H754" i="3"/>
  <c r="J754" i="3"/>
  <c r="F754" i="3"/>
  <c r="D755" i="3"/>
  <c r="I755" i="3" l="1"/>
  <c r="E756" i="3"/>
  <c r="J755" i="3"/>
  <c r="H755" i="3"/>
  <c r="F755" i="3"/>
  <c r="D756" i="3"/>
  <c r="I756" i="3" l="1"/>
  <c r="E757" i="3"/>
  <c r="H756" i="3"/>
  <c r="J756" i="3"/>
  <c r="F756" i="3"/>
  <c r="D757" i="3"/>
  <c r="I757" i="3" l="1"/>
  <c r="E758" i="3"/>
  <c r="J757" i="3"/>
  <c r="H757" i="3"/>
  <c r="F757" i="3"/>
  <c r="D758" i="3"/>
  <c r="I758" i="3" l="1"/>
  <c r="E759" i="3"/>
  <c r="J758" i="3"/>
  <c r="H758" i="3"/>
  <c r="F758" i="3"/>
  <c r="D759" i="3"/>
  <c r="I759" i="3" l="1"/>
  <c r="E760" i="3"/>
  <c r="J759" i="3"/>
  <c r="H759" i="3"/>
  <c r="F759" i="3"/>
  <c r="D760" i="3"/>
  <c r="I760" i="3" l="1"/>
  <c r="E761" i="3"/>
  <c r="J760" i="3"/>
  <c r="H760" i="3"/>
  <c r="F760" i="3"/>
  <c r="D761" i="3"/>
  <c r="I761" i="3" l="1"/>
  <c r="E762" i="3"/>
  <c r="J761" i="3"/>
  <c r="H761" i="3"/>
  <c r="F761" i="3"/>
  <c r="D762" i="3"/>
  <c r="I762" i="3" l="1"/>
  <c r="E763" i="3"/>
  <c r="J762" i="3"/>
  <c r="H762" i="3"/>
  <c r="F762" i="3"/>
  <c r="D763" i="3"/>
  <c r="I763" i="3" l="1"/>
  <c r="E764" i="3"/>
  <c r="J763" i="3"/>
  <c r="H763" i="3"/>
  <c r="F763" i="3"/>
  <c r="D764" i="3"/>
  <c r="I764" i="3" l="1"/>
  <c r="E765" i="3"/>
  <c r="J764" i="3"/>
  <c r="H764" i="3"/>
  <c r="F764" i="3"/>
  <c r="D765" i="3"/>
  <c r="I765" i="3" l="1"/>
  <c r="E766" i="3"/>
  <c r="J765" i="3"/>
  <c r="H765" i="3"/>
  <c r="F765" i="3"/>
  <c r="D766" i="3"/>
  <c r="I766" i="3" l="1"/>
  <c r="E767" i="3"/>
  <c r="J766" i="3"/>
  <c r="H766" i="3"/>
  <c r="F766" i="3"/>
  <c r="D767" i="3"/>
  <c r="I767" i="3" l="1"/>
  <c r="E768" i="3"/>
  <c r="J767" i="3"/>
  <c r="H767" i="3"/>
  <c r="F767" i="3"/>
  <c r="D768" i="3"/>
  <c r="I768" i="3" l="1"/>
  <c r="E769" i="3"/>
  <c r="J768" i="3"/>
  <c r="H768" i="3"/>
  <c r="F768" i="3"/>
  <c r="D769" i="3"/>
  <c r="I769" i="3" l="1"/>
  <c r="E770" i="3"/>
  <c r="H769" i="3"/>
  <c r="J769" i="3"/>
  <c r="F769" i="3"/>
  <c r="D770" i="3"/>
  <c r="I770" i="3" l="1"/>
  <c r="E771" i="3"/>
  <c r="J770" i="3"/>
  <c r="H770" i="3"/>
  <c r="F770" i="3"/>
  <c r="D771" i="3"/>
  <c r="I771" i="3" l="1"/>
  <c r="E772" i="3"/>
  <c r="J771" i="3"/>
  <c r="H771" i="3"/>
  <c r="F771" i="3"/>
  <c r="D772" i="3"/>
  <c r="I772" i="3" l="1"/>
  <c r="E773" i="3"/>
  <c r="J772" i="3"/>
  <c r="H772" i="3"/>
  <c r="F772" i="3"/>
  <c r="D773" i="3"/>
  <c r="I773" i="3" l="1"/>
  <c r="E774" i="3"/>
  <c r="H773" i="3"/>
  <c r="J773" i="3"/>
  <c r="F773" i="3"/>
  <c r="D774" i="3"/>
  <c r="I774" i="3" l="1"/>
  <c r="E775" i="3"/>
  <c r="J774" i="3"/>
  <c r="H774" i="3"/>
  <c r="F774" i="3"/>
  <c r="D775" i="3"/>
  <c r="I775" i="3" l="1"/>
  <c r="E776" i="3"/>
  <c r="J775" i="3"/>
  <c r="H775" i="3"/>
  <c r="F775" i="3"/>
  <c r="D776" i="3"/>
  <c r="I776" i="3" l="1"/>
  <c r="E777" i="3"/>
  <c r="H776" i="3"/>
  <c r="J776" i="3"/>
  <c r="F776" i="3"/>
  <c r="D777" i="3"/>
  <c r="I777" i="3" l="1"/>
  <c r="E778" i="3"/>
  <c r="J777" i="3"/>
  <c r="H777" i="3"/>
  <c r="F777" i="3"/>
  <c r="D778" i="3"/>
  <c r="I778" i="3" l="1"/>
  <c r="E779" i="3"/>
  <c r="J778" i="3"/>
  <c r="H778" i="3"/>
  <c r="F778" i="3"/>
  <c r="D779" i="3"/>
  <c r="I779" i="3" l="1"/>
  <c r="E780" i="3"/>
  <c r="J779" i="3"/>
  <c r="H779" i="3"/>
  <c r="F779" i="3"/>
  <c r="D780" i="3"/>
  <c r="I780" i="3" l="1"/>
  <c r="E781" i="3"/>
  <c r="H780" i="3"/>
  <c r="J780" i="3"/>
  <c r="F780" i="3"/>
  <c r="D781" i="3"/>
  <c r="I781" i="3" l="1"/>
  <c r="E782" i="3"/>
  <c r="J781" i="3"/>
  <c r="H781" i="3"/>
  <c r="F781" i="3"/>
  <c r="D782" i="3"/>
  <c r="I782" i="3" l="1"/>
  <c r="E783" i="3"/>
  <c r="J782" i="3"/>
  <c r="H782" i="3"/>
  <c r="F782" i="3"/>
  <c r="D783" i="3"/>
  <c r="I783" i="3" l="1"/>
  <c r="E784" i="3"/>
  <c r="J783" i="3"/>
  <c r="H783" i="3"/>
  <c r="F783" i="3"/>
  <c r="D784" i="3"/>
  <c r="I784" i="3" l="1"/>
  <c r="E785" i="3"/>
  <c r="J784" i="3"/>
  <c r="H784" i="3"/>
  <c r="F784" i="3"/>
  <c r="D785" i="3"/>
  <c r="I785" i="3" l="1"/>
  <c r="E786" i="3"/>
  <c r="J785" i="3"/>
  <c r="H785" i="3"/>
  <c r="F785" i="3"/>
  <c r="D786" i="3"/>
  <c r="I786" i="3" l="1"/>
  <c r="E787" i="3"/>
  <c r="J786" i="3"/>
  <c r="H786" i="3"/>
  <c r="F786" i="3"/>
  <c r="D787" i="3"/>
  <c r="I787" i="3" l="1"/>
  <c r="E788" i="3"/>
  <c r="J787" i="3"/>
  <c r="H787" i="3"/>
  <c r="F787" i="3"/>
  <c r="D788" i="3"/>
  <c r="I788" i="3" l="1"/>
  <c r="E789" i="3"/>
  <c r="H788" i="3"/>
  <c r="J788" i="3"/>
  <c r="F788" i="3"/>
  <c r="D789" i="3"/>
  <c r="I789" i="3" l="1"/>
  <c r="E790" i="3"/>
  <c r="J789" i="3"/>
  <c r="H789" i="3"/>
  <c r="F789" i="3"/>
  <c r="D790" i="3"/>
  <c r="I790" i="3" l="1"/>
  <c r="E791" i="3"/>
  <c r="J790" i="3"/>
  <c r="H790" i="3"/>
  <c r="F790" i="3"/>
  <c r="D791" i="3"/>
  <c r="I791" i="3" l="1"/>
  <c r="E792" i="3"/>
  <c r="J791" i="3"/>
  <c r="H791" i="3"/>
  <c r="F791" i="3"/>
  <c r="D792" i="3"/>
  <c r="I792" i="3" l="1"/>
  <c r="E793" i="3"/>
  <c r="J792" i="3"/>
  <c r="H792" i="3"/>
  <c r="F792" i="3"/>
  <c r="D793" i="3"/>
  <c r="I793" i="3" l="1"/>
  <c r="E794" i="3"/>
  <c r="J793" i="3"/>
  <c r="H793" i="3"/>
  <c r="F793" i="3"/>
  <c r="D794" i="3"/>
  <c r="I794" i="3" l="1"/>
  <c r="E795" i="3"/>
  <c r="J794" i="3"/>
  <c r="H794" i="3"/>
  <c r="F794" i="3"/>
  <c r="D795" i="3"/>
  <c r="I795" i="3" l="1"/>
  <c r="E796" i="3"/>
  <c r="J795" i="3"/>
  <c r="H795" i="3"/>
  <c r="F795" i="3"/>
  <c r="D796" i="3"/>
  <c r="I796" i="3" l="1"/>
  <c r="E797" i="3"/>
  <c r="J796" i="3"/>
  <c r="H796" i="3"/>
  <c r="F796" i="3"/>
  <c r="D797" i="3"/>
  <c r="I797" i="3" l="1"/>
  <c r="E798" i="3"/>
  <c r="H797" i="3"/>
  <c r="J797" i="3"/>
  <c r="F797" i="3"/>
  <c r="D798" i="3"/>
  <c r="I798" i="3" l="1"/>
  <c r="E799" i="3"/>
  <c r="J798" i="3"/>
  <c r="H798" i="3"/>
  <c r="F798" i="3"/>
  <c r="D799" i="3"/>
  <c r="I799" i="3" l="1"/>
  <c r="E800" i="3"/>
  <c r="J799" i="3"/>
  <c r="H799" i="3"/>
  <c r="F799" i="3"/>
  <c r="D800" i="3"/>
  <c r="I800" i="3" l="1"/>
  <c r="E801" i="3"/>
  <c r="J800" i="3"/>
  <c r="H800" i="3"/>
  <c r="F800" i="3"/>
  <c r="D801" i="3"/>
  <c r="I801" i="3" l="1"/>
  <c r="E802" i="3"/>
  <c r="J801" i="3"/>
  <c r="H801" i="3"/>
  <c r="F801" i="3"/>
  <c r="D802" i="3"/>
  <c r="I802" i="3" l="1"/>
  <c r="E803" i="3"/>
  <c r="J802" i="3"/>
  <c r="H802" i="3"/>
  <c r="F802" i="3"/>
  <c r="D803" i="3"/>
  <c r="I803" i="3" l="1"/>
  <c r="E804" i="3"/>
  <c r="J803" i="3"/>
  <c r="H803" i="3"/>
  <c r="F803" i="3"/>
  <c r="D804" i="3"/>
  <c r="I804" i="3" l="1"/>
  <c r="E805" i="3"/>
  <c r="J804" i="3"/>
  <c r="H804" i="3"/>
  <c r="F804" i="3"/>
  <c r="D805" i="3"/>
  <c r="I805" i="3" l="1"/>
  <c r="E806" i="3"/>
  <c r="J805" i="3"/>
  <c r="H805" i="3"/>
  <c r="F805" i="3"/>
  <c r="D806" i="3"/>
  <c r="I806" i="3" l="1"/>
  <c r="E807" i="3"/>
  <c r="J806" i="3"/>
  <c r="H806" i="3"/>
  <c r="F806" i="3"/>
  <c r="D807" i="3"/>
  <c r="I807" i="3" l="1"/>
  <c r="E808" i="3"/>
  <c r="J807" i="3"/>
  <c r="H807" i="3"/>
  <c r="F807" i="3"/>
  <c r="D808" i="3"/>
  <c r="I808" i="3" l="1"/>
  <c r="E809" i="3"/>
  <c r="J808" i="3"/>
  <c r="H808" i="3"/>
  <c r="F808" i="3"/>
  <c r="D809" i="3"/>
  <c r="I809" i="3" l="1"/>
  <c r="E810" i="3"/>
  <c r="J809" i="3"/>
  <c r="H809" i="3"/>
  <c r="F809" i="3"/>
  <c r="D810" i="3"/>
  <c r="I810" i="3" l="1"/>
  <c r="E811" i="3"/>
  <c r="J810" i="3"/>
  <c r="H810" i="3"/>
  <c r="F810" i="3"/>
  <c r="D811" i="3"/>
  <c r="I811" i="3" l="1"/>
  <c r="E812" i="3"/>
  <c r="J811" i="3"/>
  <c r="H811" i="3"/>
  <c r="F811" i="3"/>
  <c r="D812" i="3"/>
  <c r="I812" i="3" l="1"/>
  <c r="E813" i="3"/>
  <c r="J812" i="3"/>
  <c r="H812" i="3"/>
  <c r="F812" i="3"/>
  <c r="D813" i="3"/>
  <c r="I813" i="3" l="1"/>
  <c r="E814" i="3"/>
  <c r="J813" i="3"/>
  <c r="H813" i="3"/>
  <c r="F813" i="3"/>
  <c r="D814" i="3"/>
  <c r="I814" i="3" l="1"/>
  <c r="E815" i="3"/>
  <c r="J814" i="3"/>
  <c r="H814" i="3"/>
  <c r="F814" i="3"/>
  <c r="D815" i="3"/>
  <c r="I815" i="3" l="1"/>
  <c r="E816" i="3"/>
  <c r="J815" i="3"/>
  <c r="H815" i="3"/>
  <c r="F815" i="3"/>
  <c r="D816" i="3"/>
  <c r="I816" i="3" l="1"/>
  <c r="E817" i="3"/>
  <c r="J816" i="3"/>
  <c r="H816" i="3"/>
  <c r="F816" i="3"/>
  <c r="D817" i="3"/>
  <c r="I817" i="3" l="1"/>
  <c r="E818" i="3"/>
  <c r="J817" i="3"/>
  <c r="H817" i="3"/>
  <c r="F817" i="3"/>
  <c r="D818" i="3"/>
  <c r="I818" i="3" l="1"/>
  <c r="E819" i="3"/>
  <c r="J818" i="3"/>
  <c r="H818" i="3"/>
  <c r="F818" i="3"/>
  <c r="D819" i="3"/>
  <c r="I819" i="3" l="1"/>
  <c r="E820" i="3"/>
  <c r="J819" i="3"/>
  <c r="H819" i="3"/>
  <c r="F819" i="3"/>
  <c r="D820" i="3"/>
  <c r="I820" i="3" l="1"/>
  <c r="E821" i="3"/>
  <c r="J820" i="3"/>
  <c r="H820" i="3"/>
  <c r="F820" i="3"/>
  <c r="D821" i="3"/>
  <c r="I821" i="3" l="1"/>
  <c r="E822" i="3"/>
  <c r="J821" i="3"/>
  <c r="H821" i="3"/>
  <c r="F821" i="3"/>
  <c r="D822" i="3"/>
  <c r="I822" i="3" l="1"/>
  <c r="E823" i="3"/>
  <c r="J822" i="3"/>
  <c r="H822" i="3"/>
  <c r="F822" i="3"/>
  <c r="D823" i="3"/>
  <c r="I823" i="3" l="1"/>
  <c r="E824" i="3"/>
  <c r="J823" i="3"/>
  <c r="H823" i="3"/>
  <c r="F823" i="3"/>
  <c r="D824" i="3"/>
  <c r="I824" i="3" l="1"/>
  <c r="E825" i="3"/>
  <c r="J824" i="3"/>
  <c r="H824" i="3"/>
  <c r="F824" i="3"/>
  <c r="D825" i="3"/>
  <c r="I825" i="3" l="1"/>
  <c r="E826" i="3"/>
  <c r="J825" i="3"/>
  <c r="H825" i="3"/>
  <c r="F825" i="3"/>
  <c r="D826" i="3"/>
  <c r="I826" i="3" l="1"/>
  <c r="E827" i="3"/>
  <c r="J826" i="3"/>
  <c r="H826" i="3"/>
  <c r="F826" i="3"/>
  <c r="D827" i="3"/>
  <c r="I827" i="3" l="1"/>
  <c r="E828" i="3"/>
  <c r="J827" i="3"/>
  <c r="H827" i="3"/>
  <c r="F827" i="3"/>
  <c r="D828" i="3"/>
  <c r="I828" i="3" l="1"/>
  <c r="E829" i="3"/>
  <c r="J828" i="3"/>
  <c r="H828" i="3"/>
  <c r="F828" i="3"/>
  <c r="D829" i="3"/>
  <c r="I829" i="3" l="1"/>
  <c r="E830" i="3"/>
  <c r="J829" i="3"/>
  <c r="H829" i="3"/>
  <c r="F829" i="3"/>
  <c r="D830" i="3"/>
  <c r="I830" i="3" l="1"/>
  <c r="E831" i="3"/>
  <c r="J830" i="3"/>
  <c r="H830" i="3"/>
  <c r="F830" i="3"/>
  <c r="D831" i="3"/>
  <c r="I831" i="3" l="1"/>
  <c r="E832" i="3"/>
  <c r="J831" i="3"/>
  <c r="H831" i="3"/>
  <c r="F831" i="3"/>
  <c r="D832" i="3"/>
  <c r="I832" i="3" l="1"/>
  <c r="E833" i="3"/>
  <c r="J832" i="3"/>
  <c r="H832" i="3"/>
  <c r="F832" i="3"/>
  <c r="D833" i="3"/>
  <c r="I833" i="3" l="1"/>
  <c r="E834" i="3"/>
  <c r="J833" i="3"/>
  <c r="H833" i="3"/>
  <c r="F833" i="3"/>
  <c r="D834" i="3"/>
  <c r="I834" i="3" l="1"/>
  <c r="E835" i="3"/>
  <c r="J834" i="3"/>
  <c r="H834" i="3"/>
  <c r="F834" i="3"/>
  <c r="D835" i="3"/>
  <c r="I835" i="3" l="1"/>
  <c r="E836" i="3"/>
  <c r="J835" i="3"/>
  <c r="H835" i="3"/>
  <c r="F835" i="3"/>
  <c r="D836" i="3"/>
  <c r="I836" i="3" l="1"/>
  <c r="E837" i="3"/>
  <c r="J836" i="3"/>
  <c r="H836" i="3"/>
  <c r="F836" i="3"/>
  <c r="D837" i="3"/>
  <c r="I837" i="3" l="1"/>
  <c r="E838" i="3"/>
  <c r="J837" i="3"/>
  <c r="H837" i="3"/>
  <c r="F837" i="3"/>
  <c r="D838" i="3"/>
  <c r="I838" i="3" l="1"/>
  <c r="E839" i="3"/>
  <c r="J838" i="3"/>
  <c r="H838" i="3"/>
  <c r="F838" i="3"/>
  <c r="D839" i="3"/>
  <c r="I839" i="3" l="1"/>
  <c r="E840" i="3"/>
  <c r="J839" i="3"/>
  <c r="H839" i="3"/>
  <c r="F839" i="3"/>
  <c r="D840" i="3"/>
  <c r="I840" i="3" l="1"/>
  <c r="E841" i="3"/>
  <c r="J840" i="3"/>
  <c r="H840" i="3"/>
  <c r="F840" i="3"/>
  <c r="D841" i="3"/>
  <c r="I841" i="3" l="1"/>
  <c r="E842" i="3"/>
  <c r="J841" i="3"/>
  <c r="H841" i="3"/>
  <c r="F841" i="3"/>
  <c r="D842" i="3"/>
  <c r="I842" i="3" l="1"/>
  <c r="E843" i="3"/>
  <c r="J842" i="3"/>
  <c r="H842" i="3"/>
  <c r="F842" i="3"/>
  <c r="D843" i="3"/>
  <c r="I843" i="3" l="1"/>
  <c r="E844" i="3"/>
  <c r="J843" i="3"/>
  <c r="H843" i="3"/>
  <c r="F843" i="3"/>
  <c r="D844" i="3"/>
  <c r="I844" i="3" l="1"/>
  <c r="E845" i="3"/>
  <c r="J844" i="3"/>
  <c r="H844" i="3"/>
  <c r="F844" i="3"/>
  <c r="D845" i="3"/>
  <c r="I845" i="3" l="1"/>
  <c r="E846" i="3"/>
  <c r="J845" i="3"/>
  <c r="H845" i="3"/>
  <c r="F845" i="3"/>
  <c r="D846" i="3"/>
  <c r="I846" i="3" l="1"/>
  <c r="E847" i="3"/>
  <c r="J846" i="3"/>
  <c r="H846" i="3"/>
  <c r="F846" i="3"/>
  <c r="D847" i="3"/>
  <c r="I847" i="3" l="1"/>
  <c r="E848" i="3"/>
  <c r="J847" i="3"/>
  <c r="H847" i="3"/>
  <c r="F847" i="3"/>
  <c r="D848" i="3"/>
  <c r="I848" i="3" l="1"/>
  <c r="E849" i="3"/>
  <c r="J848" i="3"/>
  <c r="H848" i="3"/>
  <c r="F848" i="3"/>
  <c r="D849" i="3"/>
  <c r="I849" i="3" l="1"/>
  <c r="E850" i="3"/>
  <c r="J849" i="3"/>
  <c r="H849" i="3"/>
  <c r="F849" i="3"/>
  <c r="D850" i="3"/>
  <c r="I850" i="3" l="1"/>
  <c r="E851" i="3"/>
  <c r="J850" i="3"/>
  <c r="H850" i="3"/>
  <c r="F850" i="3"/>
  <c r="D851" i="3"/>
  <c r="I851" i="3" l="1"/>
  <c r="E852" i="3"/>
  <c r="J851" i="3"/>
  <c r="H851" i="3"/>
  <c r="F851" i="3"/>
  <c r="D852" i="3"/>
  <c r="I852" i="3" l="1"/>
  <c r="E853" i="3"/>
  <c r="J852" i="3"/>
  <c r="H852" i="3"/>
  <c r="F852" i="3"/>
  <c r="D853" i="3"/>
  <c r="I853" i="3" l="1"/>
  <c r="E854" i="3"/>
  <c r="J853" i="3"/>
  <c r="H853" i="3"/>
  <c r="F853" i="3"/>
  <c r="D854" i="3"/>
  <c r="I854" i="3" l="1"/>
  <c r="E855" i="3"/>
  <c r="J854" i="3"/>
  <c r="H854" i="3"/>
  <c r="F854" i="3"/>
  <c r="D855" i="3"/>
  <c r="I855" i="3" l="1"/>
  <c r="E856" i="3"/>
  <c r="J855" i="3"/>
  <c r="H855" i="3"/>
  <c r="F855" i="3"/>
  <c r="D856" i="3"/>
  <c r="I856" i="3" l="1"/>
  <c r="E857" i="3"/>
  <c r="J856" i="3"/>
  <c r="H856" i="3"/>
  <c r="F856" i="3"/>
  <c r="D857" i="3"/>
  <c r="I857" i="3" l="1"/>
  <c r="E858" i="3"/>
  <c r="J857" i="3"/>
  <c r="H857" i="3"/>
  <c r="F857" i="3"/>
  <c r="D858" i="3"/>
  <c r="I858" i="3" l="1"/>
  <c r="E859" i="3"/>
  <c r="J858" i="3"/>
  <c r="H858" i="3"/>
  <c r="F858" i="3"/>
  <c r="D859" i="3"/>
  <c r="I859" i="3" l="1"/>
  <c r="E860" i="3"/>
  <c r="J859" i="3"/>
  <c r="H859" i="3"/>
  <c r="F859" i="3"/>
  <c r="D860" i="3"/>
  <c r="I860" i="3" l="1"/>
  <c r="E861" i="3"/>
  <c r="J860" i="3"/>
  <c r="H860" i="3"/>
  <c r="F860" i="3"/>
  <c r="D861" i="3"/>
  <c r="I861" i="3" l="1"/>
  <c r="E862" i="3"/>
  <c r="J861" i="3"/>
  <c r="H861" i="3"/>
  <c r="F861" i="3"/>
  <c r="D862" i="3"/>
  <c r="I862" i="3" l="1"/>
  <c r="E863" i="3"/>
  <c r="J862" i="3"/>
  <c r="H862" i="3"/>
  <c r="F862" i="3"/>
  <c r="D863" i="3"/>
  <c r="I863" i="3" l="1"/>
  <c r="E864" i="3"/>
  <c r="J863" i="3"/>
  <c r="H863" i="3"/>
  <c r="F863" i="3"/>
  <c r="D864" i="3"/>
  <c r="I864" i="3" l="1"/>
  <c r="E865" i="3"/>
  <c r="J864" i="3"/>
  <c r="H864" i="3"/>
  <c r="F864" i="3"/>
  <c r="D865" i="3"/>
  <c r="I865" i="3" l="1"/>
  <c r="E866" i="3"/>
  <c r="J865" i="3"/>
  <c r="H865" i="3"/>
  <c r="F865" i="3"/>
  <c r="D866" i="3"/>
  <c r="I866" i="3" l="1"/>
  <c r="E867" i="3"/>
  <c r="J866" i="3"/>
  <c r="H866" i="3"/>
  <c r="F866" i="3"/>
  <c r="D867" i="3"/>
  <c r="I867" i="3" l="1"/>
  <c r="E868" i="3"/>
  <c r="J867" i="3"/>
  <c r="H867" i="3"/>
  <c r="F867" i="3"/>
  <c r="D868" i="3"/>
  <c r="I868" i="3" l="1"/>
  <c r="E869" i="3"/>
  <c r="J868" i="3"/>
  <c r="H868" i="3"/>
  <c r="F868" i="3"/>
  <c r="D869" i="3"/>
  <c r="I869" i="3" l="1"/>
  <c r="E870" i="3"/>
  <c r="J869" i="3"/>
  <c r="H869" i="3"/>
  <c r="F869" i="3"/>
  <c r="D870" i="3"/>
  <c r="I870" i="3" l="1"/>
  <c r="E871" i="3"/>
  <c r="J870" i="3"/>
  <c r="H870" i="3"/>
  <c r="F870" i="3"/>
  <c r="D871" i="3"/>
  <c r="I871" i="3" l="1"/>
  <c r="E872" i="3"/>
  <c r="J871" i="3"/>
  <c r="H871" i="3"/>
  <c r="F871" i="3"/>
  <c r="D872" i="3"/>
  <c r="I872" i="3" l="1"/>
  <c r="E873" i="3"/>
  <c r="J872" i="3"/>
  <c r="H872" i="3"/>
  <c r="F872" i="3"/>
  <c r="D873" i="3"/>
  <c r="I873" i="3" l="1"/>
  <c r="E874" i="3"/>
  <c r="J873" i="3"/>
  <c r="H873" i="3"/>
  <c r="F873" i="3"/>
  <c r="D874" i="3"/>
  <c r="I874" i="3" l="1"/>
  <c r="E875" i="3"/>
  <c r="J874" i="3"/>
  <c r="H874" i="3"/>
  <c r="F874" i="3"/>
  <c r="D875" i="3"/>
  <c r="I875" i="3" l="1"/>
  <c r="E876" i="3"/>
  <c r="J875" i="3"/>
  <c r="H875" i="3"/>
  <c r="F875" i="3"/>
  <c r="D876" i="3"/>
  <c r="I876" i="3" l="1"/>
  <c r="E877" i="3"/>
  <c r="J876" i="3"/>
  <c r="H876" i="3"/>
  <c r="F876" i="3"/>
  <c r="D877" i="3"/>
  <c r="I877" i="3" l="1"/>
  <c r="E878" i="3"/>
  <c r="J877" i="3"/>
  <c r="H877" i="3"/>
  <c r="F877" i="3"/>
  <c r="D878" i="3"/>
  <c r="I878" i="3" l="1"/>
  <c r="E879" i="3"/>
  <c r="J878" i="3"/>
  <c r="H878" i="3"/>
  <c r="F878" i="3"/>
  <c r="D879" i="3"/>
  <c r="I879" i="3" l="1"/>
  <c r="E880" i="3"/>
  <c r="J879" i="3"/>
  <c r="H879" i="3"/>
  <c r="F879" i="3"/>
  <c r="D880" i="3"/>
  <c r="I880" i="3" l="1"/>
  <c r="E881" i="3"/>
  <c r="J880" i="3"/>
  <c r="H880" i="3"/>
  <c r="F880" i="3"/>
  <c r="D881" i="3"/>
  <c r="I881" i="3" l="1"/>
  <c r="E882" i="3"/>
  <c r="J881" i="3"/>
  <c r="H881" i="3"/>
  <c r="F881" i="3"/>
  <c r="D882" i="3"/>
  <c r="I882" i="3" l="1"/>
  <c r="E883" i="3"/>
  <c r="J882" i="3"/>
  <c r="H882" i="3"/>
  <c r="F882" i="3"/>
  <c r="D883" i="3"/>
  <c r="I883" i="3" l="1"/>
  <c r="E884" i="3"/>
  <c r="J883" i="3"/>
  <c r="H883" i="3"/>
  <c r="F883" i="3"/>
  <c r="D884" i="3"/>
  <c r="I884" i="3" l="1"/>
  <c r="E885" i="3"/>
  <c r="J884" i="3"/>
  <c r="H884" i="3"/>
  <c r="F884" i="3"/>
  <c r="D885" i="3"/>
  <c r="I885" i="3" l="1"/>
  <c r="E886" i="3"/>
  <c r="J885" i="3"/>
  <c r="H885" i="3"/>
  <c r="F885" i="3"/>
  <c r="D886" i="3"/>
  <c r="I886" i="3" l="1"/>
  <c r="E887" i="3"/>
  <c r="J886" i="3"/>
  <c r="H886" i="3"/>
  <c r="F886" i="3"/>
  <c r="D887" i="3"/>
  <c r="I887" i="3" l="1"/>
  <c r="E888" i="3"/>
  <c r="J887" i="3"/>
  <c r="H887" i="3"/>
  <c r="F887" i="3"/>
  <c r="D888" i="3"/>
  <c r="I888" i="3" l="1"/>
  <c r="E889" i="3"/>
  <c r="J888" i="3"/>
  <c r="H888" i="3"/>
  <c r="F888" i="3"/>
  <c r="D889" i="3"/>
  <c r="I889" i="3" l="1"/>
  <c r="E890" i="3"/>
  <c r="J889" i="3"/>
  <c r="H889" i="3"/>
  <c r="F889" i="3"/>
  <c r="D890" i="3"/>
  <c r="I890" i="3" l="1"/>
  <c r="E891" i="3"/>
  <c r="J890" i="3"/>
  <c r="H890" i="3"/>
  <c r="F890" i="3"/>
  <c r="D891" i="3"/>
  <c r="I891" i="3" l="1"/>
  <c r="E892" i="3"/>
  <c r="J891" i="3"/>
  <c r="H891" i="3"/>
  <c r="F891" i="3"/>
  <c r="D892" i="3"/>
  <c r="I892" i="3" l="1"/>
  <c r="E893" i="3"/>
  <c r="J892" i="3"/>
  <c r="H892" i="3"/>
  <c r="F892" i="3"/>
  <c r="D893" i="3"/>
  <c r="I893" i="3" l="1"/>
  <c r="E894" i="3"/>
  <c r="J893" i="3"/>
  <c r="H893" i="3"/>
  <c r="F893" i="3"/>
  <c r="D894" i="3"/>
  <c r="I894" i="3" l="1"/>
  <c r="E895" i="3"/>
  <c r="J894" i="3"/>
  <c r="H894" i="3"/>
  <c r="F894" i="3"/>
  <c r="D895" i="3"/>
  <c r="I895" i="3" l="1"/>
  <c r="E896" i="3"/>
  <c r="J895" i="3"/>
  <c r="H895" i="3"/>
  <c r="F895" i="3"/>
  <c r="D896" i="3"/>
  <c r="I896" i="3" l="1"/>
  <c r="E897" i="3"/>
  <c r="J896" i="3"/>
  <c r="H896" i="3"/>
  <c r="F896" i="3"/>
  <c r="D897" i="3"/>
  <c r="I897" i="3" l="1"/>
  <c r="E898" i="3"/>
  <c r="J897" i="3"/>
  <c r="H897" i="3"/>
  <c r="F897" i="3"/>
  <c r="D898" i="3"/>
  <c r="I898" i="3" l="1"/>
  <c r="E899" i="3"/>
  <c r="J898" i="3"/>
  <c r="H898" i="3"/>
  <c r="F898" i="3"/>
  <c r="D899" i="3"/>
  <c r="I899" i="3" l="1"/>
  <c r="E900" i="3"/>
  <c r="J899" i="3"/>
  <c r="H899" i="3"/>
  <c r="F899" i="3"/>
  <c r="D900" i="3"/>
  <c r="I900" i="3" l="1"/>
  <c r="E901" i="3"/>
  <c r="J900" i="3"/>
  <c r="H900" i="3"/>
  <c r="F900" i="3"/>
  <c r="D901" i="3"/>
  <c r="I901" i="3" l="1"/>
  <c r="E902" i="3"/>
  <c r="J901" i="3"/>
  <c r="H901" i="3"/>
  <c r="F901" i="3"/>
  <c r="D902" i="3"/>
  <c r="I902" i="3" l="1"/>
  <c r="E903" i="3"/>
  <c r="J902" i="3"/>
  <c r="H902" i="3"/>
  <c r="F902" i="3"/>
  <c r="D903" i="3"/>
  <c r="I903" i="3" l="1"/>
  <c r="E904" i="3"/>
  <c r="J903" i="3"/>
  <c r="H903" i="3"/>
  <c r="F903" i="3"/>
  <c r="D904" i="3"/>
  <c r="I904" i="3" l="1"/>
  <c r="E905" i="3"/>
  <c r="J904" i="3"/>
  <c r="H904" i="3"/>
  <c r="F904" i="3"/>
  <c r="D905" i="3"/>
  <c r="I905" i="3" l="1"/>
  <c r="E906" i="3"/>
  <c r="J905" i="3"/>
  <c r="H905" i="3"/>
  <c r="F905" i="3"/>
  <c r="D906" i="3"/>
  <c r="I906" i="3" l="1"/>
  <c r="E907" i="3"/>
  <c r="J906" i="3"/>
  <c r="H906" i="3"/>
  <c r="F906" i="3"/>
  <c r="D907" i="3"/>
  <c r="I907" i="3" l="1"/>
  <c r="E908" i="3"/>
  <c r="J907" i="3"/>
  <c r="H907" i="3"/>
  <c r="F907" i="3"/>
  <c r="D908" i="3"/>
  <c r="I908" i="3" l="1"/>
  <c r="E909" i="3"/>
  <c r="J908" i="3"/>
  <c r="H908" i="3"/>
  <c r="F908" i="3"/>
  <c r="D909" i="3"/>
  <c r="I909" i="3" l="1"/>
  <c r="E910" i="3"/>
  <c r="J909" i="3"/>
  <c r="H909" i="3"/>
  <c r="F909" i="3"/>
  <c r="D910" i="3"/>
  <c r="I910" i="3" l="1"/>
  <c r="E911" i="3"/>
  <c r="J910" i="3"/>
  <c r="H910" i="3"/>
  <c r="F910" i="3"/>
  <c r="D911" i="3"/>
  <c r="I911" i="3" l="1"/>
  <c r="E912" i="3"/>
  <c r="J911" i="3"/>
  <c r="H911" i="3"/>
  <c r="F911" i="3"/>
  <c r="D912" i="3"/>
  <c r="I912" i="3" l="1"/>
  <c r="E913" i="3"/>
  <c r="J912" i="3"/>
  <c r="H912" i="3"/>
  <c r="F912" i="3"/>
  <c r="D913" i="3"/>
  <c r="I913" i="3" l="1"/>
  <c r="E914" i="3"/>
  <c r="J913" i="3"/>
  <c r="H913" i="3"/>
  <c r="F913" i="3"/>
  <c r="D914" i="3"/>
  <c r="I914" i="3" l="1"/>
  <c r="E915" i="3"/>
  <c r="J914" i="3"/>
  <c r="H914" i="3"/>
  <c r="F914" i="3"/>
  <c r="D915" i="3"/>
  <c r="I915" i="3" l="1"/>
  <c r="E916" i="3"/>
  <c r="J915" i="3"/>
  <c r="H915" i="3"/>
  <c r="F915" i="3"/>
  <c r="D916" i="3"/>
  <c r="I916" i="3" l="1"/>
  <c r="E917" i="3"/>
  <c r="J916" i="3"/>
  <c r="H916" i="3"/>
  <c r="F916" i="3"/>
  <c r="D917" i="3"/>
  <c r="I917" i="3" l="1"/>
  <c r="E918" i="3"/>
  <c r="J917" i="3"/>
  <c r="H917" i="3"/>
  <c r="F917" i="3"/>
  <c r="D918" i="3"/>
  <c r="I918" i="3" l="1"/>
  <c r="E919" i="3"/>
  <c r="J918" i="3"/>
  <c r="H918" i="3"/>
  <c r="F918" i="3"/>
  <c r="D919" i="3"/>
  <c r="I919" i="3" l="1"/>
  <c r="E920" i="3"/>
  <c r="J919" i="3"/>
  <c r="H919" i="3"/>
  <c r="F919" i="3"/>
  <c r="D920" i="3"/>
  <c r="I920" i="3" l="1"/>
  <c r="E921" i="3"/>
  <c r="J920" i="3"/>
  <c r="H920" i="3"/>
  <c r="F920" i="3"/>
  <c r="D921" i="3"/>
  <c r="I921" i="3" l="1"/>
  <c r="E922" i="3"/>
  <c r="J921" i="3"/>
  <c r="H921" i="3"/>
  <c r="F921" i="3"/>
  <c r="D922" i="3"/>
  <c r="I922" i="3" l="1"/>
  <c r="E923" i="3"/>
  <c r="J922" i="3"/>
  <c r="H922" i="3"/>
  <c r="F922" i="3"/>
  <c r="D923" i="3"/>
  <c r="I923" i="3" l="1"/>
  <c r="E924" i="3"/>
  <c r="J923" i="3"/>
  <c r="H923" i="3"/>
  <c r="F923" i="3"/>
  <c r="D924" i="3"/>
  <c r="I924" i="3" l="1"/>
  <c r="E925" i="3"/>
  <c r="J924" i="3"/>
  <c r="H924" i="3"/>
  <c r="F924" i="3"/>
  <c r="D925" i="3"/>
  <c r="I925" i="3" l="1"/>
  <c r="E926" i="3"/>
  <c r="J925" i="3"/>
  <c r="H925" i="3"/>
  <c r="F925" i="3"/>
  <c r="D926" i="3"/>
  <c r="I926" i="3" l="1"/>
  <c r="E927" i="3"/>
  <c r="J926" i="3"/>
  <c r="H926" i="3"/>
  <c r="F926" i="3"/>
  <c r="D927" i="3"/>
  <c r="I927" i="3" l="1"/>
  <c r="E928" i="3"/>
  <c r="J927" i="3"/>
  <c r="H927" i="3"/>
  <c r="F927" i="3"/>
  <c r="D928" i="3"/>
  <c r="I928" i="3" l="1"/>
  <c r="E929" i="3"/>
  <c r="J928" i="3"/>
  <c r="H928" i="3"/>
  <c r="F928" i="3"/>
  <c r="D929" i="3"/>
  <c r="I929" i="3" l="1"/>
  <c r="E930" i="3"/>
  <c r="J929" i="3"/>
  <c r="H929" i="3"/>
  <c r="F929" i="3"/>
  <c r="D930" i="3"/>
  <c r="I930" i="3" l="1"/>
  <c r="E931" i="3"/>
  <c r="J930" i="3"/>
  <c r="H930" i="3"/>
  <c r="F930" i="3"/>
  <c r="D931" i="3"/>
  <c r="I931" i="3" l="1"/>
  <c r="E932" i="3"/>
  <c r="J931" i="3"/>
  <c r="H931" i="3"/>
  <c r="F931" i="3"/>
  <c r="D932" i="3"/>
  <c r="I932" i="3" l="1"/>
  <c r="E933" i="3"/>
  <c r="J932" i="3"/>
  <c r="H932" i="3"/>
  <c r="F932" i="3"/>
  <c r="D933" i="3"/>
  <c r="I933" i="3" l="1"/>
  <c r="E934" i="3"/>
  <c r="J933" i="3"/>
  <c r="H933" i="3"/>
  <c r="F933" i="3"/>
  <c r="D934" i="3"/>
  <c r="I934" i="3" l="1"/>
  <c r="E935" i="3"/>
  <c r="J934" i="3"/>
  <c r="H934" i="3"/>
  <c r="F934" i="3"/>
  <c r="D935" i="3"/>
  <c r="I935" i="3" l="1"/>
  <c r="E936" i="3"/>
  <c r="J935" i="3"/>
  <c r="H935" i="3"/>
  <c r="F935" i="3"/>
  <c r="D936" i="3"/>
  <c r="I936" i="3" l="1"/>
  <c r="E937" i="3"/>
  <c r="J936" i="3"/>
  <c r="H936" i="3"/>
  <c r="F936" i="3"/>
  <c r="D937" i="3"/>
  <c r="I937" i="3" l="1"/>
  <c r="E938" i="3"/>
  <c r="J937" i="3"/>
  <c r="H937" i="3"/>
  <c r="F937" i="3"/>
  <c r="D938" i="3"/>
  <c r="I938" i="3" l="1"/>
  <c r="E939" i="3"/>
  <c r="J938" i="3"/>
  <c r="H938" i="3"/>
  <c r="F938" i="3"/>
  <c r="D939" i="3"/>
  <c r="I939" i="3" l="1"/>
  <c r="E940" i="3"/>
  <c r="J939" i="3"/>
  <c r="H939" i="3"/>
  <c r="F939" i="3"/>
  <c r="D940" i="3"/>
  <c r="I940" i="3" l="1"/>
  <c r="E941" i="3"/>
  <c r="J940" i="3"/>
  <c r="H940" i="3"/>
  <c r="F940" i="3"/>
  <c r="D941" i="3"/>
  <c r="I941" i="3" l="1"/>
  <c r="E942" i="3"/>
  <c r="J941" i="3"/>
  <c r="H941" i="3"/>
  <c r="F941" i="3"/>
  <c r="D942" i="3"/>
  <c r="I942" i="3" l="1"/>
  <c r="E943" i="3"/>
  <c r="J942" i="3"/>
  <c r="H942" i="3"/>
  <c r="F942" i="3"/>
  <c r="D943" i="3"/>
  <c r="I943" i="3" l="1"/>
  <c r="E944" i="3"/>
  <c r="J943" i="3"/>
  <c r="H943" i="3"/>
  <c r="F943" i="3"/>
  <c r="D944" i="3"/>
  <c r="I944" i="3" l="1"/>
  <c r="E945" i="3"/>
  <c r="J944" i="3"/>
  <c r="H944" i="3"/>
  <c r="F944" i="3"/>
  <c r="D945" i="3"/>
  <c r="I945" i="3" l="1"/>
  <c r="E946" i="3"/>
  <c r="J945" i="3"/>
  <c r="H945" i="3"/>
  <c r="F945" i="3"/>
  <c r="D946" i="3"/>
  <c r="I946" i="3" l="1"/>
  <c r="E947" i="3"/>
  <c r="J946" i="3"/>
  <c r="H946" i="3"/>
  <c r="F946" i="3"/>
  <c r="D947" i="3"/>
  <c r="I947" i="3" l="1"/>
  <c r="E948" i="3"/>
  <c r="J947" i="3"/>
  <c r="H947" i="3"/>
  <c r="F947" i="3"/>
  <c r="D948" i="3"/>
  <c r="I948" i="3" l="1"/>
  <c r="E949" i="3"/>
  <c r="J948" i="3"/>
  <c r="H948" i="3"/>
  <c r="F948" i="3"/>
  <c r="D949" i="3"/>
  <c r="I949" i="3" l="1"/>
  <c r="E950" i="3"/>
  <c r="J949" i="3"/>
  <c r="H949" i="3"/>
  <c r="F949" i="3"/>
  <c r="D950" i="3"/>
  <c r="I950" i="3" l="1"/>
  <c r="E951" i="3"/>
  <c r="J950" i="3"/>
  <c r="H950" i="3"/>
  <c r="F950" i="3"/>
  <c r="D951" i="3"/>
  <c r="I951" i="3" l="1"/>
  <c r="E952" i="3"/>
  <c r="J951" i="3"/>
  <c r="H951" i="3"/>
  <c r="F951" i="3"/>
  <c r="D952" i="3"/>
  <c r="I952" i="3" l="1"/>
  <c r="E953" i="3"/>
  <c r="J952" i="3"/>
  <c r="H952" i="3"/>
  <c r="F952" i="3"/>
  <c r="D953" i="3"/>
  <c r="I953" i="3" l="1"/>
  <c r="E954" i="3"/>
  <c r="J953" i="3"/>
  <c r="H953" i="3"/>
  <c r="F953" i="3"/>
  <c r="D954" i="3"/>
  <c r="I954" i="3" l="1"/>
  <c r="E955" i="3"/>
  <c r="J954" i="3"/>
  <c r="H954" i="3"/>
  <c r="F954" i="3"/>
  <c r="D955" i="3"/>
  <c r="I955" i="3" l="1"/>
  <c r="E956" i="3"/>
  <c r="J955" i="3"/>
  <c r="H955" i="3"/>
  <c r="F955" i="3"/>
  <c r="D956" i="3"/>
  <c r="I956" i="3" l="1"/>
  <c r="E957" i="3"/>
  <c r="J956" i="3"/>
  <c r="H956" i="3"/>
  <c r="F956" i="3"/>
  <c r="D957" i="3"/>
  <c r="I957" i="3" l="1"/>
  <c r="E958" i="3"/>
  <c r="J957" i="3"/>
  <c r="H957" i="3"/>
  <c r="F957" i="3"/>
  <c r="D958" i="3"/>
  <c r="I958" i="3" l="1"/>
  <c r="E959" i="3"/>
  <c r="J958" i="3"/>
  <c r="H958" i="3"/>
  <c r="F958" i="3"/>
  <c r="D959" i="3"/>
  <c r="I959" i="3" l="1"/>
  <c r="E960" i="3"/>
  <c r="J959" i="3"/>
  <c r="H959" i="3"/>
  <c r="F959" i="3"/>
  <c r="D960" i="3"/>
  <c r="I960" i="3" l="1"/>
  <c r="E961" i="3"/>
  <c r="J960" i="3"/>
  <c r="H960" i="3"/>
  <c r="F960" i="3"/>
  <c r="D961" i="3"/>
  <c r="I961" i="3" l="1"/>
  <c r="E962" i="3"/>
  <c r="J961" i="3"/>
  <c r="H961" i="3"/>
  <c r="F961" i="3"/>
  <c r="D962" i="3"/>
  <c r="I962" i="3" l="1"/>
  <c r="E963" i="3"/>
  <c r="J962" i="3"/>
  <c r="H962" i="3"/>
  <c r="F962" i="3"/>
  <c r="D963" i="3"/>
  <c r="I963" i="3" l="1"/>
  <c r="E964" i="3"/>
  <c r="J963" i="3"/>
  <c r="H963" i="3"/>
  <c r="F963" i="3"/>
  <c r="D964" i="3"/>
  <c r="I964" i="3" l="1"/>
  <c r="E965" i="3"/>
  <c r="J964" i="3"/>
  <c r="H964" i="3"/>
  <c r="F964" i="3"/>
  <c r="D965" i="3"/>
  <c r="I965" i="3" l="1"/>
  <c r="E966" i="3"/>
  <c r="J965" i="3"/>
  <c r="H965" i="3"/>
  <c r="F965" i="3"/>
  <c r="D966" i="3"/>
  <c r="I966" i="3" l="1"/>
  <c r="E967" i="3"/>
  <c r="J966" i="3"/>
  <c r="H966" i="3"/>
  <c r="F966" i="3"/>
  <c r="D967" i="3"/>
  <c r="I967" i="3" l="1"/>
  <c r="E968" i="3"/>
  <c r="J967" i="3"/>
  <c r="H967" i="3"/>
  <c r="F967" i="3"/>
  <c r="D968" i="3"/>
  <c r="I968" i="3" l="1"/>
  <c r="E969" i="3"/>
  <c r="J968" i="3"/>
  <c r="H968" i="3"/>
  <c r="F968" i="3"/>
  <c r="D969" i="3"/>
  <c r="I969" i="3" l="1"/>
  <c r="E970" i="3"/>
  <c r="J969" i="3"/>
  <c r="H969" i="3"/>
  <c r="F969" i="3"/>
  <c r="D970" i="3"/>
  <c r="I970" i="3" l="1"/>
  <c r="E971" i="3"/>
  <c r="J970" i="3"/>
  <c r="H970" i="3"/>
  <c r="F970" i="3"/>
  <c r="D971" i="3"/>
  <c r="I971" i="3" l="1"/>
  <c r="E972" i="3"/>
  <c r="J971" i="3"/>
  <c r="H971" i="3"/>
  <c r="F971" i="3"/>
  <c r="D972" i="3"/>
  <c r="I972" i="3" l="1"/>
  <c r="E973" i="3"/>
  <c r="J972" i="3"/>
  <c r="H972" i="3"/>
  <c r="F972" i="3"/>
  <c r="D973" i="3"/>
  <c r="I973" i="3" l="1"/>
  <c r="E974" i="3"/>
  <c r="J973" i="3"/>
  <c r="H973" i="3"/>
  <c r="F973" i="3"/>
  <c r="D974" i="3"/>
  <c r="I974" i="3" l="1"/>
  <c r="E975" i="3"/>
  <c r="J974" i="3"/>
  <c r="H974" i="3"/>
  <c r="F974" i="3"/>
  <c r="D975" i="3"/>
  <c r="I975" i="3" l="1"/>
  <c r="E976" i="3"/>
  <c r="J975" i="3"/>
  <c r="H975" i="3"/>
  <c r="F975" i="3"/>
  <c r="D976" i="3"/>
  <c r="I976" i="3" l="1"/>
  <c r="E977" i="3"/>
  <c r="J976" i="3"/>
  <c r="H976" i="3"/>
  <c r="F976" i="3"/>
  <c r="D977" i="3"/>
  <c r="I977" i="3" l="1"/>
  <c r="E978" i="3"/>
  <c r="J977" i="3"/>
  <c r="H977" i="3"/>
  <c r="F977" i="3"/>
  <c r="D978" i="3"/>
  <c r="I978" i="3" l="1"/>
  <c r="E979" i="3"/>
  <c r="J978" i="3"/>
  <c r="H978" i="3"/>
  <c r="F978" i="3"/>
  <c r="D979" i="3"/>
  <c r="I979" i="3" l="1"/>
  <c r="E980" i="3"/>
  <c r="J979" i="3"/>
  <c r="H979" i="3"/>
  <c r="F979" i="3"/>
  <c r="D980" i="3"/>
  <c r="I980" i="3" l="1"/>
  <c r="E981" i="3"/>
  <c r="J980" i="3"/>
  <c r="H980" i="3"/>
  <c r="F980" i="3"/>
  <c r="D981" i="3"/>
  <c r="I981" i="3" l="1"/>
  <c r="E982" i="3"/>
  <c r="J981" i="3"/>
  <c r="H981" i="3"/>
  <c r="F981" i="3"/>
  <c r="D982" i="3"/>
  <c r="I982" i="3" l="1"/>
  <c r="E983" i="3"/>
  <c r="J982" i="3"/>
  <c r="H982" i="3"/>
  <c r="F982" i="3"/>
  <c r="D983" i="3"/>
  <c r="I983" i="3" l="1"/>
  <c r="E984" i="3"/>
  <c r="J983" i="3"/>
  <c r="H983" i="3"/>
  <c r="F983" i="3"/>
  <c r="D984" i="3"/>
  <c r="I984" i="3" l="1"/>
  <c r="E985" i="3"/>
  <c r="J984" i="3"/>
  <c r="H984" i="3"/>
  <c r="F984" i="3"/>
  <c r="D985" i="3"/>
  <c r="I985" i="3" l="1"/>
  <c r="E986" i="3"/>
  <c r="J985" i="3"/>
  <c r="H985" i="3"/>
  <c r="F985" i="3"/>
  <c r="D986" i="3"/>
  <c r="I986" i="3" l="1"/>
  <c r="E987" i="3"/>
  <c r="J986" i="3"/>
  <c r="H986" i="3"/>
  <c r="F986" i="3"/>
  <c r="D987" i="3"/>
  <c r="I987" i="3" l="1"/>
  <c r="E988" i="3"/>
  <c r="J987" i="3"/>
  <c r="H987" i="3"/>
  <c r="F987" i="3"/>
  <c r="D988" i="3"/>
  <c r="I988" i="3" l="1"/>
  <c r="E989" i="3"/>
  <c r="J988" i="3"/>
  <c r="H988" i="3"/>
  <c r="F988" i="3"/>
  <c r="D989" i="3"/>
  <c r="I989" i="3" l="1"/>
  <c r="E990" i="3"/>
  <c r="J989" i="3"/>
  <c r="H989" i="3"/>
  <c r="F989" i="3"/>
  <c r="D990" i="3"/>
  <c r="I990" i="3" l="1"/>
  <c r="E991" i="3"/>
  <c r="J990" i="3"/>
  <c r="H990" i="3"/>
  <c r="F990" i="3"/>
  <c r="D991" i="3"/>
  <c r="I991" i="3" l="1"/>
  <c r="E992" i="3"/>
  <c r="J991" i="3"/>
  <c r="H991" i="3"/>
  <c r="F991" i="3"/>
  <c r="D992" i="3"/>
  <c r="I992" i="3" l="1"/>
  <c r="E993" i="3"/>
  <c r="J992" i="3"/>
  <c r="H992" i="3"/>
  <c r="F992" i="3"/>
  <c r="D993" i="3"/>
  <c r="I993" i="3" l="1"/>
  <c r="E994" i="3"/>
  <c r="J993" i="3"/>
  <c r="H993" i="3"/>
  <c r="F993" i="3"/>
  <c r="D994" i="3"/>
  <c r="I994" i="3" l="1"/>
  <c r="E995" i="3"/>
  <c r="J994" i="3"/>
  <c r="H994" i="3"/>
  <c r="F994" i="3"/>
  <c r="D995" i="3"/>
  <c r="I995" i="3" l="1"/>
  <c r="E996" i="3"/>
  <c r="J995" i="3"/>
  <c r="H995" i="3"/>
  <c r="F995" i="3"/>
  <c r="D996" i="3"/>
  <c r="I996" i="3" l="1"/>
  <c r="E997" i="3"/>
  <c r="J996" i="3"/>
  <c r="H996" i="3"/>
  <c r="F996" i="3"/>
  <c r="D997" i="3"/>
  <c r="I997" i="3" l="1"/>
  <c r="E998" i="3"/>
  <c r="J997" i="3"/>
  <c r="H997" i="3"/>
  <c r="F997" i="3"/>
  <c r="D998" i="3"/>
  <c r="I998" i="3" l="1"/>
  <c r="E999" i="3"/>
  <c r="J998" i="3"/>
  <c r="H998" i="3"/>
  <c r="F998" i="3"/>
  <c r="D999" i="3"/>
  <c r="I999" i="3" l="1"/>
  <c r="E1000" i="3"/>
  <c r="J999" i="3"/>
  <c r="H999" i="3"/>
  <c r="F999" i="3"/>
  <c r="D1000" i="3"/>
  <c r="I1000" i="3" l="1"/>
  <c r="E1001" i="3"/>
  <c r="J1000" i="3"/>
  <c r="H1000" i="3"/>
  <c r="F1000" i="3"/>
  <c r="D1001" i="3"/>
  <c r="I1001" i="3" l="1"/>
  <c r="E1002" i="3"/>
  <c r="J1001" i="3"/>
  <c r="H1001" i="3"/>
  <c r="F1001" i="3"/>
  <c r="D1002" i="3"/>
  <c r="I1002" i="3" l="1"/>
  <c r="E1003" i="3"/>
  <c r="J1002" i="3"/>
  <c r="H1002" i="3"/>
  <c r="F1002" i="3"/>
  <c r="D1003" i="3"/>
  <c r="I1003" i="3" l="1"/>
  <c r="E1004" i="3"/>
  <c r="J1003" i="3"/>
  <c r="H1003" i="3"/>
  <c r="F1003" i="3"/>
  <c r="D1004" i="3"/>
  <c r="I1004" i="3" l="1"/>
  <c r="E1005" i="3"/>
  <c r="J1004" i="3"/>
  <c r="H1004" i="3"/>
  <c r="F1004" i="3"/>
  <c r="D1005" i="3"/>
  <c r="I1005" i="3" l="1"/>
  <c r="E1006" i="3"/>
  <c r="J1005" i="3"/>
  <c r="H1005" i="3"/>
  <c r="F1005" i="3"/>
  <c r="D1006" i="3"/>
  <c r="I1006" i="3" l="1"/>
  <c r="E1007" i="3"/>
  <c r="J1006" i="3"/>
  <c r="H1006" i="3"/>
  <c r="F1006" i="3"/>
  <c r="D1007" i="3"/>
  <c r="I1007" i="3" l="1"/>
  <c r="E1008" i="3"/>
  <c r="J1007" i="3"/>
  <c r="H1007" i="3"/>
  <c r="F1007" i="3"/>
  <c r="D1008" i="3"/>
  <c r="I1008" i="3" l="1"/>
  <c r="E1009" i="3"/>
  <c r="J1008" i="3"/>
  <c r="H1008" i="3"/>
  <c r="F1008" i="3"/>
  <c r="D1009" i="3"/>
  <c r="I1009" i="3" l="1"/>
  <c r="E1010" i="3"/>
  <c r="J1009" i="3"/>
  <c r="H1009" i="3"/>
  <c r="F1009" i="3"/>
  <c r="D1010" i="3"/>
  <c r="I1010" i="3" l="1"/>
  <c r="E1011" i="3"/>
  <c r="J1010" i="3"/>
  <c r="H1010" i="3"/>
  <c r="F1010" i="3"/>
  <c r="D1011" i="3"/>
  <c r="I1011" i="3" l="1"/>
  <c r="E1012" i="3"/>
  <c r="J1011" i="3"/>
  <c r="H1011" i="3"/>
  <c r="F1011" i="3"/>
  <c r="D1012" i="3"/>
  <c r="I1012" i="3" l="1"/>
  <c r="E1013" i="3"/>
  <c r="J1012" i="3"/>
  <c r="H1012" i="3"/>
  <c r="F1012" i="3"/>
  <c r="D1013" i="3"/>
  <c r="I1013" i="3" l="1"/>
  <c r="E1014" i="3"/>
  <c r="J1013" i="3"/>
  <c r="H1013" i="3"/>
  <c r="F1013" i="3"/>
  <c r="D1014" i="3"/>
  <c r="I1014" i="3" l="1"/>
  <c r="E1015" i="3"/>
  <c r="J1014" i="3"/>
  <c r="H1014" i="3"/>
  <c r="F1014" i="3"/>
  <c r="D1015" i="3"/>
  <c r="I1015" i="3" l="1"/>
  <c r="E1016" i="3"/>
  <c r="J1015" i="3"/>
  <c r="H1015" i="3"/>
  <c r="F1015" i="3"/>
  <c r="D1016" i="3"/>
  <c r="I1016" i="3" l="1"/>
  <c r="E1017" i="3"/>
  <c r="J1016" i="3"/>
  <c r="H1016" i="3"/>
  <c r="F1016" i="3"/>
  <c r="D1017" i="3"/>
  <c r="I1017" i="3" l="1"/>
  <c r="E1018" i="3"/>
  <c r="J1017" i="3"/>
  <c r="H1017" i="3"/>
  <c r="F1017" i="3"/>
  <c r="D1018" i="3"/>
  <c r="I1018" i="3" l="1"/>
  <c r="E1019" i="3"/>
  <c r="J1018" i="3"/>
  <c r="H1018" i="3"/>
  <c r="F1018" i="3"/>
  <c r="D1019" i="3"/>
  <c r="I1019" i="3" l="1"/>
  <c r="E1020" i="3"/>
  <c r="J1019" i="3"/>
  <c r="H1019" i="3"/>
  <c r="F1019" i="3"/>
  <c r="D1020" i="3"/>
  <c r="I1020" i="3" l="1"/>
  <c r="E1021" i="3"/>
  <c r="J1020" i="3"/>
  <c r="H1020" i="3"/>
  <c r="F1020" i="3"/>
  <c r="D1021" i="3"/>
  <c r="I1021" i="3" l="1"/>
  <c r="E1022" i="3"/>
  <c r="J1021" i="3"/>
  <c r="H1021" i="3"/>
  <c r="F1021" i="3"/>
  <c r="D1022" i="3"/>
  <c r="I1022" i="3" l="1"/>
  <c r="E1023" i="3"/>
  <c r="J1022" i="3"/>
  <c r="H1022" i="3"/>
  <c r="F1022" i="3"/>
  <c r="D1023" i="3"/>
  <c r="I1023" i="3" l="1"/>
  <c r="E1024" i="3"/>
  <c r="J1023" i="3"/>
  <c r="H1023" i="3"/>
  <c r="F1023" i="3"/>
  <c r="D1024" i="3"/>
  <c r="I1024" i="3" l="1"/>
  <c r="E1025" i="3"/>
  <c r="J1024" i="3"/>
  <c r="H1024" i="3"/>
  <c r="F1024" i="3"/>
  <c r="D1025" i="3"/>
  <c r="I1025" i="3" l="1"/>
  <c r="E1026" i="3"/>
  <c r="J1025" i="3"/>
  <c r="H1025" i="3"/>
  <c r="F1025" i="3"/>
  <c r="D1026" i="3"/>
  <c r="I1026" i="3" l="1"/>
  <c r="E1027" i="3"/>
  <c r="J1026" i="3"/>
  <c r="H1026" i="3"/>
  <c r="F1026" i="3"/>
  <c r="D1027" i="3"/>
  <c r="I1027" i="3" l="1"/>
  <c r="E1028" i="3"/>
  <c r="J1027" i="3"/>
  <c r="H1027" i="3"/>
  <c r="F1027" i="3"/>
  <c r="D1028" i="3"/>
  <c r="I1028" i="3" l="1"/>
  <c r="E1029" i="3"/>
  <c r="J1028" i="3"/>
  <c r="H1028" i="3"/>
  <c r="F1028" i="3"/>
  <c r="D1029" i="3"/>
  <c r="I1029" i="3" l="1"/>
  <c r="E1030" i="3"/>
  <c r="J1029" i="3"/>
  <c r="H1029" i="3"/>
  <c r="F1029" i="3"/>
  <c r="D1030" i="3"/>
  <c r="I1030" i="3" l="1"/>
  <c r="E1031" i="3"/>
  <c r="J1030" i="3"/>
  <c r="H1030" i="3"/>
  <c r="F1030" i="3"/>
  <c r="D1031" i="3"/>
  <c r="I1031" i="3" l="1"/>
  <c r="E1032" i="3"/>
  <c r="J1031" i="3"/>
  <c r="H1031" i="3"/>
  <c r="F1031" i="3"/>
  <c r="D1032" i="3"/>
  <c r="I1032" i="3" l="1"/>
  <c r="E1033" i="3"/>
  <c r="J1032" i="3"/>
  <c r="H1032" i="3"/>
  <c r="F1032" i="3"/>
  <c r="D1033" i="3"/>
  <c r="I1033" i="3" l="1"/>
  <c r="E1034" i="3"/>
  <c r="J1033" i="3"/>
  <c r="H1033" i="3"/>
  <c r="F1033" i="3"/>
  <c r="D1034" i="3"/>
  <c r="I1034" i="3" l="1"/>
  <c r="E1035" i="3"/>
  <c r="J1034" i="3"/>
  <c r="H1034" i="3"/>
  <c r="F1034" i="3"/>
  <c r="D1035" i="3"/>
  <c r="I1035" i="3" l="1"/>
  <c r="E1036" i="3"/>
  <c r="J1035" i="3"/>
  <c r="H1035" i="3"/>
  <c r="F1035" i="3"/>
  <c r="D1036" i="3"/>
  <c r="I1036" i="3" l="1"/>
  <c r="E1037" i="3"/>
  <c r="J1036" i="3"/>
  <c r="H1036" i="3"/>
  <c r="F1036" i="3"/>
  <c r="D1037" i="3"/>
  <c r="I1037" i="3" l="1"/>
  <c r="E1038" i="3"/>
  <c r="J1037" i="3"/>
  <c r="H1037" i="3"/>
  <c r="F1037" i="3"/>
  <c r="D1038" i="3"/>
  <c r="I1038" i="3" l="1"/>
  <c r="E1039" i="3"/>
  <c r="J1038" i="3"/>
  <c r="H1038" i="3"/>
  <c r="F1038" i="3"/>
  <c r="D1039" i="3"/>
  <c r="I1039" i="3" l="1"/>
  <c r="E1040" i="3"/>
  <c r="J1039" i="3"/>
  <c r="H1039" i="3"/>
  <c r="F1039" i="3"/>
  <c r="D1040" i="3"/>
  <c r="I1040" i="3" l="1"/>
  <c r="E1041" i="3"/>
  <c r="J1040" i="3"/>
  <c r="H1040" i="3"/>
  <c r="F1040" i="3"/>
  <c r="D1041" i="3"/>
  <c r="I1041" i="3" l="1"/>
  <c r="E1042" i="3"/>
  <c r="J1041" i="3"/>
  <c r="H1041" i="3"/>
  <c r="F1041" i="3"/>
  <c r="D1042" i="3"/>
  <c r="I1042" i="3" l="1"/>
  <c r="E1043" i="3"/>
  <c r="J1042" i="3"/>
  <c r="H1042" i="3"/>
  <c r="F1042" i="3"/>
  <c r="D1043" i="3"/>
  <c r="I1043" i="3" l="1"/>
  <c r="E1044" i="3"/>
  <c r="J1043" i="3"/>
  <c r="H1043" i="3"/>
  <c r="F1043" i="3"/>
  <c r="D1044" i="3"/>
  <c r="I1044" i="3" l="1"/>
  <c r="E1045" i="3"/>
  <c r="J1044" i="3"/>
  <c r="H1044" i="3"/>
  <c r="F1044" i="3"/>
  <c r="D1045" i="3"/>
  <c r="I1045" i="3" l="1"/>
  <c r="E1046" i="3"/>
  <c r="J1045" i="3"/>
  <c r="H1045" i="3"/>
  <c r="F1045" i="3"/>
  <c r="D1046" i="3"/>
  <c r="I1046" i="3" l="1"/>
  <c r="E1047" i="3"/>
  <c r="J1046" i="3"/>
  <c r="H1046" i="3"/>
  <c r="F1046" i="3"/>
  <c r="D1047" i="3"/>
  <c r="I1047" i="3" l="1"/>
  <c r="E1048" i="3"/>
  <c r="J1047" i="3"/>
  <c r="H1047" i="3"/>
  <c r="F1047" i="3"/>
  <c r="D1048" i="3"/>
  <c r="I1048" i="3" l="1"/>
  <c r="E1049" i="3"/>
  <c r="J1048" i="3"/>
  <c r="H1048" i="3"/>
  <c r="F1048" i="3"/>
  <c r="D1049" i="3"/>
  <c r="I1049" i="3" l="1"/>
  <c r="E1050" i="3"/>
  <c r="J1049" i="3"/>
  <c r="H1049" i="3"/>
  <c r="F1049" i="3"/>
  <c r="D1050" i="3"/>
  <c r="I1050" i="3" l="1"/>
  <c r="E1051" i="3"/>
  <c r="J1050" i="3"/>
  <c r="H1050" i="3"/>
  <c r="F1050" i="3"/>
  <c r="D1051" i="3"/>
  <c r="I1051" i="3" l="1"/>
  <c r="E1052" i="3"/>
  <c r="J1051" i="3"/>
  <c r="H1051" i="3"/>
  <c r="F1051" i="3"/>
  <c r="D1052" i="3"/>
  <c r="I1052" i="3" l="1"/>
  <c r="E1053" i="3"/>
  <c r="J1052" i="3"/>
  <c r="H1052" i="3"/>
  <c r="F1052" i="3"/>
  <c r="D1053" i="3"/>
  <c r="I1053" i="3" l="1"/>
  <c r="E1054" i="3"/>
  <c r="J1053" i="3"/>
  <c r="H1053" i="3"/>
  <c r="F1053" i="3"/>
  <c r="D1054" i="3"/>
  <c r="I1054" i="3" l="1"/>
  <c r="E1055" i="3"/>
  <c r="J1054" i="3"/>
  <c r="H1054" i="3"/>
  <c r="F1054" i="3"/>
  <c r="D1055" i="3"/>
  <c r="I1055" i="3" l="1"/>
  <c r="E1056" i="3"/>
  <c r="J1055" i="3"/>
  <c r="H1055" i="3"/>
  <c r="F1055" i="3"/>
  <c r="D1056" i="3"/>
  <c r="I1056" i="3" l="1"/>
  <c r="E1057" i="3"/>
  <c r="J1056" i="3"/>
  <c r="H1056" i="3"/>
  <c r="F1056" i="3"/>
  <c r="D1057" i="3"/>
  <c r="I1057" i="3" l="1"/>
  <c r="E1058" i="3"/>
  <c r="J1057" i="3"/>
  <c r="H1057" i="3"/>
  <c r="F1057" i="3"/>
  <c r="D1058" i="3"/>
  <c r="I1058" i="3" l="1"/>
  <c r="E1059" i="3"/>
  <c r="J1058" i="3"/>
  <c r="H1058" i="3"/>
  <c r="F1058" i="3"/>
  <c r="D1059" i="3"/>
  <c r="I1059" i="3" l="1"/>
  <c r="E1060" i="3"/>
  <c r="J1059" i="3"/>
  <c r="H1059" i="3"/>
  <c r="F1059" i="3"/>
  <c r="D1060" i="3"/>
  <c r="I1060" i="3" l="1"/>
  <c r="E1061" i="3"/>
  <c r="J1060" i="3"/>
  <c r="H1060" i="3"/>
  <c r="F1060" i="3"/>
  <c r="D1061" i="3"/>
  <c r="I1061" i="3" l="1"/>
  <c r="E1062" i="3"/>
  <c r="J1061" i="3"/>
  <c r="H1061" i="3"/>
  <c r="F1061" i="3"/>
  <c r="D1062" i="3"/>
  <c r="I1062" i="3" l="1"/>
  <c r="E1063" i="3"/>
  <c r="J1062" i="3"/>
  <c r="H1062" i="3"/>
  <c r="F1062" i="3"/>
  <c r="D1063" i="3"/>
  <c r="I1063" i="3" l="1"/>
  <c r="E1064" i="3"/>
  <c r="J1063" i="3"/>
  <c r="H1063" i="3"/>
  <c r="F1063" i="3"/>
  <c r="D1064" i="3"/>
  <c r="I1064" i="3" l="1"/>
  <c r="E1065" i="3"/>
  <c r="J1064" i="3"/>
  <c r="H1064" i="3"/>
  <c r="F1064" i="3"/>
  <c r="D1065" i="3"/>
  <c r="I1065" i="3" l="1"/>
  <c r="E1066" i="3"/>
  <c r="J1065" i="3"/>
  <c r="H1065" i="3"/>
  <c r="F1065" i="3"/>
  <c r="D1066" i="3"/>
  <c r="I1066" i="3" l="1"/>
  <c r="E1067" i="3"/>
  <c r="J1066" i="3"/>
  <c r="H1066" i="3"/>
  <c r="F1066" i="3"/>
  <c r="D1067" i="3"/>
  <c r="I1067" i="3" l="1"/>
  <c r="E1068" i="3"/>
  <c r="J1067" i="3"/>
  <c r="H1067" i="3"/>
  <c r="F1067" i="3"/>
  <c r="D1068" i="3"/>
  <c r="I1068" i="3" l="1"/>
  <c r="E1069" i="3"/>
  <c r="J1068" i="3"/>
  <c r="H1068" i="3"/>
  <c r="F1068" i="3"/>
  <c r="D1069" i="3"/>
  <c r="I1069" i="3" l="1"/>
  <c r="E1070" i="3"/>
  <c r="J1069" i="3"/>
  <c r="H1069" i="3"/>
  <c r="F1069" i="3"/>
  <c r="D1070" i="3"/>
  <c r="I1070" i="3" l="1"/>
  <c r="E1071" i="3"/>
  <c r="J1070" i="3"/>
  <c r="H1070" i="3"/>
  <c r="F1070" i="3"/>
  <c r="D1071" i="3"/>
  <c r="I1071" i="3" l="1"/>
  <c r="E1072" i="3"/>
  <c r="J1071" i="3"/>
  <c r="H1071" i="3"/>
  <c r="F1071" i="3"/>
  <c r="D1072" i="3"/>
  <c r="I1072" i="3" l="1"/>
  <c r="E1073" i="3"/>
  <c r="J1072" i="3"/>
  <c r="H1072" i="3"/>
  <c r="F1072" i="3"/>
  <c r="D1073" i="3"/>
  <c r="I1073" i="3" l="1"/>
  <c r="E1074" i="3"/>
  <c r="J1073" i="3"/>
  <c r="H1073" i="3"/>
  <c r="F1073" i="3"/>
  <c r="D1074" i="3"/>
  <c r="I1074" i="3" l="1"/>
  <c r="E1075" i="3"/>
  <c r="J1074" i="3"/>
  <c r="H1074" i="3"/>
  <c r="F1074" i="3"/>
  <c r="D1075" i="3"/>
  <c r="I1075" i="3" l="1"/>
  <c r="E1076" i="3"/>
  <c r="J1075" i="3"/>
  <c r="H1075" i="3"/>
  <c r="F1075" i="3"/>
  <c r="D1076" i="3"/>
  <c r="I1076" i="3" l="1"/>
  <c r="E1077" i="3"/>
  <c r="J1076" i="3"/>
  <c r="H1076" i="3"/>
  <c r="F1076" i="3"/>
  <c r="D1077" i="3"/>
  <c r="I1077" i="3" l="1"/>
  <c r="E1078" i="3"/>
  <c r="J1077" i="3"/>
  <c r="H1077" i="3"/>
  <c r="F1077" i="3"/>
  <c r="D1078" i="3"/>
  <c r="I1078" i="3" l="1"/>
  <c r="E1079" i="3"/>
  <c r="J1078" i="3"/>
  <c r="H1078" i="3"/>
  <c r="F1078" i="3"/>
  <c r="D1079" i="3"/>
  <c r="I1079" i="3" l="1"/>
  <c r="E1080" i="3"/>
  <c r="J1079" i="3"/>
  <c r="H1079" i="3"/>
  <c r="F1079" i="3"/>
  <c r="D1080" i="3"/>
  <c r="I1080" i="3" l="1"/>
  <c r="E1081" i="3"/>
  <c r="J1080" i="3"/>
  <c r="H1080" i="3"/>
  <c r="F1080" i="3"/>
  <c r="D1081" i="3"/>
  <c r="I1081" i="3" l="1"/>
  <c r="E1082" i="3"/>
  <c r="J1081" i="3"/>
  <c r="H1081" i="3"/>
  <c r="F1081" i="3"/>
  <c r="D1082" i="3"/>
  <c r="I1082" i="3" l="1"/>
  <c r="E1083" i="3"/>
  <c r="J1082" i="3"/>
  <c r="H1082" i="3"/>
  <c r="F1082" i="3"/>
  <c r="D1083" i="3"/>
  <c r="I1083" i="3" l="1"/>
  <c r="E1084" i="3"/>
  <c r="J1083" i="3"/>
  <c r="H1083" i="3"/>
  <c r="F1083" i="3"/>
  <c r="D1084" i="3"/>
  <c r="I1084" i="3" l="1"/>
  <c r="E1085" i="3"/>
  <c r="J1084" i="3"/>
  <c r="H1084" i="3"/>
  <c r="F1084" i="3"/>
  <c r="D1085" i="3"/>
  <c r="I1085" i="3" l="1"/>
  <c r="E1086" i="3"/>
  <c r="J1085" i="3"/>
  <c r="H1085" i="3"/>
  <c r="F1085" i="3"/>
  <c r="D1086" i="3"/>
  <c r="I1086" i="3" l="1"/>
  <c r="E1087" i="3"/>
  <c r="J1086" i="3"/>
  <c r="H1086" i="3"/>
  <c r="F1086" i="3"/>
  <c r="D1087" i="3"/>
  <c r="I1087" i="3" l="1"/>
  <c r="E1088" i="3"/>
  <c r="J1087" i="3"/>
  <c r="H1087" i="3"/>
  <c r="F1087" i="3"/>
  <c r="D1088" i="3"/>
  <c r="I1088" i="3" l="1"/>
  <c r="E1089" i="3"/>
  <c r="J1088" i="3"/>
  <c r="H1088" i="3"/>
  <c r="F1088" i="3"/>
  <c r="D1089" i="3"/>
  <c r="I1089" i="3" l="1"/>
  <c r="E1090" i="3"/>
  <c r="J1089" i="3"/>
  <c r="H1089" i="3"/>
  <c r="F1089" i="3"/>
  <c r="D1090" i="3"/>
  <c r="I1090" i="3" l="1"/>
  <c r="E1091" i="3"/>
  <c r="J1090" i="3"/>
  <c r="H1090" i="3"/>
  <c r="F1090" i="3"/>
  <c r="D1091" i="3"/>
  <c r="I1091" i="3" l="1"/>
  <c r="E1092" i="3"/>
  <c r="J1091" i="3"/>
  <c r="H1091" i="3"/>
  <c r="F1091" i="3"/>
  <c r="D1092" i="3"/>
  <c r="I1092" i="3" l="1"/>
  <c r="E1093" i="3"/>
  <c r="J1092" i="3"/>
  <c r="H1092" i="3"/>
  <c r="F1092" i="3"/>
  <c r="D1093" i="3"/>
  <c r="I1093" i="3" l="1"/>
  <c r="E1094" i="3"/>
  <c r="J1093" i="3"/>
  <c r="H1093" i="3"/>
  <c r="F1093" i="3"/>
  <c r="D1094" i="3"/>
  <c r="I1094" i="3" l="1"/>
  <c r="E1095" i="3"/>
  <c r="J1094" i="3"/>
  <c r="H1094" i="3"/>
  <c r="F1094" i="3"/>
  <c r="D1095" i="3"/>
  <c r="I1095" i="3" l="1"/>
  <c r="E1096" i="3"/>
  <c r="J1095" i="3"/>
  <c r="H1095" i="3"/>
  <c r="F1095" i="3"/>
  <c r="D1096" i="3"/>
  <c r="I1096" i="3" l="1"/>
  <c r="E1097" i="3"/>
  <c r="J1096" i="3"/>
  <c r="H1096" i="3"/>
  <c r="F1096" i="3"/>
  <c r="D1097" i="3"/>
  <c r="I1097" i="3" l="1"/>
  <c r="E1098" i="3"/>
  <c r="J1097" i="3"/>
  <c r="H1097" i="3"/>
  <c r="F1097" i="3"/>
  <c r="D1098" i="3"/>
  <c r="I1098" i="3" l="1"/>
  <c r="E1099" i="3"/>
  <c r="J1098" i="3"/>
  <c r="H1098" i="3"/>
  <c r="F1098" i="3"/>
  <c r="D1099" i="3"/>
  <c r="I1099" i="3" l="1"/>
  <c r="E1100" i="3"/>
  <c r="J1099" i="3"/>
  <c r="H1099" i="3"/>
  <c r="F1099" i="3"/>
  <c r="D1100" i="3"/>
  <c r="I1100" i="3" l="1"/>
  <c r="E1101" i="3"/>
  <c r="J1100" i="3"/>
  <c r="H1100" i="3"/>
  <c r="F1100" i="3"/>
  <c r="D1101" i="3"/>
  <c r="I1101" i="3" l="1"/>
  <c r="E1102" i="3"/>
  <c r="J1101" i="3"/>
  <c r="H1101" i="3"/>
  <c r="F1101" i="3"/>
  <c r="D1102" i="3"/>
  <c r="I1102" i="3" l="1"/>
  <c r="E1103" i="3"/>
  <c r="J1102" i="3"/>
  <c r="H1102" i="3"/>
  <c r="F1102" i="3"/>
  <c r="D1103" i="3"/>
  <c r="I1103" i="3" l="1"/>
  <c r="E1104" i="3"/>
  <c r="J1103" i="3"/>
  <c r="H1103" i="3"/>
  <c r="F1103" i="3"/>
  <c r="D1104" i="3"/>
  <c r="I1104" i="3" l="1"/>
  <c r="E1105" i="3"/>
  <c r="J1104" i="3"/>
  <c r="H1104" i="3"/>
  <c r="F1104" i="3"/>
  <c r="D1105" i="3"/>
  <c r="I1105" i="3" l="1"/>
  <c r="E1106" i="3"/>
  <c r="J1105" i="3"/>
  <c r="H1105" i="3"/>
  <c r="F1105" i="3"/>
  <c r="D1106" i="3"/>
  <c r="I1106" i="3" l="1"/>
  <c r="E1107" i="3"/>
  <c r="J1106" i="3"/>
  <c r="H1106" i="3"/>
  <c r="F1106" i="3"/>
  <c r="D1107" i="3"/>
  <c r="I1107" i="3" l="1"/>
  <c r="E1108" i="3"/>
  <c r="J1107" i="3"/>
  <c r="H1107" i="3"/>
  <c r="F1107" i="3"/>
  <c r="D1108" i="3"/>
  <c r="I1108" i="3" l="1"/>
  <c r="E1109" i="3"/>
  <c r="J1108" i="3"/>
  <c r="H1108" i="3"/>
  <c r="F1108" i="3"/>
  <c r="D1109" i="3"/>
  <c r="I1109" i="3" l="1"/>
  <c r="E1110" i="3"/>
  <c r="J1109" i="3"/>
  <c r="H1109" i="3"/>
  <c r="F1109" i="3"/>
  <c r="D1110" i="3"/>
  <c r="I1110" i="3" l="1"/>
  <c r="E1111" i="3"/>
  <c r="J1110" i="3"/>
  <c r="H1110" i="3"/>
  <c r="F1110" i="3"/>
  <c r="D1111" i="3"/>
  <c r="I1111" i="3" l="1"/>
  <c r="E1112" i="3"/>
  <c r="J1111" i="3"/>
  <c r="H1111" i="3"/>
  <c r="F1111" i="3"/>
  <c r="D1112" i="3"/>
  <c r="I1112" i="3" l="1"/>
  <c r="E1113" i="3"/>
  <c r="J1112" i="3"/>
  <c r="H1112" i="3"/>
  <c r="F1112" i="3"/>
  <c r="D1113" i="3"/>
  <c r="I1113" i="3" l="1"/>
  <c r="E1114" i="3"/>
  <c r="J1113" i="3"/>
  <c r="H1113" i="3"/>
  <c r="F1113" i="3"/>
  <c r="D1114" i="3"/>
  <c r="I1114" i="3" l="1"/>
  <c r="E1115" i="3"/>
  <c r="J1114" i="3"/>
  <c r="H1114" i="3"/>
  <c r="F1114" i="3"/>
  <c r="D1115" i="3"/>
  <c r="I1115" i="3" l="1"/>
  <c r="E1116" i="3"/>
  <c r="J1115" i="3"/>
  <c r="H1115" i="3"/>
  <c r="F1115" i="3"/>
  <c r="D1116" i="3"/>
  <c r="I1116" i="3" l="1"/>
  <c r="E1117" i="3"/>
  <c r="J1116" i="3"/>
  <c r="H1116" i="3"/>
  <c r="F1116" i="3"/>
  <c r="D1117" i="3"/>
  <c r="I1117" i="3" l="1"/>
  <c r="E1118" i="3"/>
  <c r="J1117" i="3"/>
  <c r="H1117" i="3"/>
  <c r="F1117" i="3"/>
  <c r="D1118" i="3"/>
  <c r="I1118" i="3" l="1"/>
  <c r="E1119" i="3"/>
  <c r="J1118" i="3"/>
  <c r="H1118" i="3"/>
  <c r="F1118" i="3"/>
  <c r="D1119" i="3"/>
  <c r="I1119" i="3" l="1"/>
  <c r="E1120" i="3"/>
  <c r="J1119" i="3"/>
  <c r="H1119" i="3"/>
  <c r="F1119" i="3"/>
  <c r="D1120" i="3"/>
  <c r="I1120" i="3" l="1"/>
  <c r="E1121" i="3"/>
  <c r="J1120" i="3"/>
  <c r="H1120" i="3"/>
  <c r="F1120" i="3"/>
  <c r="D1121" i="3"/>
  <c r="I1121" i="3" l="1"/>
  <c r="E1122" i="3"/>
  <c r="J1121" i="3"/>
  <c r="H1121" i="3"/>
  <c r="F1121" i="3"/>
  <c r="D1122" i="3"/>
  <c r="I1122" i="3" l="1"/>
  <c r="E1123" i="3"/>
  <c r="J1122" i="3"/>
  <c r="H1122" i="3"/>
  <c r="F1122" i="3"/>
  <c r="D1123" i="3"/>
  <c r="I1123" i="3" l="1"/>
  <c r="E1124" i="3"/>
  <c r="J1123" i="3"/>
  <c r="H1123" i="3"/>
  <c r="F1123" i="3"/>
  <c r="D1124" i="3"/>
  <c r="I1124" i="3" l="1"/>
  <c r="E1125" i="3"/>
  <c r="J1124" i="3"/>
  <c r="H1124" i="3"/>
  <c r="F1124" i="3"/>
  <c r="D1125" i="3"/>
  <c r="I1125" i="3" l="1"/>
  <c r="E1126" i="3"/>
  <c r="J1125" i="3"/>
  <c r="H1125" i="3"/>
  <c r="F1125" i="3"/>
  <c r="D1126" i="3"/>
  <c r="I1126" i="3" l="1"/>
  <c r="E1127" i="3"/>
  <c r="J1126" i="3"/>
  <c r="H1126" i="3"/>
  <c r="F1126" i="3"/>
  <c r="D1127" i="3"/>
  <c r="I1127" i="3" l="1"/>
  <c r="E1128" i="3"/>
  <c r="J1127" i="3"/>
  <c r="H1127" i="3"/>
  <c r="F1127" i="3"/>
  <c r="D1128" i="3"/>
  <c r="I1128" i="3" l="1"/>
  <c r="E1129" i="3"/>
  <c r="J1128" i="3"/>
  <c r="H1128" i="3"/>
  <c r="F1128" i="3"/>
  <c r="D1129" i="3"/>
  <c r="I1129" i="3" l="1"/>
  <c r="E1130" i="3"/>
  <c r="J1129" i="3"/>
  <c r="H1129" i="3"/>
  <c r="F1129" i="3"/>
  <c r="D1130" i="3"/>
  <c r="I1130" i="3" l="1"/>
  <c r="E1131" i="3"/>
  <c r="J1130" i="3"/>
  <c r="H1130" i="3"/>
  <c r="F1130" i="3"/>
  <c r="D1131" i="3"/>
  <c r="I1131" i="3" l="1"/>
  <c r="E1132" i="3"/>
  <c r="J1131" i="3"/>
  <c r="H1131" i="3"/>
  <c r="F1131" i="3"/>
  <c r="D1132" i="3"/>
  <c r="I1132" i="3" l="1"/>
  <c r="E1133" i="3"/>
  <c r="J1132" i="3"/>
  <c r="H1132" i="3"/>
  <c r="F1132" i="3"/>
  <c r="D1133" i="3"/>
  <c r="I1133" i="3" l="1"/>
  <c r="E1134" i="3"/>
  <c r="J1133" i="3"/>
  <c r="H1133" i="3"/>
  <c r="F1133" i="3"/>
  <c r="D1134" i="3"/>
  <c r="I1134" i="3" l="1"/>
  <c r="E1135" i="3"/>
  <c r="J1134" i="3"/>
  <c r="H1134" i="3"/>
  <c r="F1134" i="3"/>
  <c r="D1135" i="3"/>
  <c r="I1135" i="3" l="1"/>
  <c r="E1136" i="3"/>
  <c r="J1135" i="3"/>
  <c r="H1135" i="3"/>
  <c r="F1135" i="3"/>
  <c r="D1136" i="3"/>
  <c r="I1136" i="3" l="1"/>
  <c r="E1137" i="3"/>
  <c r="J1136" i="3"/>
  <c r="H1136" i="3"/>
  <c r="F1136" i="3"/>
  <c r="D1137" i="3"/>
  <c r="I1137" i="3" l="1"/>
  <c r="E1138" i="3"/>
  <c r="J1137" i="3"/>
  <c r="H1137" i="3"/>
  <c r="F1137" i="3"/>
  <c r="D1138" i="3"/>
  <c r="I1138" i="3" l="1"/>
  <c r="E1139" i="3"/>
  <c r="J1138" i="3"/>
  <c r="H1138" i="3"/>
  <c r="F1138" i="3"/>
  <c r="D1139" i="3"/>
  <c r="I1139" i="3" l="1"/>
  <c r="E1140" i="3"/>
  <c r="J1139" i="3"/>
  <c r="H1139" i="3"/>
  <c r="F1139" i="3"/>
  <c r="D1140" i="3"/>
  <c r="I1140" i="3" l="1"/>
  <c r="E1141" i="3"/>
  <c r="J1140" i="3"/>
  <c r="H1140" i="3"/>
  <c r="F1140" i="3"/>
  <c r="D1141" i="3"/>
  <c r="I1141" i="3" l="1"/>
  <c r="E1142" i="3"/>
  <c r="J1141" i="3"/>
  <c r="H1141" i="3"/>
  <c r="F1141" i="3"/>
  <c r="D1142" i="3"/>
  <c r="I1142" i="3" l="1"/>
  <c r="E1143" i="3"/>
  <c r="J1142" i="3"/>
  <c r="H1142" i="3"/>
  <c r="F1142" i="3"/>
  <c r="D1143" i="3"/>
  <c r="I1143" i="3" l="1"/>
  <c r="E1144" i="3"/>
  <c r="J1143" i="3"/>
  <c r="H1143" i="3"/>
  <c r="F1143" i="3"/>
  <c r="D1144" i="3"/>
  <c r="I1144" i="3" l="1"/>
  <c r="E1145" i="3"/>
  <c r="J1144" i="3"/>
  <c r="H1144" i="3"/>
  <c r="F1144" i="3"/>
  <c r="D1145" i="3"/>
  <c r="I1145" i="3" l="1"/>
  <c r="E1146" i="3"/>
  <c r="J1145" i="3"/>
  <c r="H1145" i="3"/>
  <c r="F1145" i="3"/>
  <c r="D1146" i="3"/>
  <c r="I1146" i="3" l="1"/>
  <c r="E1147" i="3"/>
  <c r="J1146" i="3"/>
  <c r="H1146" i="3"/>
  <c r="F1146" i="3"/>
  <c r="D1147" i="3"/>
  <c r="I1147" i="3" l="1"/>
  <c r="E1148" i="3"/>
  <c r="J1147" i="3"/>
  <c r="H1147" i="3"/>
  <c r="F1147" i="3"/>
  <c r="D1148" i="3"/>
  <c r="I1148" i="3" l="1"/>
  <c r="E1149" i="3"/>
  <c r="J1148" i="3"/>
  <c r="H1148" i="3"/>
  <c r="F1148" i="3"/>
  <c r="D1149" i="3"/>
  <c r="I1149" i="3" l="1"/>
  <c r="E1150" i="3"/>
  <c r="J1149" i="3"/>
  <c r="H1149" i="3"/>
  <c r="F1149" i="3"/>
  <c r="D1150" i="3"/>
  <c r="I1150" i="3" l="1"/>
  <c r="E1151" i="3"/>
  <c r="J1150" i="3"/>
  <c r="H1150" i="3"/>
  <c r="F1150" i="3"/>
  <c r="D1151" i="3"/>
  <c r="I1151" i="3" l="1"/>
  <c r="E1152" i="3"/>
  <c r="J1151" i="3"/>
  <c r="H1151" i="3"/>
  <c r="F1151" i="3"/>
  <c r="D1152" i="3"/>
  <c r="I1152" i="3" l="1"/>
  <c r="E1153" i="3"/>
  <c r="J1152" i="3"/>
  <c r="H1152" i="3"/>
  <c r="F1152" i="3"/>
  <c r="D1153" i="3"/>
  <c r="I1153" i="3" l="1"/>
  <c r="E1154" i="3"/>
  <c r="J1153" i="3"/>
  <c r="H1153" i="3"/>
  <c r="F1153" i="3"/>
  <c r="D1154" i="3"/>
  <c r="I1154" i="3" l="1"/>
  <c r="E1155" i="3"/>
  <c r="J1154" i="3"/>
  <c r="H1154" i="3"/>
  <c r="F1154" i="3"/>
  <c r="D1155" i="3"/>
  <c r="I1155" i="3" l="1"/>
  <c r="E1156" i="3"/>
  <c r="J1155" i="3"/>
  <c r="H1155" i="3"/>
  <c r="F1155" i="3"/>
  <c r="D1156" i="3"/>
  <c r="I1156" i="3" l="1"/>
  <c r="E1157" i="3"/>
  <c r="J1156" i="3"/>
  <c r="H1156" i="3"/>
  <c r="F1156" i="3"/>
  <c r="D1157" i="3"/>
  <c r="I1157" i="3" l="1"/>
  <c r="E1158" i="3"/>
  <c r="J1157" i="3"/>
  <c r="H1157" i="3"/>
  <c r="F1157" i="3"/>
  <c r="D1158" i="3"/>
  <c r="I1158" i="3" l="1"/>
  <c r="E1159" i="3"/>
  <c r="J1158" i="3"/>
  <c r="H1158" i="3"/>
  <c r="F1158" i="3"/>
  <c r="D1159" i="3"/>
  <c r="I1159" i="3" l="1"/>
  <c r="E1160" i="3"/>
  <c r="J1159" i="3"/>
  <c r="H1159" i="3"/>
  <c r="F1159" i="3"/>
  <c r="D1160" i="3"/>
  <c r="I1160" i="3" l="1"/>
  <c r="E1161" i="3"/>
  <c r="J1160" i="3"/>
  <c r="H1160" i="3"/>
  <c r="F1160" i="3"/>
  <c r="D1161" i="3"/>
  <c r="I1161" i="3" l="1"/>
  <c r="E1162" i="3"/>
  <c r="J1161" i="3"/>
  <c r="H1161" i="3"/>
  <c r="F1161" i="3"/>
  <c r="D1162" i="3"/>
  <c r="I1162" i="3" l="1"/>
  <c r="E1163" i="3"/>
  <c r="J1162" i="3"/>
  <c r="H1162" i="3"/>
  <c r="F1162" i="3"/>
  <c r="D1163" i="3"/>
  <c r="I1163" i="3" l="1"/>
  <c r="E1164" i="3"/>
  <c r="J1163" i="3"/>
  <c r="H1163" i="3"/>
  <c r="F1163" i="3"/>
  <c r="D1164" i="3"/>
  <c r="I1164" i="3" l="1"/>
  <c r="E1165" i="3"/>
  <c r="J1164" i="3"/>
  <c r="H1164" i="3"/>
  <c r="F1164" i="3"/>
  <c r="D1165" i="3"/>
  <c r="I1165" i="3" l="1"/>
  <c r="E1166" i="3"/>
  <c r="J1165" i="3"/>
  <c r="H1165" i="3"/>
  <c r="F1165" i="3"/>
  <c r="D1166" i="3"/>
  <c r="I1166" i="3" l="1"/>
  <c r="E1167" i="3"/>
  <c r="J1166" i="3"/>
  <c r="H1166" i="3"/>
  <c r="F1166" i="3"/>
  <c r="D1167" i="3"/>
  <c r="I1167" i="3" l="1"/>
  <c r="E1168" i="3"/>
  <c r="J1167" i="3"/>
  <c r="H1167" i="3"/>
  <c r="F1167" i="3"/>
  <c r="D1168" i="3"/>
  <c r="I1168" i="3" l="1"/>
  <c r="E1169" i="3"/>
  <c r="J1168" i="3"/>
  <c r="H1168" i="3"/>
  <c r="F1168" i="3"/>
  <c r="D1169" i="3"/>
  <c r="I1169" i="3" l="1"/>
  <c r="E1170" i="3"/>
  <c r="J1169" i="3"/>
  <c r="H1169" i="3"/>
  <c r="F1169" i="3"/>
  <c r="D1170" i="3"/>
  <c r="I1170" i="3" l="1"/>
  <c r="E1171" i="3"/>
  <c r="J1170" i="3"/>
  <c r="H1170" i="3"/>
  <c r="F1170" i="3"/>
  <c r="D1171" i="3"/>
  <c r="I1171" i="3" l="1"/>
  <c r="E1172" i="3"/>
  <c r="J1171" i="3"/>
  <c r="H1171" i="3"/>
  <c r="F1171" i="3"/>
  <c r="D1172" i="3"/>
  <c r="I1172" i="3" l="1"/>
  <c r="E1173" i="3"/>
  <c r="J1172" i="3"/>
  <c r="H1172" i="3"/>
  <c r="F1172" i="3"/>
  <c r="D1173" i="3"/>
  <c r="I1173" i="3" l="1"/>
  <c r="E1174" i="3"/>
  <c r="J1173" i="3"/>
  <c r="H1173" i="3"/>
  <c r="F1173" i="3"/>
  <c r="D1174" i="3"/>
  <c r="I1174" i="3" l="1"/>
  <c r="E1175" i="3"/>
  <c r="J1174" i="3"/>
  <c r="H1174" i="3"/>
  <c r="F1174" i="3"/>
  <c r="D1175" i="3"/>
  <c r="I1175" i="3" l="1"/>
  <c r="E1176" i="3"/>
  <c r="J1175" i="3"/>
  <c r="H1175" i="3"/>
  <c r="F1175" i="3"/>
  <c r="D1176" i="3"/>
  <c r="I1176" i="3" l="1"/>
  <c r="E1177" i="3"/>
  <c r="J1176" i="3"/>
  <c r="H1176" i="3"/>
  <c r="F1176" i="3"/>
  <c r="D1177" i="3"/>
  <c r="I1177" i="3" l="1"/>
  <c r="E1178" i="3"/>
  <c r="J1177" i="3"/>
  <c r="H1177" i="3"/>
  <c r="F1177" i="3"/>
  <c r="D1178" i="3"/>
  <c r="I1178" i="3" l="1"/>
  <c r="E1179" i="3"/>
  <c r="J1178" i="3"/>
  <c r="H1178" i="3"/>
  <c r="F1178" i="3"/>
  <c r="D1179" i="3"/>
  <c r="I1179" i="3" l="1"/>
  <c r="E1180" i="3"/>
  <c r="J1179" i="3"/>
  <c r="H1179" i="3"/>
  <c r="F1179" i="3"/>
  <c r="D1180" i="3"/>
  <c r="I1180" i="3" l="1"/>
  <c r="E1181" i="3"/>
  <c r="J1180" i="3"/>
  <c r="H1180" i="3"/>
  <c r="F1180" i="3"/>
  <c r="D1181" i="3"/>
  <c r="I1181" i="3" l="1"/>
  <c r="E1182" i="3"/>
  <c r="J1181" i="3"/>
  <c r="H1181" i="3"/>
  <c r="F1181" i="3"/>
  <c r="D1182" i="3"/>
  <c r="I1182" i="3" l="1"/>
  <c r="E1183" i="3"/>
  <c r="J1182" i="3"/>
  <c r="H1182" i="3"/>
  <c r="F1182" i="3"/>
  <c r="D1183" i="3"/>
  <c r="I1183" i="3" l="1"/>
  <c r="E1184" i="3"/>
  <c r="J1183" i="3"/>
  <c r="H1183" i="3"/>
  <c r="F1183" i="3"/>
  <c r="D1184" i="3"/>
  <c r="I1184" i="3" l="1"/>
  <c r="E1185" i="3"/>
  <c r="J1184" i="3"/>
  <c r="H1184" i="3"/>
  <c r="F1184" i="3"/>
  <c r="D1185" i="3"/>
  <c r="I1185" i="3" l="1"/>
  <c r="E1186" i="3"/>
  <c r="J1185" i="3"/>
  <c r="H1185" i="3"/>
  <c r="F1185" i="3"/>
  <c r="D1186" i="3"/>
  <c r="I1186" i="3" l="1"/>
  <c r="E1187" i="3"/>
  <c r="J1186" i="3"/>
  <c r="H1186" i="3"/>
  <c r="F1186" i="3"/>
  <c r="D1187" i="3"/>
  <c r="I1187" i="3" l="1"/>
  <c r="E1188" i="3"/>
  <c r="J1187" i="3"/>
  <c r="H1187" i="3"/>
  <c r="F1187" i="3"/>
  <c r="D1188" i="3"/>
  <c r="I1188" i="3" l="1"/>
  <c r="E1189" i="3"/>
  <c r="J1188" i="3"/>
  <c r="H1188" i="3"/>
  <c r="F1188" i="3"/>
  <c r="D1189" i="3"/>
  <c r="I1189" i="3" l="1"/>
  <c r="E1190" i="3"/>
  <c r="J1189" i="3"/>
  <c r="H1189" i="3"/>
  <c r="F1189" i="3"/>
  <c r="D1190" i="3"/>
  <c r="I1190" i="3" l="1"/>
  <c r="E1191" i="3"/>
  <c r="J1190" i="3"/>
  <c r="H1190" i="3"/>
  <c r="F1190" i="3"/>
  <c r="D1191" i="3"/>
  <c r="I1191" i="3" l="1"/>
  <c r="E1192" i="3"/>
  <c r="J1191" i="3"/>
  <c r="H1191" i="3"/>
  <c r="F1191" i="3"/>
  <c r="D1192" i="3"/>
  <c r="I1192" i="3" l="1"/>
  <c r="E1193" i="3"/>
  <c r="J1192" i="3"/>
  <c r="H1192" i="3"/>
  <c r="F1192" i="3"/>
  <c r="D1193" i="3"/>
  <c r="I1193" i="3" l="1"/>
  <c r="E1194" i="3"/>
  <c r="J1193" i="3"/>
  <c r="H1193" i="3"/>
  <c r="F1193" i="3"/>
  <c r="D1194" i="3"/>
  <c r="I1194" i="3" l="1"/>
  <c r="E1195" i="3"/>
  <c r="J1194" i="3"/>
  <c r="H1194" i="3"/>
  <c r="F1194" i="3"/>
  <c r="D1195" i="3"/>
  <c r="I1195" i="3" l="1"/>
  <c r="E1196" i="3"/>
  <c r="J1195" i="3"/>
  <c r="H1195" i="3"/>
  <c r="F1195" i="3"/>
  <c r="D1196" i="3"/>
  <c r="I1196" i="3" l="1"/>
  <c r="E1197" i="3"/>
  <c r="J1196" i="3"/>
  <c r="H1196" i="3"/>
  <c r="F1196" i="3"/>
  <c r="D1197" i="3"/>
  <c r="I1197" i="3" l="1"/>
  <c r="E1198" i="3"/>
  <c r="J1197" i="3"/>
  <c r="H1197" i="3"/>
  <c r="F1197" i="3"/>
  <c r="D1198" i="3"/>
  <c r="I1198" i="3" l="1"/>
  <c r="E1199" i="3"/>
  <c r="J1198" i="3"/>
  <c r="H1198" i="3"/>
  <c r="F1198" i="3"/>
  <c r="D1199" i="3"/>
  <c r="I1199" i="3" l="1"/>
  <c r="E1200" i="3"/>
  <c r="J1199" i="3"/>
  <c r="H1199" i="3"/>
  <c r="F1199" i="3"/>
  <c r="D1200" i="3"/>
  <c r="I1200" i="3" l="1"/>
  <c r="E1201" i="3"/>
  <c r="J1200" i="3"/>
  <c r="H1200" i="3"/>
  <c r="F1200" i="3"/>
  <c r="D1201" i="3"/>
  <c r="I1201" i="3" l="1"/>
  <c r="E1202" i="3"/>
  <c r="J1201" i="3"/>
  <c r="H1201" i="3"/>
  <c r="F1201" i="3"/>
  <c r="D1202" i="3"/>
  <c r="I1202" i="3" l="1"/>
  <c r="E1203" i="3"/>
  <c r="J1202" i="3"/>
  <c r="H1202" i="3"/>
  <c r="F1202" i="3"/>
  <c r="D1203" i="3"/>
  <c r="I1203" i="3" l="1"/>
  <c r="E1204" i="3"/>
  <c r="J1203" i="3"/>
  <c r="H1203" i="3"/>
  <c r="F1203" i="3"/>
  <c r="D1204" i="3"/>
  <c r="I1204" i="3" l="1"/>
  <c r="E1205" i="3"/>
  <c r="J1204" i="3"/>
  <c r="H1204" i="3"/>
  <c r="F1204" i="3"/>
  <c r="D1205" i="3"/>
  <c r="I1205" i="3" l="1"/>
  <c r="E1206" i="3"/>
  <c r="J1205" i="3"/>
  <c r="H1205" i="3"/>
  <c r="F1205" i="3"/>
  <c r="D1206" i="3"/>
  <c r="I1206" i="3" l="1"/>
  <c r="E1207" i="3"/>
  <c r="J1206" i="3"/>
  <c r="H1206" i="3"/>
  <c r="F1206" i="3"/>
  <c r="D1207" i="3"/>
  <c r="I1207" i="3" l="1"/>
  <c r="E1208" i="3"/>
  <c r="J1207" i="3"/>
  <c r="H1207" i="3"/>
  <c r="F1207" i="3"/>
  <c r="D1208" i="3"/>
  <c r="I1208" i="3" l="1"/>
  <c r="E1209" i="3"/>
  <c r="J1208" i="3"/>
  <c r="H1208" i="3"/>
  <c r="F1208" i="3"/>
  <c r="D1209" i="3"/>
  <c r="I1209" i="3" l="1"/>
  <c r="E1210" i="3"/>
  <c r="H1209" i="3"/>
  <c r="J1209" i="3"/>
  <c r="F1209" i="3"/>
  <c r="D1210" i="3"/>
  <c r="I1210" i="3" l="1"/>
  <c r="E1211" i="3"/>
  <c r="J1210" i="3"/>
  <c r="H1210" i="3"/>
  <c r="F1210" i="3"/>
  <c r="D1211" i="3"/>
  <c r="I1211" i="3" l="1"/>
  <c r="E1212" i="3"/>
  <c r="J1211" i="3"/>
  <c r="H1211" i="3"/>
  <c r="F1211" i="3"/>
  <c r="D1212" i="3"/>
  <c r="I1212" i="3" l="1"/>
  <c r="E1213" i="3"/>
  <c r="J1212" i="3"/>
  <c r="H1212" i="3"/>
  <c r="F1212" i="3"/>
  <c r="D1213" i="3"/>
  <c r="I1213" i="3" l="1"/>
  <c r="E1214" i="3"/>
  <c r="J1213" i="3"/>
  <c r="H1213" i="3"/>
  <c r="F1213" i="3"/>
  <c r="D1214" i="3"/>
  <c r="I1214" i="3" l="1"/>
  <c r="E1215" i="3"/>
  <c r="J1214" i="3"/>
  <c r="H1214" i="3"/>
  <c r="F1214" i="3"/>
  <c r="D1215" i="3"/>
  <c r="I1215" i="3" l="1"/>
  <c r="E1216" i="3"/>
  <c r="J1215" i="3"/>
  <c r="H1215" i="3"/>
  <c r="F1215" i="3"/>
  <c r="D1216" i="3"/>
  <c r="I1216" i="3" l="1"/>
  <c r="E1217" i="3"/>
  <c r="J1216" i="3"/>
  <c r="H1216" i="3"/>
  <c r="F1216" i="3"/>
  <c r="D1217" i="3"/>
  <c r="I1217" i="3" l="1"/>
  <c r="E1218" i="3"/>
  <c r="J1217" i="3"/>
  <c r="H1217" i="3"/>
  <c r="F1217" i="3"/>
  <c r="D1218" i="3"/>
  <c r="I1218" i="3" l="1"/>
  <c r="E1219" i="3"/>
  <c r="J1218" i="3"/>
  <c r="H1218" i="3"/>
  <c r="F1218" i="3"/>
  <c r="D1219" i="3"/>
  <c r="I1219" i="3" l="1"/>
  <c r="E1220" i="3"/>
  <c r="J1219" i="3"/>
  <c r="H1219" i="3"/>
  <c r="F1219" i="3"/>
  <c r="D1220" i="3"/>
  <c r="I1220" i="3" l="1"/>
  <c r="E1221" i="3"/>
  <c r="J1220" i="3"/>
  <c r="H1220" i="3"/>
  <c r="F1220" i="3"/>
  <c r="D1221" i="3"/>
  <c r="I1221" i="3" l="1"/>
  <c r="E1222" i="3"/>
  <c r="J1221" i="3"/>
  <c r="H1221" i="3"/>
  <c r="F1221" i="3"/>
  <c r="D1222" i="3"/>
  <c r="I1222" i="3" l="1"/>
  <c r="E1223" i="3"/>
  <c r="J1222" i="3"/>
  <c r="H1222" i="3"/>
  <c r="F1222" i="3"/>
  <c r="D1223" i="3"/>
  <c r="I1223" i="3" l="1"/>
  <c r="E1224" i="3"/>
  <c r="J1223" i="3"/>
  <c r="H1223" i="3"/>
  <c r="F1223" i="3"/>
  <c r="D1224" i="3"/>
  <c r="I1224" i="3" l="1"/>
  <c r="E1225" i="3"/>
  <c r="J1224" i="3"/>
  <c r="H1224" i="3"/>
  <c r="F1224" i="3"/>
  <c r="D1225" i="3"/>
  <c r="I1225" i="3" l="1"/>
  <c r="E1226" i="3"/>
  <c r="J1225" i="3"/>
  <c r="H1225" i="3"/>
  <c r="F1225" i="3"/>
  <c r="D1226" i="3"/>
  <c r="I1226" i="3" l="1"/>
  <c r="E1227" i="3"/>
  <c r="J1226" i="3"/>
  <c r="H1226" i="3"/>
  <c r="F1226" i="3"/>
  <c r="D1227" i="3"/>
  <c r="I1227" i="3" l="1"/>
  <c r="E1228" i="3"/>
  <c r="J1227" i="3"/>
  <c r="H1227" i="3"/>
  <c r="F1227" i="3"/>
  <c r="D1228" i="3"/>
  <c r="I1228" i="3" l="1"/>
  <c r="E1229" i="3"/>
  <c r="J1228" i="3"/>
  <c r="H1228" i="3"/>
  <c r="F1228" i="3"/>
  <c r="D1229" i="3"/>
  <c r="I1229" i="3" l="1"/>
  <c r="E1230" i="3"/>
  <c r="J1229" i="3"/>
  <c r="H1229" i="3"/>
  <c r="F1229" i="3"/>
  <c r="D1230" i="3"/>
  <c r="I1230" i="3" l="1"/>
  <c r="E1231" i="3"/>
  <c r="J1230" i="3"/>
  <c r="H1230" i="3"/>
  <c r="F1230" i="3"/>
  <c r="D1231" i="3"/>
  <c r="I1231" i="3" l="1"/>
  <c r="E1232" i="3"/>
  <c r="J1231" i="3"/>
  <c r="H1231" i="3"/>
  <c r="F1231" i="3"/>
  <c r="D1232" i="3"/>
  <c r="I1232" i="3" l="1"/>
  <c r="E1233" i="3"/>
  <c r="J1232" i="3"/>
  <c r="H1232" i="3"/>
  <c r="F1232" i="3"/>
  <c r="D1233" i="3"/>
  <c r="I1233" i="3" l="1"/>
  <c r="E1234" i="3"/>
  <c r="J1233" i="3"/>
  <c r="H1233" i="3"/>
  <c r="F1233" i="3"/>
  <c r="D1234" i="3"/>
  <c r="I1234" i="3" l="1"/>
  <c r="E1235" i="3"/>
  <c r="J1234" i="3"/>
  <c r="H1234" i="3"/>
  <c r="F1234" i="3"/>
  <c r="D1235" i="3"/>
  <c r="I1235" i="3" l="1"/>
  <c r="E1236" i="3"/>
  <c r="J1235" i="3"/>
  <c r="H1235" i="3"/>
  <c r="F1235" i="3"/>
  <c r="D1236" i="3"/>
  <c r="I1236" i="3" l="1"/>
  <c r="E1237" i="3"/>
  <c r="J1236" i="3"/>
  <c r="H1236" i="3"/>
  <c r="F1236" i="3"/>
  <c r="D1237" i="3"/>
  <c r="I1237" i="3" l="1"/>
  <c r="E1238" i="3"/>
  <c r="J1237" i="3"/>
  <c r="H1237" i="3"/>
  <c r="F1237" i="3"/>
  <c r="D1238" i="3"/>
  <c r="I1238" i="3" l="1"/>
  <c r="E1239" i="3"/>
  <c r="J1238" i="3"/>
  <c r="H1238" i="3"/>
  <c r="F1238" i="3"/>
  <c r="D1239" i="3"/>
  <c r="I1239" i="3" l="1"/>
  <c r="E1240" i="3"/>
  <c r="J1239" i="3"/>
  <c r="H1239" i="3"/>
  <c r="F1239" i="3"/>
  <c r="D1240" i="3"/>
  <c r="I1240" i="3" l="1"/>
  <c r="E1241" i="3"/>
  <c r="J1240" i="3"/>
  <c r="H1240" i="3"/>
  <c r="F1240" i="3"/>
  <c r="D1241" i="3"/>
  <c r="I1241" i="3" l="1"/>
  <c r="E1242" i="3"/>
  <c r="J1241" i="3"/>
  <c r="H1241" i="3"/>
  <c r="F1241" i="3"/>
  <c r="D1242" i="3"/>
  <c r="I1242" i="3" l="1"/>
  <c r="E1243" i="3"/>
  <c r="J1242" i="3"/>
  <c r="H1242" i="3"/>
  <c r="F1242" i="3"/>
  <c r="D1243" i="3"/>
  <c r="I1243" i="3" l="1"/>
  <c r="E1244" i="3"/>
  <c r="J1243" i="3"/>
  <c r="H1243" i="3"/>
  <c r="F1243" i="3"/>
  <c r="D1244" i="3"/>
  <c r="I1244" i="3" l="1"/>
  <c r="E1245" i="3"/>
  <c r="J1244" i="3"/>
  <c r="H1244" i="3"/>
  <c r="F1244" i="3"/>
  <c r="D1245" i="3"/>
  <c r="I1245" i="3" l="1"/>
  <c r="E1246" i="3"/>
  <c r="J1245" i="3"/>
  <c r="H1245" i="3"/>
  <c r="F1245" i="3"/>
  <c r="D1246" i="3"/>
  <c r="I1246" i="3" l="1"/>
  <c r="E1247" i="3"/>
  <c r="J1246" i="3"/>
  <c r="H1246" i="3"/>
  <c r="F1246" i="3"/>
  <c r="D1247" i="3"/>
  <c r="I1247" i="3" l="1"/>
  <c r="E1248" i="3"/>
  <c r="J1247" i="3"/>
  <c r="H1247" i="3"/>
  <c r="F1247" i="3"/>
  <c r="D1248" i="3"/>
  <c r="I1248" i="3" l="1"/>
  <c r="E1249" i="3"/>
  <c r="J1248" i="3"/>
  <c r="H1248" i="3"/>
  <c r="F1248" i="3"/>
  <c r="D1249" i="3"/>
  <c r="I1249" i="3" l="1"/>
  <c r="E1250" i="3"/>
  <c r="J1249" i="3"/>
  <c r="H1249" i="3"/>
  <c r="F1249" i="3"/>
  <c r="D1250" i="3"/>
  <c r="I1250" i="3" l="1"/>
  <c r="E1251" i="3"/>
  <c r="J1250" i="3"/>
  <c r="H1250" i="3"/>
  <c r="F1250" i="3"/>
  <c r="D1251" i="3"/>
  <c r="I1251" i="3" l="1"/>
  <c r="E1252" i="3"/>
  <c r="J1251" i="3"/>
  <c r="H1251" i="3"/>
  <c r="F1251" i="3"/>
  <c r="D1252" i="3"/>
  <c r="I1252" i="3" l="1"/>
  <c r="E1253" i="3"/>
  <c r="J1252" i="3"/>
  <c r="H1252" i="3"/>
  <c r="F1252" i="3"/>
  <c r="D1253" i="3"/>
  <c r="I1253" i="3" l="1"/>
  <c r="E1254" i="3"/>
  <c r="J1253" i="3"/>
  <c r="H1253" i="3"/>
  <c r="F1253" i="3"/>
  <c r="D1254" i="3"/>
  <c r="I1254" i="3" l="1"/>
  <c r="E1255" i="3"/>
  <c r="J1254" i="3"/>
  <c r="H1254" i="3"/>
  <c r="F1254" i="3"/>
  <c r="D1255" i="3"/>
  <c r="I1255" i="3" l="1"/>
  <c r="E1256" i="3"/>
  <c r="J1255" i="3"/>
  <c r="H1255" i="3"/>
  <c r="F1255" i="3"/>
  <c r="D1256" i="3"/>
  <c r="I1256" i="3" l="1"/>
  <c r="E1257" i="3"/>
  <c r="J1256" i="3"/>
  <c r="H1256" i="3"/>
  <c r="F1256" i="3"/>
  <c r="D1257" i="3"/>
  <c r="I1257" i="3" l="1"/>
  <c r="E1258" i="3"/>
  <c r="J1257" i="3"/>
  <c r="H1257" i="3"/>
  <c r="F1257" i="3"/>
  <c r="D1258" i="3"/>
  <c r="I1258" i="3" l="1"/>
  <c r="E1259" i="3"/>
  <c r="J1258" i="3"/>
  <c r="H1258" i="3"/>
  <c r="F1258" i="3"/>
  <c r="D1259" i="3"/>
  <c r="I1259" i="3" l="1"/>
  <c r="E1260" i="3"/>
  <c r="J1259" i="3"/>
  <c r="H1259" i="3"/>
  <c r="F1259" i="3"/>
  <c r="D1260" i="3"/>
  <c r="I1260" i="3" l="1"/>
  <c r="E1261" i="3"/>
  <c r="J1260" i="3"/>
  <c r="H1260" i="3"/>
  <c r="F1260" i="3"/>
  <c r="D1261" i="3"/>
  <c r="I1261" i="3" l="1"/>
  <c r="E1262" i="3"/>
  <c r="J1261" i="3"/>
  <c r="H1261" i="3"/>
  <c r="F1261" i="3"/>
  <c r="D1262" i="3"/>
  <c r="I1262" i="3" l="1"/>
  <c r="E1263" i="3"/>
  <c r="J1262" i="3"/>
  <c r="H1262" i="3"/>
  <c r="F1262" i="3"/>
  <c r="D1263" i="3"/>
  <c r="I1263" i="3" l="1"/>
  <c r="E1264" i="3"/>
  <c r="J1263" i="3"/>
  <c r="H1263" i="3"/>
  <c r="F1263" i="3"/>
  <c r="D1264" i="3"/>
  <c r="I1264" i="3" l="1"/>
  <c r="E1265" i="3"/>
  <c r="J1264" i="3"/>
  <c r="H1264" i="3"/>
  <c r="F1264" i="3"/>
  <c r="D1265" i="3"/>
  <c r="I1265" i="3" l="1"/>
  <c r="E1266" i="3"/>
  <c r="J1265" i="3"/>
  <c r="H1265" i="3"/>
  <c r="F1265" i="3"/>
  <c r="D1266" i="3"/>
  <c r="I1266" i="3" l="1"/>
  <c r="E1267" i="3"/>
  <c r="J1266" i="3"/>
  <c r="H1266" i="3"/>
  <c r="F1266" i="3"/>
  <c r="D1267" i="3"/>
  <c r="I1267" i="3" l="1"/>
  <c r="E1268" i="3"/>
  <c r="J1267" i="3"/>
  <c r="H1267" i="3"/>
  <c r="F1267" i="3"/>
  <c r="D1268" i="3"/>
  <c r="I1268" i="3" l="1"/>
  <c r="E1269" i="3"/>
  <c r="J1268" i="3"/>
  <c r="H1268" i="3"/>
  <c r="F1268" i="3"/>
  <c r="D1269" i="3"/>
  <c r="I1269" i="3" l="1"/>
  <c r="E1270" i="3"/>
  <c r="J1269" i="3"/>
  <c r="H1269" i="3"/>
  <c r="F1269" i="3"/>
  <c r="D1270" i="3"/>
  <c r="I1270" i="3" l="1"/>
  <c r="E1271" i="3"/>
  <c r="J1270" i="3"/>
  <c r="H1270" i="3"/>
  <c r="F1270" i="3"/>
  <c r="D1271" i="3"/>
  <c r="I1271" i="3" l="1"/>
  <c r="E1272" i="3"/>
  <c r="J1271" i="3"/>
  <c r="H1271" i="3"/>
  <c r="F1271" i="3"/>
  <c r="D1272" i="3"/>
  <c r="I1272" i="3" l="1"/>
  <c r="E1273" i="3"/>
  <c r="J1272" i="3"/>
  <c r="H1272" i="3"/>
  <c r="F1272" i="3"/>
  <c r="D1273" i="3"/>
  <c r="I1273" i="3" l="1"/>
  <c r="E1274" i="3"/>
  <c r="J1273" i="3"/>
  <c r="H1273" i="3"/>
  <c r="F1273" i="3"/>
  <c r="D1274" i="3"/>
  <c r="I1274" i="3" l="1"/>
  <c r="E1275" i="3"/>
  <c r="J1274" i="3"/>
  <c r="H1274" i="3"/>
  <c r="F1274" i="3"/>
  <c r="D1275" i="3"/>
  <c r="I1275" i="3" l="1"/>
  <c r="E1276" i="3"/>
  <c r="J1275" i="3"/>
  <c r="H1275" i="3"/>
  <c r="F1275" i="3"/>
  <c r="D1276" i="3"/>
  <c r="I1276" i="3" l="1"/>
  <c r="E1277" i="3"/>
  <c r="J1276" i="3"/>
  <c r="H1276" i="3"/>
  <c r="F1276" i="3"/>
  <c r="D1277" i="3"/>
  <c r="I1277" i="3" l="1"/>
  <c r="E1278" i="3"/>
  <c r="J1277" i="3"/>
  <c r="H1277" i="3"/>
  <c r="F1277" i="3"/>
  <c r="D1278" i="3"/>
  <c r="I1278" i="3" l="1"/>
  <c r="E1279" i="3"/>
  <c r="J1278" i="3"/>
  <c r="H1278" i="3"/>
  <c r="F1278" i="3"/>
  <c r="D1279" i="3"/>
  <c r="I1279" i="3" l="1"/>
  <c r="E1280" i="3"/>
  <c r="J1279" i="3"/>
  <c r="H1279" i="3"/>
  <c r="F1279" i="3"/>
  <c r="D1280" i="3"/>
  <c r="I1280" i="3" l="1"/>
  <c r="E1281" i="3"/>
  <c r="J1280" i="3"/>
  <c r="H1280" i="3"/>
  <c r="F1280" i="3"/>
  <c r="D1281" i="3"/>
  <c r="I1281" i="3" l="1"/>
  <c r="E1282" i="3"/>
  <c r="J1281" i="3"/>
  <c r="H1281" i="3"/>
  <c r="F1281" i="3"/>
  <c r="D1282" i="3"/>
  <c r="I1282" i="3" l="1"/>
  <c r="E1283" i="3"/>
  <c r="J1282" i="3"/>
  <c r="H1282" i="3"/>
  <c r="F1282" i="3"/>
  <c r="D1283" i="3"/>
  <c r="I1283" i="3" l="1"/>
  <c r="E1284" i="3"/>
  <c r="J1283" i="3"/>
  <c r="H1283" i="3"/>
  <c r="F1283" i="3"/>
  <c r="D1284" i="3"/>
  <c r="I1284" i="3" l="1"/>
  <c r="E1285" i="3"/>
  <c r="J1284" i="3"/>
  <c r="H1284" i="3"/>
  <c r="F1284" i="3"/>
  <c r="D1285" i="3"/>
  <c r="I1285" i="3" l="1"/>
  <c r="E1286" i="3"/>
  <c r="J1285" i="3"/>
  <c r="H1285" i="3"/>
  <c r="F1285" i="3"/>
  <c r="D1286" i="3"/>
  <c r="I1286" i="3" l="1"/>
  <c r="E1287" i="3"/>
  <c r="J1286" i="3"/>
  <c r="H1286" i="3"/>
  <c r="F1286" i="3"/>
  <c r="D1287" i="3"/>
  <c r="I1287" i="3" l="1"/>
  <c r="E1288" i="3"/>
  <c r="J1287" i="3"/>
  <c r="H1287" i="3"/>
  <c r="F1287" i="3"/>
  <c r="D1288" i="3"/>
  <c r="I1288" i="3" l="1"/>
  <c r="E1289" i="3"/>
  <c r="J1288" i="3"/>
  <c r="H1288" i="3"/>
  <c r="F1288" i="3"/>
  <c r="D1289" i="3"/>
  <c r="I1289" i="3" l="1"/>
  <c r="E1290" i="3"/>
  <c r="J1289" i="3"/>
  <c r="H1289" i="3"/>
  <c r="F1289" i="3"/>
  <c r="D1290" i="3"/>
  <c r="I1290" i="3" l="1"/>
  <c r="E1291" i="3"/>
  <c r="J1290" i="3"/>
  <c r="H1290" i="3"/>
  <c r="F1290" i="3"/>
  <c r="D1291" i="3"/>
  <c r="I1291" i="3" l="1"/>
  <c r="E1292" i="3"/>
  <c r="J1291" i="3"/>
  <c r="H1291" i="3"/>
  <c r="F1291" i="3"/>
  <c r="D1292" i="3"/>
  <c r="I1292" i="3" l="1"/>
  <c r="E1293" i="3"/>
  <c r="J1292" i="3"/>
  <c r="H1292" i="3"/>
  <c r="F1292" i="3"/>
  <c r="D1293" i="3"/>
  <c r="I1293" i="3" l="1"/>
  <c r="E1294" i="3"/>
  <c r="J1293" i="3"/>
  <c r="H1293" i="3"/>
  <c r="F1293" i="3"/>
  <c r="D1294" i="3"/>
  <c r="I1294" i="3" l="1"/>
  <c r="E1295" i="3"/>
  <c r="J1294" i="3"/>
  <c r="H1294" i="3"/>
  <c r="F1294" i="3"/>
  <c r="D1295" i="3"/>
  <c r="I1295" i="3" l="1"/>
  <c r="E1296" i="3"/>
  <c r="J1295" i="3"/>
  <c r="H1295" i="3"/>
  <c r="F1295" i="3"/>
  <c r="D1296" i="3"/>
  <c r="I1296" i="3" l="1"/>
  <c r="E1297" i="3"/>
  <c r="J1296" i="3"/>
  <c r="H1296" i="3"/>
  <c r="F1296" i="3"/>
  <c r="D1297" i="3"/>
  <c r="I1297" i="3" l="1"/>
  <c r="E1298" i="3"/>
  <c r="J1297" i="3"/>
  <c r="H1297" i="3"/>
  <c r="F1297" i="3"/>
  <c r="D1298" i="3"/>
  <c r="I1298" i="3" l="1"/>
  <c r="E1299" i="3"/>
  <c r="J1298" i="3"/>
  <c r="H1298" i="3"/>
  <c r="F1298" i="3"/>
  <c r="D1299" i="3"/>
  <c r="I1299" i="3" l="1"/>
  <c r="E1300" i="3"/>
  <c r="J1299" i="3"/>
  <c r="H1299" i="3"/>
  <c r="F1299" i="3"/>
  <c r="D1300" i="3"/>
  <c r="I1300" i="3" l="1"/>
  <c r="E1301" i="3"/>
  <c r="J1300" i="3"/>
  <c r="H1300" i="3"/>
  <c r="F1300" i="3"/>
  <c r="D1301" i="3"/>
  <c r="I1301" i="3" l="1"/>
  <c r="E1302" i="3"/>
  <c r="J1301" i="3"/>
  <c r="H1301" i="3"/>
  <c r="F1301" i="3"/>
  <c r="D1302" i="3"/>
  <c r="I1302" i="3" l="1"/>
  <c r="E1303" i="3"/>
  <c r="J1302" i="3"/>
  <c r="H1302" i="3"/>
  <c r="F1302" i="3"/>
  <c r="D1303" i="3"/>
  <c r="I1303" i="3" l="1"/>
  <c r="E1304" i="3"/>
  <c r="J1303" i="3"/>
  <c r="H1303" i="3"/>
  <c r="F1303" i="3"/>
  <c r="D1304" i="3"/>
  <c r="I1304" i="3" l="1"/>
  <c r="E1305" i="3"/>
  <c r="J1304" i="3"/>
  <c r="H1304" i="3"/>
  <c r="F1304" i="3"/>
  <c r="D1305" i="3"/>
  <c r="I1305" i="3" l="1"/>
  <c r="E1306" i="3"/>
  <c r="J1305" i="3"/>
  <c r="H1305" i="3"/>
  <c r="F1305" i="3"/>
  <c r="D1306" i="3"/>
  <c r="I1306" i="3" l="1"/>
  <c r="E1307" i="3"/>
  <c r="J1306" i="3"/>
  <c r="H1306" i="3"/>
  <c r="F1306" i="3"/>
  <c r="D1307" i="3"/>
  <c r="I1307" i="3" l="1"/>
  <c r="E1308" i="3"/>
  <c r="J1307" i="3"/>
  <c r="H1307" i="3"/>
  <c r="F1307" i="3"/>
  <c r="D1308" i="3"/>
  <c r="I1308" i="3" l="1"/>
  <c r="E1309" i="3"/>
  <c r="J1308" i="3"/>
  <c r="H1308" i="3"/>
  <c r="F1308" i="3"/>
  <c r="D1309" i="3"/>
  <c r="I1309" i="3" l="1"/>
  <c r="E1310" i="3"/>
  <c r="J1309" i="3"/>
  <c r="H1309" i="3"/>
  <c r="F1309" i="3"/>
  <c r="D1310" i="3"/>
  <c r="I1310" i="3" l="1"/>
  <c r="E1311" i="3"/>
  <c r="J1310" i="3"/>
  <c r="H1310" i="3"/>
  <c r="F1310" i="3"/>
  <c r="D1311" i="3"/>
  <c r="I1311" i="3" l="1"/>
  <c r="E1312" i="3"/>
  <c r="J1311" i="3"/>
  <c r="H1311" i="3"/>
  <c r="F1311" i="3"/>
  <c r="D1312" i="3"/>
  <c r="I1312" i="3" l="1"/>
  <c r="E1313" i="3"/>
  <c r="J1312" i="3"/>
  <c r="H1312" i="3"/>
  <c r="F1312" i="3"/>
  <c r="D1313" i="3"/>
  <c r="I1313" i="3" l="1"/>
  <c r="E1314" i="3"/>
  <c r="J1313" i="3"/>
  <c r="H1313" i="3"/>
  <c r="F1313" i="3"/>
  <c r="D1314" i="3"/>
  <c r="I1314" i="3" l="1"/>
  <c r="E1315" i="3"/>
  <c r="J1314" i="3"/>
  <c r="H1314" i="3"/>
  <c r="F1314" i="3"/>
  <c r="D1315" i="3"/>
  <c r="I1315" i="3" l="1"/>
  <c r="E1316" i="3"/>
  <c r="J1315" i="3"/>
  <c r="H1315" i="3"/>
  <c r="F1315" i="3"/>
  <c r="D1316" i="3"/>
  <c r="I1316" i="3" l="1"/>
  <c r="E1317" i="3"/>
  <c r="J1316" i="3"/>
  <c r="H1316" i="3"/>
  <c r="F1316" i="3"/>
  <c r="D1317" i="3"/>
  <c r="I1317" i="3" l="1"/>
  <c r="E1318" i="3"/>
  <c r="J1317" i="3"/>
  <c r="H1317" i="3"/>
  <c r="F1317" i="3"/>
  <c r="D1318" i="3"/>
  <c r="I1318" i="3" l="1"/>
  <c r="E1319" i="3"/>
  <c r="J1318" i="3"/>
  <c r="H1318" i="3"/>
  <c r="F1318" i="3"/>
  <c r="D1319" i="3"/>
  <c r="I1319" i="3" l="1"/>
  <c r="E1320" i="3"/>
  <c r="J1319" i="3"/>
  <c r="H1319" i="3"/>
  <c r="F1319" i="3"/>
  <c r="D1320" i="3"/>
  <c r="I1320" i="3" l="1"/>
  <c r="E1321" i="3"/>
  <c r="J1320" i="3"/>
  <c r="H1320" i="3"/>
  <c r="F1320" i="3"/>
  <c r="D1321" i="3"/>
  <c r="I1321" i="3" l="1"/>
  <c r="E1322" i="3"/>
  <c r="J1321" i="3"/>
  <c r="H1321" i="3"/>
  <c r="F1321" i="3"/>
  <c r="D1322" i="3"/>
  <c r="I1322" i="3" l="1"/>
  <c r="E1323" i="3"/>
  <c r="J1322" i="3"/>
  <c r="H1322" i="3"/>
  <c r="F1322" i="3"/>
  <c r="D1323" i="3"/>
  <c r="I1323" i="3" l="1"/>
  <c r="E1324" i="3"/>
  <c r="J1323" i="3"/>
  <c r="H1323" i="3"/>
  <c r="F1323" i="3"/>
  <c r="D1324" i="3"/>
  <c r="I1324" i="3" l="1"/>
  <c r="E1325" i="3"/>
  <c r="J1324" i="3"/>
  <c r="H1324" i="3"/>
  <c r="F1324" i="3"/>
  <c r="D1325" i="3"/>
  <c r="I1325" i="3" l="1"/>
  <c r="E1326" i="3"/>
  <c r="J1325" i="3"/>
  <c r="H1325" i="3"/>
  <c r="F1325" i="3"/>
  <c r="D1326" i="3"/>
  <c r="I1326" i="3" l="1"/>
  <c r="E1327" i="3"/>
  <c r="J1326" i="3"/>
  <c r="H1326" i="3"/>
  <c r="F1326" i="3"/>
  <c r="D1327" i="3"/>
  <c r="I1327" i="3" l="1"/>
  <c r="E1328" i="3"/>
  <c r="J1327" i="3"/>
  <c r="H1327" i="3"/>
  <c r="F1327" i="3"/>
  <c r="D1328" i="3"/>
  <c r="I1328" i="3" l="1"/>
  <c r="E1329" i="3"/>
  <c r="J1328" i="3"/>
  <c r="H1328" i="3"/>
  <c r="F1328" i="3"/>
  <c r="D1329" i="3"/>
  <c r="I1329" i="3" l="1"/>
  <c r="E1330" i="3"/>
  <c r="J1329" i="3"/>
  <c r="H1329" i="3"/>
  <c r="F1329" i="3"/>
  <c r="D1330" i="3"/>
  <c r="I1330" i="3" l="1"/>
  <c r="E1331" i="3"/>
  <c r="J1330" i="3"/>
  <c r="H1330" i="3"/>
  <c r="F1330" i="3"/>
  <c r="D1331" i="3"/>
  <c r="I1331" i="3" l="1"/>
  <c r="E1332" i="3"/>
  <c r="J1331" i="3"/>
  <c r="H1331" i="3"/>
  <c r="F1331" i="3"/>
  <c r="D1332" i="3"/>
  <c r="I1332" i="3" l="1"/>
  <c r="E1333" i="3"/>
  <c r="J1332" i="3"/>
  <c r="H1332" i="3"/>
  <c r="F1332" i="3"/>
  <c r="D1333" i="3"/>
  <c r="I1333" i="3" l="1"/>
  <c r="E1334" i="3"/>
  <c r="J1333" i="3"/>
  <c r="H1333" i="3"/>
  <c r="F1333" i="3"/>
  <c r="D1334" i="3"/>
  <c r="I1334" i="3" l="1"/>
  <c r="E1335" i="3"/>
  <c r="J1334" i="3"/>
  <c r="H1334" i="3"/>
  <c r="F1334" i="3"/>
  <c r="D1335" i="3"/>
  <c r="I1335" i="3" l="1"/>
  <c r="E1336" i="3"/>
  <c r="J1335" i="3"/>
  <c r="H1335" i="3"/>
  <c r="F1335" i="3"/>
  <c r="D1336" i="3"/>
  <c r="I1336" i="3" l="1"/>
  <c r="E1337" i="3"/>
  <c r="J1336" i="3"/>
  <c r="H1336" i="3"/>
  <c r="F1336" i="3"/>
  <c r="D1337" i="3"/>
  <c r="I1337" i="3" l="1"/>
  <c r="E1338" i="3"/>
  <c r="J1337" i="3"/>
  <c r="H1337" i="3"/>
  <c r="F1337" i="3"/>
  <c r="D1338" i="3"/>
  <c r="I1338" i="3" l="1"/>
  <c r="E1339" i="3"/>
  <c r="J1338" i="3"/>
  <c r="H1338" i="3"/>
  <c r="F1338" i="3"/>
  <c r="D1339" i="3"/>
  <c r="I1339" i="3" l="1"/>
  <c r="E1340" i="3"/>
  <c r="J1339" i="3"/>
  <c r="H1339" i="3"/>
  <c r="F1339" i="3"/>
  <c r="D1340" i="3"/>
  <c r="I1340" i="3" l="1"/>
  <c r="E1341" i="3"/>
  <c r="J1340" i="3"/>
  <c r="H1340" i="3"/>
  <c r="F1340" i="3"/>
  <c r="D1341" i="3"/>
  <c r="I1341" i="3" l="1"/>
  <c r="E1342" i="3"/>
  <c r="J1341" i="3"/>
  <c r="H1341" i="3"/>
  <c r="F1341" i="3"/>
  <c r="D1342" i="3"/>
  <c r="I1342" i="3" l="1"/>
  <c r="E1343" i="3"/>
  <c r="J1342" i="3"/>
  <c r="H1342" i="3"/>
  <c r="F1342" i="3"/>
  <c r="D1343" i="3"/>
  <c r="I1343" i="3" l="1"/>
  <c r="E1344" i="3"/>
  <c r="J1343" i="3"/>
  <c r="H1343" i="3"/>
  <c r="F1343" i="3"/>
  <c r="D1344" i="3"/>
  <c r="I1344" i="3" l="1"/>
  <c r="E1345" i="3"/>
  <c r="J1344" i="3"/>
  <c r="H1344" i="3"/>
  <c r="F1344" i="3"/>
  <c r="D1345" i="3"/>
  <c r="I1345" i="3" l="1"/>
  <c r="E1346" i="3"/>
  <c r="J1345" i="3"/>
  <c r="H1345" i="3"/>
  <c r="F1345" i="3"/>
  <c r="D1346" i="3"/>
  <c r="I1346" i="3" l="1"/>
  <c r="E1347" i="3"/>
  <c r="J1346" i="3"/>
  <c r="H1346" i="3"/>
  <c r="F1346" i="3"/>
  <c r="D1347" i="3"/>
  <c r="I1347" i="3" l="1"/>
  <c r="E1348" i="3"/>
  <c r="J1347" i="3"/>
  <c r="H1347" i="3"/>
  <c r="F1347" i="3"/>
  <c r="D1348" i="3"/>
  <c r="I1348" i="3" l="1"/>
  <c r="E1349" i="3"/>
  <c r="J1348" i="3"/>
  <c r="H1348" i="3"/>
  <c r="F1348" i="3"/>
  <c r="D1349" i="3"/>
  <c r="I1349" i="3" l="1"/>
  <c r="E1350" i="3"/>
  <c r="J1349" i="3"/>
  <c r="H1349" i="3"/>
  <c r="F1349" i="3"/>
  <c r="D1350" i="3"/>
  <c r="I1350" i="3" l="1"/>
  <c r="E1351" i="3"/>
  <c r="J1350" i="3"/>
  <c r="H1350" i="3"/>
  <c r="F1350" i="3"/>
  <c r="D1351" i="3"/>
  <c r="I1351" i="3" l="1"/>
  <c r="E1352" i="3"/>
  <c r="J1351" i="3"/>
  <c r="H1351" i="3"/>
  <c r="F1351" i="3"/>
  <c r="D1352" i="3"/>
  <c r="I1352" i="3" l="1"/>
  <c r="E1353" i="3"/>
  <c r="J1352" i="3"/>
  <c r="H1352" i="3"/>
  <c r="F1352" i="3"/>
  <c r="D1353" i="3"/>
  <c r="I1353" i="3" l="1"/>
  <c r="E1354" i="3"/>
  <c r="J1353" i="3"/>
  <c r="H1353" i="3"/>
  <c r="F1353" i="3"/>
  <c r="D1354" i="3"/>
  <c r="I1354" i="3" l="1"/>
  <c r="E1355" i="3"/>
  <c r="J1354" i="3"/>
  <c r="H1354" i="3"/>
  <c r="F1354" i="3"/>
  <c r="D1355" i="3"/>
  <c r="I1355" i="3" l="1"/>
  <c r="E1356" i="3"/>
  <c r="J1355" i="3"/>
  <c r="H1355" i="3"/>
  <c r="F1355" i="3"/>
  <c r="D1356" i="3"/>
  <c r="I1356" i="3" l="1"/>
  <c r="E1357" i="3"/>
  <c r="J1356" i="3"/>
  <c r="H1356" i="3"/>
  <c r="F1356" i="3"/>
  <c r="D1357" i="3"/>
  <c r="I1357" i="3" l="1"/>
  <c r="E1358" i="3"/>
  <c r="J1357" i="3"/>
  <c r="H1357" i="3"/>
  <c r="F1357" i="3"/>
  <c r="D1358" i="3"/>
  <c r="I1358" i="3" l="1"/>
  <c r="E1359" i="3"/>
  <c r="J1358" i="3"/>
  <c r="H1358" i="3"/>
  <c r="F1358" i="3"/>
  <c r="D1359" i="3"/>
  <c r="I1359" i="3" l="1"/>
  <c r="E1360" i="3"/>
  <c r="J1359" i="3"/>
  <c r="H1359" i="3"/>
  <c r="F1359" i="3"/>
  <c r="D1360" i="3"/>
  <c r="I1360" i="3" l="1"/>
  <c r="E1361" i="3"/>
  <c r="J1360" i="3"/>
  <c r="H1360" i="3"/>
  <c r="F1360" i="3"/>
  <c r="D1361" i="3"/>
  <c r="I1361" i="3" l="1"/>
  <c r="E1362" i="3"/>
  <c r="J1361" i="3"/>
  <c r="H1361" i="3"/>
  <c r="F1361" i="3"/>
  <c r="D1362" i="3"/>
  <c r="I1362" i="3" l="1"/>
  <c r="E1363" i="3"/>
  <c r="J1362" i="3"/>
  <c r="H1362" i="3"/>
  <c r="F1362" i="3"/>
  <c r="D1363" i="3"/>
  <c r="I1363" i="3" l="1"/>
  <c r="E1364" i="3"/>
  <c r="J1363" i="3"/>
  <c r="H1363" i="3"/>
  <c r="F1363" i="3"/>
  <c r="D1364" i="3"/>
  <c r="I1364" i="3" l="1"/>
  <c r="E1365" i="3"/>
  <c r="J1364" i="3"/>
  <c r="H1364" i="3"/>
  <c r="F1364" i="3"/>
  <c r="D1365" i="3"/>
  <c r="I1365" i="3" l="1"/>
  <c r="E1366" i="3"/>
  <c r="J1365" i="3"/>
  <c r="H1365" i="3"/>
  <c r="F1365" i="3"/>
  <c r="D1366" i="3"/>
  <c r="I1366" i="3" l="1"/>
  <c r="E1367" i="3"/>
  <c r="J1366" i="3"/>
  <c r="H1366" i="3"/>
  <c r="F1366" i="3"/>
  <c r="D1367" i="3"/>
  <c r="I1367" i="3" l="1"/>
  <c r="E1368" i="3"/>
  <c r="J1367" i="3"/>
  <c r="H1367" i="3"/>
  <c r="F1367" i="3"/>
  <c r="D1368" i="3"/>
  <c r="I1368" i="3" l="1"/>
  <c r="E1369" i="3"/>
  <c r="J1368" i="3"/>
  <c r="H1368" i="3"/>
  <c r="F1368" i="3"/>
  <c r="D1369" i="3"/>
  <c r="I1369" i="3" l="1"/>
  <c r="E1370" i="3"/>
  <c r="J1369" i="3"/>
  <c r="H1369" i="3"/>
  <c r="F1369" i="3"/>
  <c r="D1370" i="3"/>
  <c r="I1370" i="3" l="1"/>
  <c r="E1371" i="3"/>
  <c r="J1370" i="3"/>
  <c r="H1370" i="3"/>
  <c r="F1370" i="3"/>
  <c r="D1371" i="3"/>
  <c r="I1371" i="3" l="1"/>
  <c r="E1372" i="3"/>
  <c r="J1371" i="3"/>
  <c r="H1371" i="3"/>
  <c r="F1371" i="3"/>
  <c r="D1372" i="3"/>
  <c r="I1372" i="3" l="1"/>
  <c r="E1373" i="3"/>
  <c r="J1372" i="3"/>
  <c r="H1372" i="3"/>
  <c r="F1372" i="3"/>
  <c r="D1373" i="3"/>
  <c r="I1373" i="3" l="1"/>
  <c r="E1374" i="3"/>
  <c r="J1373" i="3"/>
  <c r="H1373" i="3"/>
  <c r="F1373" i="3"/>
  <c r="D1374" i="3"/>
  <c r="I1374" i="3" l="1"/>
  <c r="E1375" i="3"/>
  <c r="J1374" i="3"/>
  <c r="H1374" i="3"/>
  <c r="F1374" i="3"/>
  <c r="D1375" i="3"/>
  <c r="I1375" i="3" l="1"/>
  <c r="E1376" i="3"/>
  <c r="J1375" i="3"/>
  <c r="H1375" i="3"/>
  <c r="F1375" i="3"/>
  <c r="D1376" i="3"/>
  <c r="I1376" i="3" l="1"/>
  <c r="E1377" i="3"/>
  <c r="J1376" i="3"/>
  <c r="H1376" i="3"/>
  <c r="F1376" i="3"/>
  <c r="D1377" i="3"/>
  <c r="I1377" i="3" l="1"/>
  <c r="E1378" i="3"/>
  <c r="J1377" i="3"/>
  <c r="H1377" i="3"/>
  <c r="F1377" i="3"/>
  <c r="D1378" i="3"/>
  <c r="I1378" i="3" l="1"/>
  <c r="E1379" i="3"/>
  <c r="J1378" i="3"/>
  <c r="H1378" i="3"/>
  <c r="F1378" i="3"/>
  <c r="D1379" i="3"/>
  <c r="I1379" i="3" l="1"/>
  <c r="E1380" i="3"/>
  <c r="H1379" i="3"/>
  <c r="J1379" i="3"/>
  <c r="F1379" i="3"/>
  <c r="D1380" i="3"/>
  <c r="I1380" i="3" l="1"/>
  <c r="E1381" i="3"/>
  <c r="J1380" i="3"/>
  <c r="H1380" i="3"/>
  <c r="F1380" i="3"/>
  <c r="D1381" i="3"/>
  <c r="I1381" i="3" l="1"/>
  <c r="E1382" i="3"/>
  <c r="J1381" i="3"/>
  <c r="H1381" i="3"/>
  <c r="F1381" i="3"/>
  <c r="D1382" i="3"/>
  <c r="I1382" i="3" l="1"/>
  <c r="E1383" i="3"/>
  <c r="J1382" i="3"/>
  <c r="H1382" i="3"/>
  <c r="F1382" i="3"/>
  <c r="D1383" i="3"/>
  <c r="I1383" i="3" l="1"/>
  <c r="E1384" i="3"/>
  <c r="J1383" i="3"/>
  <c r="H1383" i="3"/>
  <c r="F1383" i="3"/>
  <c r="D1384" i="3"/>
  <c r="I1384" i="3" l="1"/>
  <c r="E1385" i="3"/>
  <c r="J1384" i="3"/>
  <c r="H1384" i="3"/>
  <c r="F1384" i="3"/>
  <c r="D1385" i="3"/>
  <c r="I1385" i="3" l="1"/>
  <c r="E1386" i="3"/>
  <c r="J1385" i="3"/>
  <c r="H1385" i="3"/>
  <c r="F1385" i="3"/>
  <c r="D1386" i="3"/>
  <c r="I1386" i="3" l="1"/>
  <c r="E1387" i="3"/>
  <c r="J1386" i="3"/>
  <c r="H1386" i="3"/>
  <c r="F1386" i="3"/>
  <c r="D1387" i="3"/>
  <c r="I1387" i="3" l="1"/>
  <c r="E1388" i="3"/>
  <c r="J1387" i="3"/>
  <c r="H1387" i="3"/>
  <c r="F1387" i="3"/>
  <c r="D1388" i="3"/>
  <c r="I1388" i="3" l="1"/>
  <c r="E1389" i="3"/>
  <c r="J1388" i="3"/>
  <c r="H1388" i="3"/>
  <c r="F1388" i="3"/>
  <c r="D1389" i="3"/>
  <c r="I1389" i="3" l="1"/>
  <c r="E1390" i="3"/>
  <c r="J1389" i="3"/>
  <c r="H1389" i="3"/>
  <c r="F1389" i="3"/>
  <c r="D1390" i="3"/>
  <c r="I1390" i="3" l="1"/>
  <c r="E1391" i="3"/>
  <c r="H1390" i="3"/>
  <c r="J1390" i="3"/>
  <c r="F1390" i="3"/>
  <c r="D1391" i="3"/>
  <c r="I1391" i="3" l="1"/>
  <c r="E1392" i="3"/>
  <c r="H1391" i="3"/>
  <c r="J1391" i="3"/>
  <c r="F1391" i="3"/>
  <c r="D1392" i="3"/>
  <c r="I1392" i="3" l="1"/>
  <c r="E1393" i="3"/>
  <c r="J1392" i="3"/>
  <c r="H1392" i="3"/>
  <c r="F1392" i="3"/>
  <c r="D1393" i="3"/>
  <c r="I1393" i="3" l="1"/>
  <c r="E1394" i="3"/>
  <c r="J1393" i="3"/>
  <c r="H1393" i="3"/>
  <c r="F1393" i="3"/>
  <c r="D1394" i="3"/>
  <c r="I1394" i="3" l="1"/>
  <c r="E1395" i="3"/>
  <c r="J1394" i="3"/>
  <c r="H1394" i="3"/>
  <c r="F1394" i="3"/>
  <c r="D1395" i="3"/>
  <c r="I1395" i="3" l="1"/>
  <c r="E1396" i="3"/>
  <c r="J1395" i="3"/>
  <c r="H1395" i="3"/>
  <c r="F1395" i="3"/>
  <c r="D1396" i="3"/>
  <c r="I1396" i="3" l="1"/>
  <c r="E1397" i="3"/>
  <c r="J1396" i="3"/>
  <c r="H1396" i="3"/>
  <c r="F1396" i="3"/>
  <c r="D1397" i="3"/>
  <c r="I1397" i="3" l="1"/>
  <c r="E1398" i="3"/>
  <c r="H1397" i="3"/>
  <c r="J1397" i="3"/>
  <c r="F1397" i="3"/>
  <c r="D1398" i="3"/>
  <c r="I1398" i="3" l="1"/>
  <c r="E1399" i="3"/>
  <c r="H1398" i="3"/>
  <c r="J1398" i="3"/>
  <c r="F1398" i="3"/>
  <c r="D1399" i="3"/>
  <c r="I1399" i="3" l="1"/>
  <c r="E1400" i="3"/>
  <c r="H1399" i="3"/>
  <c r="J1399" i="3"/>
  <c r="F1399" i="3"/>
  <c r="D1400" i="3"/>
  <c r="I1400" i="3" l="1"/>
  <c r="E1401" i="3"/>
  <c r="H1400" i="3"/>
  <c r="J1400" i="3"/>
  <c r="F1400" i="3"/>
  <c r="D1401" i="3"/>
  <c r="I1401" i="3" l="1"/>
  <c r="E1402" i="3"/>
  <c r="J1401" i="3"/>
  <c r="H1401" i="3"/>
  <c r="F1401" i="3"/>
  <c r="D1402" i="3"/>
  <c r="I1402" i="3" l="1"/>
  <c r="E1403" i="3"/>
  <c r="H1402" i="3"/>
  <c r="J1402" i="3"/>
  <c r="F1402" i="3"/>
  <c r="D1403" i="3"/>
  <c r="I1403" i="3" l="1"/>
  <c r="E1404" i="3"/>
  <c r="J1403" i="3"/>
  <c r="H1403" i="3"/>
  <c r="F1403" i="3"/>
  <c r="D1404" i="3"/>
  <c r="I1404" i="3" l="1"/>
  <c r="E1405" i="3"/>
  <c r="J1404" i="3"/>
  <c r="H1404" i="3"/>
  <c r="F1404" i="3"/>
  <c r="D1405" i="3"/>
  <c r="I1405" i="3" l="1"/>
  <c r="E1406" i="3"/>
  <c r="J1405" i="3"/>
  <c r="H1405" i="3"/>
  <c r="F1405" i="3"/>
  <c r="D1406" i="3"/>
  <c r="I1406" i="3" l="1"/>
  <c r="E1407" i="3"/>
  <c r="J1406" i="3"/>
  <c r="H1406" i="3"/>
  <c r="F1406" i="3"/>
  <c r="D1407" i="3"/>
  <c r="I1407" i="3" l="1"/>
  <c r="E1408" i="3"/>
  <c r="J1407" i="3"/>
  <c r="H1407" i="3"/>
  <c r="F1407" i="3"/>
  <c r="D1408" i="3"/>
  <c r="I1408" i="3" l="1"/>
  <c r="E1409" i="3"/>
  <c r="H1408" i="3"/>
  <c r="J1408" i="3"/>
  <c r="F1408" i="3"/>
  <c r="D1409" i="3"/>
  <c r="I1409" i="3" l="1"/>
  <c r="E1410" i="3"/>
  <c r="H1409" i="3"/>
  <c r="J1409" i="3"/>
  <c r="F1409" i="3"/>
  <c r="D1410" i="3"/>
  <c r="I1410" i="3" l="1"/>
  <c r="E1411" i="3"/>
  <c r="J1410" i="3"/>
  <c r="H1410" i="3"/>
  <c r="F1410" i="3"/>
  <c r="D1411" i="3"/>
  <c r="I1411" i="3" l="1"/>
  <c r="E1412" i="3"/>
  <c r="H1411" i="3"/>
  <c r="J1411" i="3"/>
  <c r="F1411" i="3"/>
  <c r="D1412" i="3"/>
  <c r="I1412" i="3" l="1"/>
  <c r="E1413" i="3"/>
  <c r="H1412" i="3"/>
  <c r="J1412" i="3"/>
  <c r="F1412" i="3"/>
  <c r="D1413" i="3"/>
  <c r="I1413" i="3" l="1"/>
  <c r="E1414" i="3"/>
  <c r="J1413" i="3"/>
  <c r="H1413" i="3"/>
  <c r="F1413" i="3"/>
  <c r="D1414" i="3"/>
  <c r="I1414" i="3" l="1"/>
  <c r="E1415" i="3"/>
  <c r="H1414" i="3"/>
  <c r="J1414" i="3"/>
  <c r="F1414" i="3"/>
  <c r="D1415" i="3"/>
  <c r="I1415" i="3" l="1"/>
  <c r="E1416" i="3"/>
  <c r="J1415" i="3"/>
  <c r="H1415" i="3"/>
  <c r="F1415" i="3"/>
  <c r="D1416" i="3"/>
  <c r="I1416" i="3" l="1"/>
  <c r="E1417" i="3"/>
  <c r="J1416" i="3"/>
  <c r="H1416" i="3"/>
  <c r="F1416" i="3"/>
  <c r="D1417" i="3"/>
  <c r="I1417" i="3" l="1"/>
  <c r="E1418" i="3"/>
  <c r="J1417" i="3"/>
  <c r="H1417" i="3"/>
  <c r="F1417" i="3"/>
  <c r="D1418" i="3"/>
  <c r="I1418" i="3" l="1"/>
  <c r="E1419" i="3"/>
  <c r="H1418" i="3"/>
  <c r="J1418" i="3"/>
  <c r="F1418" i="3"/>
  <c r="D1419" i="3"/>
  <c r="I1419" i="3" l="1"/>
  <c r="E1420" i="3"/>
  <c r="J1419" i="3"/>
  <c r="H1419" i="3"/>
  <c r="F1419" i="3"/>
  <c r="D1420" i="3"/>
  <c r="I1420" i="3" l="1"/>
  <c r="E1421" i="3"/>
  <c r="H1420" i="3"/>
  <c r="J1420" i="3"/>
  <c r="F1420" i="3"/>
  <c r="D1421" i="3"/>
  <c r="I1421" i="3" l="1"/>
  <c r="E1422" i="3"/>
  <c r="J1421" i="3"/>
  <c r="H1421" i="3"/>
  <c r="F1421" i="3"/>
  <c r="D1422" i="3"/>
  <c r="I1422" i="3" l="1"/>
  <c r="E1423" i="3"/>
  <c r="J1422" i="3"/>
  <c r="H1422" i="3"/>
  <c r="F1422" i="3"/>
  <c r="D1423" i="3"/>
  <c r="I1423" i="3" l="1"/>
  <c r="E1424" i="3"/>
  <c r="J1423" i="3"/>
  <c r="H1423" i="3"/>
  <c r="F1423" i="3"/>
  <c r="D1424" i="3"/>
  <c r="I1424" i="3" l="1"/>
  <c r="E1425" i="3"/>
  <c r="H1424" i="3"/>
  <c r="J1424" i="3"/>
  <c r="F1424" i="3"/>
  <c r="D1425" i="3"/>
  <c r="I1425" i="3" l="1"/>
  <c r="E1426" i="3"/>
  <c r="H1425" i="3"/>
  <c r="J1425" i="3"/>
  <c r="F1425" i="3"/>
  <c r="D1426" i="3"/>
  <c r="I1426" i="3" l="1"/>
  <c r="E1427" i="3"/>
  <c r="J1426" i="3"/>
  <c r="H1426" i="3"/>
  <c r="F1426" i="3"/>
  <c r="D1427" i="3"/>
  <c r="I1427" i="3" l="1"/>
  <c r="E1428" i="3"/>
  <c r="J1427" i="3"/>
  <c r="H1427" i="3"/>
  <c r="F1427" i="3"/>
  <c r="D1428" i="3"/>
  <c r="I1428" i="3" l="1"/>
  <c r="E1429" i="3"/>
  <c r="J1428" i="3"/>
  <c r="H1428" i="3"/>
  <c r="F1428" i="3"/>
  <c r="D1429" i="3"/>
  <c r="I1429" i="3" l="1"/>
  <c r="E1430" i="3"/>
  <c r="J1429" i="3"/>
  <c r="H1429" i="3"/>
  <c r="F1429" i="3"/>
  <c r="D1430" i="3"/>
  <c r="I1430" i="3" l="1"/>
  <c r="E1431" i="3"/>
  <c r="H1430" i="3"/>
  <c r="J1430" i="3"/>
  <c r="F1430" i="3"/>
  <c r="D1431" i="3"/>
  <c r="I1431" i="3" l="1"/>
  <c r="E1432" i="3"/>
  <c r="J1431" i="3"/>
  <c r="H1431" i="3"/>
  <c r="F1431" i="3"/>
  <c r="D1432" i="3"/>
  <c r="I1432" i="3" l="1"/>
  <c r="E1433" i="3"/>
  <c r="J1432" i="3"/>
  <c r="H1432" i="3"/>
  <c r="F1432" i="3"/>
  <c r="D1433" i="3"/>
  <c r="I1433" i="3" l="1"/>
  <c r="E1434" i="3"/>
  <c r="J1433" i="3"/>
  <c r="H1433" i="3"/>
  <c r="F1433" i="3"/>
  <c r="D1434" i="3"/>
  <c r="I1434" i="3" l="1"/>
  <c r="E1435" i="3"/>
  <c r="H1434" i="3"/>
  <c r="J1434" i="3"/>
  <c r="F1434" i="3"/>
  <c r="D1435" i="3"/>
  <c r="I1435" i="3" l="1"/>
  <c r="E1436" i="3"/>
  <c r="H1435" i="3"/>
  <c r="J1435" i="3"/>
  <c r="F1435" i="3"/>
  <c r="D1436" i="3"/>
  <c r="I1436" i="3" l="1"/>
  <c r="E1437" i="3"/>
  <c r="J1436" i="3"/>
  <c r="H1436" i="3"/>
  <c r="F1436" i="3"/>
  <c r="D1437" i="3"/>
  <c r="I1437" i="3" l="1"/>
  <c r="E1438" i="3"/>
  <c r="H1437" i="3"/>
  <c r="J1437" i="3"/>
  <c r="F1437" i="3"/>
  <c r="D1438" i="3"/>
  <c r="I1438" i="3" l="1"/>
  <c r="E1439" i="3"/>
  <c r="J1438" i="3"/>
  <c r="H1438" i="3"/>
  <c r="F1438" i="3"/>
  <c r="D1439" i="3"/>
  <c r="I1439" i="3" l="1"/>
  <c r="E1440" i="3"/>
  <c r="H1439" i="3"/>
  <c r="J1439" i="3"/>
  <c r="F1439" i="3"/>
  <c r="D1440" i="3"/>
  <c r="I1440" i="3" l="1"/>
  <c r="E1441" i="3"/>
  <c r="J1440" i="3"/>
  <c r="H1440" i="3"/>
  <c r="F1440" i="3"/>
  <c r="D1441" i="3"/>
  <c r="I1441" i="3" l="1"/>
  <c r="E1442" i="3"/>
  <c r="J1441" i="3"/>
  <c r="H1441" i="3"/>
  <c r="F1441" i="3"/>
  <c r="D1442" i="3"/>
  <c r="I1442" i="3" l="1"/>
  <c r="E1443" i="3"/>
  <c r="J1442" i="3"/>
  <c r="H1442" i="3"/>
  <c r="F1442" i="3"/>
  <c r="D1443" i="3"/>
  <c r="I1443" i="3" l="1"/>
  <c r="E1444" i="3"/>
  <c r="J1443" i="3"/>
  <c r="H1443" i="3"/>
  <c r="F1443" i="3"/>
  <c r="D1444" i="3"/>
  <c r="I1444" i="3" l="1"/>
  <c r="E1445" i="3"/>
  <c r="J1444" i="3"/>
  <c r="H1444" i="3"/>
  <c r="F1444" i="3"/>
  <c r="D1445" i="3"/>
  <c r="I1445" i="3" l="1"/>
  <c r="E1446" i="3"/>
  <c r="H1445" i="3"/>
  <c r="J1445" i="3"/>
  <c r="F1445" i="3"/>
  <c r="D1446" i="3"/>
  <c r="I1446" i="3" l="1"/>
  <c r="E1447" i="3"/>
  <c r="J1446" i="3"/>
  <c r="H1446" i="3"/>
  <c r="F1446" i="3"/>
  <c r="D1447" i="3"/>
  <c r="I1447" i="3" l="1"/>
  <c r="E1448" i="3"/>
  <c r="J1447" i="3"/>
  <c r="H1447" i="3"/>
  <c r="F1447" i="3"/>
  <c r="D1448" i="3"/>
  <c r="I1448" i="3" l="1"/>
  <c r="E1449" i="3"/>
  <c r="J1448" i="3"/>
  <c r="H1448" i="3"/>
  <c r="F1448" i="3"/>
  <c r="D1449" i="3"/>
  <c r="I1449" i="3" l="1"/>
  <c r="E1450" i="3"/>
  <c r="J1449" i="3"/>
  <c r="H1449" i="3"/>
  <c r="F1449" i="3"/>
  <c r="D1450" i="3"/>
  <c r="I1450" i="3" l="1"/>
  <c r="E1451" i="3"/>
  <c r="J1450" i="3"/>
  <c r="H1450" i="3"/>
  <c r="F1450" i="3"/>
  <c r="D1451" i="3"/>
  <c r="I1451" i="3" l="1"/>
  <c r="E1452" i="3"/>
  <c r="J1451" i="3"/>
  <c r="H1451" i="3"/>
  <c r="F1451" i="3"/>
  <c r="D1452" i="3"/>
  <c r="I1452" i="3" l="1"/>
  <c r="E1453" i="3"/>
  <c r="H1452" i="3"/>
  <c r="J1452" i="3"/>
  <c r="F1452" i="3"/>
  <c r="D1453" i="3"/>
  <c r="I1453" i="3" l="1"/>
  <c r="E1454" i="3"/>
  <c r="H1453" i="3"/>
  <c r="J1453" i="3"/>
  <c r="F1453" i="3"/>
  <c r="D1454" i="3"/>
  <c r="I1454" i="3" l="1"/>
  <c r="E1455" i="3"/>
  <c r="H1454" i="3"/>
  <c r="J1454" i="3"/>
  <c r="F1454" i="3"/>
  <c r="D1455" i="3"/>
  <c r="I1455" i="3" l="1"/>
  <c r="E1456" i="3"/>
  <c r="J1455" i="3"/>
  <c r="H1455" i="3"/>
  <c r="F1455" i="3"/>
  <c r="D1456" i="3"/>
  <c r="I1456" i="3" l="1"/>
  <c r="E1457" i="3"/>
  <c r="J1456" i="3"/>
  <c r="H1456" i="3"/>
  <c r="F1456" i="3"/>
  <c r="D1457" i="3"/>
  <c r="I1457" i="3" l="1"/>
  <c r="E1458" i="3"/>
  <c r="H1457" i="3"/>
  <c r="J1457" i="3"/>
  <c r="F1457" i="3"/>
  <c r="D1458" i="3"/>
  <c r="I1458" i="3" l="1"/>
  <c r="E1459" i="3"/>
  <c r="J1458" i="3"/>
  <c r="H1458" i="3"/>
  <c r="F1458" i="3"/>
  <c r="D1459" i="3"/>
  <c r="I1459" i="3" l="1"/>
  <c r="E1460" i="3"/>
  <c r="J1459" i="3"/>
  <c r="H1459" i="3"/>
  <c r="F1459" i="3"/>
  <c r="D1460" i="3"/>
  <c r="I1460" i="3" l="1"/>
  <c r="E1461" i="3"/>
  <c r="J1460" i="3"/>
  <c r="H1460" i="3"/>
  <c r="F1460" i="3"/>
  <c r="D1461" i="3"/>
  <c r="I1461" i="3" l="1"/>
  <c r="E1462" i="3"/>
  <c r="H1461" i="3"/>
  <c r="J1461" i="3"/>
  <c r="F1461" i="3"/>
  <c r="D1462" i="3"/>
  <c r="I1462" i="3" l="1"/>
  <c r="E1463" i="3"/>
  <c r="H1462" i="3"/>
  <c r="J1462" i="3"/>
  <c r="F1462" i="3"/>
  <c r="D1463" i="3"/>
  <c r="I1463" i="3" l="1"/>
  <c r="E1464" i="3"/>
  <c r="J1463" i="3"/>
  <c r="H1463" i="3"/>
  <c r="F1463" i="3"/>
  <c r="D1464" i="3"/>
  <c r="I1464" i="3" l="1"/>
  <c r="E1465" i="3"/>
  <c r="J1464" i="3"/>
  <c r="H1464" i="3"/>
  <c r="F1464" i="3"/>
  <c r="D1465" i="3"/>
  <c r="I1465" i="3" l="1"/>
  <c r="E1466" i="3"/>
  <c r="J1465" i="3"/>
  <c r="H1465" i="3"/>
  <c r="F1465" i="3"/>
  <c r="D1466" i="3"/>
  <c r="I1466" i="3" l="1"/>
  <c r="E1467" i="3"/>
  <c r="H1466" i="3"/>
  <c r="J1466" i="3"/>
  <c r="F1466" i="3"/>
  <c r="D1467" i="3"/>
  <c r="I1467" i="3" l="1"/>
  <c r="E1468" i="3"/>
  <c r="J1467" i="3"/>
  <c r="H1467" i="3"/>
  <c r="F1467" i="3"/>
  <c r="D1468" i="3"/>
  <c r="I1468" i="3" l="1"/>
  <c r="E1469" i="3"/>
  <c r="H1468" i="3"/>
  <c r="J1468" i="3"/>
  <c r="F1468" i="3"/>
  <c r="D1469" i="3"/>
  <c r="I1469" i="3" l="1"/>
  <c r="E1470" i="3"/>
  <c r="H1469" i="3"/>
  <c r="J1469" i="3"/>
  <c r="F1469" i="3"/>
  <c r="D1470" i="3"/>
  <c r="I1470" i="3" l="1"/>
  <c r="E1471" i="3"/>
  <c r="H1470" i="3"/>
  <c r="J1470" i="3"/>
  <c r="F1470" i="3"/>
  <c r="D1471" i="3"/>
  <c r="I1471" i="3" l="1"/>
  <c r="E1472" i="3"/>
  <c r="J1471" i="3"/>
  <c r="H1471" i="3"/>
  <c r="F1471" i="3"/>
  <c r="D1472" i="3"/>
  <c r="I1472" i="3" l="1"/>
  <c r="E1473" i="3"/>
  <c r="J1472" i="3"/>
  <c r="H1472" i="3"/>
  <c r="F1472" i="3"/>
  <c r="D1473" i="3"/>
  <c r="I1473" i="3" l="1"/>
  <c r="E1474" i="3"/>
  <c r="J1473" i="3"/>
  <c r="H1473" i="3"/>
  <c r="F1473" i="3"/>
  <c r="D1474" i="3"/>
  <c r="I1474" i="3" l="1"/>
  <c r="E1475" i="3"/>
  <c r="J1474" i="3"/>
  <c r="H1474" i="3"/>
  <c r="F1474" i="3"/>
  <c r="D1475" i="3"/>
  <c r="I1475" i="3" l="1"/>
  <c r="E1476" i="3"/>
  <c r="J1475" i="3"/>
  <c r="H1475" i="3"/>
  <c r="F1475" i="3"/>
  <c r="D1476" i="3"/>
  <c r="I1476" i="3" l="1"/>
  <c r="E1477" i="3"/>
  <c r="H1476" i="3"/>
  <c r="J1476" i="3"/>
  <c r="F1476" i="3"/>
  <c r="D1477" i="3"/>
  <c r="I1477" i="3" l="1"/>
  <c r="E1478" i="3"/>
  <c r="H1477" i="3"/>
  <c r="J1477" i="3"/>
  <c r="F1477" i="3"/>
  <c r="D1478" i="3"/>
  <c r="I1478" i="3" l="1"/>
  <c r="E1479" i="3"/>
  <c r="J1478" i="3"/>
  <c r="H1478" i="3"/>
  <c r="F1478" i="3"/>
  <c r="D1479" i="3"/>
  <c r="I1479" i="3" l="1"/>
  <c r="E1480" i="3"/>
  <c r="J1479" i="3"/>
  <c r="H1479" i="3"/>
  <c r="F1479" i="3"/>
  <c r="D1480" i="3"/>
  <c r="I1480" i="3" l="1"/>
  <c r="E1481" i="3"/>
  <c r="J1480" i="3"/>
  <c r="H1480" i="3"/>
  <c r="F1480" i="3"/>
  <c r="D1481" i="3"/>
  <c r="I1481" i="3" l="1"/>
  <c r="E1482" i="3"/>
  <c r="H1481" i="3"/>
  <c r="J1481" i="3"/>
  <c r="F1481" i="3"/>
  <c r="D1482" i="3"/>
  <c r="I1482" i="3" l="1"/>
  <c r="E1483" i="3"/>
  <c r="J1482" i="3"/>
  <c r="H1482" i="3"/>
  <c r="F1482" i="3"/>
  <c r="D1483" i="3"/>
  <c r="I1483" i="3" l="1"/>
  <c r="E1484" i="3"/>
  <c r="J1483" i="3"/>
  <c r="H1483" i="3"/>
  <c r="F1483" i="3"/>
  <c r="D1484" i="3"/>
  <c r="I1484" i="3" l="1"/>
  <c r="E1485" i="3"/>
  <c r="J1484" i="3"/>
  <c r="H1484" i="3"/>
  <c r="F1484" i="3"/>
  <c r="D1485" i="3"/>
  <c r="I1485" i="3" l="1"/>
  <c r="E1486" i="3"/>
  <c r="H1485" i="3"/>
  <c r="J1485" i="3"/>
  <c r="F1485" i="3"/>
  <c r="D1486" i="3"/>
  <c r="I1486" i="3" l="1"/>
  <c r="E1487" i="3"/>
  <c r="H1486" i="3"/>
  <c r="J1486" i="3"/>
  <c r="F1486" i="3"/>
  <c r="D1487" i="3"/>
  <c r="I1487" i="3" l="1"/>
  <c r="E1488" i="3"/>
  <c r="J1487" i="3"/>
  <c r="H1487" i="3"/>
  <c r="F1487" i="3"/>
  <c r="D1488" i="3"/>
  <c r="I1488" i="3" l="1"/>
  <c r="E1489" i="3"/>
  <c r="H1488" i="3"/>
  <c r="J1488" i="3"/>
  <c r="F1488" i="3"/>
  <c r="D1489" i="3"/>
  <c r="I1489" i="3" l="1"/>
  <c r="E1490" i="3"/>
  <c r="H1489" i="3"/>
  <c r="J1489" i="3"/>
  <c r="F1489" i="3"/>
  <c r="D1490" i="3"/>
  <c r="I1490" i="3" l="1"/>
  <c r="E1491" i="3"/>
  <c r="J1490" i="3"/>
  <c r="H1490" i="3"/>
  <c r="F1490" i="3"/>
  <c r="D1491" i="3"/>
  <c r="I1491" i="3" l="1"/>
  <c r="E1492" i="3"/>
  <c r="J1491" i="3"/>
  <c r="H1491" i="3"/>
  <c r="F1491" i="3"/>
  <c r="D1492" i="3"/>
  <c r="I1492" i="3" l="1"/>
  <c r="E1493" i="3"/>
  <c r="J1492" i="3"/>
  <c r="H1492" i="3"/>
  <c r="F1492" i="3"/>
  <c r="D1493" i="3"/>
  <c r="I1493" i="3" l="1"/>
  <c r="E1494" i="3"/>
  <c r="J1493" i="3"/>
  <c r="H1493" i="3"/>
  <c r="F1493" i="3"/>
  <c r="D1494" i="3"/>
  <c r="I1494" i="3" l="1"/>
  <c r="E1495" i="3"/>
  <c r="H1494" i="3"/>
  <c r="J1494" i="3"/>
  <c r="F1494" i="3"/>
  <c r="D1495" i="3"/>
  <c r="I1495" i="3" l="1"/>
  <c r="E1496" i="3"/>
  <c r="H1495" i="3"/>
  <c r="J1495" i="3"/>
  <c r="F1495" i="3"/>
  <c r="D1496" i="3"/>
  <c r="I1496" i="3" l="1"/>
  <c r="E1497" i="3"/>
  <c r="J1496" i="3"/>
  <c r="H1496" i="3"/>
  <c r="F1496" i="3"/>
  <c r="D1497" i="3"/>
  <c r="I1497" i="3" l="1"/>
  <c r="E1498" i="3"/>
  <c r="J1497" i="3"/>
  <c r="H1497" i="3"/>
  <c r="F1497" i="3"/>
  <c r="D1498" i="3"/>
  <c r="I1498" i="3" l="1"/>
  <c r="E1499" i="3"/>
  <c r="H1498" i="3"/>
  <c r="J1498" i="3"/>
  <c r="F1498" i="3"/>
  <c r="D1499" i="3"/>
  <c r="I1499" i="3" l="1"/>
  <c r="E1500" i="3"/>
  <c r="J1499" i="3"/>
  <c r="H1499" i="3"/>
  <c r="F1499" i="3"/>
  <c r="D1500" i="3"/>
  <c r="I1500" i="3" l="1"/>
  <c r="E1501" i="3"/>
  <c r="H1500" i="3"/>
  <c r="J1500" i="3"/>
  <c r="F1500" i="3"/>
  <c r="D1501" i="3"/>
  <c r="I1501" i="3" l="1"/>
  <c r="E1502" i="3"/>
  <c r="J1501" i="3"/>
  <c r="H1501" i="3"/>
  <c r="F1501" i="3"/>
  <c r="D1502" i="3"/>
  <c r="I1502" i="3" l="1"/>
  <c r="E1503" i="3"/>
  <c r="J1502" i="3"/>
  <c r="H1502" i="3"/>
  <c r="F1502" i="3"/>
  <c r="D1503" i="3"/>
  <c r="I1503" i="3" l="1"/>
  <c r="E1504" i="3"/>
  <c r="J1503" i="3"/>
  <c r="H1503" i="3"/>
  <c r="F1503" i="3"/>
  <c r="D1504" i="3"/>
  <c r="I1504" i="3" l="1"/>
  <c r="E1505" i="3"/>
  <c r="H1504" i="3"/>
  <c r="J1504" i="3"/>
  <c r="F1504" i="3"/>
  <c r="D1505" i="3"/>
  <c r="I1505" i="3" l="1"/>
  <c r="E1506" i="3"/>
  <c r="J1505" i="3"/>
  <c r="H1505" i="3"/>
  <c r="F1505" i="3"/>
  <c r="D1506" i="3"/>
  <c r="I1506" i="3" l="1"/>
  <c r="E1507" i="3"/>
  <c r="H1506" i="3"/>
  <c r="J1506" i="3"/>
  <c r="F1506" i="3"/>
  <c r="D1507" i="3"/>
  <c r="I1507" i="3" l="1"/>
  <c r="E1508" i="3"/>
  <c r="H1507" i="3"/>
  <c r="J1507" i="3"/>
  <c r="F1507" i="3"/>
  <c r="D1508" i="3"/>
  <c r="I1508" i="3" l="1"/>
  <c r="E1509" i="3"/>
  <c r="J1508" i="3"/>
  <c r="H1508" i="3"/>
  <c r="F1508" i="3"/>
  <c r="D1509" i="3"/>
  <c r="I1509" i="3" l="1"/>
  <c r="E1510" i="3"/>
  <c r="J1509" i="3"/>
  <c r="H1509" i="3"/>
  <c r="F1509" i="3"/>
  <c r="D1510" i="3"/>
  <c r="I1510" i="3" l="1"/>
  <c r="E1511" i="3"/>
  <c r="H1510" i="3"/>
  <c r="J1510" i="3"/>
  <c r="F1510" i="3"/>
  <c r="D1511" i="3"/>
  <c r="I1511" i="3" l="1"/>
  <c r="E1512" i="3"/>
  <c r="H1511" i="3"/>
  <c r="J1511" i="3"/>
  <c r="F1511" i="3"/>
  <c r="D1512" i="3"/>
  <c r="I1512" i="3" l="1"/>
  <c r="E1513" i="3"/>
  <c r="J1512" i="3"/>
  <c r="H1512" i="3"/>
  <c r="F1512" i="3"/>
  <c r="D1513" i="3"/>
  <c r="I1513" i="3" l="1"/>
  <c r="E1514" i="3"/>
  <c r="J1513" i="3"/>
  <c r="H1513" i="3"/>
  <c r="F1513" i="3"/>
  <c r="D1514" i="3"/>
  <c r="I1514" i="3" l="1"/>
  <c r="E1515" i="3"/>
  <c r="H1514" i="3"/>
  <c r="J1514" i="3"/>
  <c r="F1514" i="3"/>
  <c r="D1515" i="3"/>
  <c r="I1515" i="3" l="1"/>
  <c r="E1516" i="3"/>
  <c r="J1515" i="3"/>
  <c r="H1515" i="3"/>
  <c r="F1515" i="3"/>
  <c r="D1516" i="3"/>
  <c r="I1516" i="3" l="1"/>
  <c r="E1517" i="3"/>
  <c r="J1516" i="3"/>
  <c r="H1516" i="3"/>
  <c r="F1516" i="3"/>
  <c r="D1517" i="3"/>
  <c r="I1517" i="3" l="1"/>
  <c r="E1518" i="3"/>
  <c r="J1517" i="3"/>
  <c r="H1517" i="3"/>
  <c r="F1517" i="3"/>
  <c r="D1518" i="3"/>
  <c r="I1518" i="3" l="1"/>
  <c r="E1519" i="3"/>
  <c r="J1518" i="3"/>
  <c r="H1518" i="3"/>
  <c r="F1518" i="3"/>
  <c r="D1519" i="3"/>
  <c r="I1519" i="3" l="1"/>
  <c r="E1520" i="3"/>
  <c r="J1519" i="3"/>
  <c r="H1519" i="3"/>
  <c r="F1519" i="3"/>
  <c r="D1520" i="3"/>
  <c r="I1520" i="3" l="1"/>
  <c r="E1521" i="3"/>
  <c r="J1520" i="3"/>
  <c r="H1520" i="3"/>
  <c r="F1520" i="3"/>
  <c r="D1521" i="3"/>
  <c r="I1521" i="3" l="1"/>
  <c r="E1522" i="3"/>
  <c r="J1521" i="3"/>
  <c r="H1521" i="3"/>
  <c r="F1521" i="3"/>
  <c r="D1522" i="3"/>
  <c r="I1522" i="3" l="1"/>
  <c r="E1523" i="3"/>
  <c r="H1522" i="3"/>
  <c r="J1522" i="3"/>
  <c r="F1522" i="3"/>
  <c r="D1523" i="3"/>
  <c r="I1523" i="3" l="1"/>
  <c r="E1524" i="3"/>
  <c r="J1523" i="3"/>
  <c r="H1523" i="3"/>
  <c r="F1523" i="3"/>
  <c r="D1524" i="3"/>
  <c r="I1524" i="3" l="1"/>
  <c r="E1525" i="3"/>
  <c r="J1524" i="3"/>
  <c r="H1524" i="3"/>
  <c r="F1524" i="3"/>
  <c r="D1525" i="3"/>
  <c r="I1525" i="3" l="1"/>
  <c r="E1526" i="3"/>
  <c r="J1525" i="3"/>
  <c r="H1525" i="3"/>
  <c r="F1525" i="3"/>
  <c r="D1526" i="3"/>
  <c r="I1526" i="3" l="1"/>
  <c r="E1527" i="3"/>
  <c r="H1526" i="3"/>
  <c r="J1526" i="3"/>
  <c r="F1526" i="3"/>
  <c r="D1527" i="3"/>
  <c r="I1527" i="3" l="1"/>
  <c r="E1528" i="3"/>
  <c r="H1527" i="3"/>
  <c r="J1527" i="3"/>
  <c r="F1527" i="3"/>
  <c r="D1528" i="3"/>
  <c r="I1528" i="3" l="1"/>
  <c r="E1529" i="3"/>
  <c r="J1528" i="3"/>
  <c r="H1528" i="3"/>
  <c r="F1528" i="3"/>
  <c r="D1529" i="3"/>
  <c r="I1529" i="3" l="1"/>
  <c r="E1530" i="3"/>
  <c r="H1529" i="3"/>
  <c r="J1529" i="3"/>
  <c r="F1529" i="3"/>
  <c r="D1530" i="3"/>
  <c r="I1530" i="3" l="1"/>
  <c r="E1531" i="3"/>
  <c r="J1530" i="3"/>
  <c r="H1530" i="3"/>
  <c r="F1530" i="3"/>
  <c r="D1531" i="3"/>
  <c r="I1531" i="3" l="1"/>
  <c r="E1532" i="3"/>
  <c r="J1531" i="3"/>
  <c r="H1531" i="3"/>
  <c r="F1531" i="3"/>
  <c r="D1532" i="3"/>
  <c r="I1532" i="3" l="1"/>
  <c r="E1533" i="3"/>
  <c r="H1532" i="3"/>
  <c r="J1532" i="3"/>
  <c r="F1532" i="3"/>
  <c r="D1533" i="3"/>
  <c r="I1533" i="3" l="1"/>
  <c r="E1534" i="3"/>
  <c r="J1533" i="3"/>
  <c r="H1533" i="3"/>
  <c r="F1533" i="3"/>
  <c r="D1534" i="3"/>
  <c r="I1534" i="3" l="1"/>
  <c r="E1535" i="3"/>
  <c r="J1534" i="3"/>
  <c r="H1534" i="3"/>
  <c r="F1534" i="3"/>
  <c r="D1535" i="3"/>
  <c r="I1535" i="3" l="1"/>
  <c r="E1536" i="3"/>
  <c r="J1535" i="3"/>
  <c r="H1535" i="3"/>
  <c r="F1535" i="3"/>
  <c r="D1536" i="3"/>
  <c r="I1536" i="3" l="1"/>
  <c r="E1537" i="3"/>
  <c r="J1536" i="3"/>
  <c r="H1536" i="3"/>
  <c r="F1536" i="3"/>
  <c r="D1537" i="3"/>
  <c r="I1537" i="3" l="1"/>
  <c r="E1538" i="3"/>
  <c r="J1537" i="3"/>
  <c r="H1537" i="3"/>
  <c r="F1537" i="3"/>
  <c r="D1538" i="3"/>
  <c r="I1538" i="3" l="1"/>
  <c r="E1539" i="3"/>
  <c r="J1538" i="3"/>
  <c r="H1538" i="3"/>
  <c r="F1538" i="3"/>
  <c r="D1539" i="3"/>
  <c r="I1539" i="3" l="1"/>
  <c r="E1540" i="3"/>
  <c r="J1539" i="3"/>
  <c r="H1539" i="3"/>
  <c r="F1539" i="3"/>
  <c r="D1540" i="3"/>
  <c r="I1540" i="3" l="1"/>
  <c r="E1541" i="3"/>
  <c r="J1540" i="3"/>
  <c r="H1540" i="3"/>
  <c r="F1540" i="3"/>
  <c r="D1541" i="3"/>
  <c r="I1541" i="3" l="1"/>
  <c r="E1542" i="3"/>
  <c r="J1541" i="3"/>
  <c r="H1541" i="3"/>
  <c r="F1541" i="3"/>
  <c r="D1542" i="3"/>
  <c r="I1542" i="3" l="1"/>
  <c r="E1543" i="3"/>
  <c r="H1542" i="3"/>
  <c r="J1542" i="3"/>
  <c r="F1542" i="3"/>
  <c r="D1543" i="3"/>
  <c r="I1543" i="3" l="1"/>
  <c r="E1544" i="3"/>
  <c r="H1543" i="3"/>
  <c r="J1543" i="3"/>
  <c r="F1543" i="3"/>
  <c r="D1544" i="3"/>
  <c r="I1544" i="3" l="1"/>
  <c r="E1545" i="3"/>
  <c r="J1544" i="3"/>
  <c r="H1544" i="3"/>
  <c r="F1544" i="3"/>
  <c r="D1545" i="3"/>
  <c r="I1545" i="3" l="1"/>
  <c r="E1546" i="3"/>
  <c r="J1545" i="3"/>
  <c r="H1545" i="3"/>
  <c r="F1545" i="3"/>
  <c r="D1546" i="3"/>
  <c r="I1546" i="3" l="1"/>
  <c r="E1547" i="3"/>
  <c r="H1546" i="3"/>
  <c r="J1546" i="3"/>
  <c r="F1546" i="3"/>
  <c r="D1547" i="3"/>
  <c r="I1547" i="3" l="1"/>
  <c r="E1548" i="3"/>
  <c r="H1547" i="3"/>
  <c r="J1547" i="3"/>
  <c r="F1547" i="3"/>
  <c r="D1548" i="3"/>
  <c r="I1548" i="3" l="1"/>
  <c r="E1549" i="3"/>
  <c r="J1548" i="3"/>
  <c r="H1548" i="3"/>
  <c r="F1548" i="3"/>
  <c r="D1549" i="3"/>
  <c r="I1549" i="3" l="1"/>
  <c r="E1550" i="3"/>
  <c r="J1549" i="3"/>
  <c r="H1549" i="3"/>
  <c r="F1549" i="3"/>
  <c r="D1550" i="3"/>
  <c r="I1550" i="3" l="1"/>
  <c r="E1551" i="3"/>
  <c r="J1550" i="3"/>
  <c r="H1550" i="3"/>
  <c r="F1550" i="3"/>
  <c r="D1551" i="3"/>
  <c r="I1551" i="3" l="1"/>
  <c r="E1552" i="3"/>
  <c r="J1551" i="3"/>
  <c r="H1551" i="3"/>
  <c r="F1551" i="3"/>
  <c r="D1552" i="3"/>
  <c r="I1552" i="3" l="1"/>
  <c r="E1553" i="3"/>
  <c r="H1552" i="3"/>
  <c r="J1552" i="3"/>
  <c r="F1552" i="3"/>
  <c r="D1553" i="3"/>
  <c r="I1553" i="3" l="1"/>
  <c r="E1554" i="3"/>
  <c r="H1553" i="3"/>
  <c r="J1553" i="3"/>
  <c r="F1553" i="3"/>
  <c r="D1554" i="3"/>
  <c r="I1554" i="3" l="1"/>
  <c r="E1555" i="3"/>
  <c r="J1554" i="3"/>
  <c r="H1554" i="3"/>
  <c r="F1554" i="3"/>
  <c r="D1555" i="3"/>
  <c r="I1555" i="3" l="1"/>
  <c r="E1556" i="3"/>
  <c r="J1555" i="3"/>
  <c r="H1555" i="3"/>
  <c r="F1555" i="3"/>
  <c r="D1556" i="3"/>
  <c r="I1556" i="3" l="1"/>
  <c r="E1557" i="3"/>
  <c r="J1556" i="3"/>
  <c r="H1556" i="3"/>
  <c r="F1556" i="3"/>
  <c r="D1557" i="3"/>
  <c r="I1557" i="3" l="1"/>
  <c r="E1558" i="3"/>
  <c r="J1557" i="3"/>
  <c r="H1557" i="3"/>
  <c r="F1557" i="3"/>
  <c r="D1558" i="3"/>
  <c r="I1558" i="3" l="1"/>
  <c r="E1559" i="3"/>
  <c r="J1558" i="3"/>
  <c r="H1558" i="3"/>
  <c r="F1558" i="3"/>
  <c r="D1559" i="3"/>
  <c r="I1559" i="3" l="1"/>
  <c r="E1560" i="3"/>
  <c r="H1559" i="3"/>
  <c r="J1559" i="3"/>
  <c r="F1559" i="3"/>
  <c r="D1560" i="3"/>
  <c r="I1560" i="3" l="1"/>
  <c r="E1561" i="3"/>
  <c r="J1560" i="3"/>
  <c r="H1560" i="3"/>
  <c r="F1560" i="3"/>
  <c r="D1561" i="3"/>
  <c r="I1561" i="3" l="1"/>
  <c r="E1562" i="3"/>
  <c r="J1561" i="3"/>
  <c r="H1561" i="3"/>
  <c r="F1561" i="3"/>
  <c r="D1562" i="3"/>
  <c r="I1562" i="3" l="1"/>
  <c r="E1563" i="3"/>
  <c r="J1562" i="3"/>
  <c r="H1562" i="3"/>
  <c r="F1562" i="3"/>
  <c r="D1563" i="3"/>
  <c r="I1563" i="3" l="1"/>
  <c r="E1564" i="3"/>
  <c r="H1563" i="3"/>
  <c r="J1563" i="3"/>
  <c r="F1563" i="3"/>
  <c r="D1564" i="3"/>
  <c r="I1564" i="3" l="1"/>
  <c r="E1565" i="3"/>
  <c r="J1564" i="3"/>
  <c r="H1564" i="3"/>
  <c r="F1564" i="3"/>
  <c r="D1565" i="3"/>
  <c r="I1565" i="3" l="1"/>
  <c r="E1566" i="3"/>
  <c r="J1565" i="3"/>
  <c r="H1565" i="3"/>
  <c r="F1565" i="3"/>
  <c r="D1566" i="3"/>
  <c r="I1566" i="3" l="1"/>
  <c r="E1567" i="3"/>
  <c r="J1566" i="3"/>
  <c r="H1566" i="3"/>
  <c r="F1566" i="3"/>
  <c r="D1567" i="3"/>
  <c r="I1567" i="3" l="1"/>
  <c r="E1568" i="3"/>
  <c r="J1567" i="3"/>
  <c r="H1567" i="3"/>
  <c r="F1567" i="3"/>
  <c r="D1568" i="3"/>
  <c r="I1568" i="3" l="1"/>
  <c r="E1569" i="3"/>
  <c r="H1568" i="3"/>
  <c r="J1568" i="3"/>
  <c r="F1568" i="3"/>
  <c r="D1569" i="3"/>
  <c r="I1569" i="3" l="1"/>
  <c r="E1570" i="3"/>
  <c r="J1569" i="3"/>
  <c r="H1569" i="3"/>
  <c r="F1569" i="3"/>
  <c r="D1570" i="3"/>
  <c r="I1570" i="3" l="1"/>
  <c r="E1571" i="3"/>
  <c r="H1570" i="3"/>
  <c r="J1570" i="3"/>
  <c r="F1570" i="3"/>
  <c r="D1571" i="3"/>
  <c r="I1571" i="3" l="1"/>
  <c r="E1572" i="3"/>
  <c r="H1571" i="3"/>
  <c r="J1571" i="3"/>
  <c r="F1571" i="3"/>
  <c r="D1572" i="3"/>
  <c r="I1572" i="3" l="1"/>
  <c r="E1573" i="3"/>
  <c r="J1572" i="3"/>
  <c r="H1572" i="3"/>
  <c r="F1572" i="3"/>
  <c r="D1573" i="3"/>
  <c r="I1573" i="3" l="1"/>
  <c r="E1574" i="3"/>
  <c r="J1573" i="3"/>
  <c r="H1573" i="3"/>
  <c r="F1573" i="3"/>
  <c r="D1574" i="3"/>
  <c r="I1574" i="3" l="1"/>
  <c r="E1575" i="3"/>
  <c r="J1574" i="3"/>
  <c r="H1574" i="3"/>
  <c r="F1574" i="3"/>
  <c r="D1575" i="3"/>
  <c r="I1575" i="3" l="1"/>
  <c r="E1576" i="3"/>
  <c r="J1575" i="3"/>
  <c r="H1575" i="3"/>
  <c r="F1575" i="3"/>
  <c r="D1576" i="3"/>
  <c r="I1576" i="3" l="1"/>
  <c r="E1577" i="3"/>
  <c r="J1576" i="3"/>
  <c r="H1576" i="3"/>
  <c r="F1576" i="3"/>
  <c r="D1577" i="3"/>
  <c r="I1577" i="3" l="1"/>
  <c r="E1578" i="3"/>
  <c r="J1577" i="3"/>
  <c r="H1577" i="3"/>
  <c r="F1577" i="3"/>
  <c r="D1578" i="3"/>
  <c r="I1578" i="3" l="1"/>
  <c r="E1579" i="3"/>
  <c r="H1578" i="3"/>
  <c r="J1578" i="3"/>
  <c r="F1578" i="3"/>
  <c r="D1579" i="3"/>
  <c r="I1579" i="3" l="1"/>
  <c r="E1580" i="3"/>
  <c r="H1579" i="3"/>
  <c r="J1579" i="3"/>
  <c r="F1579" i="3"/>
  <c r="D1580" i="3"/>
  <c r="I1580" i="3" l="1"/>
  <c r="E1581" i="3"/>
  <c r="J1580" i="3"/>
  <c r="H1580" i="3"/>
  <c r="F1580" i="3"/>
  <c r="D1581" i="3"/>
  <c r="I1581" i="3" l="1"/>
  <c r="E1582" i="3"/>
  <c r="J1581" i="3"/>
  <c r="H1581" i="3"/>
  <c r="F1581" i="3"/>
  <c r="D1582" i="3"/>
  <c r="I1582" i="3" l="1"/>
  <c r="E1583" i="3"/>
  <c r="H1582" i="3"/>
  <c r="J1582" i="3"/>
  <c r="F1582" i="3"/>
  <c r="D1583" i="3"/>
  <c r="I1583" i="3" l="1"/>
  <c r="E1584" i="3"/>
  <c r="J1583" i="3"/>
  <c r="H1583" i="3"/>
  <c r="F1583" i="3"/>
  <c r="D1584" i="3"/>
  <c r="I1584" i="3" l="1"/>
  <c r="E1585" i="3"/>
  <c r="H1584" i="3"/>
  <c r="J1584" i="3"/>
  <c r="F1584" i="3"/>
  <c r="D1585" i="3"/>
  <c r="I1585" i="3" l="1"/>
  <c r="E1586" i="3"/>
  <c r="H1585" i="3"/>
  <c r="J1585" i="3"/>
  <c r="F1585" i="3"/>
  <c r="D1586" i="3"/>
  <c r="I1586" i="3" l="1"/>
  <c r="E1587" i="3"/>
  <c r="J1586" i="3"/>
  <c r="H1586" i="3"/>
  <c r="F1586" i="3"/>
  <c r="D1587" i="3"/>
  <c r="I1587" i="3" l="1"/>
  <c r="E1588" i="3"/>
  <c r="J1587" i="3"/>
  <c r="H1587" i="3"/>
  <c r="F1587" i="3"/>
  <c r="D1588" i="3"/>
  <c r="I1588" i="3" l="1"/>
  <c r="E1589" i="3"/>
  <c r="H1588" i="3"/>
  <c r="J1588" i="3"/>
  <c r="F1588" i="3"/>
  <c r="D1589" i="3"/>
  <c r="I1589" i="3" l="1"/>
  <c r="E1590" i="3"/>
  <c r="H1589" i="3"/>
  <c r="J1589" i="3"/>
  <c r="F1589" i="3"/>
  <c r="D1590" i="3"/>
  <c r="I1590" i="3" l="1"/>
  <c r="E1591" i="3"/>
  <c r="J1590" i="3"/>
  <c r="H1590" i="3"/>
  <c r="F1590" i="3"/>
  <c r="D1591" i="3"/>
  <c r="I1591" i="3" l="1"/>
  <c r="E1592" i="3"/>
  <c r="J1591" i="3"/>
  <c r="H1591" i="3"/>
  <c r="F1591" i="3"/>
  <c r="D1592" i="3"/>
  <c r="I1592" i="3" l="1"/>
  <c r="E1593" i="3"/>
  <c r="J1592" i="3"/>
  <c r="H1592" i="3"/>
  <c r="F1592" i="3"/>
  <c r="D1593" i="3"/>
  <c r="I1593" i="3" l="1"/>
  <c r="E1594" i="3"/>
  <c r="J1593" i="3"/>
  <c r="H1593" i="3"/>
  <c r="F1593" i="3"/>
  <c r="D1594" i="3"/>
  <c r="I1594" i="3" l="1"/>
  <c r="E1595" i="3"/>
  <c r="H1594" i="3"/>
  <c r="J1594" i="3"/>
  <c r="F1594" i="3"/>
  <c r="D1595" i="3"/>
  <c r="I1595" i="3" l="1"/>
  <c r="E1596" i="3"/>
  <c r="H1595" i="3"/>
  <c r="J1595" i="3"/>
  <c r="F1595" i="3"/>
  <c r="D1596" i="3"/>
  <c r="I1596" i="3" l="1"/>
  <c r="E1597" i="3"/>
  <c r="J1596" i="3"/>
  <c r="H1596" i="3"/>
  <c r="F1596" i="3"/>
  <c r="D1597" i="3"/>
  <c r="I1597" i="3" l="1"/>
  <c r="E1598" i="3"/>
  <c r="H1597" i="3"/>
  <c r="J1597" i="3"/>
  <c r="F1597" i="3"/>
  <c r="D1598" i="3"/>
  <c r="I1598" i="3" l="1"/>
  <c r="E1599" i="3"/>
  <c r="J1598" i="3"/>
  <c r="H1598" i="3"/>
  <c r="F1598" i="3"/>
  <c r="D1599" i="3"/>
  <c r="I1599" i="3" l="1"/>
  <c r="E1600" i="3"/>
  <c r="H1599" i="3"/>
  <c r="J1599" i="3"/>
  <c r="F1599" i="3"/>
  <c r="D1600" i="3"/>
  <c r="I1600" i="3" l="1"/>
  <c r="E1601" i="3"/>
  <c r="J1600" i="3"/>
  <c r="H1600" i="3"/>
  <c r="F1600" i="3"/>
  <c r="D1601" i="3"/>
  <c r="I1601" i="3" l="1"/>
  <c r="E1602" i="3"/>
  <c r="J1601" i="3"/>
  <c r="H1601" i="3"/>
  <c r="F1601" i="3"/>
  <c r="D1602" i="3"/>
  <c r="I1602" i="3" l="1"/>
  <c r="E1603" i="3"/>
  <c r="J1602" i="3"/>
  <c r="H1602" i="3"/>
  <c r="F1602" i="3"/>
  <c r="D1603" i="3"/>
  <c r="I1603" i="3" l="1"/>
  <c r="E1604" i="3"/>
  <c r="J1603" i="3"/>
  <c r="H1603" i="3"/>
  <c r="F1603" i="3"/>
  <c r="D1604" i="3"/>
  <c r="I1604" i="3" l="1"/>
  <c r="E1605" i="3"/>
  <c r="H1604" i="3"/>
  <c r="J1604" i="3"/>
  <c r="F1604" i="3"/>
  <c r="D1605" i="3"/>
  <c r="I1605" i="3" l="1"/>
  <c r="E1606" i="3"/>
  <c r="J1605" i="3"/>
  <c r="H1605" i="3"/>
  <c r="F1605" i="3"/>
  <c r="D1606" i="3"/>
  <c r="I1606" i="3" l="1"/>
  <c r="E1607" i="3"/>
  <c r="H1606" i="3"/>
  <c r="J1606" i="3"/>
  <c r="F1606" i="3"/>
  <c r="D1607" i="3"/>
  <c r="I1607" i="3" l="1"/>
  <c r="E1608" i="3"/>
  <c r="J1607" i="3"/>
  <c r="H1607" i="3"/>
  <c r="F1607" i="3"/>
  <c r="D1608" i="3"/>
  <c r="I1608" i="3" l="1"/>
  <c r="E1609" i="3"/>
  <c r="J1608" i="3"/>
  <c r="H1608" i="3"/>
  <c r="F1608" i="3"/>
  <c r="D1609" i="3"/>
  <c r="I1609" i="3" l="1"/>
  <c r="E1610" i="3"/>
  <c r="J1609" i="3"/>
  <c r="H1609" i="3"/>
  <c r="F1609" i="3"/>
  <c r="D1610" i="3"/>
  <c r="I1610" i="3" l="1"/>
  <c r="E1611" i="3"/>
  <c r="H1610" i="3"/>
  <c r="J1610" i="3"/>
  <c r="F1610" i="3"/>
  <c r="D1611" i="3"/>
  <c r="I1611" i="3" l="1"/>
  <c r="E1612" i="3"/>
  <c r="H1611" i="3"/>
  <c r="J1611" i="3"/>
  <c r="F1611" i="3"/>
  <c r="D1612" i="3"/>
  <c r="I1612" i="3" l="1"/>
  <c r="E1613" i="3"/>
  <c r="J1612" i="3"/>
  <c r="H1612" i="3"/>
  <c r="F1612" i="3"/>
  <c r="D1613" i="3"/>
  <c r="I1613" i="3" l="1"/>
  <c r="E1614" i="3"/>
  <c r="J1613" i="3"/>
  <c r="H1613" i="3"/>
  <c r="F1613" i="3"/>
  <c r="D1614" i="3"/>
  <c r="I1614" i="3" l="1"/>
  <c r="E1615" i="3"/>
  <c r="H1614" i="3"/>
  <c r="J1614" i="3"/>
  <c r="F1614" i="3"/>
  <c r="D1615" i="3"/>
  <c r="I1615" i="3" l="1"/>
  <c r="E1616" i="3"/>
  <c r="H1615" i="3"/>
  <c r="J1615" i="3"/>
  <c r="F1615" i="3"/>
  <c r="D1616" i="3"/>
  <c r="I1616" i="3" l="1"/>
  <c r="E1617" i="3"/>
  <c r="J1616" i="3"/>
  <c r="H1616" i="3"/>
  <c r="F1616" i="3"/>
  <c r="D1617" i="3"/>
  <c r="I1617" i="3" l="1"/>
  <c r="E1618" i="3"/>
  <c r="H1617" i="3"/>
  <c r="J1617" i="3"/>
  <c r="F1617" i="3"/>
  <c r="D1618" i="3"/>
  <c r="I1618" i="3" l="1"/>
  <c r="E1619" i="3"/>
  <c r="J1618" i="3"/>
  <c r="H1618" i="3"/>
  <c r="F1618" i="3"/>
  <c r="D1619" i="3"/>
  <c r="I1619" i="3" l="1"/>
  <c r="E1620" i="3"/>
  <c r="J1619" i="3"/>
  <c r="H1619" i="3"/>
  <c r="F1619" i="3"/>
  <c r="D1620" i="3"/>
  <c r="I1620" i="3" l="1"/>
  <c r="E1621" i="3"/>
  <c r="H1620" i="3"/>
  <c r="J1620" i="3"/>
  <c r="F1620" i="3"/>
  <c r="D1621" i="3"/>
  <c r="I1621" i="3" l="1"/>
  <c r="E1622" i="3"/>
  <c r="J1621" i="3"/>
  <c r="H1621" i="3"/>
  <c r="F1621" i="3"/>
  <c r="D1622" i="3"/>
  <c r="I1622" i="3" l="1"/>
  <c r="E1623" i="3"/>
  <c r="J1622" i="3"/>
  <c r="H1622" i="3"/>
  <c r="F1622" i="3"/>
  <c r="D1623" i="3"/>
  <c r="I1623" i="3" l="1"/>
  <c r="E1624" i="3"/>
  <c r="J1623" i="3"/>
  <c r="H1623" i="3"/>
  <c r="F1623" i="3"/>
  <c r="D1624" i="3"/>
  <c r="I1624" i="3" l="1"/>
  <c r="E1625" i="3"/>
  <c r="J1624" i="3"/>
  <c r="H1624" i="3"/>
  <c r="F1624" i="3"/>
  <c r="D1625" i="3"/>
  <c r="I1625" i="3" l="1"/>
  <c r="E1626" i="3"/>
  <c r="J1625" i="3"/>
  <c r="H1625" i="3"/>
  <c r="F1625" i="3"/>
  <c r="D1626" i="3"/>
  <c r="I1626" i="3" l="1"/>
  <c r="E1627" i="3"/>
  <c r="H1626" i="3"/>
  <c r="J1626" i="3"/>
  <c r="F1626" i="3"/>
  <c r="D1627" i="3"/>
  <c r="I1627" i="3" l="1"/>
  <c r="E1628" i="3"/>
  <c r="H1627" i="3"/>
  <c r="J1627" i="3"/>
  <c r="F1627" i="3"/>
  <c r="D1628" i="3"/>
  <c r="I1628" i="3" l="1"/>
  <c r="E1629" i="3"/>
  <c r="J1628" i="3"/>
  <c r="H1628" i="3"/>
  <c r="F1628" i="3"/>
  <c r="D1629" i="3"/>
  <c r="I1629" i="3" l="1"/>
  <c r="E1630" i="3"/>
  <c r="J1629" i="3"/>
  <c r="H1629" i="3"/>
  <c r="F1629" i="3"/>
  <c r="D1630" i="3"/>
  <c r="I1630" i="3" l="1"/>
  <c r="E1631" i="3"/>
  <c r="J1630" i="3"/>
  <c r="H1630" i="3"/>
  <c r="F1630" i="3"/>
  <c r="D1631" i="3"/>
  <c r="I1631" i="3" l="1"/>
  <c r="E1632" i="3"/>
  <c r="J1631" i="3"/>
  <c r="H1631" i="3"/>
  <c r="F1631" i="3"/>
  <c r="D1632" i="3"/>
  <c r="I1632" i="3" l="1"/>
  <c r="E1633" i="3"/>
  <c r="H1632" i="3"/>
  <c r="J1632" i="3"/>
  <c r="F1632" i="3"/>
  <c r="D1633" i="3"/>
  <c r="I1633" i="3" l="1"/>
  <c r="E1634" i="3"/>
  <c r="J1633" i="3"/>
  <c r="H1633" i="3"/>
  <c r="F1633" i="3"/>
  <c r="D1634" i="3"/>
  <c r="I1634" i="3" l="1"/>
  <c r="E1635" i="3"/>
  <c r="J1634" i="3"/>
  <c r="H1634" i="3"/>
  <c r="F1634" i="3"/>
  <c r="D1635" i="3"/>
  <c r="I1635" i="3" l="1"/>
  <c r="E1636" i="3"/>
  <c r="J1635" i="3"/>
  <c r="H1635" i="3"/>
  <c r="F1635" i="3"/>
  <c r="D1636" i="3"/>
  <c r="I1636" i="3" l="1"/>
  <c r="E1637" i="3"/>
  <c r="J1636" i="3"/>
  <c r="H1636" i="3"/>
  <c r="F1636" i="3"/>
  <c r="D1637" i="3"/>
  <c r="I1637" i="3" l="1"/>
  <c r="E1638" i="3"/>
  <c r="J1637" i="3"/>
  <c r="H1637" i="3"/>
  <c r="F1637" i="3"/>
  <c r="D1638" i="3"/>
  <c r="I1638" i="3" l="1"/>
  <c r="E1639" i="3"/>
  <c r="J1638" i="3"/>
  <c r="H1638" i="3"/>
  <c r="F1638" i="3"/>
  <c r="D1639" i="3"/>
  <c r="I1639" i="3" l="1"/>
  <c r="E1640" i="3"/>
  <c r="J1639" i="3"/>
  <c r="H1639" i="3"/>
  <c r="F1639" i="3"/>
  <c r="D1640" i="3"/>
  <c r="I1640" i="3" l="1"/>
  <c r="E1641" i="3"/>
  <c r="J1640" i="3"/>
  <c r="H1640" i="3"/>
  <c r="F1640" i="3"/>
  <c r="D1641" i="3"/>
  <c r="I1641" i="3" l="1"/>
  <c r="E1642" i="3"/>
  <c r="J1641" i="3"/>
  <c r="H1641" i="3"/>
  <c r="F1641" i="3"/>
  <c r="D1642" i="3"/>
  <c r="I1642" i="3" l="1"/>
  <c r="E1643" i="3"/>
  <c r="J1642" i="3"/>
  <c r="H1642" i="3"/>
  <c r="F1642" i="3"/>
  <c r="D1643" i="3"/>
  <c r="I1643" i="3" l="1"/>
  <c r="E1644" i="3"/>
  <c r="J1643" i="3"/>
  <c r="H1643" i="3"/>
  <c r="F1643" i="3"/>
  <c r="D1644" i="3"/>
  <c r="I1644" i="3" l="1"/>
  <c r="E1645" i="3"/>
  <c r="J1644" i="3"/>
  <c r="H1644" i="3"/>
  <c r="F1644" i="3"/>
  <c r="D1645" i="3"/>
  <c r="I1645" i="3" l="1"/>
  <c r="E1646" i="3"/>
  <c r="J1645" i="3"/>
  <c r="H1645" i="3"/>
  <c r="F1645" i="3"/>
  <c r="D1646" i="3"/>
  <c r="I1646" i="3" l="1"/>
  <c r="E1647" i="3"/>
  <c r="J1646" i="3"/>
  <c r="H1646" i="3"/>
  <c r="F1646" i="3"/>
  <c r="D1647" i="3"/>
  <c r="I1647" i="3" l="1"/>
  <c r="E1648" i="3"/>
  <c r="J1647" i="3"/>
  <c r="H1647" i="3"/>
  <c r="F1647" i="3"/>
  <c r="D1648" i="3"/>
  <c r="I1648" i="3" l="1"/>
  <c r="E1649" i="3"/>
  <c r="J1648" i="3"/>
  <c r="H1648" i="3"/>
  <c r="F1648" i="3"/>
  <c r="D1649" i="3"/>
  <c r="I1649" i="3" l="1"/>
  <c r="E1650" i="3"/>
  <c r="J1649" i="3"/>
  <c r="H1649" i="3"/>
  <c r="F1649" i="3"/>
  <c r="D1650" i="3"/>
  <c r="I1650" i="3" l="1"/>
  <c r="E1651" i="3"/>
  <c r="J1650" i="3"/>
  <c r="H1650" i="3"/>
  <c r="F1650" i="3"/>
  <c r="D1651" i="3"/>
  <c r="I1651" i="3" l="1"/>
  <c r="E1652" i="3"/>
  <c r="J1651" i="3"/>
  <c r="H1651" i="3"/>
  <c r="F1651" i="3"/>
  <c r="D1652" i="3"/>
  <c r="I1652" i="3" l="1"/>
  <c r="E1653" i="3"/>
  <c r="J1652" i="3"/>
  <c r="H1652" i="3"/>
  <c r="F1652" i="3"/>
  <c r="D1653" i="3"/>
  <c r="I1653" i="3" l="1"/>
  <c r="E1654" i="3"/>
  <c r="J1653" i="3"/>
  <c r="H1653" i="3"/>
  <c r="F1653" i="3"/>
  <c r="D1654" i="3"/>
  <c r="I1654" i="3" l="1"/>
  <c r="E1655" i="3"/>
  <c r="J1654" i="3"/>
  <c r="H1654" i="3"/>
  <c r="F1654" i="3"/>
  <c r="D1655" i="3"/>
  <c r="I1655" i="3" l="1"/>
  <c r="E1656" i="3"/>
  <c r="J1655" i="3"/>
  <c r="H1655" i="3"/>
  <c r="F1655" i="3"/>
  <c r="D1656" i="3"/>
  <c r="I1656" i="3" l="1"/>
  <c r="E1657" i="3"/>
  <c r="J1656" i="3"/>
  <c r="H1656" i="3"/>
  <c r="F1656" i="3"/>
  <c r="D1657" i="3"/>
  <c r="I1657" i="3" l="1"/>
  <c r="E1658" i="3"/>
  <c r="J1657" i="3"/>
  <c r="H1657" i="3"/>
  <c r="F1657" i="3"/>
  <c r="D1658" i="3"/>
  <c r="I1658" i="3" l="1"/>
  <c r="E1659" i="3"/>
  <c r="J1658" i="3"/>
  <c r="H1658" i="3"/>
  <c r="F1658" i="3"/>
  <c r="D1659" i="3"/>
  <c r="I1659" i="3" l="1"/>
  <c r="E1660" i="3"/>
  <c r="J1659" i="3"/>
  <c r="H1659" i="3"/>
  <c r="F1659" i="3"/>
  <c r="D1660" i="3"/>
  <c r="I1660" i="3" l="1"/>
  <c r="E1661" i="3"/>
  <c r="J1660" i="3"/>
  <c r="H1660" i="3"/>
  <c r="F1660" i="3"/>
  <c r="D1661" i="3"/>
  <c r="I1661" i="3" l="1"/>
  <c r="E1662" i="3"/>
  <c r="J1661" i="3"/>
  <c r="H1661" i="3"/>
  <c r="F1661" i="3"/>
  <c r="D1662" i="3"/>
  <c r="I1662" i="3" l="1"/>
  <c r="E1663" i="3"/>
  <c r="J1662" i="3"/>
  <c r="H1662" i="3"/>
  <c r="F1662" i="3"/>
  <c r="D1663" i="3"/>
  <c r="I1663" i="3" l="1"/>
  <c r="E1664" i="3"/>
  <c r="J1663" i="3"/>
  <c r="H1663" i="3"/>
  <c r="F1663" i="3"/>
  <c r="D1664" i="3"/>
  <c r="I1664" i="3" l="1"/>
  <c r="E1665" i="3"/>
  <c r="J1664" i="3"/>
  <c r="H1664" i="3"/>
  <c r="F1664" i="3"/>
  <c r="D1665" i="3"/>
  <c r="I1665" i="3" l="1"/>
  <c r="E1666" i="3"/>
  <c r="J1665" i="3"/>
  <c r="H1665" i="3"/>
  <c r="F1665" i="3"/>
  <c r="D1666" i="3"/>
  <c r="I1666" i="3" l="1"/>
  <c r="E1667" i="3"/>
  <c r="J1666" i="3"/>
  <c r="H1666" i="3"/>
  <c r="F1666" i="3"/>
  <c r="D1667" i="3"/>
  <c r="I1667" i="3" l="1"/>
  <c r="E1668" i="3"/>
  <c r="J1667" i="3"/>
  <c r="H1667" i="3"/>
  <c r="F1667" i="3"/>
  <c r="D1668" i="3"/>
  <c r="I1668" i="3" l="1"/>
  <c r="E1669" i="3"/>
  <c r="J1668" i="3"/>
  <c r="H1668" i="3"/>
  <c r="F1668" i="3"/>
  <c r="D1669" i="3"/>
  <c r="I1669" i="3" l="1"/>
  <c r="E1670" i="3"/>
  <c r="J1669" i="3"/>
  <c r="H1669" i="3"/>
  <c r="F1669" i="3"/>
  <c r="D1670" i="3"/>
  <c r="I1670" i="3" l="1"/>
  <c r="E1671" i="3"/>
  <c r="J1670" i="3"/>
  <c r="H1670" i="3"/>
  <c r="F1670" i="3"/>
  <c r="D1671" i="3"/>
  <c r="I1671" i="3" l="1"/>
  <c r="E1672" i="3"/>
  <c r="J1671" i="3"/>
  <c r="H1671" i="3"/>
  <c r="F1671" i="3"/>
  <c r="D1672" i="3"/>
  <c r="I1672" i="3" l="1"/>
  <c r="E1673" i="3"/>
  <c r="J1672" i="3"/>
  <c r="H1672" i="3"/>
  <c r="F1672" i="3"/>
  <c r="D1673" i="3"/>
  <c r="I1673" i="3" l="1"/>
  <c r="E1674" i="3"/>
  <c r="J1673" i="3"/>
  <c r="H1673" i="3"/>
  <c r="F1673" i="3"/>
  <c r="D1674" i="3"/>
  <c r="I1674" i="3" l="1"/>
  <c r="E1675" i="3"/>
  <c r="J1674" i="3"/>
  <c r="H1674" i="3"/>
  <c r="F1674" i="3"/>
  <c r="D1675" i="3"/>
  <c r="I1675" i="3" l="1"/>
  <c r="E1676" i="3"/>
  <c r="J1675" i="3"/>
  <c r="H1675" i="3"/>
  <c r="F1675" i="3"/>
  <c r="D1676" i="3"/>
  <c r="I1676" i="3" l="1"/>
  <c r="E1677" i="3"/>
  <c r="J1676" i="3"/>
  <c r="H1676" i="3"/>
  <c r="F1676" i="3"/>
  <c r="D1677" i="3"/>
  <c r="I1677" i="3" l="1"/>
  <c r="E1678" i="3"/>
  <c r="J1677" i="3"/>
  <c r="H1677" i="3"/>
  <c r="F1677" i="3"/>
  <c r="D1678" i="3"/>
  <c r="I1678" i="3" l="1"/>
  <c r="E1679" i="3"/>
  <c r="J1678" i="3"/>
  <c r="H1678" i="3"/>
  <c r="F1678" i="3"/>
  <c r="D1679" i="3"/>
  <c r="I1679" i="3" l="1"/>
  <c r="E1680" i="3"/>
  <c r="J1679" i="3"/>
  <c r="H1679" i="3"/>
  <c r="F1679" i="3"/>
  <c r="D1680" i="3"/>
  <c r="I1680" i="3" l="1"/>
  <c r="E1681" i="3"/>
  <c r="J1680" i="3"/>
  <c r="H1680" i="3"/>
  <c r="F1680" i="3"/>
  <c r="D1681" i="3"/>
  <c r="I1681" i="3" l="1"/>
  <c r="E1682" i="3"/>
  <c r="J1681" i="3"/>
  <c r="H1681" i="3"/>
  <c r="F1681" i="3"/>
  <c r="D1682" i="3"/>
  <c r="I1682" i="3" l="1"/>
  <c r="E1683" i="3"/>
  <c r="J1682" i="3"/>
  <c r="H1682" i="3"/>
  <c r="F1682" i="3"/>
  <c r="D1683" i="3"/>
  <c r="I1683" i="3" l="1"/>
  <c r="E1684" i="3"/>
  <c r="J1683" i="3"/>
  <c r="H1683" i="3"/>
  <c r="F1683" i="3"/>
  <c r="D1684" i="3"/>
  <c r="I1684" i="3" l="1"/>
  <c r="E1685" i="3"/>
  <c r="J1684" i="3"/>
  <c r="H1684" i="3"/>
  <c r="F1684" i="3"/>
  <c r="D1685" i="3"/>
  <c r="I1685" i="3" l="1"/>
  <c r="E1686" i="3"/>
  <c r="J1685" i="3"/>
  <c r="H1685" i="3"/>
  <c r="F1685" i="3"/>
  <c r="D1686" i="3"/>
  <c r="I1686" i="3" l="1"/>
  <c r="E1687" i="3"/>
  <c r="J1686" i="3"/>
  <c r="H1686" i="3"/>
  <c r="F1686" i="3"/>
  <c r="D1687" i="3"/>
  <c r="I1687" i="3" l="1"/>
  <c r="E1688" i="3"/>
  <c r="J1687" i="3"/>
  <c r="H1687" i="3"/>
  <c r="F1687" i="3"/>
  <c r="D1688" i="3"/>
  <c r="I1688" i="3" l="1"/>
  <c r="E1689" i="3"/>
  <c r="J1688" i="3"/>
  <c r="H1688" i="3"/>
  <c r="F1688" i="3"/>
  <c r="D1689" i="3"/>
  <c r="I1689" i="3" l="1"/>
  <c r="E1690" i="3"/>
  <c r="J1689" i="3"/>
  <c r="H1689" i="3"/>
  <c r="F1689" i="3"/>
  <c r="D1690" i="3"/>
  <c r="I1690" i="3" l="1"/>
  <c r="E1691" i="3"/>
  <c r="J1690" i="3"/>
  <c r="H1690" i="3"/>
  <c r="F1690" i="3"/>
  <c r="D1691" i="3"/>
  <c r="I1691" i="3" l="1"/>
  <c r="E1692" i="3"/>
  <c r="J1691" i="3"/>
  <c r="H1691" i="3"/>
  <c r="F1691" i="3"/>
  <c r="D1692" i="3"/>
  <c r="I1692" i="3" l="1"/>
  <c r="E1693" i="3"/>
  <c r="J1692" i="3"/>
  <c r="H1692" i="3"/>
  <c r="F1692" i="3"/>
  <c r="D1693" i="3"/>
  <c r="I1693" i="3" l="1"/>
  <c r="E1694" i="3"/>
  <c r="J1693" i="3"/>
  <c r="H1693" i="3"/>
  <c r="F1693" i="3"/>
  <c r="D1694" i="3"/>
  <c r="I1694" i="3" l="1"/>
  <c r="E1695" i="3"/>
  <c r="J1694" i="3"/>
  <c r="H1694" i="3"/>
  <c r="F1694" i="3"/>
  <c r="D1695" i="3"/>
  <c r="I1695" i="3" l="1"/>
  <c r="E1696" i="3"/>
  <c r="H1695" i="3"/>
  <c r="J1695" i="3"/>
  <c r="F1695" i="3"/>
  <c r="D1696" i="3"/>
  <c r="I1696" i="3" l="1"/>
  <c r="E1697" i="3"/>
  <c r="H1696" i="3"/>
  <c r="J1696" i="3"/>
  <c r="F1696" i="3"/>
  <c r="D1697" i="3"/>
  <c r="I1697" i="3" l="1"/>
  <c r="E1698" i="3"/>
  <c r="H1697" i="3"/>
  <c r="J1697" i="3"/>
  <c r="F1697" i="3"/>
  <c r="D1698" i="3"/>
  <c r="I1698" i="3" l="1"/>
  <c r="E1699" i="3"/>
  <c r="J1698" i="3"/>
  <c r="H1698" i="3"/>
  <c r="F1698" i="3"/>
  <c r="D1699" i="3"/>
  <c r="I1699" i="3" l="1"/>
  <c r="E1700" i="3"/>
  <c r="J1699" i="3"/>
  <c r="H1699" i="3"/>
  <c r="F1699" i="3"/>
  <c r="D1700" i="3"/>
  <c r="I1700" i="3" l="1"/>
  <c r="E1701" i="3"/>
  <c r="H1700" i="3"/>
  <c r="J1700" i="3"/>
  <c r="F1700" i="3"/>
  <c r="D1701" i="3"/>
  <c r="I1701" i="3" l="1"/>
  <c r="E1702" i="3"/>
  <c r="J1701" i="3"/>
  <c r="H1701" i="3"/>
  <c r="F1701" i="3"/>
  <c r="D1702" i="3"/>
  <c r="I1702" i="3" l="1"/>
  <c r="E1703" i="3"/>
  <c r="J1702" i="3"/>
  <c r="H1702" i="3"/>
  <c r="F1702" i="3"/>
  <c r="D1703" i="3"/>
  <c r="I1703" i="3" l="1"/>
  <c r="E1704" i="3"/>
  <c r="J1703" i="3"/>
  <c r="H1703" i="3"/>
  <c r="F1703" i="3"/>
  <c r="D1704" i="3"/>
  <c r="I1704" i="3" l="1"/>
  <c r="E1705" i="3"/>
  <c r="J1704" i="3"/>
  <c r="H1704" i="3"/>
  <c r="F1704" i="3"/>
  <c r="D1705" i="3"/>
  <c r="I1705" i="3" l="1"/>
  <c r="E1706" i="3"/>
  <c r="J1705" i="3"/>
  <c r="H1705" i="3"/>
  <c r="F1705" i="3"/>
  <c r="D1706" i="3"/>
  <c r="I1706" i="3" l="1"/>
  <c r="E1707" i="3"/>
  <c r="J1706" i="3"/>
  <c r="H1706" i="3"/>
  <c r="F1706" i="3"/>
  <c r="D1707" i="3"/>
  <c r="I1707" i="3" l="1"/>
  <c r="E1708" i="3"/>
  <c r="J1707" i="3"/>
  <c r="H1707" i="3"/>
  <c r="F1707" i="3"/>
  <c r="D1708" i="3"/>
  <c r="I1708" i="3" l="1"/>
  <c r="E1709" i="3"/>
  <c r="J1708" i="3"/>
  <c r="H1708" i="3"/>
  <c r="F1708" i="3"/>
  <c r="D1709" i="3"/>
  <c r="I1709" i="3" l="1"/>
  <c r="E1710" i="3"/>
  <c r="J1709" i="3"/>
  <c r="H1709" i="3"/>
  <c r="F1709" i="3"/>
  <c r="D1710" i="3"/>
  <c r="I1710" i="3" l="1"/>
  <c r="E1711" i="3"/>
  <c r="J1710" i="3"/>
  <c r="H1710" i="3"/>
  <c r="F1710" i="3"/>
  <c r="D1711" i="3"/>
  <c r="I1711" i="3" l="1"/>
  <c r="E1712" i="3"/>
  <c r="J1711" i="3"/>
  <c r="H1711" i="3"/>
  <c r="F1711" i="3"/>
  <c r="D1712" i="3"/>
  <c r="I1712" i="3" l="1"/>
  <c r="E1713" i="3"/>
  <c r="J1712" i="3"/>
  <c r="H1712" i="3"/>
  <c r="F1712" i="3"/>
  <c r="D1713" i="3"/>
  <c r="I1713" i="3" l="1"/>
  <c r="E1714" i="3"/>
  <c r="H1713" i="3"/>
  <c r="J1713" i="3"/>
  <c r="F1713" i="3"/>
  <c r="D1714" i="3"/>
  <c r="I1714" i="3" l="1"/>
  <c r="E1715" i="3"/>
  <c r="H1714" i="3"/>
  <c r="J1714" i="3"/>
  <c r="F1714" i="3"/>
  <c r="D1715" i="3"/>
  <c r="I1715" i="3" l="1"/>
  <c r="E1716" i="3"/>
  <c r="H1715" i="3"/>
  <c r="J1715" i="3"/>
  <c r="F1715" i="3"/>
  <c r="D1716" i="3"/>
  <c r="I1716" i="3" l="1"/>
  <c r="E1717" i="3"/>
  <c r="J1716" i="3"/>
  <c r="H1716" i="3"/>
  <c r="F1716" i="3"/>
  <c r="D1717" i="3"/>
  <c r="I1717" i="3" l="1"/>
  <c r="E1718" i="3"/>
  <c r="J1717" i="3"/>
  <c r="H1717" i="3"/>
  <c r="F1717" i="3"/>
  <c r="D1718" i="3"/>
  <c r="I1718" i="3" l="1"/>
  <c r="E1719" i="3"/>
  <c r="J1718" i="3"/>
  <c r="H1718" i="3"/>
  <c r="F1718" i="3"/>
  <c r="D1719" i="3"/>
  <c r="I1719" i="3" l="1"/>
  <c r="E1720" i="3"/>
  <c r="J1719" i="3"/>
  <c r="H1719" i="3"/>
  <c r="F1719" i="3"/>
  <c r="D1720" i="3"/>
  <c r="I1720" i="3" l="1"/>
  <c r="E1721" i="3"/>
  <c r="J1720" i="3"/>
  <c r="H1720" i="3"/>
  <c r="F1720" i="3"/>
  <c r="D1721" i="3"/>
  <c r="I1721" i="3" l="1"/>
  <c r="E1722" i="3"/>
  <c r="H1721" i="3"/>
  <c r="J1721" i="3"/>
  <c r="F1721" i="3"/>
  <c r="D1722" i="3"/>
  <c r="I1722" i="3" l="1"/>
  <c r="E1723" i="3"/>
  <c r="J1722" i="3"/>
  <c r="H1722" i="3"/>
  <c r="F1722" i="3"/>
  <c r="D1723" i="3"/>
  <c r="I1723" i="3" l="1"/>
  <c r="E1724" i="3"/>
  <c r="J1723" i="3"/>
  <c r="H1723" i="3"/>
  <c r="F1723" i="3"/>
  <c r="D1724" i="3"/>
  <c r="I1724" i="3" l="1"/>
  <c r="E1725" i="3"/>
  <c r="J1724" i="3"/>
  <c r="H1724" i="3"/>
  <c r="F1724" i="3"/>
  <c r="D1725" i="3"/>
  <c r="I1725" i="3" l="1"/>
  <c r="E1726" i="3"/>
  <c r="J1725" i="3"/>
  <c r="H1725" i="3"/>
  <c r="F1725" i="3"/>
  <c r="D1726" i="3"/>
  <c r="I1726" i="3" l="1"/>
  <c r="E1727" i="3"/>
  <c r="J1726" i="3"/>
  <c r="H1726" i="3"/>
  <c r="F1726" i="3"/>
  <c r="D1727" i="3"/>
  <c r="I1727" i="3" l="1"/>
  <c r="E1728" i="3"/>
  <c r="J1727" i="3"/>
  <c r="H1727" i="3"/>
  <c r="F1727" i="3"/>
  <c r="D1728" i="3"/>
  <c r="I1728" i="3" l="1"/>
  <c r="E1729" i="3"/>
  <c r="J1728" i="3"/>
  <c r="H1728" i="3"/>
  <c r="F1728" i="3"/>
  <c r="D1729" i="3"/>
  <c r="I1729" i="3" l="1"/>
  <c r="E1730" i="3"/>
  <c r="J1729" i="3"/>
  <c r="H1729" i="3"/>
  <c r="F1729" i="3"/>
  <c r="D1730" i="3"/>
  <c r="I1730" i="3" l="1"/>
  <c r="E1731" i="3"/>
  <c r="J1730" i="3"/>
  <c r="H1730" i="3"/>
  <c r="F1730" i="3"/>
  <c r="D1731" i="3"/>
  <c r="I1731" i="3" l="1"/>
  <c r="E1732" i="3"/>
  <c r="J1731" i="3"/>
  <c r="H1731" i="3"/>
  <c r="F1731" i="3"/>
  <c r="D1732" i="3"/>
  <c r="I1732" i="3" l="1"/>
  <c r="E1733" i="3"/>
  <c r="J1732" i="3"/>
  <c r="H1732" i="3"/>
  <c r="F1732" i="3"/>
  <c r="D1733" i="3"/>
  <c r="I1733" i="3" l="1"/>
  <c r="E1734" i="3"/>
  <c r="J1733" i="3"/>
  <c r="H1733" i="3"/>
  <c r="F1733" i="3"/>
  <c r="D1734" i="3"/>
  <c r="I1734" i="3" l="1"/>
  <c r="E1735" i="3"/>
  <c r="J1734" i="3"/>
  <c r="H1734" i="3"/>
  <c r="F1734" i="3"/>
  <c r="D1735" i="3"/>
  <c r="I1735" i="3" l="1"/>
  <c r="E1736" i="3"/>
  <c r="J1735" i="3"/>
  <c r="H1735" i="3"/>
  <c r="F1735" i="3"/>
  <c r="D1736" i="3"/>
  <c r="I1736" i="3" l="1"/>
  <c r="E1737" i="3"/>
  <c r="J1736" i="3"/>
  <c r="H1736" i="3"/>
  <c r="F1736" i="3"/>
  <c r="D1737" i="3"/>
  <c r="I1737" i="3" l="1"/>
  <c r="E1738" i="3"/>
  <c r="J1737" i="3"/>
  <c r="H1737" i="3"/>
  <c r="F1737" i="3"/>
  <c r="D1738" i="3"/>
  <c r="I1738" i="3" l="1"/>
  <c r="E1739" i="3"/>
  <c r="H1738" i="3"/>
  <c r="J1738" i="3"/>
  <c r="F1738" i="3"/>
  <c r="D1739" i="3"/>
  <c r="I1739" i="3" l="1"/>
  <c r="E1740" i="3"/>
  <c r="J1739" i="3"/>
  <c r="H1739" i="3"/>
  <c r="F1739" i="3"/>
  <c r="D1740" i="3"/>
  <c r="I1740" i="3" l="1"/>
  <c r="E1741" i="3"/>
  <c r="J1740" i="3"/>
  <c r="H1740" i="3"/>
  <c r="F1740" i="3"/>
  <c r="D1741" i="3"/>
  <c r="I1741" i="3" l="1"/>
  <c r="E1742" i="3"/>
  <c r="J1741" i="3"/>
  <c r="H1741" i="3"/>
  <c r="F1741" i="3"/>
  <c r="D1742" i="3"/>
  <c r="I1742" i="3" l="1"/>
  <c r="E1743" i="3"/>
  <c r="J1742" i="3"/>
  <c r="H1742" i="3"/>
  <c r="F1742" i="3"/>
  <c r="D1743" i="3"/>
  <c r="I1743" i="3" l="1"/>
  <c r="E1744" i="3"/>
  <c r="J1743" i="3"/>
  <c r="H1743" i="3"/>
  <c r="F1743" i="3"/>
  <c r="D1744" i="3"/>
  <c r="I1744" i="3" l="1"/>
  <c r="E1745" i="3"/>
  <c r="J1744" i="3"/>
  <c r="H1744" i="3"/>
  <c r="F1744" i="3"/>
  <c r="D1745" i="3"/>
  <c r="I1745" i="3" l="1"/>
  <c r="E1746" i="3"/>
  <c r="J1745" i="3"/>
  <c r="H1745" i="3"/>
  <c r="F1745" i="3"/>
  <c r="D1746" i="3"/>
  <c r="I1746" i="3" l="1"/>
  <c r="E1747" i="3"/>
  <c r="J1746" i="3"/>
  <c r="H1746" i="3"/>
  <c r="F1746" i="3"/>
  <c r="D1747" i="3"/>
  <c r="I1747" i="3" l="1"/>
  <c r="E1748" i="3"/>
  <c r="J1747" i="3"/>
  <c r="H1747" i="3"/>
  <c r="F1747" i="3"/>
  <c r="D1748" i="3"/>
  <c r="I1748" i="3" l="1"/>
  <c r="E1749" i="3"/>
  <c r="J1748" i="3"/>
  <c r="H1748" i="3"/>
  <c r="F1748" i="3"/>
  <c r="D1749" i="3"/>
  <c r="I1749" i="3" l="1"/>
  <c r="E1750" i="3"/>
  <c r="J1749" i="3"/>
  <c r="H1749" i="3"/>
  <c r="F1749" i="3"/>
  <c r="D1750" i="3"/>
  <c r="I1750" i="3" l="1"/>
  <c r="E1751" i="3"/>
  <c r="J1750" i="3"/>
  <c r="H1750" i="3"/>
  <c r="F1750" i="3"/>
  <c r="D1751" i="3"/>
  <c r="I1751" i="3" l="1"/>
  <c r="E1752" i="3"/>
  <c r="J1751" i="3"/>
  <c r="H1751" i="3"/>
  <c r="F1751" i="3"/>
  <c r="D1752" i="3"/>
  <c r="I1752" i="3" l="1"/>
  <c r="E1753" i="3"/>
  <c r="J1752" i="3"/>
  <c r="H1752" i="3"/>
  <c r="F1752" i="3"/>
  <c r="D1753" i="3"/>
  <c r="I1753" i="3" l="1"/>
  <c r="E1754" i="3"/>
  <c r="J1753" i="3"/>
  <c r="H1753" i="3"/>
  <c r="F1753" i="3"/>
  <c r="D1754" i="3"/>
  <c r="I1754" i="3" l="1"/>
  <c r="E1755" i="3"/>
  <c r="J1754" i="3"/>
  <c r="H1754" i="3"/>
  <c r="F1754" i="3"/>
  <c r="D1755" i="3"/>
  <c r="I1755" i="3" l="1"/>
  <c r="E1756" i="3"/>
  <c r="J1755" i="3"/>
  <c r="H1755" i="3"/>
  <c r="F1755" i="3"/>
  <c r="D1756" i="3"/>
  <c r="I1756" i="3" l="1"/>
  <c r="E1757" i="3"/>
  <c r="J1756" i="3"/>
  <c r="H1756" i="3"/>
  <c r="F1756" i="3"/>
  <c r="D1757" i="3"/>
  <c r="I1757" i="3" l="1"/>
  <c r="E1758" i="3"/>
  <c r="J1757" i="3"/>
  <c r="H1757" i="3"/>
  <c r="F1757" i="3"/>
  <c r="D1758" i="3"/>
  <c r="I1758" i="3" l="1"/>
  <c r="E1759" i="3"/>
  <c r="J1758" i="3"/>
  <c r="H1758" i="3"/>
  <c r="F1758" i="3"/>
  <c r="D1759" i="3"/>
  <c r="I1759" i="3" l="1"/>
  <c r="E1760" i="3"/>
  <c r="J1759" i="3"/>
  <c r="H1759" i="3"/>
  <c r="F1759" i="3"/>
  <c r="D1760" i="3"/>
  <c r="I1760" i="3" l="1"/>
  <c r="E1761" i="3"/>
  <c r="J1760" i="3"/>
  <c r="H1760" i="3"/>
  <c r="F1760" i="3"/>
  <c r="D1761" i="3"/>
  <c r="I1761" i="3" l="1"/>
  <c r="E1762" i="3"/>
  <c r="J1761" i="3"/>
  <c r="H1761" i="3"/>
  <c r="F1761" i="3"/>
  <c r="D1762" i="3"/>
  <c r="I1762" i="3" l="1"/>
  <c r="E1763" i="3"/>
  <c r="J1762" i="3"/>
  <c r="H1762" i="3"/>
  <c r="F1762" i="3"/>
  <c r="D1763" i="3"/>
  <c r="I1763" i="3" l="1"/>
  <c r="E1764" i="3"/>
  <c r="J1763" i="3"/>
  <c r="H1763" i="3"/>
  <c r="F1763" i="3"/>
  <c r="D1764" i="3"/>
  <c r="I1764" i="3" l="1"/>
  <c r="E1765" i="3"/>
  <c r="J1764" i="3"/>
  <c r="H1764" i="3"/>
  <c r="F1764" i="3"/>
  <c r="D1765" i="3"/>
  <c r="I1765" i="3" l="1"/>
  <c r="E1766" i="3"/>
  <c r="J1765" i="3"/>
  <c r="H1765" i="3"/>
  <c r="F1765" i="3"/>
  <c r="D1766" i="3"/>
  <c r="I1766" i="3" l="1"/>
  <c r="E1767" i="3"/>
  <c r="J1766" i="3"/>
  <c r="H1766" i="3"/>
  <c r="F1766" i="3"/>
  <c r="D1767" i="3"/>
  <c r="I1767" i="3" l="1"/>
  <c r="E1768" i="3"/>
  <c r="J1767" i="3"/>
  <c r="H1767" i="3"/>
  <c r="F1767" i="3"/>
  <c r="D1768" i="3"/>
  <c r="I1768" i="3" l="1"/>
  <c r="E1769" i="3"/>
  <c r="J1768" i="3"/>
  <c r="H1768" i="3"/>
  <c r="F1768" i="3"/>
  <c r="D1769" i="3"/>
  <c r="I1769" i="3" l="1"/>
  <c r="E1770" i="3"/>
  <c r="J1769" i="3"/>
  <c r="H1769" i="3"/>
  <c r="F1769" i="3"/>
  <c r="D1770" i="3"/>
  <c r="I1770" i="3" l="1"/>
  <c r="E1771" i="3"/>
  <c r="J1770" i="3"/>
  <c r="H1770" i="3"/>
  <c r="F1770" i="3"/>
  <c r="D1771" i="3"/>
  <c r="I1771" i="3" l="1"/>
  <c r="E1772" i="3"/>
  <c r="J1771" i="3"/>
  <c r="H1771" i="3"/>
  <c r="F1771" i="3"/>
  <c r="D1772" i="3"/>
  <c r="I1772" i="3" l="1"/>
  <c r="E1773" i="3"/>
  <c r="J1772" i="3"/>
  <c r="H1772" i="3"/>
  <c r="F1772" i="3"/>
  <c r="D1773" i="3"/>
  <c r="I1773" i="3" l="1"/>
  <c r="E1774" i="3"/>
  <c r="J1773" i="3"/>
  <c r="H1773" i="3"/>
  <c r="F1773" i="3"/>
  <c r="D1774" i="3"/>
  <c r="I1774" i="3" l="1"/>
  <c r="E1775" i="3"/>
  <c r="H1774" i="3"/>
  <c r="J1774" i="3"/>
  <c r="F1774" i="3"/>
  <c r="D1775" i="3"/>
  <c r="I1775" i="3" l="1"/>
  <c r="E1776" i="3"/>
  <c r="J1775" i="3"/>
  <c r="H1775" i="3"/>
  <c r="F1775" i="3"/>
  <c r="D1776" i="3"/>
  <c r="I1776" i="3" l="1"/>
  <c r="E1777" i="3"/>
  <c r="J1776" i="3"/>
  <c r="H1776" i="3"/>
  <c r="F1776" i="3"/>
  <c r="D1777" i="3"/>
  <c r="I1777" i="3" l="1"/>
  <c r="E1778" i="3"/>
  <c r="J1777" i="3"/>
  <c r="H1777" i="3"/>
  <c r="F1777" i="3"/>
  <c r="D1778" i="3"/>
  <c r="I1778" i="3" l="1"/>
  <c r="E1779" i="3"/>
  <c r="H1778" i="3"/>
  <c r="J1778" i="3"/>
  <c r="F1778" i="3"/>
  <c r="D1779" i="3"/>
  <c r="I1779" i="3" l="1"/>
  <c r="E1780" i="3"/>
  <c r="J1779" i="3"/>
  <c r="H1779" i="3"/>
  <c r="F1779" i="3"/>
  <c r="D1780" i="3"/>
  <c r="I1780" i="3" l="1"/>
  <c r="E1781" i="3"/>
  <c r="J1780" i="3"/>
  <c r="H1780" i="3"/>
  <c r="F1780" i="3"/>
  <c r="D1781" i="3"/>
  <c r="I1781" i="3" l="1"/>
  <c r="E1782" i="3"/>
  <c r="J1781" i="3"/>
  <c r="H1781" i="3"/>
  <c r="F1781" i="3"/>
  <c r="D1782" i="3"/>
  <c r="I1782" i="3" l="1"/>
  <c r="E1783" i="3"/>
  <c r="J1782" i="3"/>
  <c r="H1782" i="3"/>
  <c r="F1782" i="3"/>
  <c r="D1783" i="3"/>
  <c r="I1783" i="3" l="1"/>
  <c r="E1784" i="3"/>
  <c r="J1783" i="3"/>
  <c r="H1783" i="3"/>
  <c r="F1783" i="3"/>
  <c r="D1784" i="3"/>
  <c r="I1784" i="3" l="1"/>
  <c r="E1785" i="3"/>
  <c r="J1784" i="3"/>
  <c r="H1784" i="3"/>
  <c r="F1784" i="3"/>
  <c r="D1785" i="3"/>
  <c r="I1785" i="3" l="1"/>
  <c r="E1786" i="3"/>
  <c r="H1785" i="3"/>
  <c r="J1785" i="3"/>
  <c r="F1785" i="3"/>
  <c r="D1786" i="3"/>
  <c r="I1786" i="3" l="1"/>
  <c r="E1787" i="3"/>
  <c r="J1786" i="3"/>
  <c r="H1786" i="3"/>
  <c r="F1786" i="3"/>
  <c r="D1787" i="3"/>
  <c r="I1787" i="3" l="1"/>
  <c r="E1788" i="3"/>
  <c r="H1787" i="3"/>
  <c r="J1787" i="3"/>
  <c r="F1787" i="3"/>
  <c r="D1788" i="3"/>
  <c r="I1788" i="3" l="1"/>
  <c r="E1789" i="3"/>
  <c r="J1788" i="3"/>
  <c r="H1788" i="3"/>
  <c r="F1788" i="3"/>
  <c r="D1789" i="3"/>
  <c r="I1789" i="3" l="1"/>
  <c r="E1790" i="3"/>
  <c r="J1789" i="3"/>
  <c r="H1789" i="3"/>
  <c r="F1789" i="3"/>
  <c r="D1790" i="3"/>
  <c r="I1790" i="3" l="1"/>
  <c r="E1791" i="3"/>
  <c r="J1790" i="3"/>
  <c r="H1790" i="3"/>
  <c r="F1790" i="3"/>
  <c r="D1791" i="3"/>
  <c r="I1791" i="3" l="1"/>
  <c r="E1792" i="3"/>
  <c r="J1791" i="3"/>
  <c r="H1791" i="3"/>
  <c r="F1791" i="3"/>
  <c r="D1792" i="3"/>
  <c r="I1792" i="3" l="1"/>
  <c r="E1793" i="3"/>
  <c r="H1792" i="3"/>
  <c r="J1792" i="3"/>
  <c r="F1792" i="3"/>
  <c r="D1793" i="3"/>
  <c r="I1793" i="3" l="1"/>
  <c r="E1794" i="3"/>
  <c r="H1793" i="3"/>
  <c r="J1793" i="3"/>
  <c r="F1793" i="3"/>
  <c r="D1794" i="3"/>
  <c r="I1794" i="3" l="1"/>
  <c r="E1795" i="3"/>
  <c r="J1794" i="3"/>
  <c r="H1794" i="3"/>
  <c r="F1794" i="3"/>
  <c r="D1795" i="3"/>
  <c r="I1795" i="3" l="1"/>
  <c r="E1796" i="3"/>
  <c r="H1795" i="3"/>
  <c r="J1795" i="3"/>
  <c r="F1795" i="3"/>
  <c r="D1796" i="3"/>
  <c r="I1796" i="3" l="1"/>
  <c r="E1797" i="3"/>
  <c r="H1796" i="3"/>
  <c r="J1796" i="3"/>
  <c r="F1796" i="3"/>
  <c r="D1797" i="3"/>
  <c r="I1797" i="3" l="1"/>
  <c r="E1798" i="3"/>
  <c r="J1797" i="3"/>
  <c r="H1797" i="3"/>
  <c r="F1797" i="3"/>
  <c r="D1798" i="3"/>
  <c r="I1798" i="3" l="1"/>
  <c r="E1799" i="3"/>
  <c r="H1798" i="3"/>
  <c r="J1798" i="3"/>
  <c r="F1798" i="3"/>
  <c r="D1799" i="3"/>
  <c r="I1799" i="3" l="1"/>
  <c r="E1800" i="3"/>
  <c r="J1799" i="3"/>
  <c r="H1799" i="3"/>
  <c r="F1799" i="3"/>
  <c r="D1800" i="3"/>
  <c r="I1800" i="3" l="1"/>
  <c r="E1801" i="3"/>
  <c r="J1800" i="3"/>
  <c r="H1800" i="3"/>
  <c r="F1800" i="3"/>
  <c r="D1801" i="3"/>
  <c r="I1801" i="3" l="1"/>
  <c r="E1802" i="3"/>
  <c r="H1801" i="3"/>
  <c r="J1801" i="3"/>
  <c r="F1801" i="3"/>
  <c r="D1802" i="3"/>
  <c r="I1802" i="3" l="1"/>
  <c r="E1803" i="3"/>
  <c r="H1802" i="3"/>
  <c r="J1802" i="3"/>
  <c r="F1802" i="3"/>
  <c r="D1803" i="3"/>
  <c r="I1803" i="3" l="1"/>
  <c r="E1804" i="3"/>
  <c r="H1803" i="3"/>
  <c r="J1803" i="3"/>
  <c r="F1803" i="3"/>
  <c r="D1804" i="3"/>
  <c r="I1804" i="3" l="1"/>
  <c r="E1805" i="3"/>
  <c r="H1804" i="3"/>
  <c r="J1804" i="3"/>
  <c r="F1804" i="3"/>
  <c r="D1805" i="3"/>
  <c r="I1805" i="3" l="1"/>
  <c r="E1806" i="3"/>
  <c r="H1805" i="3"/>
  <c r="J1805" i="3"/>
  <c r="F1805" i="3"/>
  <c r="D1806" i="3"/>
  <c r="I1806" i="3" l="1"/>
  <c r="E1807" i="3"/>
  <c r="J1806" i="3"/>
  <c r="H1806" i="3"/>
  <c r="F1806" i="3"/>
  <c r="D1807" i="3"/>
  <c r="I1807" i="3" l="1"/>
  <c r="E1808" i="3"/>
  <c r="J1807" i="3"/>
  <c r="H1807" i="3"/>
  <c r="F1807" i="3"/>
  <c r="D1808" i="3"/>
  <c r="I1808" i="3" l="1"/>
  <c r="E1809" i="3"/>
  <c r="J1808" i="3"/>
  <c r="H1808" i="3"/>
  <c r="F1808" i="3"/>
  <c r="D1809" i="3"/>
  <c r="I1809" i="3" l="1"/>
  <c r="E1810" i="3"/>
  <c r="J1809" i="3"/>
  <c r="H1809" i="3"/>
  <c r="F1809" i="3"/>
  <c r="D1810" i="3"/>
  <c r="I1810" i="3" l="1"/>
  <c r="E1811" i="3"/>
  <c r="J1810" i="3"/>
  <c r="H1810" i="3"/>
  <c r="F1810" i="3"/>
  <c r="D1811" i="3"/>
  <c r="I1811" i="3" l="1"/>
  <c r="E1812" i="3"/>
  <c r="J1811" i="3"/>
  <c r="H1811" i="3"/>
  <c r="F1811" i="3"/>
  <c r="D1812" i="3"/>
  <c r="I1812" i="3" l="1"/>
  <c r="E1813" i="3"/>
  <c r="J1812" i="3"/>
  <c r="H1812" i="3"/>
  <c r="F1812" i="3"/>
  <c r="D1813" i="3"/>
  <c r="I1813" i="3" l="1"/>
  <c r="E1814" i="3"/>
  <c r="J1813" i="3"/>
  <c r="H1813" i="3"/>
  <c r="F1813" i="3"/>
  <c r="D1814" i="3"/>
  <c r="I1814" i="3" l="1"/>
  <c r="E1815" i="3"/>
  <c r="J1814" i="3"/>
  <c r="H1814" i="3"/>
  <c r="F1814" i="3"/>
  <c r="D1815" i="3"/>
  <c r="I1815" i="3" l="1"/>
  <c r="E1816" i="3"/>
  <c r="J1815" i="3"/>
  <c r="H1815" i="3"/>
  <c r="F1815" i="3"/>
  <c r="D1816" i="3"/>
  <c r="I1816" i="3" l="1"/>
  <c r="E1817" i="3"/>
  <c r="J1816" i="3"/>
  <c r="H1816" i="3"/>
  <c r="F1816" i="3"/>
  <c r="D1817" i="3"/>
  <c r="I1817" i="3" l="1"/>
  <c r="E1818" i="3"/>
  <c r="J1817" i="3"/>
  <c r="H1817" i="3"/>
  <c r="F1817" i="3"/>
  <c r="D1818" i="3"/>
  <c r="I1818" i="3" l="1"/>
  <c r="E1819" i="3"/>
  <c r="J1818" i="3"/>
  <c r="H1818" i="3"/>
  <c r="F1818" i="3"/>
  <c r="D1819" i="3"/>
  <c r="I1819" i="3" l="1"/>
  <c r="E1820" i="3"/>
  <c r="J1819" i="3"/>
  <c r="H1819" i="3"/>
  <c r="F1819" i="3"/>
  <c r="D1820" i="3"/>
  <c r="I1820" i="3" l="1"/>
  <c r="E1821" i="3"/>
  <c r="H1820" i="3"/>
  <c r="J1820" i="3"/>
  <c r="F1820" i="3"/>
  <c r="D1821" i="3"/>
  <c r="I1821" i="3" l="1"/>
  <c r="E1822" i="3"/>
  <c r="H1821" i="3"/>
  <c r="J1821" i="3"/>
  <c r="F1821" i="3"/>
  <c r="D1822" i="3"/>
  <c r="I1822" i="3" l="1"/>
  <c r="E1823" i="3"/>
  <c r="J1822" i="3"/>
  <c r="H1822" i="3"/>
  <c r="F1822" i="3"/>
  <c r="D1823" i="3"/>
  <c r="I1823" i="3" l="1"/>
  <c r="E1824" i="3"/>
  <c r="J1823" i="3"/>
  <c r="H1823" i="3"/>
  <c r="F1823" i="3"/>
  <c r="D1824" i="3"/>
  <c r="I1824" i="3" l="1"/>
  <c r="E1825" i="3"/>
  <c r="J1824" i="3"/>
  <c r="H1824" i="3"/>
  <c r="F1824" i="3"/>
  <c r="D1825" i="3"/>
  <c r="I1825" i="3" l="1"/>
  <c r="E1826" i="3"/>
  <c r="H1825" i="3"/>
  <c r="J1825" i="3"/>
  <c r="F1825" i="3"/>
  <c r="D1826" i="3"/>
  <c r="I1826" i="3" l="1"/>
  <c r="E1827" i="3"/>
  <c r="J1826" i="3"/>
  <c r="H1826" i="3"/>
  <c r="F1826" i="3"/>
  <c r="D1827" i="3"/>
  <c r="I1827" i="3" l="1"/>
  <c r="E1828" i="3"/>
  <c r="J1827" i="3"/>
  <c r="H1827" i="3"/>
  <c r="F1827" i="3"/>
  <c r="D1828" i="3"/>
  <c r="I1828" i="3" l="1"/>
  <c r="E1829" i="3"/>
  <c r="H1828" i="3"/>
  <c r="J1828" i="3"/>
  <c r="F1828" i="3"/>
  <c r="D1829" i="3"/>
  <c r="I1829" i="3" l="1"/>
  <c r="E1830" i="3"/>
  <c r="H1829" i="3"/>
  <c r="J1829" i="3"/>
  <c r="F1829" i="3"/>
  <c r="D1830" i="3"/>
  <c r="I1830" i="3" l="1"/>
  <c r="E1831" i="3"/>
  <c r="J1830" i="3"/>
  <c r="H1830" i="3"/>
  <c r="F1830" i="3"/>
  <c r="D1831" i="3"/>
  <c r="I1831" i="3" l="1"/>
  <c r="E1832" i="3"/>
  <c r="J1831" i="3"/>
  <c r="H1831" i="3"/>
  <c r="F1831" i="3"/>
  <c r="D1832" i="3"/>
  <c r="I1832" i="3" l="1"/>
  <c r="E1833" i="3"/>
  <c r="J1832" i="3"/>
  <c r="H1832" i="3"/>
  <c r="F1832" i="3"/>
  <c r="D1833" i="3"/>
  <c r="I1833" i="3" l="1"/>
  <c r="E1834" i="3"/>
  <c r="J1833" i="3"/>
  <c r="H1833" i="3"/>
  <c r="F1833" i="3"/>
  <c r="D1834" i="3"/>
  <c r="I1834" i="3" l="1"/>
  <c r="E1835" i="3"/>
  <c r="J1834" i="3"/>
  <c r="H1834" i="3"/>
  <c r="F1834" i="3"/>
  <c r="D1835" i="3"/>
  <c r="I1835" i="3" l="1"/>
  <c r="E1836" i="3"/>
  <c r="J1835" i="3"/>
  <c r="H1835" i="3"/>
  <c r="F1835" i="3"/>
  <c r="D1836" i="3"/>
  <c r="I1836" i="3" l="1"/>
  <c r="E1837" i="3"/>
  <c r="J1836" i="3"/>
  <c r="H1836" i="3"/>
  <c r="F1836" i="3"/>
  <c r="D1837" i="3"/>
  <c r="I1837" i="3" l="1"/>
  <c r="E1838" i="3"/>
  <c r="J1837" i="3"/>
  <c r="H1837" i="3"/>
  <c r="F1837" i="3"/>
  <c r="D1838" i="3"/>
  <c r="I1838" i="3" l="1"/>
  <c r="E1839" i="3"/>
  <c r="J1838" i="3"/>
  <c r="H1838" i="3"/>
  <c r="F1838" i="3"/>
  <c r="D1839" i="3"/>
  <c r="I1839" i="3" l="1"/>
  <c r="E1840" i="3"/>
  <c r="J1839" i="3"/>
  <c r="H1839" i="3"/>
  <c r="F1839" i="3"/>
  <c r="D1840" i="3"/>
  <c r="I1840" i="3" l="1"/>
  <c r="E1841" i="3"/>
  <c r="J1840" i="3"/>
  <c r="H1840" i="3"/>
  <c r="F1840" i="3"/>
  <c r="D1841" i="3"/>
  <c r="I1841" i="3" l="1"/>
  <c r="E1842" i="3"/>
  <c r="J1841" i="3"/>
  <c r="H1841" i="3"/>
  <c r="F1841" i="3"/>
  <c r="D1842" i="3"/>
  <c r="I1842" i="3" l="1"/>
  <c r="E1843" i="3"/>
  <c r="J1842" i="3"/>
  <c r="H1842" i="3"/>
  <c r="F1842" i="3"/>
  <c r="D1843" i="3"/>
  <c r="I1843" i="3" l="1"/>
  <c r="E1844" i="3"/>
  <c r="J1843" i="3"/>
  <c r="H1843" i="3"/>
  <c r="F1843" i="3"/>
  <c r="D1844" i="3"/>
  <c r="I1844" i="3" l="1"/>
  <c r="E1845" i="3"/>
  <c r="J1844" i="3"/>
  <c r="H1844" i="3"/>
  <c r="F1844" i="3"/>
  <c r="D1845" i="3"/>
  <c r="I1845" i="3" l="1"/>
  <c r="E1846" i="3"/>
  <c r="J1845" i="3"/>
  <c r="H1845" i="3"/>
  <c r="F1845" i="3"/>
  <c r="D1846" i="3"/>
  <c r="I1846" i="3" l="1"/>
  <c r="E1847" i="3"/>
  <c r="J1846" i="3"/>
  <c r="H1846" i="3"/>
  <c r="F1846" i="3"/>
  <c r="D1847" i="3"/>
  <c r="I1847" i="3" l="1"/>
  <c r="E1848" i="3"/>
  <c r="J1847" i="3"/>
  <c r="H1847" i="3"/>
  <c r="F1847" i="3"/>
  <c r="D1848" i="3"/>
  <c r="I1848" i="3" l="1"/>
  <c r="E1849" i="3"/>
  <c r="J1848" i="3"/>
  <c r="H1848" i="3"/>
  <c r="F1848" i="3"/>
  <c r="D1849" i="3"/>
  <c r="I1849" i="3" l="1"/>
  <c r="E1850" i="3"/>
  <c r="J1849" i="3"/>
  <c r="H1849" i="3"/>
  <c r="F1849" i="3"/>
  <c r="D1850" i="3"/>
  <c r="I1850" i="3" l="1"/>
  <c r="E1851" i="3"/>
  <c r="J1850" i="3"/>
  <c r="H1850" i="3"/>
  <c r="F1850" i="3"/>
  <c r="D1851" i="3"/>
  <c r="I1851" i="3" l="1"/>
  <c r="E1852" i="3"/>
  <c r="J1851" i="3"/>
  <c r="H1851" i="3"/>
  <c r="F1851" i="3"/>
  <c r="D1852" i="3"/>
  <c r="I1852" i="3" l="1"/>
  <c r="E1853" i="3"/>
  <c r="J1852" i="3"/>
  <c r="H1852" i="3"/>
  <c r="F1852" i="3"/>
  <c r="D1853" i="3"/>
  <c r="I1853" i="3" l="1"/>
  <c r="E1854" i="3"/>
  <c r="J1853" i="3"/>
  <c r="H1853" i="3"/>
  <c r="F1853" i="3"/>
  <c r="D1854" i="3"/>
  <c r="I1854" i="3" l="1"/>
  <c r="E1855" i="3"/>
  <c r="J1854" i="3"/>
  <c r="H1854" i="3"/>
  <c r="F1854" i="3"/>
  <c r="D1855" i="3"/>
  <c r="I1855" i="3" l="1"/>
  <c r="E1856" i="3"/>
  <c r="J1855" i="3"/>
  <c r="H1855" i="3"/>
  <c r="F1855" i="3"/>
  <c r="D1856" i="3"/>
  <c r="I1856" i="3" l="1"/>
  <c r="E1857" i="3"/>
  <c r="J1856" i="3"/>
  <c r="H1856" i="3"/>
  <c r="F1856" i="3"/>
  <c r="D1857" i="3"/>
  <c r="I1857" i="3" l="1"/>
  <c r="E1858" i="3"/>
  <c r="J1857" i="3"/>
  <c r="H1857" i="3"/>
  <c r="F1857" i="3"/>
  <c r="D1858" i="3"/>
  <c r="I1858" i="3" l="1"/>
  <c r="E1859" i="3"/>
  <c r="J1858" i="3"/>
  <c r="H1858" i="3"/>
  <c r="F1858" i="3"/>
  <c r="D1859" i="3"/>
  <c r="I1859" i="3" l="1"/>
  <c r="E1860" i="3"/>
  <c r="J1859" i="3"/>
  <c r="H1859" i="3"/>
  <c r="F1859" i="3"/>
  <c r="D1860" i="3"/>
  <c r="I1860" i="3" l="1"/>
  <c r="E1861" i="3"/>
  <c r="J1860" i="3"/>
  <c r="H1860" i="3"/>
  <c r="F1860" i="3"/>
  <c r="D1861" i="3"/>
  <c r="I1861" i="3" l="1"/>
  <c r="E1862" i="3"/>
  <c r="J1861" i="3"/>
  <c r="H1861" i="3"/>
  <c r="F1861" i="3"/>
  <c r="D1862" i="3"/>
  <c r="I1862" i="3" l="1"/>
  <c r="E1863" i="3"/>
  <c r="J1862" i="3"/>
  <c r="H1862" i="3"/>
  <c r="F1862" i="3"/>
  <c r="D1863" i="3"/>
  <c r="I1863" i="3" l="1"/>
  <c r="E1864" i="3"/>
  <c r="J1863" i="3"/>
  <c r="H1863" i="3"/>
  <c r="F1863" i="3"/>
  <c r="D1864" i="3"/>
  <c r="I1864" i="3" l="1"/>
  <c r="E1865" i="3"/>
  <c r="J1864" i="3"/>
  <c r="H1864" i="3"/>
  <c r="F1864" i="3"/>
  <c r="D1865" i="3"/>
  <c r="I1865" i="3" l="1"/>
  <c r="E1866" i="3"/>
  <c r="J1865" i="3"/>
  <c r="H1865" i="3"/>
  <c r="F1865" i="3"/>
  <c r="D1866" i="3"/>
  <c r="I1866" i="3" l="1"/>
  <c r="E1867" i="3"/>
  <c r="J1866" i="3"/>
  <c r="H1866" i="3"/>
  <c r="F1866" i="3"/>
  <c r="D1867" i="3"/>
  <c r="I1867" i="3" l="1"/>
  <c r="E1868" i="3"/>
  <c r="J1867" i="3"/>
  <c r="H1867" i="3"/>
  <c r="F1867" i="3"/>
  <c r="D1868" i="3"/>
  <c r="I1868" i="3" l="1"/>
  <c r="E1869" i="3"/>
  <c r="J1868" i="3"/>
  <c r="H1868" i="3"/>
  <c r="F1868" i="3"/>
  <c r="D1869" i="3"/>
  <c r="I1869" i="3" l="1"/>
  <c r="E1870" i="3"/>
  <c r="J1869" i="3"/>
  <c r="H1869" i="3"/>
  <c r="F1869" i="3"/>
  <c r="D1870" i="3"/>
  <c r="I1870" i="3" l="1"/>
  <c r="E1871" i="3"/>
  <c r="J1870" i="3"/>
  <c r="H1870" i="3"/>
  <c r="F1870" i="3"/>
  <c r="D1871" i="3"/>
  <c r="I1871" i="3" l="1"/>
  <c r="E1872" i="3"/>
  <c r="J1871" i="3"/>
  <c r="H1871" i="3"/>
  <c r="F1871" i="3"/>
  <c r="D1872" i="3"/>
  <c r="I1872" i="3" l="1"/>
  <c r="E1873" i="3"/>
  <c r="J1872" i="3"/>
  <c r="H1872" i="3"/>
  <c r="F1872" i="3"/>
  <c r="D1873" i="3"/>
  <c r="I1873" i="3" l="1"/>
  <c r="E1874" i="3"/>
  <c r="J1873" i="3"/>
  <c r="H1873" i="3"/>
  <c r="F1873" i="3"/>
  <c r="D1874" i="3"/>
  <c r="I1874" i="3" l="1"/>
  <c r="E1875" i="3"/>
  <c r="J1874" i="3"/>
  <c r="H1874" i="3"/>
  <c r="F1874" i="3"/>
  <c r="D1875" i="3"/>
  <c r="I1875" i="3" l="1"/>
  <c r="E1876" i="3"/>
  <c r="J1875" i="3"/>
  <c r="H1875" i="3"/>
  <c r="F1875" i="3"/>
  <c r="D1876" i="3"/>
  <c r="I1876" i="3" l="1"/>
  <c r="E1877" i="3"/>
  <c r="J1876" i="3"/>
  <c r="H1876" i="3"/>
  <c r="F1876" i="3"/>
  <c r="D1877" i="3"/>
  <c r="I1877" i="3" l="1"/>
  <c r="E1878" i="3"/>
  <c r="J1877" i="3"/>
  <c r="H1877" i="3"/>
  <c r="F1877" i="3"/>
  <c r="D1878" i="3"/>
  <c r="I1878" i="3" l="1"/>
  <c r="E1879" i="3"/>
  <c r="J1878" i="3"/>
  <c r="H1878" i="3"/>
  <c r="F1878" i="3"/>
  <c r="D1879" i="3"/>
  <c r="I1879" i="3" l="1"/>
  <c r="E1880" i="3"/>
  <c r="J1879" i="3"/>
  <c r="H1879" i="3"/>
  <c r="F1879" i="3"/>
  <c r="D1880" i="3"/>
  <c r="I1880" i="3" l="1"/>
  <c r="E1881" i="3"/>
  <c r="J1880" i="3"/>
  <c r="H1880" i="3"/>
  <c r="F1880" i="3"/>
  <c r="D1881" i="3"/>
  <c r="I1881" i="3" l="1"/>
  <c r="E1882" i="3"/>
  <c r="J1881" i="3"/>
  <c r="H1881" i="3"/>
  <c r="F1881" i="3"/>
  <c r="D1882" i="3"/>
  <c r="I1882" i="3" l="1"/>
  <c r="E1883" i="3"/>
  <c r="J1882" i="3"/>
  <c r="H1882" i="3"/>
  <c r="F1882" i="3"/>
  <c r="D1883" i="3"/>
  <c r="I1883" i="3" l="1"/>
  <c r="E1884" i="3"/>
  <c r="J1883" i="3"/>
  <c r="H1883" i="3"/>
  <c r="F1883" i="3"/>
  <c r="D1884" i="3"/>
  <c r="I1884" i="3" l="1"/>
  <c r="E1885" i="3"/>
  <c r="J1884" i="3"/>
  <c r="H1884" i="3"/>
  <c r="F1884" i="3"/>
  <c r="D1885" i="3"/>
  <c r="I1885" i="3" l="1"/>
  <c r="E1886" i="3"/>
  <c r="J1885" i="3"/>
  <c r="H1885" i="3"/>
  <c r="F1885" i="3"/>
  <c r="D1886" i="3"/>
  <c r="I1886" i="3" l="1"/>
  <c r="E1887" i="3"/>
  <c r="J1886" i="3"/>
  <c r="H1886" i="3"/>
  <c r="F1886" i="3"/>
  <c r="D1887" i="3"/>
  <c r="I1887" i="3" l="1"/>
  <c r="E1888" i="3"/>
  <c r="J1887" i="3"/>
  <c r="H1887" i="3"/>
  <c r="F1887" i="3"/>
  <c r="D1888" i="3"/>
  <c r="I1888" i="3" l="1"/>
  <c r="E1889" i="3"/>
  <c r="J1888" i="3"/>
  <c r="H1888" i="3"/>
  <c r="F1888" i="3"/>
  <c r="D1889" i="3"/>
  <c r="I1889" i="3" l="1"/>
  <c r="E1890" i="3"/>
  <c r="J1889" i="3"/>
  <c r="H1889" i="3"/>
  <c r="F1889" i="3"/>
  <c r="D1890" i="3"/>
  <c r="I1890" i="3" l="1"/>
  <c r="E1891" i="3"/>
  <c r="J1890" i="3"/>
  <c r="H1890" i="3"/>
  <c r="F1890" i="3"/>
  <c r="D1891" i="3"/>
  <c r="I1891" i="3" l="1"/>
  <c r="E1892" i="3"/>
  <c r="J1891" i="3"/>
  <c r="H1891" i="3"/>
  <c r="F1891" i="3"/>
  <c r="D1892" i="3"/>
  <c r="I1892" i="3" l="1"/>
  <c r="E1893" i="3"/>
  <c r="J1892" i="3"/>
  <c r="H1892" i="3"/>
  <c r="F1892" i="3"/>
  <c r="D1893" i="3"/>
  <c r="I1893" i="3" l="1"/>
  <c r="E1894" i="3"/>
  <c r="J1893" i="3"/>
  <c r="H1893" i="3"/>
  <c r="F1893" i="3"/>
  <c r="D1894" i="3"/>
  <c r="I1894" i="3" l="1"/>
  <c r="E1895" i="3"/>
  <c r="J1894" i="3"/>
  <c r="H1894" i="3"/>
  <c r="F1894" i="3"/>
  <c r="D1895" i="3"/>
  <c r="I1895" i="3" l="1"/>
  <c r="E1896" i="3"/>
  <c r="J1895" i="3"/>
  <c r="H1895" i="3"/>
  <c r="F1895" i="3"/>
  <c r="D1896" i="3"/>
  <c r="I1896" i="3" l="1"/>
  <c r="E1897" i="3"/>
  <c r="J1896" i="3"/>
  <c r="H1896" i="3"/>
  <c r="F1896" i="3"/>
  <c r="D1897" i="3"/>
  <c r="I1897" i="3" l="1"/>
  <c r="E1898" i="3"/>
  <c r="J1897" i="3"/>
  <c r="H1897" i="3"/>
  <c r="F1897" i="3"/>
  <c r="D1898" i="3"/>
  <c r="I1898" i="3" l="1"/>
  <c r="E1899" i="3"/>
  <c r="J1898" i="3"/>
  <c r="H1898" i="3"/>
  <c r="F1898" i="3"/>
  <c r="D1899" i="3"/>
  <c r="I1899" i="3" l="1"/>
  <c r="E1900" i="3"/>
  <c r="J1899" i="3"/>
  <c r="H1899" i="3"/>
  <c r="F1899" i="3"/>
  <c r="D1900" i="3"/>
  <c r="I1900" i="3" l="1"/>
  <c r="E1901" i="3"/>
  <c r="J1900" i="3"/>
  <c r="H1900" i="3"/>
  <c r="F1900" i="3"/>
  <c r="D1901" i="3"/>
  <c r="I1901" i="3" l="1"/>
  <c r="E1902" i="3"/>
  <c r="J1901" i="3"/>
  <c r="H1901" i="3"/>
  <c r="F1901" i="3"/>
  <c r="D1902" i="3"/>
  <c r="I1902" i="3" l="1"/>
  <c r="E1903" i="3"/>
  <c r="J1902" i="3"/>
  <c r="H1902" i="3"/>
  <c r="F1902" i="3"/>
  <c r="D1903" i="3"/>
  <c r="I1903" i="3" l="1"/>
  <c r="E1904" i="3"/>
  <c r="J1903" i="3"/>
  <c r="H1903" i="3"/>
  <c r="F1903" i="3"/>
  <c r="D1904" i="3"/>
  <c r="I1904" i="3" l="1"/>
  <c r="E1905" i="3"/>
  <c r="J1904" i="3"/>
  <c r="H1904" i="3"/>
  <c r="F1904" i="3"/>
  <c r="D1905" i="3"/>
  <c r="I1905" i="3" l="1"/>
  <c r="E1906" i="3"/>
  <c r="J1905" i="3"/>
  <c r="H1905" i="3"/>
  <c r="F1905" i="3"/>
  <c r="D1906" i="3"/>
  <c r="I1906" i="3" l="1"/>
  <c r="E1907" i="3"/>
  <c r="J1906" i="3"/>
  <c r="H1906" i="3"/>
  <c r="F1906" i="3"/>
  <c r="D1907" i="3"/>
  <c r="I1907" i="3" l="1"/>
  <c r="E1908" i="3"/>
  <c r="J1907" i="3"/>
  <c r="H1907" i="3"/>
  <c r="F1907" i="3"/>
  <c r="D1908" i="3"/>
  <c r="I1908" i="3" l="1"/>
  <c r="E1909" i="3"/>
  <c r="J1908" i="3"/>
  <c r="H1908" i="3"/>
  <c r="F1908" i="3"/>
  <c r="D1909" i="3"/>
  <c r="I1909" i="3" l="1"/>
  <c r="E1910" i="3"/>
  <c r="H1909" i="3"/>
  <c r="J1909" i="3"/>
  <c r="F1909" i="3"/>
  <c r="D1910" i="3"/>
  <c r="I1910" i="3" l="1"/>
  <c r="E1911" i="3"/>
  <c r="H1910" i="3"/>
  <c r="J1910" i="3"/>
  <c r="F1910" i="3"/>
  <c r="D1911" i="3"/>
  <c r="I1911" i="3" l="1"/>
  <c r="E1912" i="3"/>
  <c r="J1911" i="3"/>
  <c r="H1911" i="3"/>
  <c r="F1911" i="3"/>
  <c r="D1912" i="3"/>
  <c r="I1912" i="3" l="1"/>
  <c r="E1913" i="3"/>
  <c r="J1912" i="3"/>
  <c r="H1912" i="3"/>
  <c r="F1912" i="3"/>
  <c r="D1913" i="3"/>
  <c r="I1913" i="3" l="1"/>
  <c r="E1914" i="3"/>
  <c r="J1913" i="3"/>
  <c r="H1913" i="3"/>
  <c r="F1913" i="3"/>
  <c r="D1914" i="3"/>
  <c r="I1914" i="3" l="1"/>
  <c r="E1915" i="3"/>
  <c r="J1914" i="3"/>
  <c r="H1914" i="3"/>
  <c r="F1914" i="3"/>
  <c r="D1915" i="3"/>
  <c r="I1915" i="3" l="1"/>
  <c r="E1916" i="3"/>
  <c r="J1915" i="3"/>
  <c r="H1915" i="3"/>
  <c r="F1915" i="3"/>
  <c r="D1916" i="3"/>
  <c r="I1916" i="3" l="1"/>
  <c r="E1917" i="3"/>
  <c r="J1916" i="3"/>
  <c r="H1916" i="3"/>
  <c r="F1916" i="3"/>
  <c r="D1917" i="3"/>
  <c r="I1917" i="3" l="1"/>
  <c r="E1918" i="3"/>
  <c r="J1917" i="3"/>
  <c r="H1917" i="3"/>
  <c r="F1917" i="3"/>
  <c r="D1918" i="3"/>
  <c r="I1918" i="3" l="1"/>
  <c r="E1919" i="3"/>
  <c r="J1918" i="3"/>
  <c r="H1918" i="3"/>
  <c r="F1918" i="3"/>
  <c r="D1919" i="3"/>
  <c r="I1919" i="3" l="1"/>
  <c r="E1920" i="3"/>
  <c r="J1919" i="3"/>
  <c r="H1919" i="3"/>
  <c r="F1919" i="3"/>
  <c r="D1920" i="3"/>
  <c r="I1920" i="3" l="1"/>
  <c r="E1921" i="3"/>
  <c r="J1920" i="3"/>
  <c r="H1920" i="3"/>
  <c r="F1920" i="3"/>
  <c r="D1921" i="3"/>
  <c r="I1921" i="3" l="1"/>
  <c r="E1922" i="3"/>
  <c r="J1921" i="3"/>
  <c r="H1921" i="3"/>
  <c r="F1921" i="3"/>
  <c r="D1922" i="3"/>
  <c r="I1922" i="3" l="1"/>
  <c r="E1923" i="3"/>
  <c r="J1922" i="3"/>
  <c r="H1922" i="3"/>
  <c r="F1922" i="3"/>
  <c r="D1923" i="3"/>
  <c r="I1923" i="3" l="1"/>
  <c r="E1924" i="3"/>
  <c r="J1923" i="3"/>
  <c r="H1923" i="3"/>
  <c r="F1923" i="3"/>
  <c r="D1924" i="3"/>
  <c r="I1924" i="3" l="1"/>
  <c r="E1925" i="3"/>
  <c r="J1924" i="3"/>
  <c r="H1924" i="3"/>
  <c r="F1924" i="3"/>
  <c r="D1925" i="3"/>
  <c r="I1925" i="3" l="1"/>
  <c r="E1926" i="3"/>
  <c r="H1925" i="3"/>
  <c r="J1925" i="3"/>
  <c r="F1925" i="3"/>
  <c r="D1926" i="3"/>
  <c r="I1926" i="3" l="1"/>
  <c r="E1927" i="3"/>
  <c r="J1926" i="3"/>
  <c r="H1926" i="3"/>
  <c r="F1926" i="3"/>
  <c r="D1927" i="3"/>
  <c r="I1927" i="3" l="1"/>
  <c r="E1928" i="3"/>
  <c r="J1927" i="3"/>
  <c r="H1927" i="3"/>
  <c r="F1927" i="3"/>
  <c r="D1928" i="3"/>
  <c r="I1928" i="3" l="1"/>
  <c r="E1929" i="3"/>
  <c r="J1928" i="3"/>
  <c r="H1928" i="3"/>
  <c r="F1928" i="3"/>
  <c r="D1929" i="3"/>
  <c r="I1929" i="3" l="1"/>
  <c r="E1930" i="3"/>
  <c r="J1929" i="3"/>
  <c r="H1929" i="3"/>
  <c r="F1929" i="3"/>
  <c r="D1930" i="3"/>
  <c r="I1930" i="3" l="1"/>
  <c r="E1931" i="3"/>
  <c r="H1930" i="3"/>
  <c r="J1930" i="3"/>
  <c r="F1930" i="3"/>
  <c r="D1931" i="3"/>
  <c r="I1931" i="3" l="1"/>
  <c r="E1932" i="3"/>
  <c r="J1931" i="3"/>
  <c r="H1931" i="3"/>
  <c r="F1931" i="3"/>
  <c r="D1932" i="3"/>
  <c r="I1932" i="3" l="1"/>
  <c r="E1933" i="3"/>
  <c r="J1932" i="3"/>
  <c r="H1932" i="3"/>
  <c r="F1932" i="3"/>
  <c r="D1933" i="3"/>
  <c r="I1933" i="3" l="1"/>
  <c r="E1934" i="3"/>
  <c r="J1933" i="3"/>
  <c r="H1933" i="3"/>
  <c r="F1933" i="3"/>
  <c r="D1934" i="3"/>
  <c r="I1934" i="3" l="1"/>
  <c r="E1935" i="3"/>
  <c r="J1934" i="3"/>
  <c r="H1934" i="3"/>
  <c r="F1934" i="3"/>
  <c r="D1935" i="3"/>
  <c r="I1935" i="3" l="1"/>
  <c r="E1936" i="3"/>
  <c r="J1935" i="3"/>
  <c r="H1935" i="3"/>
  <c r="F1935" i="3"/>
  <c r="D1936" i="3"/>
  <c r="I1936" i="3" l="1"/>
  <c r="E1937" i="3"/>
  <c r="J1936" i="3"/>
  <c r="H1936" i="3"/>
  <c r="F1936" i="3"/>
  <c r="D1937" i="3"/>
  <c r="I1937" i="3" l="1"/>
  <c r="E1938" i="3"/>
  <c r="J1937" i="3"/>
  <c r="H1937" i="3"/>
  <c r="F1937" i="3"/>
  <c r="D1938" i="3"/>
  <c r="I1938" i="3" l="1"/>
  <c r="E1939" i="3"/>
  <c r="H1938" i="3"/>
  <c r="J1938" i="3"/>
  <c r="F1938" i="3"/>
  <c r="D1939" i="3"/>
  <c r="I1939" i="3" l="1"/>
  <c r="E1940" i="3"/>
  <c r="J1939" i="3"/>
  <c r="H1939" i="3"/>
  <c r="F1939" i="3"/>
  <c r="D1940" i="3"/>
  <c r="I1940" i="3" l="1"/>
  <c r="E1941" i="3"/>
  <c r="J1940" i="3"/>
  <c r="H1940" i="3"/>
  <c r="F1940" i="3"/>
  <c r="D1941" i="3"/>
  <c r="I1941" i="3" l="1"/>
  <c r="E1942" i="3"/>
  <c r="J1941" i="3"/>
  <c r="H1941" i="3"/>
  <c r="F1941" i="3"/>
  <c r="D1942" i="3"/>
  <c r="I1942" i="3" l="1"/>
  <c r="E1943" i="3"/>
  <c r="J1942" i="3"/>
  <c r="H1942" i="3"/>
  <c r="F1942" i="3"/>
  <c r="D1943" i="3"/>
  <c r="I1943" i="3" l="1"/>
  <c r="E1944" i="3"/>
  <c r="J1943" i="3"/>
  <c r="H1943" i="3"/>
  <c r="F1943" i="3"/>
  <c r="D1944" i="3"/>
  <c r="I1944" i="3" l="1"/>
  <c r="E1945" i="3"/>
  <c r="H1944" i="3"/>
  <c r="J1944" i="3"/>
  <c r="F1944" i="3"/>
  <c r="D1945" i="3"/>
  <c r="I1945" i="3" l="1"/>
  <c r="E1946" i="3"/>
  <c r="J1945" i="3"/>
  <c r="H1945" i="3"/>
  <c r="F1945" i="3"/>
  <c r="D1946" i="3"/>
  <c r="I1946" i="3" l="1"/>
  <c r="E1947" i="3"/>
  <c r="J1946" i="3"/>
  <c r="H1946" i="3"/>
  <c r="F1946" i="3"/>
  <c r="D1947" i="3"/>
  <c r="I1947" i="3" l="1"/>
  <c r="E1948" i="3"/>
  <c r="J1947" i="3"/>
  <c r="H1947" i="3"/>
  <c r="F1947" i="3"/>
  <c r="D1948" i="3"/>
  <c r="I1948" i="3" l="1"/>
  <c r="E1949" i="3"/>
  <c r="J1948" i="3"/>
  <c r="H1948" i="3"/>
  <c r="F1948" i="3"/>
  <c r="D1949" i="3"/>
  <c r="I1949" i="3" l="1"/>
  <c r="E1950" i="3"/>
  <c r="H1949" i="3"/>
  <c r="J1949" i="3"/>
  <c r="F1949" i="3"/>
  <c r="D1950" i="3"/>
  <c r="I1950" i="3" l="1"/>
  <c r="E1951" i="3"/>
  <c r="H1950" i="3"/>
  <c r="J1950" i="3"/>
  <c r="F1950" i="3"/>
  <c r="D1951" i="3"/>
  <c r="I1951" i="3" l="1"/>
  <c r="E1952" i="3"/>
  <c r="J1951" i="3"/>
  <c r="H1951" i="3"/>
  <c r="F1951" i="3"/>
  <c r="D1952" i="3"/>
  <c r="I1952" i="3" l="1"/>
  <c r="E1953" i="3"/>
  <c r="J1952" i="3"/>
  <c r="H1952" i="3"/>
  <c r="F1952" i="3"/>
  <c r="D1953" i="3"/>
  <c r="I1953" i="3" l="1"/>
  <c r="E1954" i="3"/>
  <c r="J1953" i="3"/>
  <c r="H1953" i="3"/>
  <c r="F1953" i="3"/>
  <c r="D1954" i="3"/>
  <c r="I1954" i="3" l="1"/>
  <c r="E1955" i="3"/>
  <c r="H1954" i="3"/>
  <c r="J1954" i="3"/>
  <c r="F1954" i="3"/>
  <c r="D1955" i="3"/>
  <c r="I1955" i="3" l="1"/>
  <c r="E1956" i="3"/>
  <c r="J1955" i="3"/>
  <c r="H1955" i="3"/>
  <c r="F1955" i="3"/>
  <c r="D1956" i="3"/>
  <c r="I1956" i="3" l="1"/>
  <c r="E1957" i="3"/>
  <c r="J1956" i="3"/>
  <c r="H1956" i="3"/>
  <c r="F1956" i="3"/>
  <c r="D1957" i="3"/>
  <c r="I1957" i="3" l="1"/>
  <c r="E1958" i="3"/>
  <c r="J1957" i="3"/>
  <c r="H1957" i="3"/>
  <c r="F1957" i="3"/>
  <c r="D1958" i="3"/>
  <c r="I1958" i="3" l="1"/>
  <c r="E1959" i="3"/>
  <c r="J1958" i="3"/>
  <c r="H1958" i="3"/>
  <c r="F1958" i="3"/>
  <c r="D1959" i="3"/>
  <c r="I1959" i="3" l="1"/>
  <c r="E1960" i="3"/>
  <c r="J1959" i="3"/>
  <c r="H1959" i="3"/>
  <c r="F1959" i="3"/>
  <c r="D1960" i="3"/>
  <c r="I1960" i="3" l="1"/>
  <c r="E1961" i="3"/>
  <c r="J1960" i="3"/>
  <c r="H1960" i="3"/>
  <c r="F1960" i="3"/>
  <c r="D1961" i="3"/>
  <c r="I1961" i="3" l="1"/>
  <c r="E1962" i="3"/>
  <c r="J1961" i="3"/>
  <c r="H1961" i="3"/>
  <c r="F1961" i="3"/>
  <c r="D1962" i="3"/>
  <c r="I1962" i="3" l="1"/>
  <c r="E1963" i="3"/>
  <c r="H1962" i="3"/>
  <c r="J1962" i="3"/>
  <c r="F1962" i="3"/>
  <c r="D1963" i="3"/>
  <c r="I1963" i="3" l="1"/>
  <c r="E1964" i="3"/>
  <c r="J1963" i="3"/>
  <c r="H1963" i="3"/>
  <c r="F1963" i="3"/>
  <c r="D1964" i="3"/>
  <c r="I1964" i="3" l="1"/>
  <c r="E1965" i="3"/>
  <c r="J1964" i="3"/>
  <c r="H1964" i="3"/>
  <c r="F1964" i="3"/>
  <c r="D1965" i="3"/>
  <c r="I1965" i="3" l="1"/>
  <c r="E1966" i="3"/>
  <c r="J1965" i="3"/>
  <c r="H1965" i="3"/>
  <c r="F1965" i="3"/>
  <c r="D1966" i="3"/>
  <c r="I1966" i="3" l="1"/>
  <c r="E1967" i="3"/>
  <c r="H1966" i="3"/>
  <c r="J1966" i="3"/>
  <c r="F1966" i="3"/>
  <c r="D1967" i="3"/>
  <c r="I1967" i="3" l="1"/>
  <c r="E1968" i="3"/>
  <c r="J1967" i="3"/>
  <c r="H1967" i="3"/>
  <c r="F1967" i="3"/>
  <c r="D1968" i="3"/>
  <c r="I1968" i="3" l="1"/>
  <c r="E1969" i="3"/>
  <c r="H1968" i="3"/>
  <c r="J1968" i="3"/>
  <c r="F1968" i="3"/>
  <c r="D1969" i="3"/>
  <c r="I1969" i="3" l="1"/>
  <c r="E1970" i="3"/>
  <c r="H1969" i="3"/>
  <c r="J1969" i="3"/>
  <c r="F1969" i="3"/>
  <c r="D1970" i="3"/>
  <c r="I1970" i="3" l="1"/>
  <c r="E1971" i="3"/>
  <c r="H1970" i="3"/>
  <c r="J1970" i="3"/>
  <c r="F1970" i="3"/>
  <c r="D1971" i="3"/>
  <c r="I1971" i="3" l="1"/>
  <c r="E1972" i="3"/>
  <c r="J1971" i="3"/>
  <c r="H1971" i="3"/>
  <c r="F1971" i="3"/>
  <c r="D1972" i="3"/>
  <c r="I1972" i="3" l="1"/>
  <c r="E1973" i="3"/>
  <c r="H1972" i="3"/>
  <c r="J1972" i="3"/>
  <c r="F1972" i="3"/>
  <c r="D1973" i="3"/>
  <c r="I1973" i="3" l="1"/>
  <c r="E1974" i="3"/>
  <c r="J1973" i="3"/>
  <c r="H1973" i="3"/>
  <c r="F1973" i="3"/>
  <c r="D1974" i="3"/>
  <c r="I1974" i="3" l="1"/>
  <c r="E1975" i="3"/>
  <c r="J1974" i="3"/>
  <c r="H1974" i="3"/>
  <c r="F1974" i="3"/>
  <c r="D1975" i="3"/>
  <c r="I1975" i="3" l="1"/>
  <c r="E1976" i="3"/>
  <c r="J1975" i="3"/>
  <c r="H1975" i="3"/>
  <c r="F1975" i="3"/>
  <c r="D1976" i="3"/>
  <c r="I1976" i="3" l="1"/>
  <c r="E1977" i="3"/>
  <c r="J1976" i="3"/>
  <c r="H1976" i="3"/>
  <c r="F1976" i="3"/>
  <c r="D1977" i="3"/>
  <c r="I1977" i="3" l="1"/>
  <c r="E1978" i="3"/>
  <c r="J1977" i="3"/>
  <c r="H1977" i="3"/>
  <c r="F1977" i="3"/>
  <c r="D1978" i="3"/>
  <c r="I1978" i="3" l="1"/>
  <c r="E1979" i="3"/>
  <c r="J1978" i="3"/>
  <c r="H1978" i="3"/>
  <c r="F1978" i="3"/>
  <c r="D1979" i="3"/>
  <c r="I1979" i="3" l="1"/>
  <c r="E1980" i="3"/>
  <c r="J1979" i="3"/>
  <c r="H1979" i="3"/>
  <c r="F1979" i="3"/>
  <c r="D1980" i="3"/>
  <c r="I1980" i="3" l="1"/>
  <c r="E1981" i="3"/>
  <c r="J1980" i="3"/>
  <c r="H1980" i="3"/>
  <c r="F1980" i="3"/>
  <c r="D1981" i="3"/>
  <c r="I1981" i="3" l="1"/>
  <c r="E1982" i="3"/>
  <c r="J1981" i="3"/>
  <c r="H1981" i="3"/>
  <c r="F1981" i="3"/>
  <c r="D1982" i="3"/>
  <c r="I1982" i="3" l="1"/>
  <c r="E1983" i="3"/>
  <c r="J1982" i="3"/>
  <c r="H1982" i="3"/>
  <c r="F1982" i="3"/>
  <c r="D1983" i="3"/>
  <c r="I1983" i="3" l="1"/>
  <c r="E1984" i="3"/>
  <c r="J1983" i="3"/>
  <c r="H1983" i="3"/>
  <c r="F1983" i="3"/>
  <c r="D1984" i="3"/>
  <c r="I1984" i="3" l="1"/>
  <c r="E1985" i="3"/>
  <c r="J1984" i="3"/>
  <c r="H1984" i="3"/>
  <c r="F1984" i="3"/>
  <c r="D1985" i="3"/>
  <c r="I1985" i="3" l="1"/>
  <c r="E1986" i="3"/>
  <c r="H1985" i="3"/>
  <c r="J1985" i="3"/>
  <c r="F1985" i="3"/>
  <c r="D1986" i="3"/>
  <c r="I1986" i="3" l="1"/>
  <c r="E1987" i="3"/>
  <c r="J1986" i="3"/>
  <c r="H1986" i="3"/>
  <c r="F1986" i="3"/>
  <c r="D1987" i="3"/>
  <c r="I1987" i="3" l="1"/>
  <c r="E1988" i="3"/>
  <c r="H1987" i="3"/>
  <c r="J1987" i="3"/>
  <c r="F1987" i="3"/>
  <c r="D1988" i="3"/>
  <c r="I1988" i="3" l="1"/>
  <c r="E1989" i="3"/>
  <c r="J1988" i="3"/>
  <c r="H1988" i="3"/>
  <c r="F1988" i="3"/>
  <c r="D1989" i="3"/>
  <c r="I1989" i="3" l="1"/>
  <c r="E1990" i="3"/>
  <c r="J1989" i="3"/>
  <c r="H1989" i="3"/>
  <c r="F1989" i="3"/>
  <c r="D1990" i="3"/>
  <c r="I1990" i="3" l="1"/>
  <c r="E1991" i="3"/>
  <c r="J1990" i="3"/>
  <c r="H1990" i="3"/>
  <c r="F1990" i="3"/>
  <c r="D1991" i="3"/>
  <c r="I1991" i="3" l="1"/>
  <c r="E1992" i="3"/>
  <c r="H1991" i="3"/>
  <c r="J1991" i="3"/>
  <c r="F1991" i="3"/>
  <c r="D1992" i="3"/>
  <c r="I1992" i="3" l="1"/>
  <c r="E1993" i="3"/>
  <c r="J1992" i="3"/>
  <c r="H1992" i="3"/>
  <c r="F1992" i="3"/>
  <c r="D1993" i="3"/>
  <c r="I1993" i="3" l="1"/>
  <c r="E1994" i="3"/>
  <c r="J1993" i="3"/>
  <c r="H1993" i="3"/>
  <c r="F1993" i="3"/>
  <c r="D1994" i="3"/>
  <c r="I1994" i="3" l="1"/>
  <c r="E1995" i="3"/>
  <c r="J1994" i="3"/>
  <c r="H1994" i="3"/>
  <c r="F1994" i="3"/>
  <c r="D1995" i="3"/>
  <c r="I1995" i="3" l="1"/>
  <c r="E1996" i="3"/>
  <c r="J1995" i="3"/>
  <c r="H1995" i="3"/>
  <c r="F1995" i="3"/>
  <c r="D1996" i="3"/>
  <c r="I1996" i="3" l="1"/>
  <c r="E1997" i="3"/>
  <c r="J1996" i="3"/>
  <c r="H1996" i="3"/>
  <c r="F1996" i="3"/>
  <c r="D1997" i="3"/>
  <c r="I1997" i="3" l="1"/>
  <c r="E1998" i="3"/>
  <c r="J1997" i="3"/>
  <c r="H1997" i="3"/>
  <c r="F1997" i="3"/>
  <c r="D1998" i="3"/>
  <c r="I1998" i="3" l="1"/>
  <c r="E1999" i="3"/>
  <c r="J1998" i="3"/>
  <c r="H1998" i="3"/>
  <c r="F1998" i="3"/>
  <c r="D1999" i="3"/>
  <c r="I1999" i="3" l="1"/>
  <c r="E2000" i="3"/>
  <c r="J1999" i="3"/>
  <c r="H1999" i="3"/>
  <c r="F1999" i="3"/>
  <c r="D2000" i="3"/>
  <c r="I2000" i="3" l="1"/>
  <c r="E2001" i="3"/>
  <c r="J2000" i="3"/>
  <c r="H2000" i="3"/>
  <c r="F2000" i="3"/>
  <c r="D2001" i="3"/>
  <c r="I2001" i="3" l="1"/>
  <c r="E2002" i="3"/>
  <c r="J2001" i="3"/>
  <c r="H2001" i="3"/>
  <c r="F2001" i="3"/>
  <c r="D2002" i="3"/>
  <c r="I2002" i="3" l="1"/>
  <c r="E2003" i="3"/>
  <c r="J2002" i="3"/>
  <c r="H2002" i="3"/>
  <c r="F2002" i="3"/>
  <c r="D2003" i="3"/>
  <c r="I2003" i="3" l="1"/>
  <c r="E2004" i="3"/>
  <c r="J2003" i="3"/>
  <c r="H2003" i="3"/>
  <c r="F2003" i="3"/>
  <c r="D2004" i="3"/>
  <c r="I2004" i="3" l="1"/>
  <c r="E2005" i="3"/>
  <c r="J2004" i="3"/>
  <c r="H2004" i="3"/>
  <c r="F2004" i="3"/>
  <c r="D2005" i="3"/>
  <c r="I2005" i="3" l="1"/>
  <c r="E2006" i="3"/>
  <c r="J2005" i="3"/>
  <c r="H2005" i="3"/>
  <c r="F2005" i="3"/>
  <c r="D2006" i="3"/>
  <c r="I2006" i="3" l="1"/>
  <c r="E2007" i="3"/>
  <c r="H2006" i="3"/>
  <c r="J2006" i="3"/>
  <c r="F2006" i="3"/>
  <c r="D2007" i="3"/>
  <c r="I2007" i="3" l="1"/>
  <c r="E2008" i="3"/>
  <c r="J2007" i="3"/>
  <c r="H2007" i="3"/>
  <c r="F2007" i="3"/>
  <c r="D2008" i="3"/>
  <c r="I2008" i="3" l="1"/>
  <c r="E2009" i="3"/>
  <c r="J2008" i="3"/>
  <c r="H2008" i="3"/>
  <c r="F2008" i="3"/>
  <c r="D2009" i="3"/>
  <c r="I2009" i="3" l="1"/>
  <c r="E2010" i="3"/>
  <c r="H2009" i="3"/>
  <c r="J2009" i="3"/>
  <c r="F2009" i="3"/>
  <c r="D2010" i="3"/>
  <c r="I2010" i="3" l="1"/>
  <c r="E2011" i="3"/>
  <c r="J2010" i="3"/>
  <c r="H2010" i="3"/>
  <c r="F2010" i="3"/>
  <c r="D2011" i="3"/>
  <c r="I2011" i="3" l="1"/>
  <c r="E2012" i="3"/>
  <c r="J2011" i="3"/>
  <c r="H2011" i="3"/>
  <c r="F2011" i="3"/>
  <c r="D2012" i="3"/>
  <c r="I2012" i="3" l="1"/>
  <c r="E2013" i="3"/>
  <c r="J2012" i="3"/>
  <c r="H2012" i="3"/>
  <c r="F2012" i="3"/>
  <c r="D2013" i="3"/>
  <c r="I2013" i="3" l="1"/>
  <c r="E2014" i="3"/>
  <c r="J2013" i="3"/>
  <c r="H2013" i="3"/>
  <c r="F2013" i="3"/>
  <c r="D2014" i="3"/>
  <c r="I2014" i="3" l="1"/>
  <c r="E2015" i="3"/>
  <c r="J2014" i="3"/>
  <c r="H2014" i="3"/>
  <c r="F2014" i="3"/>
  <c r="D2015" i="3"/>
  <c r="I2015" i="3" l="1"/>
  <c r="E2016" i="3"/>
  <c r="J2015" i="3"/>
  <c r="H2015" i="3"/>
  <c r="F2015" i="3"/>
  <c r="D2016" i="3"/>
  <c r="I2016" i="3" l="1"/>
  <c r="E2017" i="3"/>
  <c r="H2016" i="3"/>
  <c r="J2016" i="3"/>
  <c r="F2016" i="3"/>
  <c r="D2017" i="3"/>
  <c r="I2017" i="3" l="1"/>
  <c r="E2018" i="3"/>
  <c r="J2017" i="3"/>
  <c r="H2017" i="3"/>
  <c r="F2017" i="3"/>
  <c r="D2018" i="3"/>
  <c r="I2018" i="3" l="1"/>
  <c r="E2019" i="3"/>
  <c r="J2018" i="3"/>
  <c r="H2018" i="3"/>
  <c r="F2018" i="3"/>
  <c r="D2019" i="3"/>
  <c r="I2019" i="3" l="1"/>
  <c r="E2020" i="3"/>
  <c r="H2019" i="3"/>
  <c r="J2019" i="3"/>
  <c r="F2019" i="3"/>
  <c r="D2020" i="3"/>
  <c r="I2020" i="3" l="1"/>
  <c r="E2021" i="3"/>
  <c r="H2020" i="3"/>
  <c r="J2020" i="3"/>
  <c r="F2020" i="3"/>
  <c r="D2021" i="3"/>
  <c r="I2021" i="3" l="1"/>
  <c r="E2022" i="3"/>
  <c r="J2021" i="3"/>
  <c r="H2021" i="3"/>
  <c r="F2021" i="3"/>
  <c r="D2022" i="3"/>
  <c r="I2022" i="3" l="1"/>
  <c r="E2023" i="3"/>
  <c r="J2022" i="3"/>
  <c r="H2022" i="3"/>
  <c r="F2022" i="3"/>
  <c r="D2023" i="3"/>
  <c r="I2023" i="3" l="1"/>
  <c r="E2024" i="3"/>
  <c r="J2023" i="3"/>
  <c r="H2023" i="3"/>
  <c r="F2023" i="3"/>
  <c r="D2024" i="3"/>
  <c r="I2024" i="3" l="1"/>
  <c r="E2025" i="3"/>
  <c r="J2024" i="3"/>
  <c r="H2024" i="3"/>
  <c r="F2024" i="3"/>
  <c r="D2025" i="3"/>
  <c r="I2025" i="3" l="1"/>
  <c r="E2026" i="3"/>
  <c r="H2025" i="3"/>
  <c r="J2025" i="3"/>
  <c r="F2025" i="3"/>
  <c r="D2026" i="3"/>
  <c r="I2026" i="3" l="1"/>
  <c r="E2027" i="3"/>
  <c r="J2026" i="3"/>
  <c r="H2026" i="3"/>
  <c r="F2026" i="3"/>
  <c r="D2027" i="3"/>
  <c r="I2027" i="3" l="1"/>
  <c r="E2028" i="3"/>
  <c r="H2027" i="3"/>
  <c r="J2027" i="3"/>
  <c r="F2027" i="3"/>
  <c r="D2028" i="3"/>
  <c r="I2028" i="3" l="1"/>
  <c r="E2029" i="3"/>
  <c r="J2028" i="3"/>
  <c r="H2028" i="3"/>
  <c r="F2028" i="3"/>
  <c r="D2029" i="3"/>
  <c r="I2029" i="3" l="1"/>
  <c r="E2030" i="3"/>
  <c r="H2029" i="3"/>
  <c r="J2029" i="3"/>
  <c r="F2029" i="3"/>
  <c r="D2030" i="3"/>
  <c r="I2030" i="3" l="1"/>
  <c r="E2031" i="3"/>
  <c r="J2030" i="3"/>
  <c r="H2030" i="3"/>
  <c r="F2030" i="3"/>
  <c r="D2031" i="3"/>
  <c r="I2031" i="3" l="1"/>
  <c r="E2032" i="3"/>
  <c r="J2031" i="3"/>
  <c r="H2031" i="3"/>
  <c r="F2031" i="3"/>
  <c r="D2032" i="3"/>
  <c r="I2032" i="3" l="1"/>
  <c r="E2033" i="3"/>
  <c r="J2032" i="3"/>
  <c r="H2032" i="3"/>
  <c r="F2032" i="3"/>
  <c r="D2033" i="3"/>
  <c r="I2033" i="3" l="1"/>
  <c r="E2034" i="3"/>
  <c r="H2033" i="3"/>
  <c r="J2033" i="3"/>
  <c r="F2033" i="3"/>
  <c r="D2034" i="3"/>
  <c r="I2034" i="3" l="1"/>
  <c r="E2035" i="3"/>
  <c r="J2034" i="3"/>
  <c r="H2034" i="3"/>
  <c r="F2034" i="3"/>
  <c r="D2035" i="3"/>
  <c r="I2035" i="3" l="1"/>
  <c r="E2036" i="3"/>
  <c r="J2035" i="3"/>
  <c r="H2035" i="3"/>
  <c r="F2035" i="3"/>
  <c r="D2036" i="3"/>
  <c r="I2036" i="3" l="1"/>
  <c r="E2037" i="3"/>
  <c r="J2036" i="3"/>
  <c r="H2036" i="3"/>
  <c r="F2036" i="3"/>
  <c r="D2037" i="3"/>
  <c r="I2037" i="3" l="1"/>
  <c r="E2038" i="3"/>
  <c r="J2037" i="3"/>
  <c r="H2037" i="3"/>
  <c r="F2037" i="3"/>
  <c r="D2038" i="3"/>
  <c r="I2038" i="3" l="1"/>
  <c r="E2039" i="3"/>
  <c r="J2038" i="3"/>
  <c r="H2038" i="3"/>
  <c r="F2038" i="3"/>
  <c r="D2039" i="3"/>
  <c r="I2039" i="3" l="1"/>
  <c r="E2040" i="3"/>
  <c r="J2039" i="3"/>
  <c r="H2039" i="3"/>
  <c r="F2039" i="3"/>
  <c r="D2040" i="3"/>
  <c r="I2040" i="3" l="1"/>
  <c r="E2041" i="3"/>
  <c r="J2040" i="3"/>
  <c r="H2040" i="3"/>
  <c r="F2040" i="3"/>
  <c r="D2041" i="3"/>
  <c r="I2041" i="3" l="1"/>
  <c r="E2042" i="3"/>
  <c r="H2041" i="3"/>
  <c r="J2041" i="3"/>
  <c r="F2041" i="3"/>
  <c r="D2042" i="3"/>
  <c r="I2042" i="3" l="1"/>
  <c r="E2043" i="3"/>
  <c r="J2042" i="3"/>
  <c r="H2042" i="3"/>
  <c r="F2042" i="3"/>
  <c r="D2043" i="3"/>
  <c r="I2043" i="3" l="1"/>
  <c r="E2044" i="3"/>
  <c r="J2043" i="3"/>
  <c r="H2043" i="3"/>
  <c r="F2043" i="3"/>
  <c r="D2044" i="3"/>
  <c r="I2044" i="3" l="1"/>
  <c r="E2045" i="3"/>
  <c r="J2044" i="3"/>
  <c r="H2044" i="3"/>
  <c r="F2044" i="3"/>
  <c r="D2045" i="3"/>
  <c r="I2045" i="3" l="1"/>
  <c r="E2046" i="3"/>
  <c r="J2045" i="3"/>
  <c r="H2045" i="3"/>
  <c r="F2045" i="3"/>
  <c r="D2046" i="3"/>
  <c r="I2046" i="3" l="1"/>
  <c r="E2047" i="3"/>
  <c r="J2046" i="3"/>
  <c r="H2046" i="3"/>
  <c r="F2046" i="3"/>
  <c r="D2047" i="3"/>
  <c r="I2047" i="3" l="1"/>
  <c r="E2048" i="3"/>
  <c r="J2047" i="3"/>
  <c r="H2047" i="3"/>
  <c r="F2047" i="3"/>
  <c r="D2048" i="3"/>
  <c r="I2048" i="3" l="1"/>
  <c r="E2049" i="3"/>
  <c r="J2048" i="3"/>
  <c r="H2048" i="3"/>
  <c r="F2048" i="3"/>
  <c r="D2049" i="3"/>
  <c r="I2049" i="3" l="1"/>
  <c r="E2050" i="3"/>
  <c r="H2049" i="3"/>
  <c r="J2049" i="3"/>
  <c r="F2049" i="3"/>
  <c r="D2050" i="3"/>
  <c r="I2050" i="3" l="1"/>
  <c r="E2051" i="3"/>
  <c r="J2050" i="3"/>
  <c r="H2050" i="3"/>
  <c r="F2050" i="3"/>
  <c r="D2051" i="3"/>
  <c r="I2051" i="3" l="1"/>
  <c r="E2052" i="3"/>
  <c r="J2051" i="3"/>
  <c r="H2051" i="3"/>
  <c r="F2051" i="3"/>
  <c r="D2052" i="3"/>
  <c r="I2052" i="3" l="1"/>
  <c r="E2053" i="3"/>
  <c r="J2052" i="3"/>
  <c r="H2052" i="3"/>
  <c r="F2052" i="3"/>
  <c r="D2053" i="3"/>
  <c r="I2053" i="3" l="1"/>
  <c r="E2054" i="3"/>
  <c r="J2053" i="3"/>
  <c r="H2053" i="3"/>
  <c r="F2053" i="3"/>
  <c r="D2054" i="3"/>
  <c r="I2054" i="3" l="1"/>
  <c r="E2055" i="3"/>
  <c r="J2054" i="3"/>
  <c r="H2054" i="3"/>
  <c r="F2054" i="3"/>
  <c r="D2055" i="3"/>
  <c r="I2055" i="3" l="1"/>
  <c r="E2056" i="3"/>
  <c r="J2055" i="3"/>
  <c r="H2055" i="3"/>
  <c r="F2055" i="3"/>
  <c r="D2056" i="3"/>
  <c r="I2056" i="3" l="1"/>
  <c r="E2057" i="3"/>
  <c r="J2056" i="3"/>
  <c r="H2056" i="3"/>
  <c r="F2056" i="3"/>
  <c r="D2057" i="3"/>
  <c r="I2057" i="3" l="1"/>
  <c r="E2058" i="3"/>
  <c r="J2057" i="3"/>
  <c r="H2057" i="3"/>
  <c r="F2057" i="3"/>
  <c r="D2058" i="3"/>
  <c r="I2058" i="3" l="1"/>
  <c r="E2059" i="3"/>
  <c r="J2058" i="3"/>
  <c r="H2058" i="3"/>
  <c r="F2058" i="3"/>
  <c r="D2059" i="3"/>
  <c r="I2059" i="3" l="1"/>
  <c r="E2060" i="3"/>
  <c r="H2059" i="3"/>
  <c r="J2059" i="3"/>
  <c r="F2059" i="3"/>
  <c r="D2060" i="3"/>
  <c r="I2060" i="3" l="1"/>
  <c r="E2061" i="3"/>
  <c r="J2060" i="3"/>
  <c r="H2060" i="3"/>
  <c r="F2060" i="3"/>
  <c r="D2061" i="3"/>
  <c r="I2061" i="3" l="1"/>
  <c r="E2062" i="3"/>
  <c r="J2061" i="3"/>
  <c r="H2061" i="3"/>
  <c r="F2061" i="3"/>
  <c r="D2062" i="3"/>
  <c r="I2062" i="3" l="1"/>
  <c r="E2063" i="3"/>
  <c r="J2062" i="3"/>
  <c r="H2062" i="3"/>
  <c r="F2062" i="3"/>
  <c r="D2063" i="3"/>
  <c r="I2063" i="3" l="1"/>
  <c r="E2064" i="3"/>
  <c r="J2063" i="3"/>
  <c r="H2063" i="3"/>
  <c r="F2063" i="3"/>
  <c r="D2064" i="3"/>
  <c r="I2064" i="3" l="1"/>
  <c r="E2065" i="3"/>
  <c r="J2064" i="3"/>
  <c r="H2064" i="3"/>
  <c r="F2064" i="3"/>
  <c r="D2065" i="3"/>
  <c r="I2065" i="3" l="1"/>
  <c r="E2066" i="3"/>
  <c r="J2065" i="3"/>
  <c r="H2065" i="3"/>
  <c r="F2065" i="3"/>
  <c r="D2066" i="3"/>
  <c r="I2066" i="3" l="1"/>
  <c r="E2067" i="3"/>
  <c r="J2066" i="3"/>
  <c r="H2066" i="3"/>
  <c r="F2066" i="3"/>
  <c r="D2067" i="3"/>
  <c r="I2067" i="3" l="1"/>
  <c r="E2068" i="3"/>
  <c r="J2067" i="3"/>
  <c r="H2067" i="3"/>
  <c r="F2067" i="3"/>
  <c r="D2068" i="3"/>
  <c r="I2068" i="3" l="1"/>
  <c r="E2069" i="3"/>
  <c r="J2068" i="3"/>
  <c r="H2068" i="3"/>
  <c r="F2068" i="3"/>
  <c r="D2069" i="3"/>
  <c r="I2069" i="3" l="1"/>
  <c r="E2070" i="3"/>
  <c r="J2069" i="3"/>
  <c r="H2069" i="3"/>
  <c r="F2069" i="3"/>
  <c r="D2070" i="3"/>
  <c r="I2070" i="3" l="1"/>
  <c r="E2071" i="3"/>
  <c r="J2070" i="3"/>
  <c r="H2070" i="3"/>
  <c r="F2070" i="3"/>
  <c r="D2071" i="3"/>
  <c r="I2071" i="3" l="1"/>
  <c r="E2072" i="3"/>
  <c r="J2071" i="3"/>
  <c r="H2071" i="3"/>
  <c r="F2071" i="3"/>
  <c r="D2072" i="3"/>
  <c r="I2072" i="3" l="1"/>
  <c r="E2073" i="3"/>
  <c r="J2072" i="3"/>
  <c r="H2072" i="3"/>
  <c r="F2072" i="3"/>
  <c r="D2073" i="3"/>
  <c r="I2073" i="3" l="1"/>
  <c r="E2074" i="3"/>
  <c r="H2073" i="3"/>
  <c r="J2073" i="3"/>
  <c r="F2073" i="3"/>
  <c r="D2074" i="3"/>
  <c r="I2074" i="3" l="1"/>
  <c r="E2075" i="3"/>
  <c r="J2074" i="3"/>
  <c r="H2074" i="3"/>
  <c r="F2074" i="3"/>
  <c r="D2075" i="3"/>
  <c r="I2075" i="3" l="1"/>
  <c r="E2076" i="3"/>
  <c r="J2075" i="3"/>
  <c r="H2075" i="3"/>
  <c r="F2075" i="3"/>
  <c r="D2076" i="3"/>
  <c r="I2076" i="3" l="1"/>
  <c r="E2077" i="3"/>
  <c r="H2076" i="3"/>
  <c r="J2076" i="3"/>
  <c r="F2076" i="3"/>
  <c r="D2077" i="3"/>
  <c r="I2077" i="3" l="1"/>
  <c r="E2078" i="3"/>
  <c r="J2077" i="3"/>
  <c r="H2077" i="3"/>
  <c r="F2077" i="3"/>
  <c r="D2078" i="3"/>
  <c r="I2078" i="3" l="1"/>
  <c r="E2079" i="3"/>
  <c r="J2078" i="3"/>
  <c r="H2078" i="3"/>
  <c r="F2078" i="3"/>
  <c r="D2079" i="3"/>
  <c r="I2079" i="3" l="1"/>
  <c r="E2080" i="3"/>
  <c r="H2079" i="3"/>
  <c r="J2079" i="3"/>
  <c r="F2079" i="3"/>
  <c r="D2080" i="3"/>
  <c r="I2080" i="3" l="1"/>
  <c r="E2081" i="3"/>
  <c r="J2080" i="3"/>
  <c r="H2080" i="3"/>
  <c r="F2080" i="3"/>
  <c r="D2081" i="3"/>
  <c r="I2081" i="3" l="1"/>
  <c r="E2082" i="3"/>
  <c r="J2081" i="3"/>
  <c r="H2081" i="3"/>
  <c r="F2081" i="3"/>
  <c r="D2082" i="3"/>
  <c r="I2082" i="3" l="1"/>
  <c r="E2083" i="3"/>
  <c r="H2082" i="3"/>
  <c r="J2082" i="3"/>
  <c r="F2082" i="3"/>
  <c r="D2083" i="3"/>
  <c r="I2083" i="3" l="1"/>
  <c r="E2084" i="3"/>
  <c r="J2083" i="3"/>
  <c r="H2083" i="3"/>
  <c r="F2083" i="3"/>
  <c r="D2084" i="3"/>
  <c r="I2084" i="3" l="1"/>
  <c r="E2085" i="3"/>
  <c r="H2084" i="3"/>
  <c r="J2084" i="3"/>
  <c r="F2084" i="3"/>
  <c r="D2085" i="3"/>
  <c r="I2085" i="3" l="1"/>
  <c r="E2086" i="3"/>
  <c r="J2085" i="3"/>
  <c r="H2085" i="3"/>
  <c r="F2085" i="3"/>
  <c r="D2086" i="3"/>
  <c r="I2086" i="3" l="1"/>
  <c r="E2087" i="3"/>
  <c r="J2086" i="3"/>
  <c r="H2086" i="3"/>
  <c r="F2086" i="3"/>
  <c r="D2087" i="3"/>
  <c r="I2087" i="3" l="1"/>
  <c r="E2088" i="3"/>
  <c r="J2087" i="3"/>
  <c r="H2087" i="3"/>
  <c r="F2087" i="3"/>
  <c r="D2088" i="3"/>
  <c r="I2088" i="3" l="1"/>
  <c r="E2089" i="3"/>
  <c r="J2088" i="3"/>
  <c r="H2088" i="3"/>
  <c r="F2088" i="3"/>
  <c r="D2089" i="3"/>
  <c r="I2089" i="3" l="1"/>
  <c r="E2090" i="3"/>
  <c r="J2089" i="3"/>
  <c r="H2089" i="3"/>
  <c r="F2089" i="3"/>
  <c r="D2090" i="3"/>
  <c r="I2090" i="3" l="1"/>
  <c r="E2091" i="3"/>
  <c r="J2090" i="3"/>
  <c r="H2090" i="3"/>
  <c r="F2090" i="3"/>
  <c r="D2091" i="3"/>
  <c r="I2091" i="3" l="1"/>
  <c r="E2092" i="3"/>
  <c r="J2091" i="3"/>
  <c r="H2091" i="3"/>
  <c r="F2091" i="3"/>
  <c r="D2092" i="3"/>
  <c r="I2092" i="3" l="1"/>
  <c r="E2093" i="3"/>
  <c r="J2092" i="3"/>
  <c r="H2092" i="3"/>
  <c r="F2092" i="3"/>
  <c r="D2093" i="3"/>
  <c r="I2093" i="3" l="1"/>
  <c r="E2094" i="3"/>
  <c r="J2093" i="3"/>
  <c r="H2093" i="3"/>
  <c r="F2093" i="3"/>
  <c r="D2094" i="3"/>
  <c r="I2094" i="3" l="1"/>
  <c r="E2095" i="3"/>
  <c r="J2094" i="3"/>
  <c r="H2094" i="3"/>
  <c r="F2094" i="3"/>
  <c r="D2095" i="3"/>
  <c r="I2095" i="3" l="1"/>
  <c r="E2096" i="3"/>
  <c r="J2095" i="3"/>
  <c r="H2095" i="3"/>
  <c r="F2095" i="3"/>
  <c r="D2096" i="3"/>
  <c r="I2096" i="3" l="1"/>
  <c r="E2097" i="3"/>
  <c r="J2096" i="3"/>
  <c r="H2096" i="3"/>
  <c r="F2096" i="3"/>
  <c r="D2097" i="3"/>
  <c r="I2097" i="3" l="1"/>
  <c r="E2098" i="3"/>
  <c r="J2097" i="3"/>
  <c r="H2097" i="3"/>
  <c r="F2097" i="3"/>
  <c r="D2098" i="3"/>
  <c r="I2098" i="3" l="1"/>
  <c r="E2099" i="3"/>
  <c r="J2098" i="3"/>
  <c r="H2098" i="3"/>
  <c r="F2098" i="3"/>
  <c r="D2099" i="3"/>
  <c r="I2099" i="3" l="1"/>
  <c r="E2100" i="3"/>
  <c r="J2099" i="3"/>
  <c r="H2099" i="3"/>
  <c r="F2099" i="3"/>
  <c r="D2100" i="3"/>
  <c r="I2100" i="3" l="1"/>
  <c r="E2101" i="3"/>
  <c r="J2100" i="3"/>
  <c r="H2100" i="3"/>
  <c r="F2100" i="3"/>
  <c r="D2101" i="3"/>
  <c r="I2101" i="3" l="1"/>
  <c r="E2102" i="3"/>
  <c r="J2101" i="3"/>
  <c r="H2101" i="3"/>
  <c r="F2101" i="3"/>
  <c r="D2102" i="3"/>
  <c r="I2102" i="3" l="1"/>
  <c r="E2103" i="3"/>
  <c r="H2102" i="3"/>
  <c r="J2102" i="3"/>
  <c r="F2102" i="3"/>
  <c r="D2103" i="3"/>
  <c r="I2103" i="3" l="1"/>
  <c r="E2104" i="3"/>
  <c r="J2103" i="3"/>
  <c r="H2103" i="3"/>
  <c r="F2103" i="3"/>
  <c r="D2104" i="3"/>
  <c r="I2104" i="3" l="1"/>
  <c r="E2105" i="3"/>
  <c r="J2104" i="3"/>
  <c r="H2104" i="3"/>
  <c r="F2104" i="3"/>
  <c r="D2105" i="3"/>
  <c r="I2105" i="3" l="1"/>
  <c r="E2106" i="3"/>
  <c r="J2105" i="3"/>
  <c r="H2105" i="3"/>
  <c r="F2105" i="3"/>
  <c r="D2106" i="3"/>
  <c r="I2106" i="3" l="1"/>
  <c r="E2107" i="3"/>
  <c r="J2106" i="3"/>
  <c r="H2106" i="3"/>
  <c r="F2106" i="3"/>
  <c r="D2107" i="3"/>
  <c r="I2107" i="3" l="1"/>
  <c r="E2108" i="3"/>
  <c r="J2107" i="3"/>
  <c r="H2107" i="3"/>
  <c r="F2107" i="3"/>
  <c r="D2108" i="3"/>
  <c r="I2108" i="3" l="1"/>
  <c r="E2109" i="3"/>
  <c r="J2108" i="3"/>
  <c r="H2108" i="3"/>
  <c r="F2108" i="3"/>
  <c r="D2109" i="3"/>
  <c r="I2109" i="3" l="1"/>
  <c r="E2110" i="3"/>
  <c r="H2109" i="3"/>
  <c r="J2109" i="3"/>
  <c r="F2109" i="3"/>
  <c r="D2110" i="3"/>
  <c r="I2110" i="3" l="1"/>
  <c r="E2111" i="3"/>
  <c r="J2110" i="3"/>
  <c r="H2110" i="3"/>
  <c r="F2110" i="3"/>
  <c r="D2111" i="3"/>
  <c r="I2111" i="3" l="1"/>
  <c r="E2112" i="3"/>
  <c r="H2111" i="3"/>
  <c r="J2111" i="3"/>
  <c r="F2111" i="3"/>
  <c r="D2112" i="3"/>
  <c r="I2112" i="3" l="1"/>
  <c r="E2113" i="3"/>
  <c r="J2112" i="3"/>
  <c r="H2112" i="3"/>
  <c r="F2112" i="3"/>
  <c r="D2113" i="3"/>
  <c r="I2113" i="3" l="1"/>
  <c r="E2114" i="3"/>
  <c r="J2113" i="3"/>
  <c r="H2113" i="3"/>
  <c r="F2113" i="3"/>
  <c r="D2114" i="3"/>
  <c r="I2114" i="3" l="1"/>
  <c r="E2115" i="3"/>
  <c r="H2114" i="3"/>
  <c r="J2114" i="3"/>
  <c r="F2114" i="3"/>
  <c r="D2115" i="3"/>
  <c r="I2115" i="3" l="1"/>
  <c r="E2116" i="3"/>
  <c r="J2115" i="3"/>
  <c r="H2115" i="3"/>
  <c r="F2115" i="3"/>
  <c r="D2116" i="3"/>
  <c r="I2116" i="3" l="1"/>
  <c r="E2117" i="3"/>
  <c r="J2116" i="3"/>
  <c r="H2116" i="3"/>
  <c r="F2116" i="3"/>
  <c r="D2117" i="3"/>
  <c r="I2117" i="3" l="1"/>
  <c r="E2118" i="3"/>
  <c r="J2117" i="3"/>
  <c r="H2117" i="3"/>
  <c r="F2117" i="3"/>
  <c r="D2118" i="3"/>
  <c r="I2118" i="3" l="1"/>
  <c r="E2119" i="3"/>
  <c r="J2118" i="3"/>
  <c r="H2118" i="3"/>
  <c r="F2118" i="3"/>
  <c r="D2119" i="3"/>
  <c r="I2119" i="3" l="1"/>
  <c r="E2120" i="3"/>
  <c r="H2119" i="3"/>
  <c r="J2119" i="3"/>
  <c r="F2119" i="3"/>
  <c r="D2120" i="3"/>
  <c r="I2120" i="3" l="1"/>
  <c r="E2121" i="3"/>
  <c r="J2120" i="3"/>
  <c r="H2120" i="3"/>
  <c r="F2120" i="3"/>
  <c r="D2121" i="3"/>
  <c r="I2121" i="3" l="1"/>
  <c r="E2122" i="3"/>
  <c r="J2121" i="3"/>
  <c r="H2121" i="3"/>
  <c r="F2121" i="3"/>
  <c r="D2122" i="3"/>
  <c r="I2122" i="3" l="1"/>
  <c r="E2123" i="3"/>
  <c r="J2122" i="3"/>
  <c r="H2122" i="3"/>
  <c r="F2122" i="3"/>
  <c r="D2123" i="3"/>
  <c r="I2123" i="3" l="1"/>
  <c r="E2124" i="3"/>
  <c r="J2123" i="3"/>
  <c r="H2123" i="3"/>
  <c r="F2123" i="3"/>
  <c r="D2124" i="3"/>
  <c r="I2124" i="3" l="1"/>
  <c r="E2125" i="3"/>
  <c r="J2124" i="3"/>
  <c r="H2124" i="3"/>
  <c r="F2124" i="3"/>
  <c r="D2125" i="3"/>
  <c r="I2125" i="3" l="1"/>
  <c r="E2126" i="3"/>
  <c r="J2125" i="3"/>
  <c r="H2125" i="3"/>
  <c r="F2125" i="3"/>
  <c r="D2126" i="3"/>
  <c r="I2126" i="3" l="1"/>
  <c r="E2127" i="3"/>
  <c r="J2126" i="3"/>
  <c r="H2126" i="3"/>
  <c r="F2126" i="3"/>
  <c r="D2127" i="3"/>
  <c r="I2127" i="3" l="1"/>
  <c r="E2128" i="3"/>
  <c r="J2127" i="3"/>
  <c r="H2127" i="3"/>
  <c r="F2127" i="3"/>
  <c r="D2128" i="3"/>
  <c r="I2128" i="3" l="1"/>
  <c r="E2129" i="3"/>
  <c r="J2128" i="3"/>
  <c r="H2128" i="3"/>
  <c r="F2128" i="3"/>
  <c r="D2129" i="3"/>
  <c r="I2129" i="3" l="1"/>
  <c r="E2130" i="3"/>
  <c r="J2129" i="3"/>
  <c r="H2129" i="3"/>
  <c r="F2129" i="3"/>
  <c r="D2130" i="3"/>
  <c r="I2130" i="3" l="1"/>
  <c r="E2131" i="3"/>
  <c r="J2130" i="3"/>
  <c r="H2130" i="3"/>
  <c r="F2130" i="3"/>
  <c r="D2131" i="3"/>
  <c r="I2131" i="3" l="1"/>
  <c r="E2132" i="3"/>
  <c r="J2131" i="3"/>
  <c r="H2131" i="3"/>
  <c r="F2131" i="3"/>
  <c r="D2132" i="3"/>
  <c r="I2132" i="3" l="1"/>
  <c r="E2133" i="3"/>
  <c r="J2132" i="3"/>
  <c r="H2132" i="3"/>
  <c r="F2132" i="3"/>
  <c r="D2133" i="3"/>
  <c r="I2133" i="3" l="1"/>
  <c r="E2134" i="3"/>
  <c r="J2133" i="3"/>
  <c r="H2133" i="3"/>
  <c r="F2133" i="3"/>
  <c r="D2134" i="3"/>
  <c r="I2134" i="3" l="1"/>
  <c r="E2135" i="3"/>
  <c r="J2134" i="3"/>
  <c r="H2134" i="3"/>
  <c r="F2134" i="3"/>
  <c r="D2135" i="3"/>
  <c r="I2135" i="3" l="1"/>
  <c r="E2136" i="3"/>
  <c r="J2135" i="3"/>
  <c r="H2135" i="3"/>
  <c r="F2135" i="3"/>
  <c r="D2136" i="3"/>
  <c r="I2136" i="3" l="1"/>
  <c r="E2137" i="3"/>
  <c r="J2136" i="3"/>
  <c r="H2136" i="3"/>
  <c r="F2136" i="3"/>
  <c r="D2137" i="3"/>
  <c r="I2137" i="3" l="1"/>
  <c r="E2138" i="3"/>
  <c r="J2137" i="3"/>
  <c r="H2137" i="3"/>
  <c r="F2137" i="3"/>
  <c r="D2138" i="3"/>
  <c r="I2138" i="3" l="1"/>
  <c r="E2139" i="3"/>
  <c r="H2138" i="3"/>
  <c r="J2138" i="3"/>
  <c r="F2138" i="3"/>
  <c r="D2139" i="3"/>
  <c r="I2139" i="3" l="1"/>
  <c r="E2140" i="3"/>
  <c r="J2139" i="3"/>
  <c r="H2139" i="3"/>
  <c r="F2139" i="3"/>
  <c r="D2140" i="3"/>
  <c r="I2140" i="3" l="1"/>
  <c r="E2141" i="3"/>
  <c r="J2140" i="3"/>
  <c r="H2140" i="3"/>
  <c r="F2140" i="3"/>
  <c r="D2141" i="3"/>
  <c r="I2141" i="3" l="1"/>
  <c r="E2142" i="3"/>
  <c r="J2141" i="3"/>
  <c r="H2141" i="3"/>
  <c r="F2141" i="3"/>
  <c r="D2142" i="3"/>
  <c r="I2142" i="3" l="1"/>
  <c r="E2143" i="3"/>
  <c r="J2142" i="3"/>
  <c r="H2142" i="3"/>
  <c r="F2142" i="3"/>
  <c r="D2143" i="3"/>
  <c r="I2143" i="3" l="1"/>
  <c r="E2144" i="3"/>
  <c r="J2143" i="3"/>
  <c r="H2143" i="3"/>
  <c r="F2143" i="3"/>
  <c r="D2144" i="3"/>
  <c r="I2144" i="3" l="1"/>
  <c r="E2145" i="3"/>
  <c r="J2144" i="3"/>
  <c r="H2144" i="3"/>
  <c r="F2144" i="3"/>
  <c r="D2145" i="3"/>
  <c r="I2145" i="3" l="1"/>
  <c r="E2146" i="3"/>
  <c r="J2145" i="3"/>
  <c r="H2145" i="3"/>
  <c r="F2145" i="3"/>
  <c r="D2146" i="3"/>
  <c r="I2146" i="3" l="1"/>
  <c r="E2147" i="3"/>
  <c r="J2146" i="3"/>
  <c r="H2146" i="3"/>
  <c r="F2146" i="3"/>
  <c r="D2147" i="3"/>
  <c r="I2147" i="3" l="1"/>
  <c r="E2148" i="3"/>
  <c r="J2147" i="3"/>
  <c r="H2147" i="3"/>
  <c r="F2147" i="3"/>
  <c r="D2148" i="3"/>
  <c r="I2148" i="3" l="1"/>
  <c r="E2149" i="3"/>
  <c r="J2148" i="3"/>
  <c r="H2148" i="3"/>
  <c r="F2148" i="3"/>
  <c r="D2149" i="3"/>
  <c r="I2149" i="3" l="1"/>
  <c r="E2150" i="3"/>
  <c r="H2149" i="3"/>
  <c r="J2149" i="3"/>
  <c r="F2149" i="3"/>
  <c r="D2150" i="3"/>
  <c r="I2150" i="3" l="1"/>
  <c r="E2151" i="3"/>
  <c r="J2150" i="3"/>
  <c r="H2150" i="3"/>
  <c r="F2150" i="3"/>
  <c r="D2151" i="3"/>
  <c r="I2151" i="3" l="1"/>
  <c r="E2152" i="3"/>
  <c r="J2151" i="3"/>
  <c r="H2151" i="3"/>
  <c r="F2151" i="3"/>
  <c r="D2152" i="3"/>
  <c r="I2152" i="3" l="1"/>
  <c r="E2153" i="3"/>
  <c r="J2152" i="3"/>
  <c r="H2152" i="3"/>
  <c r="F2152" i="3"/>
  <c r="D2153" i="3"/>
  <c r="I2153" i="3" l="1"/>
  <c r="E2154" i="3"/>
  <c r="H2153" i="3"/>
  <c r="J2153" i="3"/>
  <c r="F2153" i="3"/>
  <c r="D2154" i="3"/>
  <c r="I2154" i="3" l="1"/>
  <c r="E2155" i="3"/>
  <c r="J2154" i="3"/>
  <c r="H2154" i="3"/>
  <c r="F2154" i="3"/>
  <c r="D2155" i="3"/>
  <c r="I2155" i="3" l="1"/>
  <c r="E2156" i="3"/>
  <c r="H2155" i="3"/>
  <c r="J2155" i="3"/>
  <c r="F2155" i="3"/>
  <c r="D2156" i="3"/>
  <c r="I2156" i="3" l="1"/>
  <c r="E2157" i="3"/>
  <c r="J2156" i="3"/>
  <c r="H2156" i="3"/>
  <c r="F2156" i="3"/>
  <c r="D2157" i="3"/>
  <c r="I2157" i="3" l="1"/>
  <c r="E2158" i="3"/>
  <c r="J2157" i="3"/>
  <c r="H2157" i="3"/>
  <c r="F2157" i="3"/>
  <c r="D2158" i="3"/>
  <c r="I2158" i="3" l="1"/>
  <c r="E2159" i="3"/>
  <c r="H2158" i="3"/>
  <c r="J2158" i="3"/>
  <c r="F2158" i="3"/>
  <c r="D2159" i="3"/>
  <c r="I2159" i="3" l="1"/>
  <c r="E2160" i="3"/>
  <c r="H2159" i="3"/>
  <c r="J2159" i="3"/>
  <c r="F2159" i="3"/>
  <c r="D2160" i="3"/>
  <c r="I2160" i="3" l="1"/>
  <c r="E2161" i="3"/>
  <c r="J2160" i="3"/>
  <c r="H2160" i="3"/>
  <c r="F2160" i="3"/>
  <c r="D2161" i="3"/>
  <c r="I2161" i="3" l="1"/>
  <c r="E2162" i="3"/>
  <c r="J2161" i="3"/>
  <c r="H2161" i="3"/>
  <c r="F2161" i="3"/>
  <c r="D2162" i="3"/>
  <c r="I2162" i="3" l="1"/>
  <c r="E2163" i="3"/>
  <c r="J2162" i="3"/>
  <c r="H2162" i="3"/>
  <c r="F2162" i="3"/>
  <c r="D2163" i="3"/>
  <c r="I2163" i="3" l="1"/>
  <c r="E2164" i="3"/>
  <c r="J2163" i="3"/>
  <c r="H2163" i="3"/>
  <c r="F2163" i="3"/>
  <c r="D2164" i="3"/>
  <c r="I2164" i="3" l="1"/>
  <c r="E2165" i="3"/>
  <c r="J2164" i="3"/>
  <c r="H2164" i="3"/>
  <c r="F2164" i="3"/>
  <c r="D2165" i="3"/>
  <c r="I2165" i="3" l="1"/>
  <c r="E2166" i="3"/>
  <c r="J2165" i="3"/>
  <c r="H2165" i="3"/>
  <c r="F2165" i="3"/>
  <c r="D2166" i="3"/>
  <c r="I2166" i="3" l="1"/>
  <c r="E2167" i="3"/>
  <c r="J2166" i="3"/>
  <c r="H2166" i="3"/>
  <c r="F2166" i="3"/>
  <c r="D2167" i="3"/>
  <c r="I2167" i="3" l="1"/>
  <c r="E2168" i="3"/>
  <c r="J2167" i="3"/>
  <c r="H2167" i="3"/>
  <c r="F2167" i="3"/>
  <c r="D2168" i="3"/>
  <c r="I2168" i="3" l="1"/>
  <c r="E2169" i="3"/>
  <c r="J2168" i="3"/>
  <c r="H2168" i="3"/>
  <c r="F2168" i="3"/>
  <c r="D2169" i="3"/>
  <c r="I2169" i="3" l="1"/>
  <c r="E2170" i="3"/>
  <c r="J2169" i="3"/>
  <c r="H2169" i="3"/>
  <c r="F2169" i="3"/>
  <c r="D2170" i="3"/>
  <c r="I2170" i="3" l="1"/>
  <c r="E2171" i="3"/>
  <c r="H2170" i="3"/>
  <c r="J2170" i="3"/>
  <c r="F2170" i="3"/>
  <c r="D2171" i="3"/>
  <c r="I2171" i="3" l="1"/>
  <c r="E2172" i="3"/>
  <c r="H2171" i="3"/>
  <c r="J2171" i="3"/>
  <c r="F2171" i="3"/>
  <c r="D2172" i="3"/>
  <c r="I2172" i="3" l="1"/>
  <c r="E2173" i="3"/>
  <c r="J2172" i="3"/>
  <c r="H2172" i="3"/>
  <c r="F2172" i="3"/>
  <c r="D2173" i="3"/>
  <c r="I2173" i="3" l="1"/>
  <c r="E2174" i="3"/>
  <c r="H2173" i="3"/>
  <c r="J2173" i="3"/>
  <c r="F2173" i="3"/>
  <c r="D2174" i="3"/>
  <c r="I2174" i="3" l="1"/>
  <c r="E2175" i="3"/>
  <c r="H2174" i="3"/>
  <c r="J2174" i="3"/>
  <c r="F2174" i="3"/>
  <c r="D2175" i="3"/>
  <c r="I2175" i="3" l="1"/>
  <c r="E2176" i="3"/>
  <c r="J2175" i="3"/>
  <c r="H2175" i="3"/>
  <c r="F2175" i="3"/>
  <c r="D2176" i="3"/>
  <c r="I2176" i="3" l="1"/>
  <c r="E2177" i="3"/>
  <c r="J2176" i="3"/>
  <c r="H2176" i="3"/>
  <c r="F2176" i="3"/>
  <c r="D2177" i="3"/>
  <c r="I2177" i="3" l="1"/>
  <c r="E2178" i="3"/>
  <c r="J2177" i="3"/>
  <c r="H2177" i="3"/>
  <c r="F2177" i="3"/>
  <c r="D2178" i="3"/>
  <c r="I2178" i="3" l="1"/>
  <c r="E2179" i="3"/>
  <c r="H2178" i="3"/>
  <c r="J2178" i="3"/>
  <c r="F2178" i="3"/>
  <c r="D2179" i="3"/>
  <c r="I2179" i="3" l="1"/>
  <c r="E2180" i="3"/>
  <c r="H2179" i="3"/>
  <c r="J2179" i="3"/>
  <c r="F2179" i="3"/>
  <c r="D2180" i="3"/>
  <c r="I2180" i="3" l="1"/>
  <c r="E2181" i="3"/>
  <c r="J2180" i="3"/>
  <c r="H2180" i="3"/>
  <c r="F2180" i="3"/>
  <c r="D2181" i="3"/>
  <c r="I2181" i="3" l="1"/>
  <c r="E2182" i="3"/>
  <c r="J2181" i="3"/>
  <c r="H2181" i="3"/>
  <c r="F2181" i="3"/>
  <c r="D2182" i="3"/>
  <c r="I2182" i="3" l="1"/>
  <c r="E2183" i="3"/>
  <c r="J2182" i="3"/>
  <c r="H2182" i="3"/>
  <c r="F2182" i="3"/>
  <c r="D2183" i="3"/>
  <c r="I2183" i="3" l="1"/>
  <c r="E2184" i="3"/>
  <c r="J2183" i="3"/>
  <c r="H2183" i="3"/>
  <c r="F2183" i="3"/>
  <c r="D2184" i="3"/>
  <c r="I2184" i="3" l="1"/>
  <c r="E2185" i="3"/>
  <c r="J2184" i="3"/>
  <c r="H2184" i="3"/>
  <c r="F2184" i="3"/>
  <c r="D2185" i="3"/>
  <c r="I2185" i="3" l="1"/>
  <c r="E2186" i="3"/>
  <c r="J2185" i="3"/>
  <c r="H2185" i="3"/>
  <c r="F2185" i="3"/>
  <c r="D2186" i="3"/>
  <c r="I2186" i="3" l="1"/>
  <c r="E2187" i="3"/>
  <c r="H2186" i="3"/>
  <c r="J2186" i="3"/>
  <c r="F2186" i="3"/>
  <c r="D2187" i="3"/>
  <c r="I2187" i="3" l="1"/>
  <c r="E2188" i="3"/>
  <c r="J2187" i="3"/>
  <c r="H2187" i="3"/>
  <c r="F2187" i="3"/>
  <c r="D2188" i="3"/>
  <c r="I2188" i="3" l="1"/>
  <c r="E2189" i="3"/>
  <c r="J2188" i="3"/>
  <c r="H2188" i="3"/>
  <c r="F2188" i="3"/>
  <c r="D2189" i="3"/>
  <c r="I2189" i="3" l="1"/>
  <c r="E2190" i="3"/>
  <c r="J2189" i="3"/>
  <c r="H2189" i="3"/>
  <c r="F2189" i="3"/>
  <c r="D2190" i="3"/>
  <c r="I2190" i="3" l="1"/>
  <c r="E2191" i="3"/>
  <c r="J2190" i="3"/>
  <c r="H2190" i="3"/>
  <c r="F2190" i="3"/>
  <c r="D2191" i="3"/>
  <c r="I2191" i="3" l="1"/>
  <c r="E2192" i="3"/>
  <c r="J2191" i="3"/>
  <c r="H2191" i="3"/>
  <c r="F2191" i="3"/>
  <c r="D2192" i="3"/>
  <c r="I2192" i="3" l="1"/>
  <c r="E2193" i="3"/>
  <c r="J2192" i="3"/>
  <c r="H2192" i="3"/>
  <c r="F2192" i="3"/>
  <c r="D2193" i="3"/>
  <c r="I2193" i="3" l="1"/>
  <c r="E2194" i="3"/>
  <c r="J2193" i="3"/>
  <c r="H2193" i="3"/>
  <c r="F2193" i="3"/>
  <c r="D2194" i="3"/>
  <c r="I2194" i="3" l="1"/>
  <c r="E2195" i="3"/>
  <c r="J2194" i="3"/>
  <c r="H2194" i="3"/>
  <c r="F2194" i="3"/>
  <c r="D2195" i="3"/>
  <c r="I2195" i="3" l="1"/>
  <c r="E2196" i="3"/>
  <c r="J2195" i="3"/>
  <c r="H2195" i="3"/>
  <c r="F2195" i="3"/>
  <c r="D2196" i="3"/>
  <c r="I2196" i="3" l="1"/>
  <c r="E2197" i="3"/>
  <c r="J2196" i="3"/>
  <c r="H2196" i="3"/>
  <c r="F2196" i="3"/>
  <c r="D2197" i="3"/>
  <c r="I2197" i="3" l="1"/>
  <c r="E2198" i="3"/>
  <c r="J2197" i="3"/>
  <c r="H2197" i="3"/>
  <c r="F2197" i="3"/>
  <c r="D2198" i="3"/>
  <c r="I2198" i="3" l="1"/>
  <c r="E2199" i="3"/>
  <c r="J2198" i="3"/>
  <c r="H2198" i="3"/>
  <c r="F2198" i="3"/>
  <c r="D2199" i="3"/>
  <c r="I2199" i="3" l="1"/>
  <c r="E2200" i="3"/>
  <c r="J2199" i="3"/>
  <c r="H2199" i="3"/>
  <c r="F2199" i="3"/>
  <c r="D2200" i="3"/>
  <c r="I2200" i="3" l="1"/>
  <c r="E2201" i="3"/>
  <c r="J2200" i="3"/>
  <c r="H2200" i="3"/>
  <c r="F2200" i="3"/>
  <c r="D2201" i="3"/>
  <c r="I2201" i="3" l="1"/>
  <c r="E2202" i="3"/>
  <c r="J2201" i="3"/>
  <c r="H2201" i="3"/>
  <c r="F2201" i="3"/>
  <c r="D2202" i="3"/>
  <c r="I2202" i="3" l="1"/>
  <c r="E2203" i="3"/>
  <c r="J2202" i="3"/>
  <c r="H2202" i="3"/>
  <c r="F2202" i="3"/>
  <c r="D2203" i="3"/>
  <c r="I2203" i="3" l="1"/>
  <c r="E2204" i="3"/>
  <c r="J2203" i="3"/>
  <c r="H2203" i="3"/>
  <c r="F2203" i="3"/>
  <c r="D2204" i="3"/>
  <c r="I2204" i="3" l="1"/>
  <c r="E2205" i="3"/>
  <c r="J2204" i="3"/>
  <c r="H2204" i="3"/>
  <c r="F2204" i="3"/>
  <c r="D2205" i="3"/>
  <c r="I2205" i="3" l="1"/>
  <c r="E2206" i="3"/>
  <c r="J2205" i="3"/>
  <c r="H2205" i="3"/>
  <c r="F2205" i="3"/>
  <c r="D2206" i="3"/>
  <c r="I2206" i="3" l="1"/>
  <c r="E2207" i="3"/>
  <c r="J2206" i="3"/>
  <c r="H2206" i="3"/>
  <c r="F2206" i="3"/>
  <c r="D2207" i="3"/>
  <c r="I2207" i="3" l="1"/>
  <c r="E2208" i="3"/>
  <c r="J2207" i="3"/>
  <c r="H2207" i="3"/>
  <c r="F2207" i="3"/>
  <c r="D2208" i="3"/>
  <c r="I2208" i="3" l="1"/>
  <c r="E2209" i="3"/>
  <c r="J2208" i="3"/>
  <c r="H2208" i="3"/>
  <c r="F2208" i="3"/>
  <c r="D2209" i="3"/>
  <c r="I2209" i="3" l="1"/>
  <c r="E2210" i="3"/>
  <c r="J2209" i="3"/>
  <c r="H2209" i="3"/>
  <c r="F2209" i="3"/>
  <c r="D2210" i="3"/>
  <c r="I2210" i="3" l="1"/>
  <c r="E2211" i="3"/>
  <c r="J2210" i="3"/>
  <c r="H2210" i="3"/>
  <c r="F2210" i="3"/>
  <c r="D2211" i="3"/>
  <c r="I2211" i="3" l="1"/>
  <c r="E2212" i="3"/>
  <c r="J2211" i="3"/>
  <c r="H2211" i="3"/>
  <c r="F2211" i="3"/>
  <c r="D2212" i="3"/>
  <c r="I2212" i="3" l="1"/>
  <c r="E2213" i="3"/>
  <c r="J2212" i="3"/>
  <c r="H2212" i="3"/>
  <c r="F2212" i="3"/>
  <c r="D2213" i="3"/>
  <c r="I2213" i="3" l="1"/>
  <c r="E2214" i="3"/>
  <c r="J2213" i="3"/>
  <c r="H2213" i="3"/>
  <c r="F2213" i="3"/>
  <c r="D2214" i="3"/>
  <c r="I2214" i="3" l="1"/>
  <c r="E2215" i="3"/>
  <c r="H2214" i="3"/>
  <c r="J2214" i="3"/>
  <c r="F2214" i="3"/>
  <c r="D2215" i="3"/>
  <c r="I2215" i="3" l="1"/>
  <c r="E2216" i="3"/>
  <c r="J2215" i="3"/>
  <c r="H2215" i="3"/>
  <c r="F2215" i="3"/>
  <c r="D2216" i="3"/>
  <c r="I2216" i="3" l="1"/>
  <c r="E2217" i="3"/>
  <c r="J2216" i="3"/>
  <c r="H2216" i="3"/>
  <c r="F2216" i="3"/>
  <c r="D2217" i="3"/>
  <c r="I2217" i="3" l="1"/>
  <c r="E2218" i="3"/>
  <c r="J2217" i="3"/>
  <c r="H2217" i="3"/>
  <c r="F2217" i="3"/>
  <c r="D2218" i="3"/>
  <c r="I2218" i="3" l="1"/>
  <c r="E2219" i="3"/>
  <c r="J2218" i="3"/>
  <c r="H2218" i="3"/>
  <c r="F2218" i="3"/>
  <c r="D2219" i="3"/>
  <c r="I2219" i="3" l="1"/>
  <c r="E2220" i="3"/>
  <c r="J2219" i="3"/>
  <c r="H2219" i="3"/>
  <c r="F2219" i="3"/>
  <c r="D2220" i="3"/>
  <c r="I2220" i="3" l="1"/>
  <c r="E2221" i="3"/>
  <c r="J2220" i="3"/>
  <c r="H2220" i="3"/>
  <c r="F2220" i="3"/>
  <c r="D2221" i="3"/>
  <c r="I2221" i="3" l="1"/>
  <c r="E2222" i="3"/>
  <c r="J2221" i="3"/>
  <c r="H2221" i="3"/>
  <c r="F2221" i="3"/>
  <c r="D2222" i="3"/>
  <c r="I2222" i="3" l="1"/>
  <c r="E2223" i="3"/>
  <c r="J2222" i="3"/>
  <c r="H2222" i="3"/>
  <c r="F2222" i="3"/>
  <c r="D2223" i="3"/>
  <c r="I2223" i="3" l="1"/>
  <c r="E2224" i="3"/>
  <c r="H2223" i="3"/>
  <c r="J2223" i="3"/>
  <c r="F2223" i="3"/>
  <c r="D2224" i="3"/>
  <c r="I2224" i="3" l="1"/>
  <c r="E2225" i="3"/>
  <c r="J2224" i="3"/>
  <c r="H2224" i="3"/>
  <c r="F2224" i="3"/>
  <c r="D2225" i="3"/>
  <c r="I2225" i="3" l="1"/>
  <c r="E2226" i="3"/>
  <c r="J2225" i="3"/>
  <c r="H2225" i="3"/>
  <c r="F2225" i="3"/>
  <c r="D2226" i="3"/>
  <c r="I2226" i="3" l="1"/>
  <c r="E2227" i="3"/>
  <c r="H2226" i="3"/>
  <c r="J2226" i="3"/>
  <c r="F2226" i="3"/>
  <c r="D2227" i="3"/>
  <c r="I2227" i="3" l="1"/>
  <c r="E2228" i="3"/>
  <c r="J2227" i="3"/>
  <c r="H2227" i="3"/>
  <c r="F2227" i="3"/>
  <c r="D2228" i="3"/>
  <c r="I2228" i="3" l="1"/>
  <c r="E2229" i="3"/>
  <c r="J2228" i="3"/>
  <c r="H2228" i="3"/>
  <c r="F2228" i="3"/>
  <c r="D2229" i="3"/>
  <c r="I2229" i="3" l="1"/>
  <c r="E2230" i="3"/>
  <c r="J2229" i="3"/>
  <c r="H2229" i="3"/>
  <c r="F2229" i="3"/>
  <c r="D2230" i="3"/>
  <c r="I2230" i="3" l="1"/>
  <c r="E2231" i="3"/>
  <c r="J2230" i="3"/>
  <c r="H2230" i="3"/>
  <c r="F2230" i="3"/>
  <c r="D2231" i="3"/>
  <c r="I2231" i="3" l="1"/>
  <c r="E2232" i="3"/>
  <c r="J2231" i="3"/>
  <c r="H2231" i="3"/>
  <c r="F2231" i="3"/>
  <c r="D2232" i="3"/>
  <c r="I2232" i="3" l="1"/>
  <c r="E2233" i="3"/>
  <c r="J2232" i="3"/>
  <c r="H2232" i="3"/>
  <c r="F2232" i="3"/>
  <c r="D2233" i="3"/>
  <c r="I2233" i="3" l="1"/>
  <c r="E2234" i="3"/>
  <c r="J2233" i="3"/>
  <c r="H2233" i="3"/>
  <c r="F2233" i="3"/>
  <c r="D2234" i="3"/>
  <c r="I2234" i="3" l="1"/>
  <c r="E2235" i="3"/>
  <c r="J2234" i="3"/>
  <c r="H2234" i="3"/>
  <c r="F2234" i="3"/>
  <c r="D2235" i="3"/>
  <c r="I2235" i="3" l="1"/>
  <c r="E2236" i="3"/>
  <c r="H2235" i="3"/>
  <c r="J2235" i="3"/>
  <c r="F2235" i="3"/>
  <c r="D2236" i="3"/>
  <c r="I2236" i="3" l="1"/>
  <c r="E2237" i="3"/>
  <c r="H2236" i="3"/>
  <c r="J2236" i="3"/>
  <c r="F2236" i="3"/>
  <c r="D2237" i="3"/>
  <c r="I2237" i="3" l="1"/>
  <c r="E2238" i="3"/>
  <c r="J2237" i="3"/>
  <c r="H2237" i="3"/>
  <c r="F2237" i="3"/>
  <c r="D2238" i="3"/>
  <c r="I2238" i="3" l="1"/>
  <c r="E2239" i="3"/>
  <c r="J2238" i="3"/>
  <c r="H2238" i="3"/>
  <c r="F2238" i="3"/>
  <c r="D2239" i="3"/>
  <c r="I2239" i="3" l="1"/>
  <c r="E2240" i="3"/>
  <c r="J2239" i="3"/>
  <c r="H2239" i="3"/>
  <c r="F2239" i="3"/>
  <c r="D2240" i="3"/>
  <c r="I2240" i="3" l="1"/>
  <c r="E2241" i="3"/>
  <c r="J2240" i="3"/>
  <c r="H2240" i="3"/>
  <c r="F2240" i="3"/>
  <c r="D2241" i="3"/>
  <c r="I2241" i="3" l="1"/>
  <c r="E2242" i="3"/>
  <c r="J2241" i="3"/>
  <c r="H2241" i="3"/>
  <c r="F2241" i="3"/>
  <c r="D2242" i="3"/>
  <c r="I2242" i="3" l="1"/>
  <c r="E2243" i="3"/>
  <c r="H2242" i="3"/>
  <c r="J2242" i="3"/>
  <c r="F2242" i="3"/>
  <c r="D2243" i="3"/>
  <c r="I2243" i="3" l="1"/>
  <c r="E2244" i="3"/>
  <c r="J2243" i="3"/>
  <c r="H2243" i="3"/>
  <c r="F2243" i="3"/>
  <c r="D2244" i="3"/>
  <c r="I2244" i="3" l="1"/>
  <c r="E2245" i="3"/>
  <c r="J2244" i="3"/>
  <c r="H2244" i="3"/>
  <c r="F2244" i="3"/>
  <c r="D2245" i="3"/>
  <c r="I2245" i="3" l="1"/>
  <c r="E2246" i="3"/>
  <c r="J2245" i="3"/>
  <c r="H2245" i="3"/>
  <c r="F2245" i="3"/>
  <c r="D2246" i="3"/>
  <c r="I2246" i="3" l="1"/>
  <c r="E2247" i="3"/>
  <c r="J2246" i="3"/>
  <c r="H2246" i="3"/>
  <c r="F2246" i="3"/>
  <c r="D2247" i="3"/>
  <c r="I2247" i="3" l="1"/>
  <c r="E2248" i="3"/>
  <c r="J2247" i="3"/>
  <c r="H2247" i="3"/>
  <c r="F2247" i="3"/>
  <c r="D2248" i="3"/>
  <c r="I2248" i="3" l="1"/>
  <c r="E2249" i="3"/>
  <c r="H2248" i="3"/>
  <c r="J2248" i="3"/>
  <c r="F2248" i="3"/>
  <c r="D2249" i="3"/>
  <c r="I2249" i="3" l="1"/>
  <c r="E2250" i="3"/>
  <c r="J2249" i="3"/>
  <c r="H2249" i="3"/>
  <c r="F2249" i="3"/>
  <c r="D2250" i="3"/>
  <c r="I2250" i="3" l="1"/>
  <c r="E2251" i="3"/>
  <c r="J2250" i="3"/>
  <c r="H2250" i="3"/>
  <c r="F2250" i="3"/>
  <c r="D2251" i="3"/>
  <c r="I2251" i="3" l="1"/>
  <c r="E2252" i="3"/>
  <c r="J2251" i="3"/>
  <c r="H2251" i="3"/>
  <c r="F2251" i="3"/>
  <c r="D2252" i="3"/>
  <c r="I2252" i="3" l="1"/>
  <c r="E2253" i="3"/>
  <c r="H2252" i="3"/>
  <c r="J2252" i="3"/>
  <c r="F2252" i="3"/>
  <c r="D2253" i="3"/>
  <c r="I2253" i="3" l="1"/>
  <c r="E2254" i="3"/>
  <c r="J2253" i="3"/>
  <c r="H2253" i="3"/>
  <c r="F2253" i="3"/>
  <c r="D2254" i="3"/>
  <c r="I2254" i="3" l="1"/>
  <c r="E2255" i="3"/>
  <c r="H2254" i="3"/>
  <c r="J2254" i="3"/>
  <c r="F2254" i="3"/>
  <c r="D2255" i="3"/>
  <c r="I2255" i="3" l="1"/>
  <c r="E2256" i="3"/>
  <c r="J2255" i="3"/>
  <c r="H2255" i="3"/>
  <c r="F2255" i="3"/>
  <c r="D2256" i="3"/>
  <c r="I2256" i="3" l="1"/>
  <c r="E2257" i="3"/>
  <c r="J2256" i="3"/>
  <c r="H2256" i="3"/>
  <c r="F2256" i="3"/>
  <c r="D2257" i="3"/>
  <c r="I2257" i="3" l="1"/>
  <c r="E2258" i="3"/>
  <c r="J2257" i="3"/>
  <c r="H2257" i="3"/>
  <c r="F2257" i="3"/>
  <c r="D2258" i="3"/>
  <c r="I2258" i="3" l="1"/>
  <c r="E2259" i="3"/>
  <c r="J2258" i="3"/>
  <c r="H2258" i="3"/>
  <c r="F2258" i="3"/>
  <c r="D2259" i="3"/>
  <c r="I2259" i="3" l="1"/>
  <c r="E2260" i="3"/>
  <c r="J2259" i="3"/>
  <c r="H2259" i="3"/>
  <c r="F2259" i="3"/>
  <c r="D2260" i="3"/>
  <c r="I2260" i="3" l="1"/>
  <c r="E2261" i="3"/>
  <c r="J2260" i="3"/>
  <c r="H2260" i="3"/>
  <c r="F2260" i="3"/>
  <c r="D2261" i="3"/>
  <c r="I2261" i="3" l="1"/>
  <c r="E2262" i="3"/>
  <c r="J2261" i="3"/>
  <c r="H2261" i="3"/>
  <c r="F2261" i="3"/>
  <c r="D2262" i="3"/>
  <c r="I2262" i="3" l="1"/>
  <c r="E2263" i="3"/>
  <c r="J2262" i="3"/>
  <c r="H2262" i="3"/>
  <c r="F2262" i="3"/>
  <c r="D2263" i="3"/>
  <c r="I2263" i="3" l="1"/>
  <c r="E2264" i="3"/>
  <c r="J2263" i="3"/>
  <c r="H2263" i="3"/>
  <c r="F2263" i="3"/>
  <c r="D2264" i="3"/>
  <c r="I2264" i="3" l="1"/>
  <c r="E2265" i="3"/>
  <c r="J2264" i="3"/>
  <c r="H2264" i="3"/>
  <c r="F2264" i="3"/>
  <c r="D2265" i="3"/>
  <c r="I2265" i="3" l="1"/>
  <c r="E2266" i="3"/>
  <c r="J2265" i="3"/>
  <c r="H2265" i="3"/>
  <c r="F2265" i="3"/>
  <c r="D2266" i="3"/>
  <c r="I2266" i="3" l="1"/>
  <c r="E2267" i="3"/>
  <c r="J2266" i="3"/>
  <c r="H2266" i="3"/>
  <c r="F2266" i="3"/>
  <c r="D2267" i="3"/>
  <c r="I2267" i="3" l="1"/>
  <c r="E2268" i="3"/>
  <c r="J2267" i="3"/>
  <c r="H2267" i="3"/>
  <c r="F2267" i="3"/>
  <c r="D2268" i="3"/>
  <c r="I2268" i="3" l="1"/>
  <c r="E2269" i="3"/>
  <c r="J2268" i="3"/>
  <c r="H2268" i="3"/>
  <c r="F2268" i="3"/>
  <c r="D2269" i="3"/>
  <c r="I2269" i="3" l="1"/>
  <c r="E2270" i="3"/>
  <c r="J2269" i="3"/>
  <c r="H2269" i="3"/>
  <c r="F2269" i="3"/>
  <c r="D2270" i="3"/>
  <c r="I2270" i="3" l="1"/>
  <c r="E2271" i="3"/>
  <c r="J2270" i="3"/>
  <c r="H2270" i="3"/>
  <c r="F2270" i="3"/>
  <c r="D2271" i="3"/>
  <c r="I2271" i="3" l="1"/>
  <c r="E2272" i="3"/>
  <c r="H2271" i="3"/>
  <c r="J2271" i="3"/>
  <c r="F2271" i="3"/>
  <c r="D2272" i="3"/>
  <c r="I2272" i="3" l="1"/>
  <c r="E2273" i="3"/>
  <c r="J2272" i="3"/>
  <c r="H2272" i="3"/>
  <c r="F2272" i="3"/>
  <c r="D2273" i="3"/>
  <c r="I2273" i="3" l="1"/>
  <c r="E2274" i="3"/>
  <c r="J2273" i="3"/>
  <c r="H2273" i="3"/>
  <c r="F2273" i="3"/>
  <c r="D2274" i="3"/>
  <c r="I2274" i="3" l="1"/>
  <c r="E2275" i="3"/>
  <c r="H2274" i="3"/>
  <c r="J2274" i="3"/>
  <c r="F2274" i="3"/>
  <c r="D2275" i="3"/>
  <c r="I2275" i="3" l="1"/>
  <c r="E2276" i="3"/>
  <c r="J2275" i="3"/>
  <c r="H2275" i="3"/>
  <c r="F2275" i="3"/>
  <c r="D2276" i="3"/>
  <c r="I2276" i="3" l="1"/>
  <c r="E2277" i="3"/>
  <c r="J2276" i="3"/>
  <c r="H2276" i="3"/>
  <c r="F2276" i="3"/>
  <c r="D2277" i="3"/>
  <c r="I2277" i="3" l="1"/>
  <c r="E2278" i="3"/>
  <c r="J2277" i="3"/>
  <c r="H2277" i="3"/>
  <c r="F2277" i="3"/>
  <c r="D2278" i="3"/>
  <c r="I2278" i="3" l="1"/>
  <c r="E2279" i="3"/>
  <c r="J2278" i="3"/>
  <c r="H2278" i="3"/>
  <c r="F2278" i="3"/>
  <c r="D2279" i="3"/>
  <c r="I2279" i="3" l="1"/>
  <c r="E2280" i="3"/>
  <c r="J2279" i="3"/>
  <c r="H2279" i="3"/>
  <c r="F2279" i="3"/>
  <c r="D2280" i="3"/>
  <c r="I2280" i="3" l="1"/>
  <c r="E2281" i="3"/>
  <c r="J2280" i="3"/>
  <c r="H2280" i="3"/>
  <c r="F2280" i="3"/>
  <c r="D2281" i="3"/>
  <c r="I2281" i="3" l="1"/>
  <c r="E2282" i="3"/>
  <c r="J2281" i="3"/>
  <c r="H2281" i="3"/>
  <c r="F2281" i="3"/>
  <c r="D2282" i="3"/>
  <c r="I2282" i="3" l="1"/>
  <c r="E2283" i="3"/>
  <c r="H2282" i="3"/>
  <c r="J2282" i="3"/>
  <c r="F2282" i="3"/>
  <c r="D2283" i="3"/>
  <c r="I2283" i="3" l="1"/>
  <c r="E2284" i="3"/>
  <c r="J2283" i="3"/>
  <c r="H2283" i="3"/>
  <c r="F2283" i="3"/>
  <c r="D2284" i="3"/>
  <c r="I2284" i="3" l="1"/>
  <c r="E2285" i="3"/>
  <c r="J2284" i="3"/>
  <c r="H2284" i="3"/>
  <c r="F2284" i="3"/>
  <c r="D2285" i="3"/>
  <c r="I2285" i="3" l="1"/>
  <c r="E2286" i="3"/>
  <c r="J2285" i="3"/>
  <c r="H2285" i="3"/>
  <c r="F2285" i="3"/>
  <c r="D2286" i="3"/>
  <c r="I2286" i="3" l="1"/>
  <c r="E2287" i="3"/>
  <c r="J2286" i="3"/>
  <c r="H2286" i="3"/>
  <c r="F2286" i="3"/>
  <c r="D2287" i="3"/>
  <c r="I2287" i="3" l="1"/>
  <c r="E2288" i="3"/>
  <c r="J2287" i="3"/>
  <c r="H2287" i="3"/>
  <c r="F2287" i="3"/>
  <c r="D2288" i="3"/>
  <c r="I2288" i="3" l="1"/>
  <c r="E2289" i="3"/>
  <c r="J2288" i="3"/>
  <c r="H2288" i="3"/>
  <c r="F2288" i="3"/>
  <c r="D2289" i="3"/>
  <c r="I2289" i="3" l="1"/>
  <c r="E2290" i="3"/>
  <c r="H2289" i="3"/>
  <c r="J2289" i="3"/>
  <c r="F2289" i="3"/>
  <c r="D2290" i="3"/>
  <c r="I2290" i="3" l="1"/>
  <c r="E2291" i="3"/>
  <c r="J2290" i="3"/>
  <c r="H2290" i="3"/>
  <c r="F2290" i="3"/>
  <c r="D2291" i="3"/>
  <c r="I2291" i="3" l="1"/>
  <c r="E2292" i="3"/>
  <c r="J2291" i="3"/>
  <c r="H2291" i="3"/>
  <c r="F2291" i="3"/>
  <c r="D2292" i="3"/>
  <c r="I2292" i="3" l="1"/>
  <c r="E2293" i="3"/>
  <c r="J2292" i="3"/>
  <c r="H2292" i="3"/>
  <c r="F2292" i="3"/>
  <c r="D2293" i="3"/>
  <c r="I2293" i="3" l="1"/>
  <c r="E2294" i="3"/>
  <c r="J2293" i="3"/>
  <c r="H2293" i="3"/>
  <c r="F2293" i="3"/>
  <c r="D2294" i="3"/>
  <c r="I2294" i="3" l="1"/>
  <c r="E2295" i="3"/>
  <c r="J2294" i="3"/>
  <c r="H2294" i="3"/>
  <c r="F2294" i="3"/>
  <c r="D2295" i="3"/>
  <c r="I2295" i="3" l="1"/>
  <c r="E2296" i="3"/>
  <c r="J2295" i="3"/>
  <c r="H2295" i="3"/>
  <c r="F2295" i="3"/>
  <c r="D2296" i="3"/>
  <c r="I2296" i="3" l="1"/>
  <c r="E2297" i="3"/>
  <c r="J2296" i="3"/>
  <c r="H2296" i="3"/>
  <c r="F2296" i="3"/>
  <c r="D2297" i="3"/>
  <c r="I2297" i="3" l="1"/>
  <c r="E2298" i="3"/>
  <c r="J2297" i="3"/>
  <c r="H2297" i="3"/>
  <c r="F2297" i="3"/>
  <c r="D2298" i="3"/>
  <c r="I2298" i="3" l="1"/>
  <c r="E2299" i="3"/>
  <c r="J2298" i="3"/>
  <c r="H2298" i="3"/>
  <c r="F2298" i="3"/>
  <c r="D2299" i="3"/>
  <c r="I2299" i="3" l="1"/>
  <c r="E2300" i="3"/>
  <c r="J2299" i="3"/>
  <c r="H2299" i="3"/>
  <c r="F2299" i="3"/>
  <c r="D2300" i="3"/>
  <c r="I2300" i="3" l="1"/>
  <c r="E2301" i="3"/>
  <c r="J2300" i="3"/>
  <c r="H2300" i="3"/>
  <c r="F2300" i="3"/>
  <c r="D2301" i="3"/>
  <c r="I2301" i="3" l="1"/>
  <c r="E2302" i="3"/>
  <c r="J2301" i="3"/>
  <c r="H2301" i="3"/>
  <c r="F2301" i="3"/>
  <c r="D2302" i="3"/>
  <c r="I2302" i="3" l="1"/>
  <c r="E2303" i="3"/>
  <c r="J2302" i="3"/>
  <c r="H2302" i="3"/>
  <c r="F2302" i="3"/>
  <c r="D2303" i="3"/>
  <c r="I2303" i="3" l="1"/>
  <c r="E2304" i="3"/>
  <c r="H2303" i="3"/>
  <c r="J2303" i="3"/>
  <c r="F2303" i="3"/>
  <c r="D2304" i="3"/>
  <c r="I2304" i="3" l="1"/>
  <c r="E2305" i="3"/>
  <c r="J2304" i="3"/>
  <c r="H2304" i="3"/>
  <c r="F2304" i="3"/>
  <c r="D2305" i="3"/>
  <c r="I2305" i="3" l="1"/>
  <c r="E2306" i="3"/>
  <c r="J2305" i="3"/>
  <c r="H2305" i="3"/>
  <c r="F2305" i="3"/>
  <c r="D2306" i="3"/>
  <c r="I2306" i="3" l="1"/>
  <c r="E2307" i="3"/>
  <c r="J2306" i="3"/>
  <c r="H2306" i="3"/>
  <c r="F2306" i="3"/>
  <c r="D2307" i="3"/>
  <c r="I2307" i="3" l="1"/>
  <c r="E2308" i="3"/>
  <c r="H2307" i="3"/>
  <c r="J2307" i="3"/>
  <c r="F2307" i="3"/>
  <c r="D2308" i="3"/>
  <c r="I2308" i="3" l="1"/>
  <c r="E2309" i="3"/>
  <c r="J2308" i="3"/>
  <c r="H2308" i="3"/>
  <c r="F2308" i="3"/>
  <c r="D2309" i="3"/>
  <c r="I2309" i="3" l="1"/>
  <c r="E2310" i="3"/>
  <c r="J2309" i="3"/>
  <c r="H2309" i="3"/>
  <c r="F2309" i="3"/>
  <c r="D2310" i="3"/>
  <c r="I2310" i="3" l="1"/>
  <c r="E2311" i="3"/>
  <c r="J2310" i="3"/>
  <c r="H2310" i="3"/>
  <c r="F2310" i="3"/>
  <c r="D2311" i="3"/>
  <c r="I2311" i="3" l="1"/>
  <c r="E2312" i="3"/>
  <c r="J2311" i="3"/>
  <c r="H2311" i="3"/>
  <c r="F2311" i="3"/>
  <c r="D2312" i="3"/>
  <c r="I2312" i="3" l="1"/>
  <c r="E2313" i="3"/>
  <c r="J2312" i="3"/>
  <c r="H2312" i="3"/>
  <c r="F2312" i="3"/>
  <c r="D2313" i="3"/>
  <c r="I2313" i="3" l="1"/>
  <c r="E2314" i="3"/>
  <c r="H2313" i="3"/>
  <c r="J2313" i="3"/>
  <c r="F2313" i="3"/>
  <c r="D2314" i="3"/>
  <c r="I2314" i="3" l="1"/>
  <c r="E2315" i="3"/>
  <c r="J2314" i="3"/>
  <c r="H2314" i="3"/>
  <c r="F2314" i="3"/>
  <c r="D2315" i="3"/>
  <c r="I2315" i="3" l="1"/>
  <c r="E2316" i="3"/>
  <c r="J2315" i="3"/>
  <c r="H2315" i="3"/>
  <c r="F2315" i="3"/>
  <c r="D2316" i="3"/>
  <c r="I2316" i="3" l="1"/>
  <c r="E2317" i="3"/>
  <c r="H2316" i="3"/>
  <c r="J2316" i="3"/>
  <c r="F2316" i="3"/>
  <c r="D2317" i="3"/>
  <c r="I2317" i="3" l="1"/>
  <c r="E2318" i="3"/>
  <c r="H2317" i="3"/>
  <c r="J2317" i="3"/>
  <c r="F2317" i="3"/>
  <c r="D2318" i="3"/>
  <c r="I2318" i="3" l="1"/>
  <c r="E2319" i="3"/>
  <c r="J2318" i="3"/>
  <c r="H2318" i="3"/>
  <c r="F2318" i="3"/>
  <c r="D2319" i="3"/>
  <c r="I2319" i="3" l="1"/>
  <c r="E2320" i="3"/>
  <c r="J2319" i="3"/>
  <c r="H2319" i="3"/>
  <c r="F2319" i="3"/>
  <c r="D2320" i="3"/>
  <c r="I2320" i="3" l="1"/>
  <c r="E2321" i="3"/>
  <c r="H2320" i="3"/>
  <c r="J2320" i="3"/>
  <c r="F2320" i="3"/>
  <c r="D2321" i="3"/>
  <c r="I2321" i="3" l="1"/>
  <c r="E2322" i="3"/>
  <c r="J2321" i="3"/>
  <c r="H2321" i="3"/>
  <c r="F2321" i="3"/>
  <c r="D2322" i="3"/>
  <c r="I2322" i="3" l="1"/>
  <c r="E2323" i="3"/>
  <c r="H2322" i="3"/>
  <c r="J2322" i="3"/>
  <c r="F2322" i="3"/>
  <c r="D2323" i="3"/>
  <c r="I2323" i="3" l="1"/>
  <c r="E2324" i="3"/>
  <c r="H2323" i="3"/>
  <c r="J2323" i="3"/>
  <c r="F2323" i="3"/>
  <c r="D2324" i="3"/>
  <c r="I2324" i="3" l="1"/>
  <c r="E2325" i="3"/>
  <c r="J2324" i="3"/>
  <c r="H2324" i="3"/>
  <c r="F2324" i="3"/>
  <c r="D2325" i="3"/>
  <c r="I2325" i="3" l="1"/>
  <c r="E2326" i="3"/>
  <c r="J2325" i="3"/>
  <c r="H2325" i="3"/>
  <c r="F2325" i="3"/>
  <c r="D2326" i="3"/>
  <c r="I2326" i="3" l="1"/>
  <c r="E2327" i="3"/>
  <c r="H2326" i="3"/>
  <c r="J2326" i="3"/>
  <c r="F2326" i="3"/>
  <c r="D2327" i="3"/>
  <c r="I2327" i="3" l="1"/>
  <c r="E2328" i="3"/>
  <c r="J2327" i="3"/>
  <c r="H2327" i="3"/>
  <c r="F2327" i="3"/>
  <c r="D2328" i="3"/>
  <c r="I2328" i="3" l="1"/>
  <c r="E2329" i="3"/>
  <c r="J2328" i="3"/>
  <c r="H2328" i="3"/>
  <c r="F2328" i="3"/>
  <c r="D2329" i="3"/>
  <c r="I2329" i="3" l="1"/>
  <c r="E2330" i="3"/>
  <c r="J2329" i="3"/>
  <c r="H2329" i="3"/>
  <c r="F2329" i="3"/>
  <c r="D2330" i="3"/>
  <c r="I2330" i="3" l="1"/>
  <c r="E2331" i="3"/>
  <c r="J2330" i="3"/>
  <c r="H2330" i="3"/>
  <c r="F2330" i="3"/>
  <c r="D2331" i="3"/>
  <c r="I2331" i="3" l="1"/>
  <c r="E2332" i="3"/>
  <c r="J2331" i="3"/>
  <c r="H2331" i="3"/>
  <c r="F2331" i="3"/>
  <c r="D2332" i="3"/>
  <c r="I2332" i="3" l="1"/>
  <c r="E2333" i="3"/>
  <c r="J2332" i="3"/>
  <c r="H2332" i="3"/>
  <c r="F2332" i="3"/>
  <c r="D2333" i="3"/>
  <c r="I2333" i="3" l="1"/>
  <c r="E2334" i="3"/>
  <c r="H2333" i="3"/>
  <c r="J2333" i="3"/>
  <c r="F2333" i="3"/>
  <c r="D2334" i="3"/>
  <c r="I2334" i="3" l="1"/>
  <c r="E2335" i="3"/>
  <c r="J2334" i="3"/>
  <c r="H2334" i="3"/>
  <c r="F2334" i="3"/>
  <c r="D2335" i="3"/>
  <c r="I2335" i="3" l="1"/>
  <c r="E2336" i="3"/>
  <c r="J2335" i="3"/>
  <c r="H2335" i="3"/>
  <c r="F2335" i="3"/>
  <c r="D2336" i="3"/>
  <c r="I2336" i="3" l="1"/>
  <c r="E2337" i="3"/>
  <c r="J2336" i="3"/>
  <c r="H2336" i="3"/>
  <c r="F2336" i="3"/>
  <c r="D2337" i="3"/>
  <c r="I2337" i="3" l="1"/>
  <c r="E2338" i="3"/>
  <c r="J2337" i="3"/>
  <c r="H2337" i="3"/>
  <c r="F2337" i="3"/>
  <c r="D2338" i="3"/>
  <c r="I2338" i="3" l="1"/>
  <c r="E2339" i="3"/>
  <c r="J2338" i="3"/>
  <c r="H2338" i="3"/>
  <c r="F2338" i="3"/>
  <c r="D2339" i="3"/>
  <c r="I2339" i="3" l="1"/>
  <c r="E2340" i="3"/>
  <c r="J2339" i="3"/>
  <c r="H2339" i="3"/>
  <c r="F2339" i="3"/>
  <c r="D2340" i="3"/>
  <c r="I2340" i="3" l="1"/>
  <c r="E2341" i="3"/>
  <c r="J2340" i="3"/>
  <c r="H2340" i="3"/>
  <c r="F2340" i="3"/>
  <c r="D2341" i="3"/>
  <c r="I2341" i="3" l="1"/>
  <c r="E2342" i="3"/>
  <c r="J2341" i="3"/>
  <c r="H2341" i="3"/>
  <c r="F2341" i="3"/>
  <c r="D2342" i="3"/>
  <c r="I2342" i="3" l="1"/>
  <c r="E2343" i="3"/>
  <c r="J2342" i="3"/>
  <c r="H2342" i="3"/>
  <c r="F2342" i="3"/>
  <c r="D2343" i="3"/>
  <c r="I2343" i="3" l="1"/>
  <c r="E2344" i="3"/>
  <c r="J2343" i="3"/>
  <c r="H2343" i="3"/>
  <c r="F2343" i="3"/>
  <c r="D2344" i="3"/>
  <c r="I2344" i="3" l="1"/>
  <c r="E2345" i="3"/>
  <c r="J2344" i="3"/>
  <c r="H2344" i="3"/>
  <c r="F2344" i="3"/>
  <c r="D2345" i="3"/>
  <c r="I2345" i="3" l="1"/>
  <c r="E2346" i="3"/>
  <c r="J2345" i="3"/>
  <c r="H2345" i="3"/>
  <c r="F2345" i="3"/>
  <c r="D2346" i="3"/>
  <c r="I2346" i="3" l="1"/>
  <c r="E2347" i="3"/>
  <c r="J2346" i="3"/>
  <c r="H2346" i="3"/>
  <c r="F2346" i="3"/>
  <c r="D2347" i="3"/>
  <c r="I2347" i="3" l="1"/>
  <c r="E2348" i="3"/>
  <c r="J2347" i="3"/>
  <c r="H2347" i="3"/>
  <c r="F2347" i="3"/>
  <c r="D2348" i="3"/>
  <c r="I2348" i="3" l="1"/>
  <c r="E2349" i="3"/>
  <c r="J2348" i="3"/>
  <c r="H2348" i="3"/>
  <c r="F2348" i="3"/>
  <c r="D2349" i="3"/>
  <c r="I2349" i="3" l="1"/>
  <c r="E2350" i="3"/>
  <c r="J2349" i="3"/>
  <c r="H2349" i="3"/>
  <c r="F2349" i="3"/>
  <c r="D2350" i="3"/>
  <c r="I2350" i="3" l="1"/>
  <c r="E2351" i="3"/>
  <c r="J2350" i="3"/>
  <c r="H2350" i="3"/>
  <c r="F2350" i="3"/>
  <c r="D2351" i="3"/>
  <c r="I2351" i="3" l="1"/>
  <c r="E2352" i="3"/>
  <c r="J2351" i="3"/>
  <c r="H2351" i="3"/>
  <c r="F2351" i="3"/>
  <c r="D2352" i="3"/>
  <c r="I2352" i="3" l="1"/>
  <c r="E2353" i="3"/>
  <c r="J2352" i="3"/>
  <c r="H2352" i="3"/>
  <c r="F2352" i="3"/>
  <c r="D2353" i="3"/>
  <c r="I2353" i="3" l="1"/>
  <c r="E2354" i="3"/>
  <c r="J2353" i="3"/>
  <c r="H2353" i="3"/>
  <c r="F2353" i="3"/>
  <c r="D2354" i="3"/>
  <c r="I2354" i="3" l="1"/>
  <c r="E2355" i="3"/>
  <c r="J2354" i="3"/>
  <c r="H2354" i="3"/>
  <c r="F2354" i="3"/>
  <c r="D2355" i="3"/>
  <c r="I2355" i="3" l="1"/>
  <c r="E2356" i="3"/>
  <c r="J2355" i="3"/>
  <c r="H2355" i="3"/>
  <c r="F2355" i="3"/>
  <c r="D2356" i="3"/>
  <c r="I2356" i="3" l="1"/>
  <c r="E2357" i="3"/>
  <c r="J2356" i="3"/>
  <c r="H2356" i="3"/>
  <c r="F2356" i="3"/>
  <c r="D2357" i="3"/>
  <c r="I2357" i="3" l="1"/>
  <c r="E2358" i="3"/>
  <c r="J2357" i="3"/>
  <c r="H2357" i="3"/>
  <c r="F2357" i="3"/>
  <c r="D2358" i="3"/>
  <c r="I2358" i="3" l="1"/>
  <c r="E2359" i="3"/>
  <c r="J2358" i="3"/>
  <c r="H2358" i="3"/>
  <c r="F2358" i="3"/>
  <c r="D2359" i="3"/>
  <c r="I2359" i="3" l="1"/>
  <c r="E2360" i="3"/>
  <c r="J2359" i="3"/>
  <c r="H2359" i="3"/>
  <c r="F2359" i="3"/>
  <c r="D2360" i="3"/>
  <c r="I2360" i="3" l="1"/>
  <c r="E2361" i="3"/>
  <c r="J2360" i="3"/>
  <c r="H2360" i="3"/>
  <c r="F2360" i="3"/>
  <c r="D2361" i="3"/>
  <c r="I2361" i="3" l="1"/>
  <c r="E2362" i="3"/>
  <c r="J2361" i="3"/>
  <c r="H2361" i="3"/>
  <c r="F2361" i="3"/>
  <c r="D2362" i="3"/>
  <c r="I2362" i="3" l="1"/>
  <c r="E2363" i="3"/>
  <c r="J2362" i="3"/>
  <c r="H2362" i="3"/>
  <c r="F2362" i="3"/>
  <c r="D2363" i="3"/>
  <c r="I2363" i="3" l="1"/>
  <c r="E2364" i="3"/>
  <c r="J2363" i="3"/>
  <c r="H2363" i="3"/>
  <c r="F2363" i="3"/>
  <c r="D2364" i="3"/>
  <c r="I2364" i="3" l="1"/>
  <c r="E2365" i="3"/>
  <c r="J2364" i="3"/>
  <c r="H2364" i="3"/>
  <c r="F2364" i="3"/>
  <c r="D2365" i="3"/>
  <c r="I2365" i="3" l="1"/>
  <c r="E2366" i="3"/>
  <c r="J2365" i="3"/>
  <c r="H2365" i="3"/>
  <c r="F2365" i="3"/>
  <c r="D2366" i="3"/>
  <c r="I2366" i="3" l="1"/>
  <c r="E2367" i="3"/>
  <c r="J2366" i="3"/>
  <c r="H2366" i="3"/>
  <c r="F2366" i="3"/>
  <c r="D2367" i="3"/>
  <c r="I2367" i="3" l="1"/>
  <c r="E2368" i="3"/>
  <c r="J2367" i="3"/>
  <c r="H2367" i="3"/>
  <c r="F2367" i="3"/>
  <c r="D2368" i="3"/>
  <c r="I2368" i="3" l="1"/>
  <c r="E2369" i="3"/>
  <c r="J2368" i="3"/>
  <c r="H2368" i="3"/>
  <c r="F2368" i="3"/>
  <c r="D2369" i="3"/>
  <c r="I2369" i="3" l="1"/>
  <c r="E2370" i="3"/>
  <c r="J2369" i="3"/>
  <c r="H2369" i="3"/>
  <c r="F2369" i="3"/>
  <c r="D2370" i="3"/>
  <c r="I2370" i="3" l="1"/>
  <c r="E2371" i="3"/>
  <c r="J2370" i="3"/>
  <c r="H2370" i="3"/>
  <c r="F2370" i="3"/>
  <c r="D2371" i="3"/>
  <c r="I2371" i="3" l="1"/>
  <c r="E2372" i="3"/>
  <c r="J2371" i="3"/>
  <c r="H2371" i="3"/>
  <c r="F2371" i="3"/>
  <c r="D2372" i="3"/>
  <c r="I2372" i="3" l="1"/>
  <c r="E2373" i="3"/>
  <c r="J2372" i="3"/>
  <c r="H2372" i="3"/>
  <c r="F2372" i="3"/>
  <c r="D2373" i="3"/>
  <c r="I2373" i="3" l="1"/>
  <c r="E2374" i="3"/>
  <c r="J2373" i="3"/>
  <c r="H2373" i="3"/>
  <c r="F2373" i="3"/>
  <c r="D2374" i="3"/>
  <c r="I2374" i="3" l="1"/>
  <c r="E2375" i="3"/>
  <c r="J2374" i="3"/>
  <c r="H2374" i="3"/>
  <c r="F2374" i="3"/>
  <c r="D2375" i="3"/>
  <c r="I2375" i="3" l="1"/>
  <c r="E2376" i="3"/>
  <c r="J2375" i="3"/>
  <c r="H2375" i="3"/>
  <c r="F2375" i="3"/>
  <c r="D2376" i="3"/>
  <c r="I2376" i="3" l="1"/>
  <c r="E2377" i="3"/>
  <c r="J2376" i="3"/>
  <c r="H2376" i="3"/>
  <c r="F2376" i="3"/>
  <c r="D2377" i="3"/>
  <c r="I2377" i="3" l="1"/>
  <c r="E2378" i="3"/>
  <c r="J2377" i="3"/>
  <c r="H2377" i="3"/>
  <c r="F2377" i="3"/>
  <c r="D2378" i="3"/>
  <c r="I2378" i="3" l="1"/>
  <c r="E2379" i="3"/>
  <c r="J2378" i="3"/>
  <c r="H2378" i="3"/>
  <c r="F2378" i="3"/>
  <c r="D2379" i="3"/>
  <c r="I2379" i="3" l="1"/>
  <c r="E2380" i="3"/>
  <c r="J2379" i="3"/>
  <c r="H2379" i="3"/>
  <c r="F2379" i="3"/>
  <c r="D2380" i="3"/>
  <c r="I2380" i="3" l="1"/>
  <c r="E2381" i="3"/>
  <c r="J2380" i="3"/>
  <c r="H2380" i="3"/>
  <c r="F2380" i="3"/>
  <c r="D2381" i="3"/>
  <c r="I2381" i="3" l="1"/>
  <c r="E2382" i="3"/>
  <c r="J2381" i="3"/>
  <c r="H2381" i="3"/>
  <c r="F2381" i="3"/>
  <c r="D2382" i="3"/>
  <c r="I2382" i="3" l="1"/>
  <c r="E2383" i="3"/>
  <c r="J2382" i="3"/>
  <c r="H2382" i="3"/>
  <c r="F2382" i="3"/>
  <c r="D2383" i="3"/>
  <c r="I2383" i="3" l="1"/>
  <c r="E2384" i="3"/>
  <c r="J2383" i="3"/>
  <c r="H2383" i="3"/>
  <c r="F2383" i="3"/>
  <c r="D2384" i="3"/>
  <c r="I2384" i="3" l="1"/>
  <c r="E2385" i="3"/>
  <c r="J2384" i="3"/>
  <c r="H2384" i="3"/>
  <c r="F2384" i="3"/>
  <c r="D2385" i="3"/>
  <c r="I2385" i="3" l="1"/>
  <c r="E2386" i="3"/>
  <c r="J2385" i="3"/>
  <c r="H2385" i="3"/>
  <c r="F2385" i="3"/>
  <c r="D2386" i="3"/>
  <c r="I2386" i="3" l="1"/>
  <c r="E2387" i="3"/>
  <c r="J2386" i="3"/>
  <c r="H2386" i="3"/>
  <c r="F2386" i="3"/>
  <c r="D2387" i="3"/>
  <c r="I2387" i="3" l="1"/>
  <c r="E2388" i="3"/>
  <c r="J2387" i="3"/>
  <c r="H2387" i="3"/>
  <c r="F2387" i="3"/>
  <c r="D2388" i="3"/>
  <c r="I2388" i="3" l="1"/>
  <c r="E2389" i="3"/>
  <c r="J2388" i="3"/>
  <c r="H2388" i="3"/>
  <c r="F2388" i="3"/>
  <c r="D2389" i="3"/>
  <c r="I2389" i="3" l="1"/>
  <c r="E2390" i="3"/>
  <c r="J2389" i="3"/>
  <c r="H2389" i="3"/>
  <c r="F2389" i="3"/>
  <c r="D2390" i="3"/>
  <c r="I2390" i="3" l="1"/>
  <c r="E2391" i="3"/>
  <c r="J2390" i="3"/>
  <c r="H2390" i="3"/>
  <c r="F2390" i="3"/>
  <c r="D2391" i="3"/>
  <c r="I2391" i="3" l="1"/>
  <c r="E2392" i="3"/>
  <c r="J2391" i="3"/>
  <c r="H2391" i="3"/>
  <c r="F2391" i="3"/>
  <c r="D2392" i="3"/>
  <c r="I2392" i="3" l="1"/>
  <c r="E2393" i="3"/>
  <c r="J2392" i="3"/>
  <c r="H2392" i="3"/>
  <c r="F2392" i="3"/>
  <c r="D2393" i="3"/>
  <c r="I2393" i="3" l="1"/>
  <c r="E2394" i="3"/>
  <c r="J2393" i="3"/>
  <c r="H2393" i="3"/>
  <c r="F2393" i="3"/>
  <c r="D2394" i="3"/>
  <c r="I2394" i="3" l="1"/>
  <c r="E2395" i="3"/>
  <c r="J2394" i="3"/>
  <c r="H2394" i="3"/>
  <c r="F2394" i="3"/>
  <c r="D2395" i="3"/>
  <c r="I2395" i="3" l="1"/>
  <c r="E2396" i="3"/>
  <c r="J2395" i="3"/>
  <c r="H2395" i="3"/>
  <c r="F2395" i="3"/>
  <c r="D2396" i="3"/>
  <c r="I2396" i="3" l="1"/>
  <c r="E2397" i="3"/>
  <c r="J2396" i="3"/>
  <c r="H2396" i="3"/>
  <c r="F2396" i="3"/>
  <c r="D2397" i="3"/>
  <c r="I2397" i="3" l="1"/>
  <c r="E2398" i="3"/>
  <c r="J2397" i="3"/>
  <c r="H2397" i="3"/>
  <c r="F2397" i="3"/>
  <c r="D2398" i="3"/>
  <c r="I2398" i="3" l="1"/>
  <c r="E2399" i="3"/>
  <c r="J2398" i="3"/>
  <c r="H2398" i="3"/>
  <c r="F2398" i="3"/>
  <c r="D2399" i="3"/>
  <c r="I2399" i="3" l="1"/>
  <c r="E2400" i="3"/>
  <c r="J2399" i="3"/>
  <c r="H2399" i="3"/>
  <c r="F2399" i="3"/>
  <c r="D2400" i="3"/>
  <c r="I2400" i="3" l="1"/>
  <c r="E2401" i="3"/>
  <c r="J2400" i="3"/>
  <c r="H2400" i="3"/>
  <c r="F2400" i="3"/>
  <c r="D2401" i="3"/>
  <c r="I2401" i="3" l="1"/>
  <c r="E2402" i="3"/>
  <c r="J2401" i="3"/>
  <c r="H2401" i="3"/>
  <c r="F2401" i="3"/>
  <c r="D2402" i="3"/>
  <c r="I2402" i="3" l="1"/>
  <c r="E2403" i="3"/>
  <c r="J2402" i="3"/>
  <c r="H2402" i="3"/>
  <c r="F2402" i="3"/>
  <c r="D2403" i="3"/>
  <c r="I2403" i="3" l="1"/>
  <c r="E2404" i="3"/>
  <c r="J2403" i="3"/>
  <c r="H2403" i="3"/>
  <c r="F2403" i="3"/>
  <c r="D2404" i="3"/>
  <c r="I2404" i="3" l="1"/>
  <c r="E2405" i="3"/>
  <c r="J2404" i="3"/>
  <c r="H2404" i="3"/>
  <c r="F2404" i="3"/>
  <c r="D2405" i="3"/>
  <c r="I2405" i="3" l="1"/>
  <c r="E2406" i="3"/>
  <c r="J2405" i="3"/>
  <c r="H2405" i="3"/>
  <c r="F2405" i="3"/>
  <c r="D2406" i="3"/>
  <c r="I2406" i="3" l="1"/>
  <c r="E2407" i="3"/>
  <c r="J2406" i="3"/>
  <c r="H2406" i="3"/>
  <c r="F2406" i="3"/>
  <c r="D2407" i="3"/>
  <c r="I2407" i="3" l="1"/>
  <c r="E2408" i="3"/>
  <c r="J2407" i="3"/>
  <c r="H2407" i="3"/>
  <c r="F2407" i="3"/>
  <c r="D2408" i="3"/>
  <c r="I2408" i="3" l="1"/>
  <c r="E2409" i="3"/>
  <c r="J2408" i="3"/>
  <c r="H2408" i="3"/>
  <c r="F2408" i="3"/>
  <c r="D2409" i="3"/>
  <c r="I2409" i="3" l="1"/>
  <c r="E2410" i="3"/>
  <c r="J2409" i="3"/>
  <c r="H2409" i="3"/>
  <c r="F2409" i="3"/>
  <c r="D2410" i="3"/>
  <c r="I2410" i="3" l="1"/>
  <c r="E2411" i="3"/>
  <c r="J2410" i="3"/>
  <c r="H2410" i="3"/>
  <c r="F2410" i="3"/>
  <c r="D2411" i="3"/>
  <c r="I2411" i="3" l="1"/>
  <c r="E2412" i="3"/>
  <c r="J2411" i="3"/>
  <c r="H2411" i="3"/>
  <c r="F2411" i="3"/>
  <c r="D2412" i="3"/>
  <c r="I2412" i="3" l="1"/>
  <c r="E2413" i="3"/>
  <c r="J2412" i="3"/>
  <c r="H2412" i="3"/>
  <c r="F2412" i="3"/>
  <c r="D2413" i="3"/>
  <c r="I2413" i="3" l="1"/>
  <c r="E2414" i="3"/>
  <c r="H2413" i="3"/>
  <c r="J2413" i="3"/>
  <c r="F2413" i="3"/>
  <c r="D2414" i="3"/>
  <c r="I2414" i="3" l="1"/>
  <c r="E2415" i="3"/>
  <c r="H2414" i="3"/>
  <c r="J2414" i="3"/>
  <c r="F2414" i="3"/>
  <c r="D2415" i="3"/>
  <c r="I2415" i="3" l="1"/>
  <c r="E2416" i="3"/>
  <c r="J2415" i="3"/>
  <c r="H2415" i="3"/>
  <c r="D2416" i="3"/>
  <c r="F2415" i="3"/>
  <c r="I2416" i="3" l="1"/>
  <c r="E2417" i="3"/>
  <c r="H2416" i="3"/>
  <c r="J2416" i="3"/>
  <c r="D2417" i="3"/>
  <c r="F2416" i="3"/>
  <c r="I2417" i="3" l="1"/>
  <c r="E2418" i="3"/>
  <c r="J2417" i="3"/>
  <c r="H2417" i="3"/>
  <c r="D2418" i="3"/>
  <c r="F2417" i="3"/>
  <c r="I2418" i="3" l="1"/>
  <c r="E2419" i="3"/>
  <c r="J2418" i="3"/>
  <c r="H2418" i="3"/>
  <c r="F2418" i="3"/>
  <c r="D2419" i="3"/>
  <c r="I2419" i="3" l="1"/>
  <c r="E2420" i="3"/>
  <c r="H2419" i="3"/>
  <c r="J2419" i="3"/>
  <c r="D2420" i="3"/>
  <c r="F2419" i="3"/>
  <c r="I2420" i="3" l="1"/>
  <c r="E2421" i="3"/>
  <c r="H2420" i="3"/>
  <c r="J2420" i="3"/>
  <c r="F2420" i="3"/>
  <c r="D2421" i="3"/>
  <c r="I2421" i="3" l="1"/>
  <c r="E2422" i="3"/>
  <c r="H2421" i="3"/>
  <c r="J2421" i="3"/>
  <c r="D2422" i="3"/>
  <c r="F2421" i="3"/>
  <c r="I2422" i="3" l="1"/>
  <c r="E2423" i="3"/>
  <c r="H2422" i="3"/>
  <c r="J2422" i="3"/>
  <c r="F2422" i="3"/>
  <c r="D2423" i="3"/>
  <c r="I2423" i="3" l="1"/>
  <c r="E2424" i="3"/>
  <c r="J2423" i="3"/>
  <c r="H2423" i="3"/>
  <c r="F2423" i="3"/>
  <c r="D2424" i="3"/>
  <c r="I2424" i="3" l="1"/>
  <c r="E2425" i="3"/>
  <c r="J2424" i="3"/>
  <c r="H2424" i="3"/>
  <c r="F2424" i="3"/>
  <c r="D2425" i="3"/>
  <c r="I2425" i="3" l="1"/>
  <c r="E2426" i="3"/>
  <c r="H2425" i="3"/>
  <c r="J2425" i="3"/>
  <c r="D2426" i="3"/>
  <c r="F2425" i="3"/>
  <c r="I2426" i="3" l="1"/>
  <c r="E2427" i="3"/>
  <c r="J2426" i="3"/>
  <c r="H2426" i="3"/>
  <c r="F2426" i="3"/>
  <c r="D2427" i="3"/>
  <c r="I2427" i="3" l="1"/>
  <c r="E2428" i="3"/>
  <c r="H2427" i="3"/>
  <c r="J2427" i="3"/>
  <c r="F2427" i="3"/>
  <c r="D2428" i="3"/>
  <c r="I2428" i="3" l="1"/>
  <c r="E2429" i="3"/>
  <c r="H2428" i="3"/>
  <c r="J2428" i="3"/>
  <c r="F2428" i="3"/>
  <c r="D2429" i="3"/>
  <c r="I2429" i="3" l="1"/>
  <c r="E2430" i="3"/>
  <c r="H2429" i="3"/>
  <c r="J2429" i="3"/>
  <c r="D2430" i="3"/>
  <c r="F2429" i="3"/>
  <c r="I2430" i="3" l="1"/>
  <c r="E2431" i="3"/>
  <c r="J2430" i="3"/>
  <c r="H2430" i="3"/>
  <c r="F2430" i="3"/>
  <c r="D2431" i="3"/>
  <c r="I2431" i="3" l="1"/>
  <c r="E2432" i="3"/>
  <c r="J2431" i="3"/>
  <c r="H2431" i="3"/>
  <c r="F2431" i="3"/>
  <c r="D2432" i="3"/>
  <c r="I2432" i="3" l="1"/>
  <c r="E2433" i="3"/>
  <c r="J2432" i="3"/>
  <c r="H2432" i="3"/>
  <c r="F2432" i="3"/>
  <c r="D2433" i="3"/>
  <c r="I2433" i="3" l="1"/>
  <c r="E2434" i="3"/>
  <c r="H2433" i="3"/>
  <c r="J2433" i="3"/>
  <c r="D2434" i="3"/>
  <c r="F2433" i="3"/>
  <c r="I2434" i="3" l="1"/>
  <c r="E2435" i="3"/>
  <c r="J2434" i="3"/>
  <c r="H2434" i="3"/>
  <c r="D2435" i="3"/>
  <c r="F2434" i="3"/>
  <c r="I2435" i="3" l="1"/>
  <c r="E2436" i="3"/>
  <c r="H2435" i="3"/>
  <c r="J2435" i="3"/>
  <c r="F2435" i="3"/>
  <c r="D2436" i="3"/>
  <c r="I2436" i="3" l="1"/>
  <c r="E2437" i="3"/>
  <c r="H2436" i="3"/>
  <c r="J2436" i="3"/>
  <c r="F2436" i="3"/>
  <c r="D2437" i="3"/>
  <c r="I2437" i="3" l="1"/>
  <c r="E2438" i="3"/>
  <c r="J2437" i="3"/>
  <c r="H2437" i="3"/>
  <c r="D2438" i="3"/>
  <c r="F2437" i="3"/>
  <c r="I2438" i="3" l="1"/>
  <c r="E2439" i="3"/>
  <c r="H2438" i="3"/>
  <c r="J2438" i="3"/>
  <c r="D2439" i="3"/>
  <c r="F2438" i="3"/>
  <c r="I2439" i="3" l="1"/>
  <c r="E2440" i="3"/>
  <c r="H2439" i="3"/>
  <c r="J2439" i="3"/>
  <c r="F2439" i="3"/>
  <c r="D2440" i="3"/>
  <c r="I2440" i="3" l="1"/>
  <c r="E2441" i="3"/>
  <c r="J2440" i="3"/>
  <c r="H2440" i="3"/>
  <c r="F2440" i="3"/>
  <c r="D2441" i="3"/>
  <c r="I2441" i="3" l="1"/>
  <c r="E2442" i="3"/>
  <c r="J2441" i="3"/>
  <c r="H2441" i="3"/>
  <c r="D2442" i="3"/>
  <c r="F2441" i="3"/>
  <c r="I2442" i="3" l="1"/>
  <c r="E2443" i="3"/>
  <c r="H2442" i="3"/>
  <c r="J2442" i="3"/>
  <c r="D2443" i="3"/>
  <c r="F2442" i="3"/>
  <c r="I2443" i="3" l="1"/>
  <c r="E2444" i="3"/>
  <c r="H2443" i="3"/>
  <c r="J2443" i="3"/>
  <c r="F2443" i="3"/>
  <c r="D2444" i="3"/>
  <c r="I2444" i="3" l="1"/>
  <c r="E2445" i="3"/>
  <c r="J2444" i="3"/>
  <c r="H2444" i="3"/>
  <c r="F2444" i="3"/>
  <c r="D2445" i="3"/>
  <c r="I2445" i="3" l="1"/>
  <c r="E2446" i="3"/>
  <c r="J2445" i="3"/>
  <c r="H2445" i="3"/>
  <c r="F2445" i="3"/>
  <c r="D2446" i="3"/>
  <c r="I2446" i="3" l="1"/>
  <c r="E2447" i="3"/>
  <c r="J2446" i="3"/>
  <c r="H2446" i="3"/>
  <c r="D2447" i="3"/>
  <c r="F2446" i="3"/>
  <c r="I2447" i="3" l="1"/>
  <c r="E2448" i="3"/>
  <c r="J2447" i="3"/>
  <c r="H2447" i="3"/>
  <c r="F2447" i="3"/>
  <c r="D2448" i="3"/>
  <c r="I2448" i="3" l="1"/>
  <c r="E2449" i="3"/>
  <c r="J2448" i="3"/>
  <c r="H2448" i="3"/>
  <c r="F2448" i="3"/>
  <c r="D2449" i="3"/>
  <c r="I2449" i="3" l="1"/>
  <c r="E2450" i="3"/>
  <c r="J2449" i="3"/>
  <c r="H2449" i="3"/>
  <c r="F2449" i="3"/>
  <c r="D2450" i="3"/>
  <c r="I2450" i="3" l="1"/>
  <c r="E2451" i="3"/>
  <c r="J2450" i="3"/>
  <c r="H2450" i="3"/>
  <c r="F2450" i="3"/>
  <c r="D2451" i="3"/>
  <c r="I2451" i="3" l="1"/>
  <c r="E2452" i="3"/>
  <c r="J2451" i="3"/>
  <c r="H2451" i="3"/>
  <c r="F2451" i="3"/>
  <c r="D2452" i="3"/>
  <c r="I2452" i="3" l="1"/>
  <c r="E2453" i="3"/>
  <c r="J2452" i="3"/>
  <c r="H2452" i="3"/>
  <c r="F2452" i="3"/>
  <c r="D2453" i="3"/>
  <c r="I2453" i="3" l="1"/>
  <c r="E2454" i="3"/>
  <c r="J2453" i="3"/>
  <c r="H2453" i="3"/>
  <c r="F2453" i="3"/>
  <c r="D2454" i="3"/>
  <c r="I2454" i="3" l="1"/>
  <c r="E2455" i="3"/>
  <c r="J2454" i="3"/>
  <c r="H2454" i="3"/>
  <c r="F2454" i="3"/>
  <c r="D2455" i="3"/>
  <c r="I2455" i="3" l="1"/>
  <c r="E2456" i="3"/>
  <c r="J2455" i="3"/>
  <c r="H2455" i="3"/>
  <c r="F2455" i="3"/>
  <c r="D2456" i="3"/>
  <c r="I2456" i="3" l="1"/>
  <c r="E2457" i="3"/>
  <c r="J2456" i="3"/>
  <c r="H2456" i="3"/>
  <c r="F2456" i="3"/>
  <c r="D2457" i="3"/>
  <c r="I2457" i="3" l="1"/>
  <c r="E2458" i="3"/>
  <c r="J2457" i="3"/>
  <c r="H2457" i="3"/>
  <c r="F2457" i="3"/>
  <c r="D2458" i="3"/>
  <c r="I2458" i="3" l="1"/>
  <c r="E2459" i="3"/>
  <c r="J2458" i="3"/>
  <c r="H2458" i="3"/>
  <c r="F2458" i="3"/>
  <c r="D2459" i="3"/>
  <c r="I2459" i="3" l="1"/>
  <c r="E2460" i="3"/>
  <c r="J2459" i="3"/>
  <c r="H2459" i="3"/>
  <c r="F2459" i="3"/>
  <c r="D2460" i="3"/>
  <c r="I2460" i="3" l="1"/>
  <c r="E2461" i="3"/>
  <c r="J2460" i="3"/>
  <c r="H2460" i="3"/>
  <c r="F2460" i="3"/>
  <c r="D2461" i="3"/>
  <c r="I2461" i="3" l="1"/>
  <c r="E2462" i="3"/>
  <c r="J2461" i="3"/>
  <c r="H2461" i="3"/>
  <c r="F2461" i="3"/>
  <c r="D2462" i="3"/>
  <c r="I2462" i="3" l="1"/>
  <c r="E2463" i="3"/>
  <c r="J2462" i="3"/>
  <c r="H2462" i="3"/>
  <c r="F2462" i="3"/>
  <c r="D2463" i="3"/>
  <c r="I2463" i="3" l="1"/>
  <c r="E2464" i="3"/>
  <c r="J2463" i="3"/>
  <c r="H2463" i="3"/>
  <c r="F2463" i="3"/>
  <c r="D2464" i="3"/>
  <c r="I2464" i="3" l="1"/>
  <c r="E2465" i="3"/>
  <c r="J2464" i="3"/>
  <c r="H2464" i="3"/>
  <c r="F2464" i="3"/>
  <c r="D2465" i="3"/>
  <c r="I2465" i="3" l="1"/>
  <c r="E2466" i="3"/>
  <c r="J2465" i="3"/>
  <c r="H2465" i="3"/>
  <c r="F2465" i="3"/>
  <c r="D2466" i="3"/>
  <c r="I2466" i="3" l="1"/>
  <c r="E2467" i="3"/>
  <c r="J2466" i="3"/>
  <c r="H2466" i="3"/>
  <c r="F2466" i="3"/>
  <c r="D2467" i="3"/>
  <c r="I2467" i="3" l="1"/>
  <c r="E2468" i="3"/>
  <c r="J2467" i="3"/>
  <c r="H2467" i="3"/>
  <c r="F2467" i="3"/>
  <c r="D2468" i="3"/>
  <c r="I2468" i="3" l="1"/>
  <c r="E2469" i="3"/>
  <c r="J2468" i="3"/>
  <c r="H2468" i="3"/>
  <c r="F2468" i="3"/>
  <c r="D2469" i="3"/>
  <c r="I2469" i="3" l="1"/>
  <c r="E2470" i="3"/>
  <c r="J2469" i="3"/>
  <c r="H2469" i="3"/>
  <c r="F2469" i="3"/>
  <c r="D2470" i="3"/>
  <c r="I2470" i="3" l="1"/>
  <c r="E2471" i="3"/>
  <c r="J2470" i="3"/>
  <c r="H2470" i="3"/>
  <c r="F2470" i="3"/>
  <c r="D2471" i="3"/>
  <c r="I2471" i="3" l="1"/>
  <c r="E2472" i="3"/>
  <c r="J2471" i="3"/>
  <c r="H2471" i="3"/>
  <c r="F2471" i="3"/>
  <c r="D2472" i="3"/>
  <c r="I2472" i="3" l="1"/>
  <c r="E2473" i="3"/>
  <c r="J2472" i="3"/>
  <c r="H2472" i="3"/>
  <c r="F2472" i="3"/>
  <c r="D2473" i="3"/>
  <c r="I2473" i="3" l="1"/>
  <c r="E2474" i="3"/>
  <c r="J2473" i="3"/>
  <c r="H2473" i="3"/>
  <c r="F2473" i="3"/>
  <c r="D2474" i="3"/>
  <c r="I2474" i="3" l="1"/>
  <c r="E2475" i="3"/>
  <c r="J2474" i="3"/>
  <c r="H2474" i="3"/>
  <c r="F2474" i="3"/>
  <c r="D2475" i="3"/>
  <c r="I2475" i="3" l="1"/>
  <c r="E2476" i="3"/>
  <c r="J2475" i="3"/>
  <c r="H2475" i="3"/>
  <c r="F2475" i="3"/>
  <c r="D2476" i="3"/>
  <c r="I2476" i="3" l="1"/>
  <c r="E2477" i="3"/>
  <c r="J2476" i="3"/>
  <c r="H2476" i="3"/>
  <c r="F2476" i="3"/>
  <c r="D2477" i="3"/>
  <c r="I2477" i="3" l="1"/>
  <c r="E2478" i="3"/>
  <c r="J2477" i="3"/>
  <c r="H2477" i="3"/>
  <c r="F2477" i="3"/>
  <c r="D2478" i="3"/>
  <c r="I2478" i="3" l="1"/>
  <c r="E2479" i="3"/>
  <c r="J2478" i="3"/>
  <c r="H2478" i="3"/>
  <c r="F2478" i="3"/>
  <c r="D2479" i="3"/>
  <c r="I2479" i="3" l="1"/>
  <c r="E2480" i="3"/>
  <c r="J2479" i="3"/>
  <c r="H2479" i="3"/>
  <c r="F2479" i="3"/>
  <c r="D2480" i="3"/>
  <c r="I2480" i="3" l="1"/>
  <c r="E2481" i="3"/>
  <c r="J2480" i="3"/>
  <c r="H2480" i="3"/>
  <c r="F2480" i="3"/>
  <c r="D2481" i="3"/>
  <c r="I2481" i="3" l="1"/>
  <c r="E2482" i="3"/>
  <c r="J2481" i="3"/>
  <c r="H2481" i="3"/>
  <c r="F2481" i="3"/>
  <c r="D2482" i="3"/>
  <c r="I2482" i="3" l="1"/>
  <c r="E2483" i="3"/>
  <c r="J2482" i="3"/>
  <c r="H2482" i="3"/>
  <c r="F2482" i="3"/>
  <c r="D2483" i="3"/>
  <c r="I2483" i="3" l="1"/>
  <c r="E2484" i="3"/>
  <c r="J2483" i="3"/>
  <c r="H2483" i="3"/>
  <c r="F2483" i="3"/>
  <c r="D2484" i="3"/>
  <c r="I2484" i="3" l="1"/>
  <c r="E2485" i="3"/>
  <c r="J2484" i="3"/>
  <c r="H2484" i="3"/>
  <c r="F2484" i="3"/>
  <c r="D2485" i="3"/>
  <c r="I2485" i="3" l="1"/>
  <c r="E2486" i="3"/>
  <c r="J2485" i="3"/>
  <c r="H2485" i="3"/>
  <c r="F2485" i="3"/>
  <c r="D2486" i="3"/>
  <c r="I2486" i="3" l="1"/>
  <c r="E2487" i="3"/>
  <c r="J2486" i="3"/>
  <c r="H2486" i="3"/>
  <c r="F2486" i="3"/>
  <c r="D2487" i="3"/>
  <c r="I2487" i="3" l="1"/>
  <c r="E2488" i="3"/>
  <c r="J2487" i="3"/>
  <c r="H2487" i="3"/>
  <c r="F2487" i="3"/>
  <c r="D2488" i="3"/>
  <c r="I2488" i="3" l="1"/>
  <c r="E2489" i="3"/>
  <c r="J2488" i="3"/>
  <c r="H2488" i="3"/>
  <c r="F2488" i="3"/>
  <c r="D2489" i="3"/>
  <c r="I2489" i="3" l="1"/>
  <c r="E2490" i="3"/>
  <c r="J2489" i="3"/>
  <c r="H2489" i="3"/>
  <c r="F2489" i="3"/>
  <c r="D2490" i="3"/>
  <c r="I2490" i="3" l="1"/>
  <c r="E2491" i="3"/>
  <c r="J2490" i="3"/>
  <c r="H2490" i="3"/>
  <c r="F2490" i="3"/>
  <c r="D2491" i="3"/>
  <c r="I2491" i="3" l="1"/>
  <c r="E2492" i="3"/>
  <c r="J2491" i="3"/>
  <c r="H2491" i="3"/>
  <c r="F2491" i="3"/>
  <c r="D2492" i="3"/>
  <c r="I2492" i="3" l="1"/>
  <c r="E2493" i="3"/>
  <c r="J2492" i="3"/>
  <c r="H2492" i="3"/>
  <c r="F2492" i="3"/>
  <c r="D2493" i="3"/>
  <c r="I2493" i="3" l="1"/>
  <c r="E2494" i="3"/>
  <c r="J2493" i="3"/>
  <c r="H2493" i="3"/>
  <c r="F2493" i="3"/>
  <c r="D2494" i="3"/>
  <c r="I2494" i="3" l="1"/>
  <c r="E2495" i="3"/>
  <c r="J2494" i="3"/>
  <c r="H2494" i="3"/>
  <c r="F2494" i="3"/>
  <c r="D2495" i="3"/>
  <c r="I2495" i="3" l="1"/>
  <c r="E2496" i="3"/>
  <c r="J2495" i="3"/>
  <c r="H2495" i="3"/>
  <c r="F2495" i="3"/>
  <c r="D2496" i="3"/>
  <c r="I2496" i="3" l="1"/>
  <c r="E2497" i="3"/>
  <c r="J2496" i="3"/>
  <c r="H2496" i="3"/>
  <c r="F2496" i="3"/>
  <c r="D2497" i="3"/>
  <c r="I2497" i="3" l="1"/>
  <c r="E2498" i="3"/>
  <c r="J2497" i="3"/>
  <c r="H2497" i="3"/>
  <c r="F2497" i="3"/>
  <c r="D2498" i="3"/>
  <c r="I2498" i="3" l="1"/>
  <c r="E2499" i="3"/>
  <c r="J2498" i="3"/>
  <c r="H2498" i="3"/>
  <c r="F2498" i="3"/>
  <c r="D2499" i="3"/>
  <c r="I2499" i="3" l="1"/>
  <c r="E2500" i="3"/>
  <c r="J2499" i="3"/>
  <c r="H2499" i="3"/>
  <c r="F2499" i="3"/>
  <c r="D2500" i="3"/>
  <c r="I2500" i="3" l="1"/>
  <c r="E2501" i="3"/>
  <c r="J2500" i="3"/>
  <c r="H2500" i="3"/>
  <c r="F2500" i="3"/>
  <c r="D2501" i="3"/>
  <c r="I2501" i="3" l="1"/>
  <c r="E2502" i="3"/>
  <c r="J2501" i="3"/>
  <c r="H2501" i="3"/>
  <c r="F2501" i="3"/>
  <c r="D2502" i="3"/>
  <c r="I2502" i="3" l="1"/>
  <c r="E2503" i="3"/>
  <c r="J2502" i="3"/>
  <c r="H2502" i="3"/>
  <c r="F2502" i="3"/>
  <c r="D2503" i="3"/>
  <c r="I2503" i="3" l="1"/>
  <c r="E2504" i="3"/>
  <c r="J2503" i="3"/>
  <c r="H2503" i="3"/>
  <c r="F2503" i="3"/>
  <c r="D2504" i="3"/>
  <c r="I2504" i="3" l="1"/>
  <c r="E2505" i="3"/>
  <c r="J2504" i="3"/>
  <c r="H2504" i="3"/>
  <c r="F2504" i="3"/>
  <c r="D2505" i="3"/>
  <c r="I2505" i="3" l="1"/>
  <c r="E2506" i="3"/>
  <c r="J2505" i="3"/>
  <c r="H2505" i="3"/>
  <c r="F2505" i="3"/>
  <c r="D2506" i="3"/>
  <c r="I2506" i="3" l="1"/>
  <c r="E2507" i="3"/>
  <c r="J2506" i="3"/>
  <c r="H2506" i="3"/>
  <c r="F2506" i="3"/>
  <c r="D2507" i="3"/>
  <c r="I2507" i="3" l="1"/>
  <c r="E2508" i="3"/>
  <c r="J2507" i="3"/>
  <c r="H2507" i="3"/>
  <c r="F2507" i="3"/>
  <c r="D2508" i="3"/>
  <c r="I2508" i="3" l="1"/>
  <c r="E2509" i="3"/>
  <c r="J2508" i="3"/>
  <c r="H2508" i="3"/>
  <c r="F2508" i="3"/>
  <c r="D2509" i="3"/>
  <c r="I2509" i="3" l="1"/>
  <c r="E2510" i="3"/>
  <c r="J2509" i="3"/>
  <c r="H2509" i="3"/>
  <c r="F2509" i="3"/>
  <c r="D2510" i="3"/>
  <c r="I2510" i="3" l="1"/>
  <c r="E2511" i="3"/>
  <c r="J2510" i="3"/>
  <c r="H2510" i="3"/>
  <c r="F2510" i="3"/>
  <c r="D2511" i="3"/>
  <c r="I2511" i="3" l="1"/>
  <c r="E2512" i="3"/>
  <c r="J2511" i="3"/>
  <c r="H2511" i="3"/>
  <c r="F2511" i="3"/>
  <c r="D2512" i="3"/>
  <c r="I2512" i="3" l="1"/>
  <c r="E2513" i="3"/>
  <c r="J2512" i="3"/>
  <c r="H2512" i="3"/>
  <c r="F2512" i="3"/>
  <c r="D2513" i="3"/>
  <c r="I2513" i="3" l="1"/>
  <c r="E2514" i="3"/>
  <c r="J2513" i="3"/>
  <c r="H2513" i="3"/>
  <c r="F2513" i="3"/>
  <c r="D2514" i="3"/>
  <c r="I2514" i="3" l="1"/>
  <c r="E2515" i="3"/>
  <c r="J2514" i="3"/>
  <c r="H2514" i="3"/>
  <c r="F2514" i="3"/>
  <c r="D2515" i="3"/>
  <c r="I2515" i="3" l="1"/>
  <c r="E2516" i="3"/>
  <c r="J2515" i="3"/>
  <c r="H2515" i="3"/>
  <c r="F2515" i="3"/>
  <c r="D2516" i="3"/>
  <c r="I2516" i="3" l="1"/>
  <c r="E2517" i="3"/>
  <c r="J2516" i="3"/>
  <c r="H2516" i="3"/>
  <c r="F2516" i="3"/>
  <c r="D2517" i="3"/>
  <c r="I2517" i="3" l="1"/>
  <c r="E2518" i="3"/>
  <c r="J2517" i="3"/>
  <c r="H2517" i="3"/>
  <c r="F2517" i="3"/>
  <c r="D2518" i="3"/>
  <c r="I2518" i="3" l="1"/>
  <c r="E2519" i="3"/>
  <c r="J2518" i="3"/>
  <c r="H2518" i="3"/>
  <c r="F2518" i="3"/>
  <c r="D2519" i="3"/>
  <c r="I2519" i="3" l="1"/>
  <c r="E2520" i="3"/>
  <c r="J2519" i="3"/>
  <c r="H2519" i="3"/>
  <c r="F2519" i="3"/>
  <c r="D2520" i="3"/>
  <c r="I2520" i="3" l="1"/>
  <c r="E2521" i="3"/>
  <c r="J2520" i="3"/>
  <c r="H2520" i="3"/>
  <c r="F2520" i="3"/>
  <c r="D2521" i="3"/>
  <c r="I2521" i="3" l="1"/>
  <c r="E2522" i="3"/>
  <c r="J2521" i="3"/>
  <c r="H2521" i="3"/>
  <c r="F2521" i="3"/>
  <c r="D2522" i="3"/>
  <c r="I2522" i="3" l="1"/>
  <c r="E2523" i="3"/>
  <c r="J2522" i="3"/>
  <c r="H2522" i="3"/>
  <c r="F2522" i="3"/>
  <c r="D2523" i="3"/>
  <c r="I2523" i="3" l="1"/>
  <c r="E2524" i="3"/>
  <c r="J2523" i="3"/>
  <c r="H2523" i="3"/>
  <c r="F2523" i="3"/>
  <c r="D2524" i="3"/>
  <c r="I2524" i="3" l="1"/>
  <c r="E2525" i="3"/>
  <c r="J2524" i="3"/>
  <c r="H2524" i="3"/>
  <c r="F2524" i="3"/>
  <c r="D2525" i="3"/>
  <c r="I2525" i="3" l="1"/>
  <c r="E2526" i="3"/>
  <c r="J2525" i="3"/>
  <c r="H2525" i="3"/>
  <c r="F2525" i="3"/>
  <c r="D2526" i="3"/>
  <c r="I2526" i="3" l="1"/>
  <c r="E2527" i="3"/>
  <c r="J2526" i="3"/>
  <c r="H2526" i="3"/>
  <c r="F2526" i="3"/>
  <c r="D2527" i="3"/>
  <c r="I2527" i="3" l="1"/>
  <c r="E2528" i="3"/>
  <c r="J2527" i="3"/>
  <c r="H2527" i="3"/>
  <c r="F2527" i="3"/>
  <c r="D2528" i="3"/>
  <c r="I2528" i="3" l="1"/>
  <c r="E2529" i="3"/>
  <c r="J2528" i="3"/>
  <c r="H2528" i="3"/>
  <c r="F2528" i="3"/>
  <c r="D2529" i="3"/>
  <c r="I2529" i="3" l="1"/>
  <c r="E2530" i="3"/>
  <c r="J2529" i="3"/>
  <c r="H2529" i="3"/>
  <c r="F2529" i="3"/>
  <c r="D2530" i="3"/>
  <c r="I2530" i="3" l="1"/>
  <c r="E2531" i="3"/>
  <c r="J2530" i="3"/>
  <c r="H2530" i="3"/>
  <c r="F2530" i="3"/>
  <c r="D2531" i="3"/>
  <c r="I2531" i="3" l="1"/>
  <c r="E2532" i="3"/>
  <c r="J2531" i="3"/>
  <c r="H2531" i="3"/>
  <c r="F2531" i="3"/>
  <c r="D2532" i="3"/>
  <c r="I2532" i="3" l="1"/>
  <c r="E2533" i="3"/>
  <c r="J2532" i="3"/>
  <c r="H2532" i="3"/>
  <c r="F2532" i="3"/>
  <c r="D2533" i="3"/>
  <c r="I2533" i="3" l="1"/>
  <c r="E2534" i="3"/>
  <c r="J2533" i="3"/>
  <c r="H2533" i="3"/>
  <c r="F2533" i="3"/>
  <c r="D2534" i="3"/>
  <c r="I2534" i="3" l="1"/>
  <c r="E2535" i="3"/>
  <c r="J2534" i="3"/>
  <c r="H2534" i="3"/>
  <c r="F2534" i="3"/>
  <c r="D2535" i="3"/>
  <c r="I2535" i="3" l="1"/>
  <c r="E2536" i="3"/>
  <c r="J2535" i="3"/>
  <c r="H2535" i="3"/>
  <c r="F2535" i="3"/>
  <c r="D2536" i="3"/>
  <c r="I2536" i="3" l="1"/>
  <c r="E2537" i="3"/>
  <c r="J2536" i="3"/>
  <c r="H2536" i="3"/>
  <c r="F2536" i="3"/>
  <c r="D2537" i="3"/>
  <c r="I2537" i="3" l="1"/>
  <c r="E2538" i="3"/>
  <c r="J2537" i="3"/>
  <c r="H2537" i="3"/>
  <c r="F2537" i="3"/>
  <c r="D2538" i="3"/>
  <c r="I2538" i="3" l="1"/>
  <c r="E2539" i="3"/>
  <c r="J2538" i="3"/>
  <c r="H2538" i="3"/>
  <c r="F2538" i="3"/>
  <c r="D2539" i="3"/>
  <c r="I2539" i="3" l="1"/>
  <c r="E2540" i="3"/>
  <c r="J2539" i="3"/>
  <c r="H2539" i="3"/>
  <c r="F2539" i="3"/>
  <c r="D2540" i="3"/>
  <c r="I2540" i="3" l="1"/>
  <c r="E2541" i="3"/>
  <c r="J2540" i="3"/>
  <c r="H2540" i="3"/>
  <c r="F2540" i="3"/>
  <c r="D2541" i="3"/>
  <c r="I2541" i="3" l="1"/>
  <c r="E2542" i="3"/>
  <c r="J2541" i="3"/>
  <c r="H2541" i="3"/>
  <c r="F2541" i="3"/>
  <c r="D2542" i="3"/>
  <c r="I2542" i="3" l="1"/>
  <c r="E2543" i="3"/>
  <c r="J2542" i="3"/>
  <c r="H2542" i="3"/>
  <c r="F2542" i="3"/>
  <c r="D2543" i="3"/>
  <c r="I2543" i="3" l="1"/>
  <c r="E2544" i="3"/>
  <c r="J2543" i="3"/>
  <c r="H2543" i="3"/>
  <c r="F2543" i="3"/>
  <c r="D2544" i="3"/>
  <c r="I2544" i="3" l="1"/>
  <c r="E2545" i="3"/>
  <c r="J2544" i="3"/>
  <c r="H2544" i="3"/>
  <c r="F2544" i="3"/>
  <c r="D2545" i="3"/>
  <c r="I2545" i="3" l="1"/>
  <c r="E2546" i="3"/>
  <c r="J2545" i="3"/>
  <c r="H2545" i="3"/>
  <c r="F2545" i="3"/>
  <c r="D2546" i="3"/>
  <c r="I2546" i="3" l="1"/>
  <c r="E2547" i="3"/>
  <c r="J2546" i="3"/>
  <c r="H2546" i="3"/>
  <c r="F2546" i="3"/>
  <c r="D2547" i="3"/>
  <c r="I2547" i="3" l="1"/>
  <c r="E2548" i="3"/>
  <c r="J2547" i="3"/>
  <c r="H2547" i="3"/>
  <c r="F2547" i="3"/>
  <c r="D2548" i="3"/>
  <c r="I2548" i="3" l="1"/>
  <c r="E2549" i="3"/>
  <c r="J2548" i="3"/>
  <c r="H2548" i="3"/>
  <c r="F2548" i="3"/>
  <c r="D2549" i="3"/>
  <c r="I2549" i="3" l="1"/>
  <c r="E2550" i="3"/>
  <c r="J2549" i="3"/>
  <c r="H2549" i="3"/>
  <c r="F2549" i="3"/>
  <c r="D2550" i="3"/>
  <c r="I2550" i="3" l="1"/>
  <c r="E2551" i="3"/>
  <c r="J2550" i="3"/>
  <c r="H2550" i="3"/>
  <c r="F2550" i="3"/>
  <c r="D2551" i="3"/>
  <c r="I2551" i="3" l="1"/>
  <c r="E2552" i="3"/>
  <c r="J2551" i="3"/>
  <c r="H2551" i="3"/>
  <c r="F2551" i="3"/>
  <c r="D2552" i="3"/>
  <c r="I2552" i="3" l="1"/>
  <c r="E2553" i="3"/>
  <c r="J2552" i="3"/>
  <c r="H2552" i="3"/>
  <c r="F2552" i="3"/>
  <c r="D2553" i="3"/>
  <c r="I2553" i="3" l="1"/>
  <c r="E2554" i="3"/>
  <c r="J2553" i="3"/>
  <c r="H2553" i="3"/>
  <c r="F2553" i="3"/>
  <c r="D2554" i="3"/>
  <c r="I2554" i="3" l="1"/>
  <c r="E2555" i="3"/>
  <c r="J2554" i="3"/>
  <c r="H2554" i="3"/>
  <c r="F2554" i="3"/>
  <c r="D2555" i="3"/>
  <c r="I2555" i="3" l="1"/>
  <c r="E2556" i="3"/>
  <c r="J2555" i="3"/>
  <c r="H2555" i="3"/>
  <c r="F2555" i="3"/>
  <c r="D2556" i="3"/>
  <c r="I2556" i="3" l="1"/>
  <c r="E2557" i="3"/>
  <c r="J2556" i="3"/>
  <c r="H2556" i="3"/>
  <c r="F2556" i="3"/>
  <c r="D2557" i="3"/>
  <c r="I2557" i="3" l="1"/>
  <c r="E2558" i="3"/>
  <c r="J2557" i="3"/>
  <c r="H2557" i="3"/>
  <c r="F2557" i="3"/>
  <c r="D2558" i="3"/>
  <c r="I2558" i="3" l="1"/>
  <c r="E2559" i="3"/>
  <c r="J2558" i="3"/>
  <c r="H2558" i="3"/>
  <c r="F2558" i="3"/>
  <c r="D2559" i="3"/>
  <c r="I2559" i="3" l="1"/>
  <c r="E2560" i="3"/>
  <c r="J2559" i="3"/>
  <c r="H2559" i="3"/>
  <c r="F2559" i="3"/>
  <c r="D2560" i="3"/>
  <c r="I2560" i="3" l="1"/>
  <c r="E2561" i="3"/>
  <c r="J2560" i="3"/>
  <c r="H2560" i="3"/>
  <c r="F2560" i="3"/>
  <c r="D2561" i="3"/>
  <c r="I2561" i="3" l="1"/>
  <c r="E2562" i="3"/>
  <c r="J2561" i="3"/>
  <c r="H2561" i="3"/>
  <c r="F2561" i="3"/>
  <c r="D2562" i="3"/>
  <c r="I2562" i="3" l="1"/>
  <c r="E2563" i="3"/>
  <c r="J2562" i="3"/>
  <c r="H2562" i="3"/>
  <c r="F2562" i="3"/>
  <c r="D2563" i="3"/>
  <c r="I2563" i="3" l="1"/>
  <c r="E2564" i="3"/>
  <c r="J2563" i="3"/>
  <c r="H2563" i="3"/>
  <c r="F2563" i="3"/>
  <c r="D2564" i="3"/>
  <c r="I2564" i="3" l="1"/>
  <c r="E2565" i="3"/>
  <c r="J2564" i="3"/>
  <c r="H2564" i="3"/>
  <c r="F2564" i="3"/>
  <c r="D2565" i="3"/>
  <c r="I2565" i="3" l="1"/>
  <c r="E2566" i="3"/>
  <c r="J2565" i="3"/>
  <c r="H2565" i="3"/>
  <c r="F2565" i="3"/>
  <c r="D2566" i="3"/>
  <c r="I2566" i="3" l="1"/>
  <c r="E2567" i="3"/>
  <c r="J2566" i="3"/>
  <c r="H2566" i="3"/>
  <c r="F2566" i="3"/>
  <c r="D2567" i="3"/>
  <c r="I2567" i="3" l="1"/>
  <c r="E2568" i="3"/>
  <c r="J2567" i="3"/>
  <c r="H2567" i="3"/>
  <c r="F2567" i="3"/>
  <c r="D2568" i="3"/>
  <c r="I2568" i="3" l="1"/>
  <c r="E2569" i="3"/>
  <c r="J2568" i="3"/>
  <c r="H2568" i="3"/>
  <c r="F2568" i="3"/>
  <c r="D2569" i="3"/>
  <c r="I2569" i="3" l="1"/>
  <c r="E2570" i="3"/>
  <c r="J2569" i="3"/>
  <c r="H2569" i="3"/>
  <c r="F2569" i="3"/>
  <c r="D2570" i="3"/>
  <c r="I2570" i="3" l="1"/>
  <c r="E2571" i="3"/>
  <c r="J2570" i="3"/>
  <c r="H2570" i="3"/>
  <c r="F2570" i="3"/>
  <c r="D2571" i="3"/>
  <c r="I2571" i="3" l="1"/>
  <c r="E2572" i="3"/>
  <c r="J2571" i="3"/>
  <c r="H2571" i="3"/>
  <c r="F2571" i="3"/>
  <c r="D2572" i="3"/>
  <c r="I2572" i="3" l="1"/>
  <c r="E2573" i="3"/>
  <c r="J2572" i="3"/>
  <c r="H2572" i="3"/>
  <c r="F2572" i="3"/>
  <c r="D2573" i="3"/>
  <c r="I2573" i="3" l="1"/>
  <c r="E2574" i="3"/>
  <c r="J2573" i="3"/>
  <c r="H2573" i="3"/>
  <c r="F2573" i="3"/>
  <c r="D2574" i="3"/>
  <c r="I2574" i="3" l="1"/>
  <c r="E2575" i="3"/>
  <c r="J2574" i="3"/>
  <c r="H2574" i="3"/>
  <c r="F2574" i="3"/>
  <c r="D2575" i="3"/>
  <c r="I2575" i="3" l="1"/>
  <c r="E2576" i="3"/>
  <c r="J2575" i="3"/>
  <c r="H2575" i="3"/>
  <c r="F2575" i="3"/>
  <c r="D2576" i="3"/>
  <c r="I2576" i="3" l="1"/>
  <c r="E2577" i="3"/>
  <c r="J2576" i="3"/>
  <c r="H2576" i="3"/>
  <c r="F2576" i="3"/>
  <c r="D2577" i="3"/>
  <c r="I2577" i="3" l="1"/>
  <c r="E2578" i="3"/>
  <c r="J2577" i="3"/>
  <c r="H2577" i="3"/>
  <c r="F2577" i="3"/>
  <c r="D2578" i="3"/>
  <c r="I2578" i="3" l="1"/>
  <c r="E2579" i="3"/>
  <c r="J2578" i="3"/>
  <c r="H2578" i="3"/>
  <c r="F2578" i="3"/>
  <c r="D2579" i="3"/>
  <c r="I2579" i="3" l="1"/>
  <c r="E2580" i="3"/>
  <c r="J2579" i="3"/>
  <c r="H2579" i="3"/>
  <c r="F2579" i="3"/>
  <c r="D2580" i="3"/>
  <c r="I2580" i="3" l="1"/>
  <c r="E2581" i="3"/>
  <c r="J2580" i="3"/>
  <c r="H2580" i="3"/>
  <c r="F2580" i="3"/>
  <c r="D2581" i="3"/>
  <c r="I2581" i="3" l="1"/>
  <c r="E2582" i="3"/>
  <c r="J2581" i="3"/>
  <c r="H2581" i="3"/>
  <c r="F2581" i="3"/>
  <c r="D2582" i="3"/>
  <c r="I2582" i="3" l="1"/>
  <c r="E2583" i="3"/>
  <c r="J2582" i="3"/>
  <c r="H2582" i="3"/>
  <c r="F2582" i="3"/>
  <c r="D2583" i="3"/>
  <c r="I2583" i="3" l="1"/>
  <c r="E2584" i="3"/>
  <c r="J2583" i="3"/>
  <c r="H2583" i="3"/>
  <c r="F2583" i="3"/>
  <c r="D2584" i="3"/>
  <c r="I2584" i="3" l="1"/>
  <c r="E2585" i="3"/>
  <c r="J2584" i="3"/>
  <c r="H2584" i="3"/>
  <c r="F2584" i="3"/>
  <c r="D2585" i="3"/>
  <c r="I2585" i="3" l="1"/>
  <c r="E2586" i="3"/>
  <c r="J2585" i="3"/>
  <c r="H2585" i="3"/>
  <c r="F2585" i="3"/>
  <c r="D2586" i="3"/>
  <c r="I2586" i="3" l="1"/>
  <c r="E2587" i="3"/>
  <c r="J2586" i="3"/>
  <c r="H2586" i="3"/>
  <c r="F2586" i="3"/>
  <c r="D2587" i="3"/>
  <c r="I2587" i="3" l="1"/>
  <c r="E2588" i="3"/>
  <c r="J2587" i="3"/>
  <c r="H2587" i="3"/>
  <c r="F2587" i="3"/>
  <c r="D2588" i="3"/>
  <c r="I2588" i="3" l="1"/>
  <c r="E2589" i="3"/>
  <c r="J2588" i="3"/>
  <c r="H2588" i="3"/>
  <c r="F2588" i="3"/>
  <c r="D2589" i="3"/>
  <c r="I2589" i="3" l="1"/>
  <c r="E2590" i="3"/>
  <c r="J2589" i="3"/>
  <c r="H2589" i="3"/>
  <c r="F2589" i="3"/>
  <c r="D2590" i="3"/>
  <c r="I2590" i="3" l="1"/>
  <c r="E2591" i="3"/>
  <c r="J2590" i="3"/>
  <c r="H2590" i="3"/>
  <c r="F2590" i="3"/>
  <c r="D2591" i="3"/>
  <c r="I2591" i="3" l="1"/>
  <c r="E2592" i="3"/>
  <c r="J2591" i="3"/>
  <c r="H2591" i="3"/>
  <c r="F2591" i="3"/>
  <c r="D2592" i="3"/>
  <c r="I2592" i="3" l="1"/>
  <c r="E2593" i="3"/>
  <c r="J2592" i="3"/>
  <c r="H2592" i="3"/>
  <c r="F2592" i="3"/>
  <c r="D2593" i="3"/>
  <c r="I2593" i="3" l="1"/>
  <c r="E2594" i="3"/>
  <c r="J2593" i="3"/>
  <c r="H2593" i="3"/>
  <c r="F2593" i="3"/>
  <c r="D2594" i="3"/>
  <c r="I2594" i="3" l="1"/>
  <c r="E2595" i="3"/>
  <c r="J2594" i="3"/>
  <c r="H2594" i="3"/>
  <c r="F2594" i="3"/>
  <c r="D2595" i="3"/>
  <c r="I2595" i="3" l="1"/>
  <c r="E2596" i="3"/>
  <c r="J2595" i="3"/>
  <c r="H2595" i="3"/>
  <c r="F2595" i="3"/>
  <c r="D2596" i="3"/>
  <c r="I2596" i="3" l="1"/>
  <c r="E2597" i="3"/>
  <c r="J2596" i="3"/>
  <c r="H2596" i="3"/>
  <c r="F2596" i="3"/>
  <c r="D2597" i="3"/>
  <c r="I2597" i="3" l="1"/>
  <c r="E2598" i="3"/>
  <c r="J2597" i="3"/>
  <c r="H2597" i="3"/>
  <c r="F2597" i="3"/>
  <c r="D2598" i="3"/>
  <c r="I2598" i="3" l="1"/>
  <c r="E2599" i="3"/>
  <c r="J2598" i="3"/>
  <c r="H2598" i="3"/>
  <c r="F2598" i="3"/>
  <c r="D2599" i="3"/>
  <c r="I2599" i="3" l="1"/>
  <c r="E2600" i="3"/>
  <c r="J2599" i="3"/>
  <c r="H2599" i="3"/>
  <c r="F2599" i="3"/>
  <c r="D2600" i="3"/>
  <c r="I2600" i="3" l="1"/>
  <c r="E2601" i="3"/>
  <c r="J2600" i="3"/>
  <c r="H2600" i="3"/>
  <c r="F2600" i="3"/>
  <c r="D2601" i="3"/>
  <c r="I2601" i="3" l="1"/>
  <c r="E2602" i="3"/>
  <c r="J2601" i="3"/>
  <c r="H2601" i="3"/>
  <c r="F2601" i="3"/>
  <c r="D2602" i="3"/>
  <c r="I2602" i="3" l="1"/>
  <c r="E2603" i="3"/>
  <c r="J2602" i="3"/>
  <c r="H2602" i="3"/>
  <c r="F2602" i="3"/>
  <c r="D2603" i="3"/>
  <c r="I2603" i="3" l="1"/>
  <c r="E2604" i="3"/>
  <c r="J2603" i="3"/>
  <c r="H2603" i="3"/>
  <c r="F2603" i="3"/>
  <c r="D2604" i="3"/>
  <c r="I2604" i="3" l="1"/>
  <c r="E2605" i="3"/>
  <c r="J2604" i="3"/>
  <c r="H2604" i="3"/>
  <c r="F2604" i="3"/>
  <c r="D2605" i="3"/>
  <c r="I2605" i="3" l="1"/>
  <c r="E2606" i="3"/>
  <c r="J2605" i="3"/>
  <c r="H2605" i="3"/>
  <c r="F2605" i="3"/>
  <c r="D2606" i="3"/>
  <c r="I2606" i="3" l="1"/>
  <c r="E2607" i="3"/>
  <c r="J2606" i="3"/>
  <c r="H2606" i="3"/>
  <c r="F2606" i="3"/>
  <c r="D2607" i="3"/>
  <c r="I2607" i="3" l="1"/>
  <c r="E2608" i="3"/>
  <c r="J2607" i="3"/>
  <c r="H2607" i="3"/>
  <c r="F2607" i="3"/>
  <c r="D2608" i="3"/>
  <c r="I2608" i="3" l="1"/>
  <c r="E2609" i="3"/>
  <c r="J2608" i="3"/>
  <c r="H2608" i="3"/>
  <c r="F2608" i="3"/>
  <c r="D2609" i="3"/>
  <c r="I2609" i="3" l="1"/>
  <c r="E2610" i="3"/>
  <c r="J2609" i="3"/>
  <c r="H2609" i="3"/>
  <c r="F2609" i="3"/>
  <c r="D2610" i="3"/>
  <c r="I2610" i="3" l="1"/>
  <c r="E2611" i="3"/>
  <c r="J2610" i="3"/>
  <c r="H2610" i="3"/>
  <c r="F2610" i="3"/>
  <c r="D2611" i="3"/>
  <c r="I2611" i="3" l="1"/>
  <c r="E2612" i="3"/>
  <c r="J2611" i="3"/>
  <c r="H2611" i="3"/>
  <c r="F2611" i="3"/>
  <c r="D2612" i="3"/>
  <c r="I2612" i="3" l="1"/>
  <c r="E2613" i="3"/>
  <c r="J2612" i="3"/>
  <c r="H2612" i="3"/>
  <c r="F2612" i="3"/>
  <c r="D2613" i="3"/>
  <c r="I2613" i="3" l="1"/>
  <c r="E2614" i="3"/>
  <c r="J2613" i="3"/>
  <c r="H2613" i="3"/>
  <c r="F2613" i="3"/>
  <c r="D2614" i="3"/>
  <c r="I2614" i="3" l="1"/>
  <c r="E2615" i="3"/>
  <c r="J2614" i="3"/>
  <c r="H2614" i="3"/>
  <c r="F2614" i="3"/>
  <c r="D2615" i="3"/>
  <c r="I2615" i="3" l="1"/>
  <c r="E2616" i="3"/>
  <c r="J2615" i="3"/>
  <c r="H2615" i="3"/>
  <c r="F2615" i="3"/>
  <c r="D2616" i="3"/>
  <c r="I2616" i="3" l="1"/>
  <c r="E2617" i="3"/>
  <c r="J2616" i="3"/>
  <c r="H2616" i="3"/>
  <c r="F2616" i="3"/>
  <c r="D2617" i="3"/>
  <c r="I2617" i="3" l="1"/>
  <c r="E2618" i="3"/>
  <c r="J2617" i="3"/>
  <c r="H2617" i="3"/>
  <c r="F2617" i="3"/>
  <c r="D2618" i="3"/>
  <c r="I2618" i="3" l="1"/>
  <c r="E2619" i="3"/>
  <c r="J2618" i="3"/>
  <c r="H2618" i="3"/>
  <c r="F2618" i="3"/>
  <c r="D2619" i="3"/>
  <c r="I2619" i="3" l="1"/>
  <c r="E2620" i="3"/>
  <c r="J2619" i="3"/>
  <c r="H2619" i="3"/>
  <c r="F2619" i="3"/>
  <c r="D2620" i="3"/>
  <c r="I2620" i="3" l="1"/>
  <c r="E2621" i="3"/>
  <c r="J2620" i="3"/>
  <c r="H2620" i="3"/>
  <c r="F2620" i="3"/>
  <c r="D2621" i="3"/>
  <c r="I2621" i="3" l="1"/>
  <c r="E2622" i="3"/>
  <c r="J2621" i="3"/>
  <c r="H2621" i="3"/>
  <c r="F2621" i="3"/>
  <c r="D2622" i="3"/>
  <c r="I2622" i="3" l="1"/>
  <c r="E2623" i="3"/>
  <c r="J2622" i="3"/>
  <c r="H2622" i="3"/>
  <c r="F2622" i="3"/>
  <c r="D2623" i="3"/>
  <c r="I2623" i="3" l="1"/>
  <c r="E2624" i="3"/>
  <c r="J2623" i="3"/>
  <c r="H2623" i="3"/>
  <c r="F2623" i="3"/>
  <c r="D2624" i="3"/>
  <c r="I2624" i="3" l="1"/>
  <c r="E2625" i="3"/>
  <c r="J2624" i="3"/>
  <c r="H2624" i="3"/>
  <c r="F2624" i="3"/>
  <c r="D2625" i="3"/>
  <c r="I2625" i="3" l="1"/>
  <c r="E2626" i="3"/>
  <c r="J2625" i="3"/>
  <c r="H2625" i="3"/>
  <c r="F2625" i="3"/>
  <c r="D2626" i="3"/>
  <c r="I2626" i="3" l="1"/>
  <c r="E2627" i="3"/>
  <c r="J2626" i="3"/>
  <c r="H2626" i="3"/>
  <c r="F2626" i="3"/>
  <c r="D2627" i="3"/>
  <c r="I2627" i="3" l="1"/>
  <c r="E2628" i="3"/>
  <c r="J2627" i="3"/>
  <c r="H2627" i="3"/>
  <c r="F2627" i="3"/>
  <c r="D2628" i="3"/>
  <c r="I2628" i="3" l="1"/>
  <c r="E2629" i="3"/>
  <c r="J2628" i="3"/>
  <c r="H2628" i="3"/>
  <c r="F2628" i="3"/>
  <c r="D2629" i="3"/>
  <c r="I2629" i="3" l="1"/>
  <c r="E2630" i="3"/>
  <c r="J2629" i="3"/>
  <c r="H2629" i="3"/>
  <c r="F2629" i="3"/>
  <c r="D2630" i="3"/>
  <c r="I2630" i="3" l="1"/>
  <c r="E2631" i="3"/>
  <c r="J2630" i="3"/>
  <c r="H2630" i="3"/>
  <c r="F2630" i="3"/>
  <c r="D2631" i="3"/>
  <c r="I2631" i="3" l="1"/>
  <c r="E2632" i="3"/>
  <c r="J2631" i="3"/>
  <c r="H2631" i="3"/>
  <c r="F2631" i="3"/>
  <c r="D2632" i="3"/>
  <c r="I2632" i="3" l="1"/>
  <c r="E2633" i="3"/>
  <c r="J2632" i="3"/>
  <c r="H2632" i="3"/>
  <c r="F2632" i="3"/>
  <c r="D2633" i="3"/>
  <c r="I2633" i="3" l="1"/>
  <c r="E2634" i="3"/>
  <c r="J2633" i="3"/>
  <c r="H2633" i="3"/>
  <c r="F2633" i="3"/>
  <c r="D2634" i="3"/>
  <c r="I2634" i="3" l="1"/>
  <c r="E2635" i="3"/>
  <c r="J2634" i="3"/>
  <c r="H2634" i="3"/>
  <c r="F2634" i="3"/>
  <c r="D2635" i="3"/>
  <c r="I2635" i="3" l="1"/>
  <c r="E2636" i="3"/>
  <c r="J2635" i="3"/>
  <c r="H2635" i="3"/>
  <c r="F2635" i="3"/>
  <c r="D2636" i="3"/>
  <c r="I2636" i="3" l="1"/>
  <c r="E2637" i="3"/>
  <c r="J2636" i="3"/>
  <c r="H2636" i="3"/>
  <c r="F2636" i="3"/>
  <c r="D2637" i="3"/>
  <c r="I2637" i="3" l="1"/>
  <c r="E2638" i="3"/>
  <c r="J2637" i="3"/>
  <c r="H2637" i="3"/>
  <c r="F2637" i="3"/>
  <c r="D2638" i="3"/>
  <c r="I2638" i="3" l="1"/>
  <c r="E2639" i="3"/>
  <c r="J2638" i="3"/>
  <c r="H2638" i="3"/>
  <c r="F2638" i="3"/>
  <c r="D2639" i="3"/>
  <c r="I2639" i="3" l="1"/>
  <c r="E2640" i="3"/>
  <c r="J2639" i="3"/>
  <c r="H2639" i="3"/>
  <c r="F2639" i="3"/>
  <c r="D2640" i="3"/>
  <c r="I2640" i="3" l="1"/>
  <c r="E2641" i="3"/>
  <c r="J2640" i="3"/>
  <c r="H2640" i="3"/>
  <c r="F2640" i="3"/>
  <c r="D2641" i="3"/>
  <c r="I2641" i="3" l="1"/>
  <c r="E2642" i="3"/>
  <c r="J2641" i="3"/>
  <c r="H2641" i="3"/>
  <c r="F2641" i="3"/>
  <c r="D2642" i="3"/>
  <c r="I2642" i="3" l="1"/>
  <c r="E2643" i="3"/>
  <c r="J2642" i="3"/>
  <c r="H2642" i="3"/>
  <c r="F2642" i="3"/>
  <c r="D2643" i="3"/>
  <c r="I2643" i="3" l="1"/>
  <c r="E2644" i="3"/>
  <c r="J2643" i="3"/>
  <c r="H2643" i="3"/>
  <c r="F2643" i="3"/>
  <c r="D2644" i="3"/>
  <c r="I2644" i="3" l="1"/>
  <c r="E2645" i="3"/>
  <c r="J2644" i="3"/>
  <c r="H2644" i="3"/>
  <c r="F2644" i="3"/>
  <c r="D2645" i="3"/>
  <c r="I2645" i="3" l="1"/>
  <c r="E2646" i="3"/>
  <c r="J2645" i="3"/>
  <c r="H2645" i="3"/>
  <c r="F2645" i="3"/>
  <c r="D2646" i="3"/>
  <c r="I2646" i="3" l="1"/>
  <c r="E2647" i="3"/>
  <c r="J2646" i="3"/>
  <c r="H2646" i="3"/>
  <c r="F2646" i="3"/>
  <c r="D2647" i="3"/>
  <c r="I2647" i="3" l="1"/>
  <c r="E2648" i="3"/>
  <c r="J2647" i="3"/>
  <c r="H2647" i="3"/>
  <c r="F2647" i="3"/>
  <c r="D2648" i="3"/>
  <c r="I2648" i="3" l="1"/>
  <c r="E2649" i="3"/>
  <c r="J2648" i="3"/>
  <c r="H2648" i="3"/>
  <c r="F2648" i="3"/>
  <c r="D2649" i="3"/>
  <c r="I2649" i="3" l="1"/>
  <c r="E2650" i="3"/>
  <c r="J2649" i="3"/>
  <c r="H2649" i="3"/>
  <c r="F2649" i="3"/>
  <c r="D2650" i="3"/>
  <c r="I2650" i="3" l="1"/>
  <c r="E2651" i="3"/>
  <c r="J2650" i="3"/>
  <c r="H2650" i="3"/>
  <c r="F2650" i="3"/>
  <c r="D2651" i="3"/>
  <c r="I2651" i="3" l="1"/>
  <c r="E2652" i="3"/>
  <c r="J2651" i="3"/>
  <c r="H2651" i="3"/>
  <c r="F2651" i="3"/>
  <c r="D2652" i="3"/>
  <c r="I2652" i="3" l="1"/>
  <c r="E2653" i="3"/>
  <c r="J2652" i="3"/>
  <c r="H2652" i="3"/>
  <c r="F2652" i="3"/>
  <c r="D2653" i="3"/>
  <c r="I2653" i="3" l="1"/>
  <c r="E2654" i="3"/>
  <c r="J2653" i="3"/>
  <c r="H2653" i="3"/>
  <c r="F2653" i="3"/>
  <c r="D2654" i="3"/>
  <c r="I2654" i="3" l="1"/>
  <c r="E2655" i="3"/>
  <c r="J2654" i="3"/>
  <c r="H2654" i="3"/>
  <c r="F2654" i="3"/>
  <c r="D2655" i="3"/>
  <c r="I2655" i="3" l="1"/>
  <c r="E2656" i="3"/>
  <c r="J2655" i="3"/>
  <c r="H2655" i="3"/>
  <c r="F2655" i="3"/>
  <c r="D2656" i="3"/>
  <c r="I2656" i="3" l="1"/>
  <c r="E2657" i="3"/>
  <c r="J2656" i="3"/>
  <c r="H2656" i="3"/>
  <c r="F2656" i="3"/>
  <c r="D2657" i="3"/>
  <c r="I2657" i="3" l="1"/>
  <c r="E2658" i="3"/>
  <c r="J2657" i="3"/>
  <c r="H2657" i="3"/>
  <c r="F2657" i="3"/>
  <c r="D2658" i="3"/>
  <c r="I2658" i="3" l="1"/>
  <c r="E2659" i="3"/>
  <c r="J2658" i="3"/>
  <c r="H2658" i="3"/>
  <c r="F2658" i="3"/>
  <c r="D2659" i="3"/>
  <c r="I2659" i="3" l="1"/>
  <c r="E2660" i="3"/>
  <c r="J2659" i="3"/>
  <c r="H2659" i="3"/>
  <c r="F2659" i="3"/>
  <c r="D2660" i="3"/>
  <c r="I2660" i="3" l="1"/>
  <c r="E2661" i="3"/>
  <c r="J2660" i="3"/>
  <c r="H2660" i="3"/>
  <c r="F2660" i="3"/>
  <c r="D2661" i="3"/>
  <c r="I2661" i="3" l="1"/>
  <c r="E2662" i="3"/>
  <c r="J2661" i="3"/>
  <c r="H2661" i="3"/>
  <c r="F2661" i="3"/>
  <c r="D2662" i="3"/>
  <c r="I2662" i="3" l="1"/>
  <c r="E2663" i="3"/>
  <c r="J2662" i="3"/>
  <c r="H2662" i="3"/>
  <c r="F2662" i="3"/>
  <c r="D2663" i="3"/>
  <c r="I2663" i="3" l="1"/>
  <c r="E2664" i="3"/>
  <c r="J2663" i="3"/>
  <c r="H2663" i="3"/>
  <c r="F2663" i="3"/>
  <c r="D2664" i="3"/>
  <c r="I2664" i="3" l="1"/>
  <c r="E2665" i="3"/>
  <c r="J2664" i="3"/>
  <c r="H2664" i="3"/>
  <c r="F2664" i="3"/>
  <c r="D2665" i="3"/>
  <c r="I2665" i="3" l="1"/>
  <c r="E2666" i="3"/>
  <c r="J2665" i="3"/>
  <c r="H2665" i="3"/>
  <c r="F2665" i="3"/>
  <c r="D2666" i="3"/>
  <c r="I2666" i="3" l="1"/>
  <c r="E2667" i="3"/>
  <c r="J2666" i="3"/>
  <c r="H2666" i="3"/>
  <c r="F2666" i="3"/>
  <c r="D2667" i="3"/>
  <c r="I2667" i="3" l="1"/>
  <c r="E2668" i="3"/>
  <c r="J2667" i="3"/>
  <c r="H2667" i="3"/>
  <c r="F2667" i="3"/>
  <c r="D2668" i="3"/>
  <c r="I2668" i="3" l="1"/>
  <c r="E2669" i="3"/>
  <c r="J2668" i="3"/>
  <c r="H2668" i="3"/>
  <c r="F2668" i="3"/>
  <c r="D2669" i="3"/>
  <c r="I2669" i="3" l="1"/>
  <c r="E2670" i="3"/>
  <c r="J2669" i="3"/>
  <c r="H2669" i="3"/>
  <c r="F2669" i="3"/>
  <c r="D2670" i="3"/>
  <c r="I2670" i="3" l="1"/>
  <c r="E2671" i="3"/>
  <c r="J2670" i="3"/>
  <c r="H2670" i="3"/>
  <c r="F2670" i="3"/>
  <c r="D2671" i="3"/>
  <c r="I2671" i="3" l="1"/>
  <c r="E2672" i="3"/>
  <c r="J2671" i="3"/>
  <c r="H2671" i="3"/>
  <c r="F2671" i="3"/>
  <c r="D2672" i="3"/>
  <c r="I2672" i="3" l="1"/>
  <c r="E2673" i="3"/>
  <c r="J2672" i="3"/>
  <c r="H2672" i="3"/>
  <c r="F2672" i="3"/>
  <c r="D2673" i="3"/>
  <c r="I2673" i="3" l="1"/>
  <c r="E2674" i="3"/>
  <c r="J2673" i="3"/>
  <c r="H2673" i="3"/>
  <c r="F2673" i="3"/>
  <c r="D2674" i="3"/>
  <c r="I2674" i="3" l="1"/>
  <c r="E2675" i="3"/>
  <c r="J2674" i="3"/>
  <c r="H2674" i="3"/>
  <c r="F2674" i="3"/>
  <c r="D2675" i="3"/>
  <c r="I2675" i="3" l="1"/>
  <c r="E2676" i="3"/>
  <c r="J2675" i="3"/>
  <c r="H2675" i="3"/>
  <c r="F2675" i="3"/>
  <c r="D2676" i="3"/>
  <c r="I2676" i="3" l="1"/>
  <c r="E2677" i="3"/>
  <c r="J2676" i="3"/>
  <c r="H2676" i="3"/>
  <c r="F2676" i="3"/>
  <c r="D2677" i="3"/>
  <c r="I2677" i="3" l="1"/>
  <c r="E2678" i="3"/>
  <c r="J2677" i="3"/>
  <c r="H2677" i="3"/>
  <c r="F2677" i="3"/>
  <c r="D2678" i="3"/>
  <c r="I2678" i="3" l="1"/>
  <c r="E2679" i="3"/>
  <c r="J2678" i="3"/>
  <c r="H2678" i="3"/>
  <c r="F2678" i="3"/>
  <c r="D2679" i="3"/>
  <c r="I2679" i="3" l="1"/>
  <c r="E2680" i="3"/>
  <c r="J2679" i="3"/>
  <c r="H2679" i="3"/>
  <c r="F2679" i="3"/>
  <c r="D2680" i="3"/>
  <c r="I2680" i="3" l="1"/>
  <c r="E2681" i="3"/>
  <c r="J2680" i="3"/>
  <c r="H2680" i="3"/>
  <c r="F2680" i="3"/>
  <c r="D2681" i="3"/>
  <c r="I2681" i="3" l="1"/>
  <c r="E2682" i="3"/>
  <c r="J2681" i="3"/>
  <c r="H2681" i="3"/>
  <c r="F2681" i="3"/>
  <c r="D2682" i="3"/>
  <c r="I2682" i="3" l="1"/>
  <c r="E2683" i="3"/>
  <c r="J2682" i="3"/>
  <c r="H2682" i="3"/>
  <c r="F2682" i="3"/>
  <c r="D2683" i="3"/>
  <c r="I2683" i="3" l="1"/>
  <c r="E2684" i="3"/>
  <c r="J2683" i="3"/>
  <c r="H2683" i="3"/>
  <c r="F2683" i="3"/>
  <c r="D2684" i="3"/>
  <c r="I2684" i="3" l="1"/>
  <c r="E2685" i="3"/>
  <c r="J2684" i="3"/>
  <c r="H2684" i="3"/>
  <c r="F2684" i="3"/>
  <c r="D2685" i="3"/>
  <c r="I2685" i="3" l="1"/>
  <c r="E2686" i="3"/>
  <c r="J2685" i="3"/>
  <c r="H2685" i="3"/>
  <c r="F2685" i="3"/>
  <c r="D2686" i="3"/>
  <c r="I2686" i="3" l="1"/>
  <c r="E2687" i="3"/>
  <c r="J2686" i="3"/>
  <c r="H2686" i="3"/>
  <c r="F2686" i="3"/>
  <c r="D2687" i="3"/>
  <c r="I2687" i="3" l="1"/>
  <c r="E2688" i="3"/>
  <c r="J2687" i="3"/>
  <c r="H2687" i="3"/>
  <c r="F2687" i="3"/>
  <c r="D2688" i="3"/>
  <c r="I2688" i="3" l="1"/>
  <c r="E2689" i="3"/>
  <c r="J2688" i="3"/>
  <c r="H2688" i="3"/>
  <c r="F2688" i="3"/>
  <c r="D2689" i="3"/>
  <c r="I2689" i="3" l="1"/>
  <c r="E2690" i="3"/>
  <c r="J2689" i="3"/>
  <c r="H2689" i="3"/>
  <c r="F2689" i="3"/>
  <c r="D2690" i="3"/>
  <c r="I2690" i="3" l="1"/>
  <c r="E2691" i="3"/>
  <c r="J2690" i="3"/>
  <c r="H2690" i="3"/>
  <c r="F2690" i="3"/>
  <c r="D2691" i="3"/>
  <c r="I2691" i="3" l="1"/>
  <c r="E2692" i="3"/>
  <c r="J2691" i="3"/>
  <c r="H2691" i="3"/>
  <c r="F2691" i="3"/>
  <c r="D2692" i="3"/>
  <c r="I2692" i="3" l="1"/>
  <c r="E2693" i="3"/>
  <c r="J2692" i="3"/>
  <c r="H2692" i="3"/>
  <c r="F2692" i="3"/>
  <c r="D2693" i="3"/>
  <c r="I2693" i="3" l="1"/>
  <c r="E2694" i="3"/>
  <c r="J2693" i="3"/>
  <c r="H2693" i="3"/>
  <c r="F2693" i="3"/>
  <c r="D2694" i="3"/>
  <c r="I2694" i="3" l="1"/>
  <c r="E2695" i="3"/>
  <c r="J2694" i="3"/>
  <c r="H2694" i="3"/>
  <c r="F2694" i="3"/>
  <c r="D2695" i="3"/>
  <c r="I2695" i="3" l="1"/>
  <c r="E2696" i="3"/>
  <c r="J2695" i="3"/>
  <c r="H2695" i="3"/>
  <c r="F2695" i="3"/>
  <c r="D2696" i="3"/>
  <c r="I2696" i="3" l="1"/>
  <c r="E2697" i="3"/>
  <c r="J2696" i="3"/>
  <c r="H2696" i="3"/>
  <c r="F2696" i="3"/>
  <c r="D2697" i="3"/>
  <c r="I2697" i="3" l="1"/>
  <c r="E2698" i="3"/>
  <c r="J2697" i="3"/>
  <c r="H2697" i="3"/>
  <c r="F2697" i="3"/>
  <c r="D2698" i="3"/>
  <c r="I2698" i="3" l="1"/>
  <c r="E2699" i="3"/>
  <c r="J2698" i="3"/>
  <c r="H2698" i="3"/>
  <c r="F2698" i="3"/>
  <c r="D2699" i="3"/>
  <c r="I2699" i="3" l="1"/>
  <c r="E2700" i="3"/>
  <c r="J2699" i="3"/>
  <c r="H2699" i="3"/>
  <c r="F2699" i="3"/>
  <c r="D2700" i="3"/>
  <c r="I2700" i="3" l="1"/>
  <c r="E2701" i="3"/>
  <c r="J2700" i="3"/>
  <c r="H2700" i="3"/>
  <c r="F2700" i="3"/>
  <c r="D2701" i="3"/>
  <c r="I2701" i="3" l="1"/>
  <c r="E2702" i="3"/>
  <c r="J2701" i="3"/>
  <c r="H2701" i="3"/>
  <c r="F2701" i="3"/>
  <c r="D2702" i="3"/>
  <c r="I2702" i="3" l="1"/>
  <c r="E2703" i="3"/>
  <c r="J2702" i="3"/>
  <c r="H2702" i="3"/>
  <c r="F2702" i="3"/>
  <c r="D2703" i="3"/>
  <c r="I2703" i="3" l="1"/>
  <c r="E2704" i="3"/>
  <c r="J2703" i="3"/>
  <c r="H2703" i="3"/>
  <c r="F2703" i="3"/>
  <c r="D2704" i="3"/>
  <c r="I2704" i="3" l="1"/>
  <c r="E2705" i="3"/>
  <c r="J2704" i="3"/>
  <c r="H2704" i="3"/>
  <c r="F2704" i="3"/>
  <c r="D2705" i="3"/>
  <c r="I2705" i="3" l="1"/>
  <c r="E2706" i="3"/>
  <c r="J2705" i="3"/>
  <c r="H2705" i="3"/>
  <c r="F2705" i="3"/>
  <c r="D2706" i="3"/>
  <c r="I2706" i="3" l="1"/>
  <c r="E2707" i="3"/>
  <c r="J2706" i="3"/>
  <c r="H2706" i="3"/>
  <c r="F2706" i="3"/>
  <c r="D2707" i="3"/>
  <c r="I2707" i="3" l="1"/>
  <c r="E2708" i="3"/>
  <c r="J2707" i="3"/>
  <c r="H2707" i="3"/>
  <c r="F2707" i="3"/>
  <c r="D2708" i="3"/>
  <c r="I2708" i="3" l="1"/>
  <c r="E2709" i="3"/>
  <c r="J2708" i="3"/>
  <c r="H2708" i="3"/>
  <c r="F2708" i="3"/>
  <c r="D2709" i="3"/>
  <c r="I2709" i="3" l="1"/>
  <c r="E2710" i="3"/>
  <c r="J2709" i="3"/>
  <c r="H2709" i="3"/>
  <c r="F2709" i="3"/>
  <c r="D2710" i="3"/>
  <c r="I2710" i="3" l="1"/>
  <c r="E2711" i="3"/>
  <c r="J2710" i="3"/>
  <c r="H2710" i="3"/>
  <c r="F2710" i="3"/>
  <c r="D2711" i="3"/>
  <c r="I2711" i="3" l="1"/>
  <c r="E2712" i="3"/>
  <c r="J2711" i="3"/>
  <c r="H2711" i="3"/>
  <c r="F2711" i="3"/>
  <c r="D2712" i="3"/>
  <c r="I2712" i="3" l="1"/>
  <c r="E2713" i="3"/>
  <c r="J2712" i="3"/>
  <c r="H2712" i="3"/>
  <c r="F2712" i="3"/>
  <c r="D2713" i="3"/>
  <c r="I2713" i="3" l="1"/>
  <c r="E2714" i="3"/>
  <c r="J2713" i="3"/>
  <c r="H2713" i="3"/>
  <c r="F2713" i="3"/>
  <c r="D2714" i="3"/>
  <c r="I2714" i="3" l="1"/>
  <c r="E2715" i="3"/>
  <c r="J2714" i="3"/>
  <c r="H2714" i="3"/>
  <c r="F2714" i="3"/>
  <c r="D2715" i="3"/>
  <c r="I2715" i="3" l="1"/>
  <c r="E2716" i="3"/>
  <c r="J2715" i="3"/>
  <c r="H2715" i="3"/>
  <c r="F2715" i="3"/>
  <c r="D2716" i="3"/>
  <c r="I2716" i="3" l="1"/>
  <c r="E2717" i="3"/>
  <c r="J2716" i="3"/>
  <c r="H2716" i="3"/>
  <c r="F2716" i="3"/>
  <c r="D2717" i="3"/>
  <c r="I2717" i="3" l="1"/>
  <c r="E2718" i="3"/>
  <c r="J2717" i="3"/>
  <c r="H2717" i="3"/>
  <c r="F2717" i="3"/>
  <c r="D2718" i="3"/>
  <c r="I2718" i="3" l="1"/>
  <c r="E2719" i="3"/>
  <c r="J2718" i="3"/>
  <c r="H2718" i="3"/>
  <c r="F2718" i="3"/>
  <c r="D2719" i="3"/>
  <c r="I2719" i="3" l="1"/>
  <c r="E2720" i="3"/>
  <c r="J2719" i="3"/>
  <c r="H2719" i="3"/>
  <c r="F2719" i="3"/>
  <c r="D2720" i="3"/>
  <c r="I2720" i="3" l="1"/>
  <c r="E2721" i="3"/>
  <c r="J2720" i="3"/>
  <c r="H2720" i="3"/>
  <c r="F2720" i="3"/>
  <c r="D2721" i="3"/>
  <c r="I2721" i="3" l="1"/>
  <c r="E2722" i="3"/>
  <c r="J2721" i="3"/>
  <c r="H2721" i="3"/>
  <c r="F2721" i="3"/>
  <c r="D2722" i="3"/>
  <c r="I2722" i="3" l="1"/>
  <c r="E2723" i="3"/>
  <c r="J2722" i="3"/>
  <c r="H2722" i="3"/>
  <c r="F2722" i="3"/>
  <c r="D2723" i="3"/>
  <c r="I2723" i="3" l="1"/>
  <c r="E2724" i="3"/>
  <c r="J2723" i="3"/>
  <c r="H2723" i="3"/>
  <c r="F2723" i="3"/>
  <c r="D2724" i="3"/>
  <c r="I2724" i="3" l="1"/>
  <c r="E2725" i="3"/>
  <c r="J2724" i="3"/>
  <c r="H2724" i="3"/>
  <c r="F2724" i="3"/>
  <c r="D2725" i="3"/>
  <c r="I2725" i="3" l="1"/>
  <c r="E2726" i="3"/>
  <c r="J2725" i="3"/>
  <c r="H2725" i="3"/>
  <c r="F2725" i="3"/>
  <c r="D2726" i="3"/>
  <c r="I2726" i="3" l="1"/>
  <c r="E2727" i="3"/>
  <c r="J2726" i="3"/>
  <c r="H2726" i="3"/>
  <c r="F2726" i="3"/>
  <c r="D2727" i="3"/>
  <c r="I2727" i="3" l="1"/>
  <c r="E2728" i="3"/>
  <c r="J2727" i="3"/>
  <c r="H2727" i="3"/>
  <c r="F2727" i="3"/>
  <c r="D2728" i="3"/>
  <c r="I2728" i="3" l="1"/>
  <c r="E2729" i="3"/>
  <c r="J2728" i="3"/>
  <c r="H2728" i="3"/>
  <c r="F2728" i="3"/>
  <c r="D2729" i="3"/>
  <c r="I2729" i="3" l="1"/>
  <c r="E2730" i="3"/>
  <c r="J2729" i="3"/>
  <c r="H2729" i="3"/>
  <c r="F2729" i="3"/>
  <c r="D2730" i="3"/>
  <c r="I2730" i="3" l="1"/>
  <c r="E2731" i="3"/>
  <c r="J2730" i="3"/>
  <c r="H2730" i="3"/>
  <c r="F2730" i="3"/>
  <c r="D2731" i="3"/>
  <c r="I2731" i="3" l="1"/>
  <c r="E2732" i="3"/>
  <c r="J2731" i="3"/>
  <c r="H2731" i="3"/>
  <c r="F2731" i="3"/>
  <c r="D2732" i="3"/>
  <c r="I2732" i="3" l="1"/>
  <c r="E2733" i="3"/>
  <c r="J2732" i="3"/>
  <c r="H2732" i="3"/>
  <c r="F2732" i="3"/>
  <c r="D2733" i="3"/>
  <c r="I2733" i="3" l="1"/>
  <c r="E2734" i="3"/>
  <c r="J2733" i="3"/>
  <c r="H2733" i="3"/>
  <c r="F2733" i="3"/>
  <c r="D2734" i="3"/>
  <c r="I2734" i="3" l="1"/>
  <c r="E2735" i="3"/>
  <c r="J2734" i="3"/>
  <c r="H2734" i="3"/>
  <c r="F2734" i="3"/>
  <c r="D2735" i="3"/>
  <c r="I2735" i="3" l="1"/>
  <c r="E2736" i="3"/>
  <c r="J2735" i="3"/>
  <c r="H2735" i="3"/>
  <c r="F2735" i="3"/>
  <c r="D2736" i="3"/>
  <c r="I2736" i="3" l="1"/>
  <c r="E2737" i="3"/>
  <c r="J2736" i="3"/>
  <c r="H2736" i="3"/>
  <c r="F2736" i="3"/>
  <c r="D2737" i="3"/>
  <c r="I2737" i="3" l="1"/>
  <c r="E2738" i="3"/>
  <c r="J2737" i="3"/>
  <c r="H2737" i="3"/>
  <c r="F2737" i="3"/>
  <c r="D2738" i="3"/>
  <c r="I2738" i="3" l="1"/>
  <c r="E2739" i="3"/>
  <c r="J2738" i="3"/>
  <c r="H2738" i="3"/>
  <c r="F2738" i="3"/>
  <c r="D2739" i="3"/>
  <c r="I2739" i="3" l="1"/>
  <c r="E2740" i="3"/>
  <c r="J2739" i="3"/>
  <c r="H2739" i="3"/>
  <c r="F2739" i="3"/>
  <c r="D2740" i="3"/>
  <c r="I2740" i="3" l="1"/>
  <c r="E2741" i="3"/>
  <c r="J2740" i="3"/>
  <c r="H2740" i="3"/>
  <c r="F2740" i="3"/>
  <c r="D2741" i="3"/>
  <c r="I2741" i="3" l="1"/>
  <c r="E2742" i="3"/>
  <c r="J2741" i="3"/>
  <c r="H2741" i="3"/>
  <c r="F2741" i="3"/>
  <c r="D2742" i="3"/>
  <c r="I2742" i="3" l="1"/>
  <c r="E2743" i="3"/>
  <c r="J2742" i="3"/>
  <c r="H2742" i="3"/>
  <c r="F2742" i="3"/>
  <c r="D2743" i="3"/>
  <c r="I2743" i="3" l="1"/>
  <c r="E2744" i="3"/>
  <c r="J2743" i="3"/>
  <c r="H2743" i="3"/>
  <c r="F2743" i="3"/>
  <c r="D2744" i="3"/>
  <c r="I2744" i="3" l="1"/>
  <c r="E2745" i="3"/>
  <c r="J2744" i="3"/>
  <c r="H2744" i="3"/>
  <c r="F2744" i="3"/>
  <c r="D2745" i="3"/>
  <c r="I2745" i="3" l="1"/>
  <c r="E2746" i="3"/>
  <c r="J2745" i="3"/>
  <c r="H2745" i="3"/>
  <c r="F2745" i="3"/>
  <c r="D2746" i="3"/>
  <c r="I2746" i="3" l="1"/>
  <c r="E2747" i="3"/>
  <c r="J2746" i="3"/>
  <c r="H2746" i="3"/>
  <c r="F2746" i="3"/>
  <c r="D2747" i="3"/>
  <c r="I2747" i="3" l="1"/>
  <c r="E2748" i="3"/>
  <c r="J2747" i="3"/>
  <c r="H2747" i="3"/>
  <c r="F2747" i="3"/>
  <c r="D2748" i="3"/>
  <c r="I2748" i="3" l="1"/>
  <c r="E2749" i="3"/>
  <c r="J2748" i="3"/>
  <c r="H2748" i="3"/>
  <c r="F2748" i="3"/>
  <c r="D2749" i="3"/>
  <c r="I2749" i="3" l="1"/>
  <c r="E2750" i="3"/>
  <c r="J2749" i="3"/>
  <c r="H2749" i="3"/>
  <c r="F2749" i="3"/>
  <c r="D2750" i="3"/>
  <c r="I2750" i="3" l="1"/>
  <c r="E2751" i="3"/>
  <c r="J2750" i="3"/>
  <c r="H2750" i="3"/>
  <c r="F2750" i="3"/>
  <c r="D2751" i="3"/>
  <c r="I2751" i="3" l="1"/>
  <c r="E2752" i="3"/>
  <c r="J2751" i="3"/>
  <c r="H2751" i="3"/>
  <c r="F2751" i="3"/>
  <c r="D2752" i="3"/>
  <c r="I2752" i="3" l="1"/>
  <c r="E2753" i="3"/>
  <c r="J2752" i="3"/>
  <c r="H2752" i="3"/>
  <c r="F2752" i="3"/>
  <c r="D2753" i="3"/>
  <c r="I2753" i="3" l="1"/>
  <c r="E2754" i="3"/>
  <c r="J2753" i="3"/>
  <c r="H2753" i="3"/>
  <c r="F2753" i="3"/>
  <c r="D2754" i="3"/>
  <c r="I2754" i="3" l="1"/>
  <c r="E2755" i="3"/>
  <c r="J2754" i="3"/>
  <c r="H2754" i="3"/>
  <c r="F2754" i="3"/>
  <c r="D2755" i="3"/>
  <c r="I2755" i="3" l="1"/>
  <c r="E2756" i="3"/>
  <c r="J2755" i="3"/>
  <c r="H2755" i="3"/>
  <c r="F2755" i="3"/>
  <c r="D2756" i="3"/>
  <c r="I2756" i="3" l="1"/>
  <c r="E2757" i="3"/>
  <c r="J2756" i="3"/>
  <c r="H2756" i="3"/>
  <c r="F2756" i="3"/>
  <c r="D2757" i="3"/>
  <c r="I2757" i="3" l="1"/>
  <c r="E2758" i="3"/>
  <c r="J2757" i="3"/>
  <c r="H2757" i="3"/>
  <c r="F2757" i="3"/>
  <c r="D2758" i="3"/>
  <c r="I2758" i="3" l="1"/>
  <c r="E2759" i="3"/>
  <c r="J2758" i="3"/>
  <c r="H2758" i="3"/>
  <c r="F2758" i="3"/>
  <c r="D2759" i="3"/>
  <c r="I2759" i="3" l="1"/>
  <c r="E2760" i="3"/>
  <c r="J2759" i="3"/>
  <c r="H2759" i="3"/>
  <c r="F2759" i="3"/>
  <c r="D2760" i="3"/>
  <c r="I2760" i="3" l="1"/>
  <c r="E2761" i="3"/>
  <c r="J2760" i="3"/>
  <c r="H2760" i="3"/>
  <c r="F2760" i="3"/>
  <c r="D2761" i="3"/>
  <c r="I2761" i="3" l="1"/>
  <c r="E2762" i="3"/>
  <c r="J2761" i="3"/>
  <c r="H2761" i="3"/>
  <c r="F2761" i="3"/>
  <c r="D2762" i="3"/>
  <c r="I2762" i="3" l="1"/>
  <c r="E2763" i="3"/>
  <c r="J2762" i="3"/>
  <c r="H2762" i="3"/>
  <c r="F2762" i="3"/>
  <c r="D2763" i="3"/>
  <c r="I2763" i="3" l="1"/>
  <c r="E2764" i="3"/>
  <c r="J2763" i="3"/>
  <c r="H2763" i="3"/>
  <c r="F2763" i="3"/>
  <c r="D2764" i="3"/>
  <c r="I2764" i="3" l="1"/>
  <c r="E2765" i="3"/>
  <c r="J2764" i="3"/>
  <c r="H2764" i="3"/>
  <c r="F2764" i="3"/>
  <c r="D2765" i="3"/>
  <c r="I2765" i="3" l="1"/>
  <c r="E2766" i="3"/>
  <c r="J2765" i="3"/>
  <c r="H2765" i="3"/>
  <c r="F2765" i="3"/>
  <c r="D2766" i="3"/>
  <c r="I2766" i="3" l="1"/>
  <c r="E2767" i="3"/>
  <c r="J2766" i="3"/>
  <c r="H2766" i="3"/>
  <c r="F2766" i="3"/>
  <c r="D2767" i="3"/>
  <c r="I2767" i="3" l="1"/>
  <c r="E2768" i="3"/>
  <c r="J2767" i="3"/>
  <c r="H2767" i="3"/>
  <c r="F2767" i="3"/>
  <c r="D2768" i="3"/>
  <c r="I2768" i="3" l="1"/>
  <c r="E2769" i="3"/>
  <c r="J2768" i="3"/>
  <c r="H2768" i="3"/>
  <c r="F2768" i="3"/>
  <c r="D2769" i="3"/>
  <c r="I2769" i="3" l="1"/>
  <c r="E2770" i="3"/>
  <c r="J2769" i="3"/>
  <c r="H2769" i="3"/>
  <c r="F2769" i="3"/>
  <c r="D2770" i="3"/>
  <c r="I2770" i="3" l="1"/>
  <c r="E2771" i="3"/>
  <c r="J2770" i="3"/>
  <c r="H2770" i="3"/>
  <c r="F2770" i="3"/>
  <c r="D2771" i="3"/>
  <c r="I2771" i="3" l="1"/>
  <c r="E2772" i="3"/>
  <c r="J2771" i="3"/>
  <c r="H2771" i="3"/>
  <c r="F2771" i="3"/>
  <c r="D2772" i="3"/>
  <c r="I2772" i="3" l="1"/>
  <c r="E2773" i="3"/>
  <c r="J2772" i="3"/>
  <c r="H2772" i="3"/>
  <c r="F2772" i="3"/>
  <c r="D2773" i="3"/>
  <c r="I2773" i="3" l="1"/>
  <c r="E2774" i="3"/>
  <c r="J2773" i="3"/>
  <c r="H2773" i="3"/>
  <c r="F2773" i="3"/>
  <c r="D2774" i="3"/>
  <c r="I2774" i="3" l="1"/>
  <c r="E2775" i="3"/>
  <c r="J2774" i="3"/>
  <c r="H2774" i="3"/>
  <c r="F2774" i="3"/>
  <c r="D2775" i="3"/>
  <c r="I2775" i="3" l="1"/>
  <c r="E2776" i="3"/>
  <c r="J2775" i="3"/>
  <c r="H2775" i="3"/>
  <c r="F2775" i="3"/>
  <c r="D2776" i="3"/>
  <c r="I2776" i="3" l="1"/>
  <c r="E2777" i="3"/>
  <c r="J2776" i="3"/>
  <c r="H2776" i="3"/>
  <c r="F2776" i="3"/>
  <c r="D2777" i="3"/>
  <c r="I2777" i="3" l="1"/>
  <c r="E2778" i="3"/>
  <c r="J2777" i="3"/>
  <c r="H2777" i="3"/>
  <c r="F2777" i="3"/>
  <c r="D2778" i="3"/>
  <c r="I2778" i="3" l="1"/>
  <c r="E2779" i="3"/>
  <c r="J2778" i="3"/>
  <c r="H2778" i="3"/>
  <c r="F2778" i="3"/>
  <c r="D2779" i="3"/>
  <c r="I2779" i="3" l="1"/>
  <c r="E2780" i="3"/>
  <c r="J2779" i="3"/>
  <c r="H2779" i="3"/>
  <c r="F2779" i="3"/>
  <c r="D2780" i="3"/>
  <c r="I2780" i="3" l="1"/>
  <c r="E2781" i="3"/>
  <c r="J2780" i="3"/>
  <c r="H2780" i="3"/>
  <c r="F2780" i="3"/>
  <c r="D2781" i="3"/>
  <c r="I2781" i="3" l="1"/>
  <c r="E2782" i="3"/>
  <c r="J2781" i="3"/>
  <c r="H2781" i="3"/>
  <c r="F2781" i="3"/>
  <c r="D2782" i="3"/>
  <c r="I2782" i="3" l="1"/>
  <c r="E2783" i="3"/>
  <c r="J2782" i="3"/>
  <c r="H2782" i="3"/>
  <c r="F2782" i="3"/>
  <c r="D2783" i="3"/>
  <c r="I2783" i="3" l="1"/>
  <c r="E2784" i="3"/>
  <c r="J2783" i="3"/>
  <c r="H2783" i="3"/>
  <c r="F2783" i="3"/>
  <c r="D2784" i="3"/>
  <c r="I2784" i="3" l="1"/>
  <c r="E2785" i="3"/>
  <c r="J2784" i="3"/>
  <c r="H2784" i="3"/>
  <c r="F2784" i="3"/>
  <c r="D2785" i="3"/>
  <c r="I2785" i="3" l="1"/>
  <c r="E2786" i="3"/>
  <c r="J2785" i="3"/>
  <c r="H2785" i="3"/>
  <c r="F2785" i="3"/>
  <c r="D2786" i="3"/>
  <c r="I2786" i="3" l="1"/>
  <c r="E2787" i="3"/>
  <c r="J2786" i="3"/>
  <c r="H2786" i="3"/>
  <c r="F2786" i="3"/>
  <c r="D2787" i="3"/>
  <c r="I2787" i="3" l="1"/>
  <c r="E2788" i="3"/>
  <c r="J2787" i="3"/>
  <c r="H2787" i="3"/>
  <c r="F2787" i="3"/>
  <c r="D2788" i="3"/>
  <c r="I2788" i="3" l="1"/>
  <c r="E2789" i="3"/>
  <c r="J2788" i="3"/>
  <c r="H2788" i="3"/>
  <c r="F2788" i="3"/>
  <c r="D2789" i="3"/>
  <c r="I2789" i="3" l="1"/>
  <c r="E2790" i="3"/>
  <c r="J2789" i="3"/>
  <c r="H2789" i="3"/>
  <c r="F2789" i="3"/>
  <c r="D2790" i="3"/>
  <c r="I2790" i="3" l="1"/>
  <c r="E2791" i="3"/>
  <c r="J2790" i="3"/>
  <c r="H2790" i="3"/>
  <c r="F2790" i="3"/>
  <c r="D2791" i="3"/>
  <c r="I2791" i="3" l="1"/>
  <c r="E2792" i="3"/>
  <c r="J2791" i="3"/>
  <c r="H2791" i="3"/>
  <c r="F2791" i="3"/>
  <c r="D2792" i="3"/>
  <c r="I2792" i="3" l="1"/>
  <c r="E2793" i="3"/>
  <c r="J2792" i="3"/>
  <c r="H2792" i="3"/>
  <c r="F2792" i="3"/>
  <c r="D2793" i="3"/>
  <c r="I2793" i="3" l="1"/>
  <c r="E2794" i="3"/>
  <c r="J2793" i="3"/>
  <c r="H2793" i="3"/>
  <c r="F2793" i="3"/>
  <c r="D2794" i="3"/>
  <c r="I2794" i="3" l="1"/>
  <c r="E2795" i="3"/>
  <c r="J2794" i="3"/>
  <c r="H2794" i="3"/>
  <c r="F2794" i="3"/>
  <c r="D2795" i="3"/>
  <c r="I2795" i="3" l="1"/>
  <c r="E2796" i="3"/>
  <c r="J2795" i="3"/>
  <c r="H2795" i="3"/>
  <c r="F2795" i="3"/>
  <c r="D2796" i="3"/>
  <c r="I2796" i="3" l="1"/>
  <c r="E2797" i="3"/>
  <c r="J2796" i="3"/>
  <c r="H2796" i="3"/>
  <c r="F2796" i="3"/>
  <c r="D2797" i="3"/>
  <c r="I2797" i="3" l="1"/>
  <c r="E2798" i="3"/>
  <c r="J2797" i="3"/>
  <c r="H2797" i="3"/>
  <c r="F2797" i="3"/>
  <c r="D2798" i="3"/>
  <c r="I2798" i="3" l="1"/>
  <c r="E2799" i="3"/>
  <c r="J2798" i="3"/>
  <c r="H2798" i="3"/>
  <c r="F2798" i="3"/>
  <c r="D2799" i="3"/>
  <c r="I2799" i="3" l="1"/>
  <c r="E2800" i="3"/>
  <c r="J2799" i="3"/>
  <c r="H2799" i="3"/>
  <c r="F2799" i="3"/>
  <c r="D2800" i="3"/>
  <c r="I2800" i="3" l="1"/>
  <c r="E2801" i="3"/>
  <c r="J2800" i="3"/>
  <c r="H2800" i="3"/>
  <c r="F2800" i="3"/>
  <c r="D2801" i="3"/>
  <c r="I2801" i="3" l="1"/>
  <c r="E2802" i="3"/>
  <c r="J2801" i="3"/>
  <c r="H2801" i="3"/>
  <c r="F2801" i="3"/>
  <c r="D2802" i="3"/>
  <c r="I2802" i="3" l="1"/>
  <c r="E2803" i="3"/>
  <c r="J2802" i="3"/>
  <c r="H2802" i="3"/>
  <c r="F2802" i="3"/>
  <c r="D2803" i="3"/>
  <c r="I2803" i="3" l="1"/>
  <c r="E2804" i="3"/>
  <c r="J2803" i="3"/>
  <c r="H2803" i="3"/>
  <c r="F2803" i="3"/>
  <c r="D2804" i="3"/>
  <c r="I2804" i="3" l="1"/>
  <c r="E2805" i="3"/>
  <c r="J2804" i="3"/>
  <c r="H2804" i="3"/>
  <c r="F2804" i="3"/>
  <c r="D2805" i="3"/>
  <c r="I2805" i="3" l="1"/>
  <c r="E2806" i="3"/>
  <c r="J2805" i="3"/>
  <c r="H2805" i="3"/>
  <c r="F2805" i="3"/>
  <c r="D2806" i="3"/>
  <c r="I2806" i="3" l="1"/>
  <c r="E2807" i="3"/>
  <c r="J2806" i="3"/>
  <c r="H2806" i="3"/>
  <c r="F2806" i="3"/>
  <c r="D2807" i="3"/>
  <c r="I2807" i="3" l="1"/>
  <c r="E2808" i="3"/>
  <c r="J2807" i="3"/>
  <c r="H2807" i="3"/>
  <c r="F2807" i="3"/>
  <c r="D2808" i="3"/>
  <c r="I2808" i="3" l="1"/>
  <c r="E2809" i="3"/>
  <c r="J2808" i="3"/>
  <c r="H2808" i="3"/>
  <c r="F2808" i="3"/>
  <c r="D2809" i="3"/>
  <c r="I2809" i="3" l="1"/>
  <c r="E2810" i="3"/>
  <c r="J2809" i="3"/>
  <c r="H2809" i="3"/>
  <c r="F2809" i="3"/>
  <c r="D2810" i="3"/>
  <c r="I2810" i="3" l="1"/>
  <c r="E2811" i="3"/>
  <c r="J2810" i="3"/>
  <c r="H2810" i="3"/>
  <c r="F2810" i="3"/>
  <c r="D2811" i="3"/>
  <c r="I2811" i="3" l="1"/>
  <c r="E2812" i="3"/>
  <c r="H2811" i="3"/>
  <c r="J2811" i="3"/>
  <c r="F2811" i="3"/>
  <c r="D2812" i="3"/>
  <c r="I2812" i="3" l="1"/>
  <c r="E2813" i="3"/>
  <c r="J2812" i="3"/>
  <c r="H2812" i="3"/>
  <c r="D2813" i="3"/>
  <c r="F2812" i="3"/>
  <c r="I2813" i="3" l="1"/>
  <c r="E2814" i="3"/>
  <c r="J2813" i="3"/>
  <c r="H2813" i="3"/>
  <c r="F2813" i="3"/>
  <c r="D2814" i="3"/>
  <c r="I2814" i="3" l="1"/>
  <c r="E2815" i="3"/>
  <c r="J2814" i="3"/>
  <c r="H2814" i="3"/>
  <c r="F2814" i="3"/>
  <c r="D2815" i="3"/>
  <c r="I2815" i="3" l="1"/>
  <c r="E2816" i="3"/>
  <c r="H2815" i="3"/>
  <c r="J2815" i="3"/>
  <c r="D2816" i="3"/>
  <c r="F2815" i="3"/>
  <c r="I2816" i="3" l="1"/>
  <c r="E2817" i="3"/>
  <c r="H2816" i="3"/>
  <c r="J2816" i="3"/>
  <c r="D2817" i="3"/>
  <c r="F2816" i="3"/>
  <c r="I2817" i="3" l="1"/>
  <c r="E2818" i="3"/>
  <c r="J2817" i="3"/>
  <c r="H2817" i="3"/>
  <c r="F2817" i="3"/>
  <c r="D2818" i="3"/>
  <c r="I2818" i="3" l="1"/>
  <c r="E2819" i="3"/>
  <c r="J2818" i="3"/>
  <c r="H2818" i="3"/>
  <c r="D2819" i="3"/>
  <c r="F2818" i="3"/>
  <c r="I2819" i="3" l="1"/>
  <c r="E2820" i="3"/>
  <c r="J2819" i="3"/>
  <c r="H2819" i="3"/>
  <c r="F2819" i="3"/>
  <c r="D2820" i="3"/>
  <c r="I2820" i="3" l="1"/>
  <c r="E2821" i="3"/>
  <c r="J2820" i="3"/>
  <c r="H2820" i="3"/>
  <c r="D2821" i="3"/>
  <c r="F2820" i="3"/>
  <c r="I2821" i="3" l="1"/>
  <c r="E2822" i="3"/>
  <c r="J2821" i="3"/>
  <c r="H2821" i="3"/>
  <c r="D2822" i="3"/>
  <c r="F2821" i="3"/>
  <c r="I2822" i="3" l="1"/>
  <c r="E2823" i="3"/>
  <c r="J2822" i="3"/>
  <c r="H2822" i="3"/>
  <c r="F2822" i="3"/>
  <c r="D2823" i="3"/>
  <c r="I2823" i="3" l="1"/>
  <c r="E2824" i="3"/>
  <c r="H2823" i="3"/>
  <c r="J2823" i="3"/>
  <c r="D2824" i="3"/>
  <c r="F2823" i="3"/>
  <c r="I2824" i="3" l="1"/>
  <c r="E2825" i="3"/>
  <c r="H2824" i="3"/>
  <c r="J2824" i="3"/>
  <c r="F2824" i="3"/>
  <c r="D2825" i="3"/>
  <c r="I2825" i="3" l="1"/>
  <c r="E2826" i="3"/>
  <c r="J2825" i="3"/>
  <c r="H2825" i="3"/>
  <c r="F2825" i="3"/>
  <c r="D2826" i="3"/>
  <c r="I2826" i="3" l="1"/>
  <c r="E2827" i="3"/>
  <c r="J2826" i="3"/>
  <c r="H2826" i="3"/>
  <c r="F2826" i="3"/>
  <c r="D2827" i="3"/>
  <c r="I2827" i="3" l="1"/>
  <c r="E2828" i="3"/>
  <c r="J2827" i="3"/>
  <c r="H2827" i="3"/>
  <c r="F2827" i="3"/>
  <c r="D2828" i="3"/>
  <c r="I2828" i="3" l="1"/>
  <c r="E2829" i="3"/>
  <c r="J2828" i="3"/>
  <c r="H2828" i="3"/>
  <c r="F2828" i="3"/>
  <c r="D2829" i="3"/>
  <c r="I2829" i="3" l="1"/>
  <c r="E2830" i="3"/>
  <c r="J2829" i="3"/>
  <c r="H2829" i="3"/>
  <c r="D2830" i="3"/>
  <c r="F2829" i="3"/>
  <c r="I2830" i="3" l="1"/>
  <c r="E2831" i="3"/>
  <c r="J2830" i="3"/>
  <c r="H2830" i="3"/>
  <c r="D2831" i="3"/>
  <c r="F2830" i="3"/>
  <c r="I2831" i="3" l="1"/>
  <c r="E2832" i="3"/>
  <c r="J2831" i="3"/>
  <c r="H2831" i="3"/>
  <c r="F2831" i="3"/>
  <c r="D2832" i="3"/>
  <c r="I2832" i="3" l="1"/>
  <c r="E2833" i="3"/>
  <c r="H2832" i="3"/>
  <c r="J2832" i="3"/>
  <c r="F2832" i="3"/>
  <c r="D2833" i="3"/>
  <c r="I2833" i="3" l="1"/>
  <c r="E2834" i="3"/>
  <c r="J2833" i="3"/>
  <c r="H2833" i="3"/>
  <c r="D2834" i="3"/>
  <c r="F2833" i="3"/>
  <c r="I2834" i="3" l="1"/>
  <c r="E2835" i="3"/>
  <c r="J2834" i="3"/>
  <c r="H2834" i="3"/>
  <c r="F2834" i="3"/>
  <c r="D2835" i="3"/>
  <c r="I2835" i="3" l="1"/>
  <c r="E2836" i="3"/>
  <c r="J2835" i="3"/>
  <c r="H2835" i="3"/>
  <c r="D2836" i="3"/>
  <c r="F2835" i="3"/>
  <c r="I2836" i="3" l="1"/>
  <c r="E2837" i="3"/>
  <c r="H2836" i="3"/>
  <c r="J2836" i="3"/>
  <c r="F2836" i="3"/>
  <c r="D2837" i="3"/>
  <c r="I2837" i="3" l="1"/>
  <c r="E2838" i="3"/>
  <c r="J2837" i="3"/>
  <c r="H2837" i="3"/>
  <c r="F2837" i="3"/>
  <c r="D2838" i="3"/>
  <c r="I2838" i="3" l="1"/>
  <c r="E2839" i="3"/>
  <c r="J2838" i="3"/>
  <c r="H2838" i="3"/>
  <c r="F2838" i="3"/>
  <c r="D2839" i="3"/>
  <c r="I2839" i="3" l="1"/>
  <c r="E2840" i="3"/>
  <c r="J2839" i="3"/>
  <c r="H2839" i="3"/>
  <c r="F2839" i="3"/>
  <c r="D2840" i="3"/>
  <c r="I2840" i="3" l="1"/>
  <c r="E2841" i="3"/>
  <c r="H2840" i="3"/>
  <c r="J2840" i="3"/>
  <c r="F2840" i="3"/>
  <c r="D2841" i="3"/>
  <c r="I2841" i="3" l="1"/>
  <c r="E2842" i="3"/>
  <c r="J2841" i="3"/>
  <c r="H2841" i="3"/>
  <c r="F2841" i="3"/>
  <c r="D2842" i="3"/>
  <c r="I2842" i="3" l="1"/>
  <c r="E2843" i="3"/>
  <c r="J2842" i="3"/>
  <c r="H2842" i="3"/>
  <c r="F2842" i="3"/>
  <c r="D2843" i="3"/>
  <c r="I2843" i="3" l="1"/>
  <c r="E2844" i="3"/>
  <c r="H2843" i="3"/>
  <c r="J2843" i="3"/>
  <c r="F2843" i="3"/>
  <c r="D2844" i="3"/>
  <c r="I2844" i="3" l="1"/>
  <c r="E2845" i="3"/>
  <c r="J2844" i="3"/>
  <c r="H2844" i="3"/>
  <c r="D2845" i="3"/>
  <c r="F2844" i="3"/>
  <c r="I2845" i="3" l="1"/>
  <c r="E2846" i="3"/>
  <c r="J2845" i="3"/>
  <c r="H2845" i="3"/>
  <c r="D2846" i="3"/>
  <c r="F2845" i="3"/>
  <c r="I2846" i="3" l="1"/>
  <c r="E2847" i="3"/>
  <c r="J2846" i="3"/>
  <c r="H2846" i="3"/>
  <c r="D2847" i="3"/>
  <c r="F2846" i="3"/>
  <c r="I2847" i="3" l="1"/>
  <c r="E2848" i="3"/>
  <c r="J2847" i="3"/>
  <c r="H2847" i="3"/>
  <c r="D2848" i="3"/>
  <c r="F2847" i="3"/>
  <c r="I2848" i="3" l="1"/>
  <c r="E2849" i="3"/>
  <c r="J2848" i="3"/>
  <c r="H2848" i="3"/>
  <c r="F2848" i="3"/>
  <c r="D2849" i="3"/>
  <c r="I2849" i="3" l="1"/>
  <c r="E2850" i="3"/>
  <c r="H2849" i="3"/>
  <c r="J2849" i="3"/>
  <c r="F2849" i="3"/>
  <c r="D2850" i="3"/>
  <c r="I2850" i="3" l="1"/>
  <c r="E2851" i="3"/>
  <c r="J2850" i="3"/>
  <c r="H2850" i="3"/>
  <c r="F2850" i="3"/>
  <c r="D2851" i="3"/>
  <c r="I2851" i="3" l="1"/>
  <c r="E2852" i="3"/>
  <c r="J2851" i="3"/>
  <c r="H2851" i="3"/>
  <c r="F2851" i="3"/>
  <c r="D2852" i="3"/>
  <c r="I2852" i="3" l="1"/>
  <c r="E2853" i="3"/>
  <c r="J2852" i="3"/>
  <c r="H2852" i="3"/>
  <c r="D2853" i="3"/>
  <c r="F2852" i="3"/>
  <c r="I2853" i="3" l="1"/>
  <c r="E2854" i="3"/>
  <c r="H2853" i="3"/>
  <c r="J2853" i="3"/>
  <c r="F2853" i="3"/>
  <c r="D2854" i="3"/>
  <c r="I2854" i="3" l="1"/>
  <c r="E2855" i="3"/>
  <c r="J2854" i="3"/>
  <c r="H2854" i="3"/>
  <c r="D2855" i="3"/>
  <c r="F2854" i="3"/>
  <c r="I2855" i="3" l="1"/>
  <c r="E2856" i="3"/>
  <c r="J2855" i="3"/>
  <c r="H2855" i="3"/>
  <c r="D2856" i="3"/>
  <c r="F2855" i="3"/>
  <c r="I2856" i="3" l="1"/>
  <c r="E2857" i="3"/>
  <c r="J2856" i="3"/>
  <c r="H2856" i="3"/>
  <c r="F2856" i="3"/>
  <c r="D2857" i="3"/>
  <c r="I2857" i="3" l="1"/>
  <c r="E2858" i="3"/>
  <c r="J2857" i="3"/>
  <c r="H2857" i="3"/>
  <c r="F2857" i="3"/>
  <c r="D2858" i="3"/>
  <c r="I2858" i="3" l="1"/>
  <c r="E2859" i="3"/>
  <c r="H2858" i="3"/>
  <c r="J2858" i="3"/>
  <c r="D2859" i="3"/>
  <c r="F2858" i="3"/>
  <c r="I2859" i="3" l="1"/>
  <c r="E2860" i="3"/>
  <c r="J2859" i="3"/>
  <c r="H2859" i="3"/>
  <c r="F2859" i="3"/>
  <c r="D2860" i="3"/>
  <c r="I2860" i="3" l="1"/>
  <c r="E2861" i="3"/>
  <c r="J2860" i="3"/>
  <c r="H2860" i="3"/>
  <c r="D2861" i="3"/>
  <c r="F2860" i="3"/>
  <c r="I2861" i="3" l="1"/>
  <c r="E2862" i="3"/>
  <c r="J2861" i="3"/>
  <c r="H2861" i="3"/>
  <c r="F2861" i="3"/>
  <c r="D2862" i="3"/>
  <c r="I2862" i="3" l="1"/>
  <c r="E2863" i="3"/>
  <c r="H2862" i="3"/>
  <c r="J2862" i="3"/>
  <c r="F2862" i="3"/>
  <c r="D2863" i="3"/>
  <c r="I2863" i="3" l="1"/>
  <c r="E2864" i="3"/>
  <c r="J2863" i="3"/>
  <c r="H2863" i="3"/>
  <c r="D2864" i="3"/>
  <c r="F2863" i="3"/>
  <c r="I2864" i="3" l="1"/>
  <c r="E2865" i="3"/>
  <c r="J2864" i="3"/>
  <c r="H2864" i="3"/>
  <c r="F2864" i="3"/>
  <c r="D2865" i="3"/>
  <c r="I2865" i="3" l="1"/>
  <c r="E2866" i="3"/>
  <c r="J2865" i="3"/>
  <c r="H2865" i="3"/>
  <c r="D2866" i="3"/>
  <c r="F2865" i="3"/>
  <c r="I2866" i="3" l="1"/>
  <c r="E2867" i="3"/>
  <c r="J2866" i="3"/>
  <c r="H2866" i="3"/>
  <c r="D2867" i="3"/>
  <c r="F2866" i="3"/>
  <c r="I2867" i="3" l="1"/>
  <c r="E2868" i="3"/>
  <c r="J2867" i="3"/>
  <c r="H2867" i="3"/>
  <c r="D2868" i="3"/>
  <c r="F2867" i="3"/>
  <c r="I2868" i="3" l="1"/>
  <c r="E2869" i="3"/>
  <c r="H2868" i="3"/>
  <c r="J2868" i="3"/>
  <c r="F2868" i="3"/>
  <c r="D2869" i="3"/>
  <c r="I2869" i="3" l="1"/>
  <c r="E2870" i="3"/>
  <c r="J2869" i="3"/>
  <c r="H2869" i="3"/>
  <c r="D2870" i="3"/>
  <c r="F2869" i="3"/>
  <c r="I2870" i="3" l="1"/>
  <c r="E2871" i="3"/>
  <c r="H2870" i="3"/>
  <c r="J2870" i="3"/>
  <c r="F2870" i="3"/>
  <c r="D2871" i="3"/>
  <c r="I2871" i="3" l="1"/>
  <c r="E2872" i="3"/>
  <c r="J2871" i="3"/>
  <c r="H2871" i="3"/>
  <c r="F2871" i="3"/>
  <c r="D2872" i="3"/>
  <c r="I2872" i="3" l="1"/>
  <c r="E2873" i="3"/>
  <c r="J2872" i="3"/>
  <c r="H2872" i="3"/>
  <c r="F2872" i="3"/>
  <c r="D2873" i="3"/>
  <c r="I2873" i="3" l="1"/>
  <c r="E2874" i="3"/>
  <c r="J2873" i="3"/>
  <c r="H2873" i="3"/>
  <c r="F2873" i="3"/>
  <c r="D2874" i="3"/>
  <c r="I2874" i="3" l="1"/>
  <c r="E2875" i="3"/>
  <c r="J2874" i="3"/>
  <c r="H2874" i="3"/>
  <c r="F2874" i="3"/>
  <c r="D2875" i="3"/>
  <c r="I2875" i="3" l="1"/>
  <c r="E2876" i="3"/>
  <c r="H2875" i="3"/>
  <c r="J2875" i="3"/>
  <c r="F2875" i="3"/>
  <c r="D2876" i="3"/>
  <c r="I2876" i="3" l="1"/>
  <c r="E2877" i="3"/>
  <c r="J2876" i="3"/>
  <c r="H2876" i="3"/>
  <c r="D2877" i="3"/>
  <c r="F2876" i="3"/>
  <c r="I2877" i="3" l="1"/>
  <c r="E2878" i="3"/>
  <c r="H2877" i="3"/>
  <c r="J2877" i="3"/>
  <c r="F2877" i="3"/>
  <c r="D2878" i="3"/>
  <c r="I2878" i="3" l="1"/>
  <c r="E2879" i="3"/>
  <c r="J2878" i="3"/>
  <c r="H2878" i="3"/>
  <c r="F2878" i="3"/>
  <c r="D2879" i="3"/>
  <c r="I2879" i="3" l="1"/>
  <c r="E2880" i="3"/>
  <c r="H2879" i="3"/>
  <c r="J2879" i="3"/>
  <c r="D2880" i="3"/>
  <c r="F2879" i="3"/>
  <c r="I2880" i="3" l="1"/>
  <c r="E2881" i="3"/>
  <c r="J2880" i="3"/>
  <c r="H2880" i="3"/>
  <c r="F2880" i="3"/>
  <c r="D2881" i="3"/>
  <c r="I2881" i="3" l="1"/>
  <c r="E2882" i="3"/>
  <c r="J2881" i="3"/>
  <c r="H2881" i="3"/>
  <c r="F2881" i="3"/>
  <c r="D2882" i="3"/>
  <c r="I2882" i="3" l="1"/>
  <c r="E2883" i="3"/>
  <c r="H2882" i="3"/>
  <c r="J2882" i="3"/>
  <c r="D2883" i="3"/>
  <c r="F2882" i="3"/>
  <c r="I2883" i="3" l="1"/>
  <c r="E2884" i="3"/>
  <c r="J2883" i="3"/>
  <c r="H2883" i="3"/>
  <c r="D2884" i="3"/>
  <c r="F2883" i="3"/>
  <c r="I2884" i="3" l="1"/>
  <c r="E2885" i="3"/>
  <c r="H2884" i="3"/>
  <c r="J2884" i="3"/>
  <c r="D2885" i="3"/>
  <c r="F2884" i="3"/>
  <c r="I2885" i="3" l="1"/>
  <c r="E2886" i="3"/>
  <c r="J2885" i="3"/>
  <c r="H2885" i="3"/>
  <c r="F2885" i="3"/>
  <c r="D2886" i="3"/>
  <c r="I2886" i="3" l="1"/>
  <c r="E2887" i="3"/>
  <c r="J2886" i="3"/>
  <c r="H2886" i="3"/>
  <c r="F2886" i="3"/>
  <c r="D2887" i="3"/>
  <c r="I2887" i="3" l="1"/>
  <c r="E2888" i="3"/>
  <c r="J2887" i="3"/>
  <c r="H2887" i="3"/>
  <c r="F2887" i="3"/>
  <c r="D2888" i="3"/>
  <c r="I2888" i="3" l="1"/>
  <c r="E2889" i="3"/>
  <c r="J2888" i="3"/>
  <c r="H2888" i="3"/>
  <c r="D2889" i="3"/>
  <c r="F2888" i="3"/>
  <c r="I2889" i="3" l="1"/>
  <c r="E2890" i="3"/>
  <c r="J2889" i="3"/>
  <c r="H2889" i="3"/>
  <c r="F2889" i="3"/>
  <c r="D2890" i="3"/>
  <c r="I2890" i="3" l="1"/>
  <c r="E2891" i="3"/>
  <c r="J2890" i="3"/>
  <c r="H2890" i="3"/>
  <c r="D2891" i="3"/>
  <c r="F2890" i="3"/>
  <c r="I2891" i="3" l="1"/>
  <c r="E2892" i="3"/>
  <c r="H2891" i="3"/>
  <c r="J2891" i="3"/>
  <c r="F2891" i="3"/>
  <c r="D2892" i="3"/>
  <c r="I2892" i="3" l="1"/>
  <c r="E2893" i="3"/>
  <c r="J2892" i="3"/>
  <c r="H2892" i="3"/>
  <c r="F2892" i="3"/>
  <c r="D2893" i="3"/>
  <c r="I2893" i="3" l="1"/>
  <c r="E2894" i="3"/>
  <c r="J2893" i="3"/>
  <c r="H2893" i="3"/>
  <c r="D2894" i="3"/>
  <c r="F2893" i="3"/>
  <c r="I2894" i="3" l="1"/>
  <c r="E2895" i="3"/>
  <c r="J2894" i="3"/>
  <c r="H2894" i="3"/>
  <c r="D2895" i="3"/>
  <c r="F2894" i="3"/>
  <c r="I2895" i="3" l="1"/>
  <c r="E2896" i="3"/>
  <c r="H2895" i="3"/>
  <c r="J2895" i="3"/>
  <c r="F2895" i="3"/>
  <c r="D2896" i="3"/>
  <c r="I2896" i="3" l="1"/>
  <c r="E2897" i="3"/>
  <c r="J2896" i="3"/>
  <c r="H2896" i="3"/>
  <c r="D2897" i="3"/>
  <c r="F2896" i="3"/>
  <c r="I2897" i="3" l="1"/>
  <c r="E2898" i="3"/>
  <c r="J2897" i="3"/>
  <c r="H2897" i="3"/>
  <c r="D2898" i="3"/>
  <c r="F2897" i="3"/>
  <c r="I2898" i="3" l="1"/>
  <c r="E2899" i="3"/>
  <c r="H2898" i="3"/>
  <c r="J2898" i="3"/>
  <c r="F2898" i="3"/>
  <c r="D2899" i="3"/>
  <c r="I2899" i="3" l="1"/>
  <c r="E2900" i="3"/>
  <c r="J2899" i="3"/>
  <c r="H2899" i="3"/>
  <c r="F2899" i="3"/>
  <c r="D2900" i="3"/>
  <c r="I2900" i="3" l="1"/>
  <c r="E2901" i="3"/>
  <c r="H2900" i="3"/>
  <c r="J2900" i="3"/>
  <c r="F2900" i="3"/>
  <c r="D2901" i="3"/>
  <c r="I2901" i="3" l="1"/>
  <c r="E2902" i="3"/>
  <c r="J2901" i="3"/>
  <c r="H2901" i="3"/>
  <c r="F2901" i="3"/>
  <c r="D2902" i="3"/>
  <c r="I2902" i="3" l="1"/>
  <c r="E2903" i="3"/>
  <c r="J2902" i="3"/>
  <c r="H2902" i="3"/>
  <c r="D2903" i="3"/>
  <c r="F2902" i="3"/>
  <c r="I2903" i="3" l="1"/>
  <c r="E2904" i="3"/>
  <c r="J2903" i="3"/>
  <c r="H2903" i="3"/>
  <c r="F2903" i="3"/>
  <c r="D2904" i="3"/>
  <c r="I2904" i="3" l="1"/>
  <c r="E2905" i="3"/>
  <c r="J2904" i="3"/>
  <c r="H2904" i="3"/>
  <c r="D2905" i="3"/>
  <c r="F2904" i="3"/>
  <c r="I2905" i="3" l="1"/>
  <c r="E2906" i="3"/>
  <c r="J2905" i="3"/>
  <c r="H2905" i="3"/>
  <c r="F2905" i="3"/>
  <c r="D2906" i="3"/>
  <c r="I2906" i="3" l="1"/>
  <c r="E2907" i="3"/>
  <c r="H2906" i="3"/>
  <c r="J2906" i="3"/>
  <c r="D2907" i="3"/>
  <c r="F2906" i="3"/>
  <c r="I2907" i="3" l="1"/>
  <c r="E2908" i="3"/>
  <c r="J2907" i="3"/>
  <c r="H2907" i="3"/>
  <c r="F2907" i="3"/>
  <c r="D2908" i="3"/>
  <c r="I2908" i="3" l="1"/>
  <c r="E2909" i="3"/>
  <c r="H2908" i="3"/>
  <c r="J2908" i="3"/>
  <c r="D2909" i="3"/>
  <c r="F2908" i="3"/>
  <c r="I2909" i="3" l="1"/>
  <c r="E2910" i="3"/>
  <c r="H2909" i="3"/>
  <c r="J2909" i="3"/>
  <c r="D2910" i="3"/>
  <c r="F2909" i="3"/>
  <c r="I2910" i="3" l="1"/>
  <c r="E2911" i="3"/>
  <c r="J2910" i="3"/>
  <c r="H2910" i="3"/>
  <c r="F2910" i="3"/>
  <c r="D2911" i="3"/>
  <c r="I2911" i="3" l="1"/>
  <c r="E2912" i="3"/>
  <c r="H2911" i="3"/>
  <c r="J2911" i="3"/>
  <c r="F2911" i="3"/>
  <c r="D2912" i="3"/>
  <c r="I2912" i="3" l="1"/>
  <c r="E2913" i="3"/>
  <c r="H2912" i="3"/>
  <c r="J2912" i="3"/>
  <c r="F2912" i="3"/>
  <c r="D2913" i="3"/>
  <c r="I2913" i="3" l="1"/>
  <c r="E2914" i="3"/>
  <c r="J2913" i="3"/>
  <c r="H2913" i="3"/>
  <c r="D2914" i="3"/>
  <c r="F2913" i="3"/>
  <c r="I2914" i="3" l="1"/>
  <c r="E2915" i="3"/>
  <c r="J2914" i="3"/>
  <c r="H2914" i="3"/>
  <c r="D2915" i="3"/>
  <c r="F2914" i="3"/>
  <c r="I2915" i="3" l="1"/>
  <c r="E2916" i="3"/>
  <c r="H2915" i="3"/>
  <c r="J2915" i="3"/>
  <c r="F2915" i="3"/>
  <c r="D2916" i="3"/>
  <c r="I2916" i="3" l="1"/>
  <c r="E2917" i="3"/>
  <c r="J2916" i="3"/>
  <c r="H2916" i="3"/>
  <c r="F2916" i="3"/>
  <c r="D2917" i="3"/>
  <c r="I2917" i="3" l="1"/>
  <c r="E2918" i="3"/>
  <c r="H2917" i="3"/>
  <c r="J2917" i="3"/>
  <c r="D2918" i="3"/>
  <c r="F2917" i="3"/>
  <c r="I2918" i="3" l="1"/>
  <c r="E2919" i="3"/>
  <c r="H2918" i="3"/>
  <c r="J2918" i="3"/>
  <c r="F2918" i="3"/>
  <c r="D2919" i="3"/>
  <c r="I2919" i="3" l="1"/>
  <c r="E2920" i="3"/>
  <c r="J2919" i="3"/>
  <c r="H2919" i="3"/>
  <c r="D2920" i="3"/>
  <c r="F2919" i="3"/>
  <c r="I2920" i="3" l="1"/>
  <c r="E2921" i="3"/>
  <c r="J2920" i="3"/>
  <c r="H2920" i="3"/>
  <c r="F2920" i="3"/>
  <c r="D2921" i="3"/>
  <c r="I2921" i="3" l="1"/>
  <c r="E2922" i="3"/>
  <c r="J2921" i="3"/>
  <c r="H2921" i="3"/>
  <c r="D2922" i="3"/>
  <c r="F2921" i="3"/>
  <c r="I2922" i="3" l="1"/>
  <c r="E2923" i="3"/>
  <c r="H2922" i="3"/>
  <c r="J2922" i="3"/>
  <c r="F2922" i="3"/>
  <c r="D2923" i="3"/>
  <c r="I2923" i="3" l="1"/>
  <c r="E2924" i="3"/>
  <c r="J2923" i="3"/>
  <c r="H2923" i="3"/>
  <c r="F2923" i="3"/>
  <c r="D2924" i="3"/>
  <c r="I2924" i="3" l="1"/>
  <c r="E2925" i="3"/>
  <c r="J2924" i="3"/>
  <c r="H2924" i="3"/>
  <c r="F2924" i="3"/>
  <c r="D2925" i="3"/>
  <c r="I2925" i="3" l="1"/>
  <c r="E2926" i="3"/>
  <c r="J2925" i="3"/>
  <c r="H2925" i="3"/>
  <c r="F2925" i="3"/>
  <c r="D2926" i="3"/>
  <c r="I2926" i="3" l="1"/>
  <c r="E2927" i="3"/>
  <c r="H2926" i="3"/>
  <c r="J2926" i="3"/>
  <c r="D2927" i="3"/>
  <c r="F2926" i="3"/>
  <c r="I2927" i="3" l="1"/>
  <c r="E2928" i="3"/>
  <c r="H2927" i="3"/>
  <c r="J2927" i="3"/>
  <c r="D2928" i="3"/>
  <c r="F2927" i="3"/>
  <c r="I2928" i="3" l="1"/>
  <c r="E2929" i="3"/>
  <c r="H2928" i="3"/>
  <c r="J2928" i="3"/>
  <c r="D2929" i="3"/>
  <c r="F2928" i="3"/>
  <c r="I2929" i="3" l="1"/>
  <c r="E2930" i="3"/>
  <c r="H2929" i="3"/>
  <c r="J2929" i="3"/>
  <c r="D2930" i="3"/>
  <c r="F2929" i="3"/>
  <c r="I2930" i="3" l="1"/>
  <c r="E2931" i="3"/>
  <c r="H2930" i="3"/>
  <c r="J2930" i="3"/>
  <c r="D2931" i="3"/>
  <c r="F2930" i="3"/>
  <c r="I2931" i="3" l="1"/>
  <c r="E2932" i="3"/>
  <c r="H2931" i="3"/>
  <c r="J2931" i="3"/>
  <c r="F2931" i="3"/>
  <c r="D2932" i="3"/>
  <c r="I2932" i="3" l="1"/>
  <c r="E2933" i="3"/>
  <c r="J2932" i="3"/>
  <c r="H2932" i="3"/>
  <c r="F2932" i="3"/>
  <c r="D2933" i="3"/>
  <c r="I2933" i="3" l="1"/>
  <c r="E2934" i="3"/>
  <c r="H2933" i="3"/>
  <c r="J2933" i="3"/>
  <c r="D2934" i="3"/>
  <c r="F2933" i="3"/>
  <c r="I2934" i="3" l="1"/>
  <c r="E2935" i="3"/>
  <c r="H2934" i="3"/>
  <c r="J2934" i="3"/>
  <c r="F2934" i="3"/>
  <c r="D2935" i="3"/>
  <c r="I2935" i="3" l="1"/>
  <c r="E2936" i="3"/>
  <c r="J2935" i="3"/>
  <c r="H2935" i="3"/>
  <c r="F2935" i="3"/>
  <c r="D2936" i="3"/>
  <c r="I2936" i="3" l="1"/>
  <c r="E2937" i="3"/>
  <c r="H2936" i="3"/>
  <c r="J2936" i="3"/>
  <c r="F2936" i="3"/>
  <c r="D2937" i="3"/>
  <c r="I2937" i="3" l="1"/>
  <c r="E2938" i="3"/>
  <c r="J2937" i="3"/>
  <c r="H2937" i="3"/>
  <c r="F2937" i="3"/>
  <c r="D2938" i="3"/>
  <c r="I2938" i="3" l="1"/>
  <c r="E2939" i="3"/>
  <c r="J2938" i="3"/>
  <c r="H2938" i="3"/>
  <c r="F2938" i="3"/>
  <c r="D2939" i="3"/>
  <c r="I2939" i="3" l="1"/>
  <c r="E2940" i="3"/>
  <c r="H2939" i="3"/>
  <c r="J2939" i="3"/>
  <c r="D2940" i="3"/>
  <c r="F2939" i="3"/>
  <c r="I2940" i="3" l="1"/>
  <c r="E2941" i="3"/>
  <c r="J2940" i="3"/>
  <c r="H2940" i="3"/>
  <c r="D2941" i="3"/>
  <c r="F2940" i="3"/>
  <c r="I2941" i="3" l="1"/>
  <c r="E2942" i="3"/>
  <c r="J2941" i="3"/>
  <c r="H2941" i="3"/>
  <c r="F2941" i="3"/>
  <c r="D2942" i="3"/>
  <c r="I2942" i="3" l="1"/>
  <c r="E2943" i="3"/>
  <c r="J2942" i="3"/>
  <c r="H2942" i="3"/>
  <c r="D2943" i="3"/>
  <c r="F2942" i="3"/>
  <c r="I2943" i="3" l="1"/>
  <c r="E2944" i="3"/>
  <c r="H2943" i="3"/>
  <c r="J2943" i="3"/>
  <c r="D2944" i="3"/>
  <c r="F2943" i="3"/>
  <c r="I2944" i="3" l="1"/>
  <c r="E2945" i="3"/>
  <c r="J2944" i="3"/>
  <c r="H2944" i="3"/>
  <c r="F2944" i="3"/>
  <c r="D2945" i="3"/>
  <c r="I2945" i="3" l="1"/>
  <c r="E2946" i="3"/>
  <c r="J2945" i="3"/>
  <c r="H2945" i="3"/>
  <c r="D2946" i="3"/>
  <c r="F2945" i="3"/>
  <c r="I2946" i="3" l="1"/>
  <c r="E2947" i="3"/>
  <c r="H2946" i="3"/>
  <c r="J2946" i="3"/>
  <c r="F2946" i="3"/>
  <c r="D2947" i="3"/>
  <c r="I2947" i="3" l="1"/>
  <c r="E2948" i="3"/>
  <c r="J2947" i="3"/>
  <c r="H2947" i="3"/>
  <c r="D2948" i="3"/>
  <c r="F2947" i="3"/>
  <c r="I2948" i="3" l="1"/>
  <c r="E2949" i="3"/>
  <c r="H2948" i="3"/>
  <c r="J2948" i="3"/>
  <c r="F2948" i="3"/>
  <c r="D2949" i="3"/>
  <c r="I2949" i="3" l="1"/>
  <c r="E2950" i="3"/>
  <c r="J2949" i="3"/>
  <c r="H2949" i="3"/>
  <c r="F2949" i="3"/>
  <c r="D2950" i="3"/>
  <c r="I2950" i="3" l="1"/>
  <c r="E2951" i="3"/>
  <c r="H2950" i="3"/>
  <c r="J2950" i="3"/>
  <c r="F2950" i="3"/>
  <c r="D2951" i="3"/>
  <c r="I2951" i="3" l="1"/>
  <c r="E2952" i="3"/>
  <c r="H2951" i="3"/>
  <c r="J2951" i="3"/>
  <c r="D2952" i="3"/>
  <c r="F2951" i="3"/>
  <c r="I2952" i="3" l="1"/>
  <c r="E2953" i="3"/>
  <c r="J2952" i="3"/>
  <c r="H2952" i="3"/>
  <c r="D2953" i="3"/>
  <c r="F2952" i="3"/>
  <c r="I2953" i="3" l="1"/>
  <c r="E2954" i="3"/>
  <c r="J2953" i="3"/>
  <c r="H2953" i="3"/>
  <c r="F2953" i="3"/>
  <c r="D2954" i="3"/>
  <c r="I2954" i="3" l="1"/>
  <c r="E2955" i="3"/>
  <c r="J2954" i="3"/>
  <c r="H2954" i="3"/>
  <c r="F2954" i="3"/>
  <c r="D2955" i="3"/>
  <c r="I2955" i="3" l="1"/>
  <c r="E2956" i="3"/>
  <c r="J2955" i="3"/>
  <c r="H2955" i="3"/>
  <c r="F2955" i="3"/>
  <c r="D2956" i="3"/>
  <c r="I2956" i="3" l="1"/>
  <c r="E2957" i="3"/>
  <c r="H2956" i="3"/>
  <c r="J2956" i="3"/>
  <c r="D2957" i="3"/>
  <c r="F2956" i="3"/>
  <c r="I2957" i="3" l="1"/>
  <c r="E2958" i="3"/>
  <c r="H2957" i="3"/>
  <c r="J2957" i="3"/>
  <c r="F2957" i="3"/>
  <c r="D2958" i="3"/>
  <c r="I2958" i="3" l="1"/>
  <c r="E2959" i="3"/>
  <c r="H2958" i="3"/>
  <c r="J2958" i="3"/>
  <c r="F2958" i="3"/>
  <c r="D2959" i="3"/>
  <c r="I2959" i="3" l="1"/>
  <c r="E2960" i="3"/>
  <c r="J2959" i="3"/>
  <c r="H2959" i="3"/>
  <c r="D2960" i="3"/>
  <c r="F2959" i="3"/>
  <c r="I2960" i="3" l="1"/>
  <c r="E2961" i="3"/>
  <c r="J2960" i="3"/>
  <c r="H2960" i="3"/>
  <c r="D2961" i="3"/>
  <c r="F2960" i="3"/>
  <c r="I2961" i="3" l="1"/>
  <c r="E2962" i="3"/>
  <c r="J2961" i="3"/>
  <c r="H2961" i="3"/>
  <c r="D2962" i="3"/>
  <c r="F2961" i="3"/>
  <c r="I2962" i="3" l="1"/>
  <c r="E2963" i="3"/>
  <c r="J2962" i="3"/>
  <c r="H2962" i="3"/>
  <c r="F2962" i="3"/>
  <c r="D2963" i="3"/>
  <c r="I2963" i="3" l="1"/>
  <c r="E2964" i="3"/>
  <c r="J2963" i="3"/>
  <c r="H2963" i="3"/>
  <c r="F2963" i="3"/>
  <c r="D2964" i="3"/>
  <c r="I2964" i="3" l="1"/>
  <c r="E2965" i="3"/>
  <c r="J2964" i="3"/>
  <c r="H2964" i="3"/>
  <c r="D2965" i="3"/>
  <c r="F2964" i="3"/>
  <c r="I2965" i="3" l="1"/>
  <c r="E2966" i="3"/>
  <c r="J2965" i="3"/>
  <c r="H2965" i="3"/>
  <c r="F2965" i="3"/>
  <c r="D2966" i="3"/>
  <c r="I2966" i="3" l="1"/>
  <c r="E2967" i="3"/>
  <c r="H2966" i="3"/>
  <c r="J2966" i="3"/>
  <c r="F2966" i="3"/>
  <c r="D2967" i="3"/>
  <c r="I2967" i="3" l="1"/>
  <c r="E2968" i="3"/>
  <c r="H2967" i="3"/>
  <c r="J2967" i="3"/>
  <c r="F2967" i="3"/>
  <c r="D2968" i="3"/>
  <c r="I2968" i="3" l="1"/>
  <c r="E2969" i="3"/>
  <c r="H2968" i="3"/>
  <c r="J2968" i="3"/>
  <c r="D2969" i="3"/>
  <c r="F2968" i="3"/>
  <c r="I2969" i="3" l="1"/>
  <c r="E2970" i="3"/>
  <c r="J2969" i="3"/>
  <c r="H2969" i="3"/>
  <c r="F2969" i="3"/>
  <c r="D2970" i="3"/>
  <c r="I2970" i="3" l="1"/>
  <c r="E2971" i="3"/>
  <c r="H2970" i="3"/>
  <c r="J2970" i="3"/>
  <c r="F2970" i="3"/>
  <c r="D2971" i="3"/>
  <c r="I2971" i="3" l="1"/>
  <c r="E2972" i="3"/>
  <c r="H2971" i="3"/>
  <c r="J2971" i="3"/>
  <c r="F2971" i="3"/>
  <c r="D2972" i="3"/>
  <c r="I2972" i="3" l="1"/>
  <c r="E2973" i="3"/>
  <c r="J2972" i="3"/>
  <c r="H2972" i="3"/>
  <c r="F2972" i="3"/>
  <c r="D2973" i="3"/>
  <c r="I2973" i="3" l="1"/>
  <c r="E2974" i="3"/>
  <c r="J2973" i="3"/>
  <c r="H2973" i="3"/>
  <c r="D2974" i="3"/>
  <c r="F2973" i="3"/>
  <c r="I2974" i="3" l="1"/>
  <c r="E2975" i="3"/>
  <c r="H2974" i="3"/>
  <c r="J2974" i="3"/>
  <c r="F2974" i="3"/>
  <c r="D2975" i="3"/>
  <c r="I2975" i="3" l="1"/>
  <c r="E2976" i="3"/>
  <c r="J2975" i="3"/>
  <c r="H2975" i="3"/>
  <c r="F2975" i="3"/>
  <c r="D2976" i="3"/>
  <c r="I2976" i="3" l="1"/>
  <c r="E2977" i="3"/>
  <c r="J2976" i="3"/>
  <c r="H2976" i="3"/>
  <c r="F2976" i="3"/>
  <c r="D2977" i="3"/>
  <c r="I2977" i="3" l="1"/>
  <c r="E2978" i="3"/>
  <c r="J2977" i="3"/>
  <c r="H2977" i="3"/>
  <c r="D2978" i="3"/>
  <c r="F2977" i="3"/>
  <c r="I2978" i="3" l="1"/>
  <c r="E2979" i="3"/>
  <c r="J2978" i="3"/>
  <c r="H2978" i="3"/>
  <c r="F2978" i="3"/>
  <c r="D2979" i="3"/>
  <c r="I2979" i="3" l="1"/>
  <c r="E2980" i="3"/>
  <c r="H2979" i="3"/>
  <c r="J2979" i="3"/>
  <c r="F2979" i="3"/>
  <c r="D2980" i="3"/>
  <c r="I2980" i="3" l="1"/>
  <c r="E2981" i="3"/>
  <c r="H2980" i="3"/>
  <c r="J2980" i="3"/>
  <c r="F2980" i="3"/>
  <c r="D2981" i="3"/>
  <c r="I2981" i="3" l="1"/>
  <c r="E2982" i="3"/>
  <c r="J2981" i="3"/>
  <c r="H2981" i="3"/>
  <c r="F2981" i="3"/>
  <c r="D2982" i="3"/>
  <c r="I2982" i="3" l="1"/>
  <c r="E2983" i="3"/>
  <c r="J2982" i="3"/>
  <c r="H2982" i="3"/>
  <c r="F2982" i="3"/>
  <c r="D2983" i="3"/>
  <c r="I2983" i="3" l="1"/>
  <c r="E2984" i="3"/>
  <c r="J2983" i="3"/>
  <c r="H2983" i="3"/>
  <c r="D2984" i="3"/>
  <c r="F2983" i="3"/>
  <c r="I2984" i="3" l="1"/>
  <c r="E2985" i="3"/>
  <c r="J2984" i="3"/>
  <c r="H2984" i="3"/>
  <c r="D2985" i="3"/>
  <c r="F2984" i="3"/>
  <c r="I2985" i="3" l="1"/>
  <c r="E2986" i="3"/>
  <c r="J2985" i="3"/>
  <c r="H2985" i="3"/>
  <c r="F2985" i="3"/>
  <c r="D2986" i="3"/>
  <c r="I2986" i="3" l="1"/>
  <c r="E2987" i="3"/>
  <c r="H2986" i="3"/>
  <c r="J2986" i="3"/>
  <c r="D2987" i="3"/>
  <c r="F2986" i="3"/>
  <c r="I2987" i="3" l="1"/>
  <c r="E2988" i="3"/>
  <c r="J2987" i="3"/>
  <c r="H2987" i="3"/>
  <c r="D2988" i="3"/>
  <c r="F2987" i="3"/>
  <c r="I2988" i="3" l="1"/>
  <c r="E2989" i="3"/>
  <c r="J2988" i="3"/>
  <c r="H2988" i="3"/>
  <c r="F2988" i="3"/>
  <c r="D2989" i="3"/>
  <c r="I2989" i="3" l="1"/>
  <c r="E2990" i="3"/>
  <c r="J2989" i="3"/>
  <c r="H2989" i="3"/>
  <c r="F2989" i="3"/>
  <c r="D2990" i="3"/>
  <c r="I2990" i="3" l="1"/>
  <c r="E2991" i="3"/>
  <c r="H2990" i="3"/>
  <c r="J2990" i="3"/>
  <c r="D2991" i="3"/>
  <c r="F2990" i="3"/>
  <c r="I2991" i="3" l="1"/>
  <c r="E2992" i="3"/>
  <c r="H2991" i="3"/>
  <c r="J2991" i="3"/>
  <c r="D2992" i="3"/>
  <c r="F2991" i="3"/>
  <c r="I2992" i="3" l="1"/>
  <c r="E2993" i="3"/>
  <c r="J2992" i="3"/>
  <c r="H2992" i="3"/>
  <c r="F2992" i="3"/>
  <c r="D2993" i="3"/>
  <c r="I2993" i="3" l="1"/>
  <c r="E2994" i="3"/>
  <c r="J2993" i="3"/>
  <c r="H2993" i="3"/>
  <c r="D2994" i="3"/>
  <c r="F2993" i="3"/>
  <c r="I2994" i="3" l="1"/>
  <c r="E2995" i="3"/>
  <c r="J2994" i="3"/>
  <c r="H2994" i="3"/>
  <c r="D2995" i="3"/>
  <c r="F2994" i="3"/>
  <c r="I2995" i="3" l="1"/>
  <c r="E2996" i="3"/>
  <c r="H2995" i="3"/>
  <c r="J2995" i="3"/>
  <c r="F2995" i="3"/>
  <c r="D2996" i="3"/>
  <c r="I2996" i="3" l="1"/>
  <c r="E2997" i="3"/>
  <c r="J2996" i="3"/>
  <c r="H2996" i="3"/>
  <c r="F2996" i="3"/>
  <c r="D2997" i="3"/>
  <c r="I2997" i="3" l="1"/>
  <c r="E2998" i="3"/>
  <c r="J2997" i="3"/>
  <c r="H2997" i="3"/>
  <c r="F2997" i="3"/>
  <c r="D2998" i="3"/>
  <c r="I2998" i="3" l="1"/>
  <c r="E2999" i="3"/>
  <c r="J2998" i="3"/>
  <c r="H2998" i="3"/>
  <c r="F2998" i="3"/>
  <c r="D2999" i="3"/>
  <c r="I2999" i="3" l="1"/>
  <c r="E3000" i="3"/>
  <c r="J2999" i="3"/>
  <c r="H2999" i="3"/>
  <c r="F2999" i="3"/>
  <c r="D3000" i="3"/>
  <c r="I3000" i="3" l="1"/>
  <c r="E3001" i="3"/>
  <c r="J3000" i="3"/>
  <c r="H3000" i="3"/>
  <c r="F3000" i="3"/>
  <c r="D3001" i="3"/>
  <c r="I3001" i="3" l="1"/>
  <c r="E3002" i="3"/>
  <c r="J3001" i="3"/>
  <c r="H3001" i="3"/>
  <c r="D3002" i="3"/>
  <c r="F3001" i="3"/>
  <c r="I3002" i="3" l="1"/>
  <c r="E3003" i="3"/>
  <c r="J3002" i="3"/>
  <c r="H3002" i="3"/>
  <c r="F3002" i="3"/>
  <c r="D3003" i="3"/>
  <c r="I3003" i="3" l="1"/>
  <c r="E3004" i="3"/>
  <c r="J3003" i="3"/>
  <c r="H3003" i="3"/>
  <c r="D3004" i="3"/>
  <c r="F3003" i="3"/>
  <c r="I3004" i="3" l="1"/>
  <c r="E3005" i="3"/>
  <c r="J3004" i="3"/>
  <c r="H3004" i="3"/>
  <c r="F3004" i="3"/>
  <c r="D3005" i="3"/>
  <c r="I3005" i="3" l="1"/>
  <c r="E3006" i="3"/>
  <c r="H3005" i="3"/>
  <c r="J3005" i="3"/>
  <c r="D3006" i="3"/>
  <c r="F3005" i="3"/>
  <c r="I3006" i="3" l="1"/>
  <c r="E3007" i="3"/>
  <c r="H3006" i="3"/>
  <c r="J3006" i="3"/>
  <c r="F3006" i="3"/>
  <c r="D3007" i="3"/>
  <c r="I3007" i="3" l="1"/>
  <c r="E3008" i="3"/>
  <c r="J3007" i="3"/>
  <c r="H3007" i="3"/>
  <c r="F3007" i="3"/>
  <c r="D3008" i="3"/>
  <c r="I3008" i="3" l="1"/>
  <c r="E3009" i="3"/>
  <c r="H3008" i="3"/>
  <c r="J3008" i="3"/>
  <c r="D3009" i="3"/>
  <c r="F3008" i="3"/>
  <c r="I3009" i="3" l="1"/>
  <c r="E3010" i="3"/>
  <c r="J3009" i="3"/>
  <c r="H3009" i="3"/>
  <c r="F3009" i="3"/>
  <c r="D3010" i="3"/>
  <c r="I3010" i="3" l="1"/>
  <c r="E3011" i="3"/>
  <c r="H3010" i="3"/>
  <c r="J3010" i="3"/>
  <c r="F3010" i="3"/>
  <c r="D3011" i="3"/>
  <c r="I3011" i="3" l="1"/>
  <c r="E3012" i="3"/>
  <c r="H3011" i="3"/>
  <c r="J3011" i="3"/>
  <c r="F3011" i="3"/>
  <c r="D3012" i="3"/>
  <c r="I3012" i="3" l="1"/>
  <c r="E3013" i="3"/>
  <c r="J3012" i="3"/>
  <c r="H3012" i="3"/>
  <c r="F3012" i="3"/>
  <c r="D3013" i="3"/>
  <c r="I3013" i="3" l="1"/>
  <c r="E3014" i="3"/>
  <c r="H3013" i="3"/>
  <c r="J3013" i="3"/>
  <c r="F3013" i="3"/>
  <c r="D3014" i="3"/>
  <c r="I3014" i="3" l="1"/>
  <c r="E3015" i="3"/>
  <c r="H3014" i="3"/>
  <c r="J3014" i="3"/>
  <c r="D3015" i="3"/>
  <c r="F3014" i="3"/>
  <c r="I3015" i="3" l="1"/>
  <c r="E3016" i="3"/>
  <c r="J3015" i="3"/>
  <c r="H3015" i="3"/>
  <c r="F3015" i="3"/>
  <c r="D3016" i="3"/>
  <c r="I3016" i="3" l="1"/>
  <c r="E3017" i="3"/>
  <c r="H3016" i="3"/>
  <c r="J3016" i="3"/>
  <c r="F3016" i="3"/>
  <c r="D3017" i="3"/>
  <c r="I3017" i="3" l="1"/>
  <c r="E3018" i="3"/>
  <c r="J3017" i="3"/>
  <c r="H3017" i="3"/>
  <c r="F3017" i="3"/>
  <c r="D3018" i="3"/>
  <c r="I3018" i="3" l="1"/>
  <c r="E3019" i="3"/>
  <c r="J3018" i="3"/>
  <c r="H3018" i="3"/>
  <c r="F3018" i="3"/>
  <c r="D3019" i="3"/>
  <c r="I3019" i="3" l="1"/>
  <c r="E3020" i="3"/>
  <c r="J3019" i="3"/>
  <c r="H3019" i="3"/>
  <c r="F3019" i="3"/>
  <c r="D3020" i="3"/>
  <c r="I3020" i="3" l="1"/>
  <c r="E3021" i="3"/>
  <c r="J3020" i="3"/>
  <c r="H3020" i="3"/>
  <c r="D3021" i="3"/>
  <c r="F3020" i="3"/>
  <c r="I3021" i="3" l="1"/>
  <c r="E3022" i="3"/>
  <c r="H3021" i="3"/>
  <c r="J3021" i="3"/>
  <c r="D3022" i="3"/>
  <c r="F3021" i="3"/>
  <c r="I3022" i="3" l="1"/>
  <c r="E3023" i="3"/>
  <c r="H3022" i="3"/>
  <c r="J3022" i="3"/>
  <c r="F3022" i="3"/>
  <c r="D3023" i="3"/>
  <c r="I3023" i="3" l="1"/>
  <c r="E3024" i="3"/>
  <c r="H3023" i="3"/>
  <c r="J3023" i="3"/>
  <c r="F3023" i="3"/>
  <c r="D3024" i="3"/>
  <c r="I3024" i="3" l="1"/>
  <c r="E3025" i="3"/>
  <c r="H3024" i="3"/>
  <c r="J3024" i="3"/>
  <c r="F3024" i="3"/>
  <c r="D3025" i="3"/>
  <c r="I3025" i="3" l="1"/>
  <c r="E3026" i="3"/>
  <c r="J3025" i="3"/>
  <c r="H3025" i="3"/>
  <c r="F3025" i="3"/>
  <c r="D3026" i="3"/>
  <c r="I3026" i="3" l="1"/>
  <c r="E3027" i="3"/>
  <c r="H3026" i="3"/>
  <c r="J3026" i="3"/>
  <c r="F3026" i="3"/>
  <c r="D3027" i="3"/>
  <c r="I3027" i="3" l="1"/>
  <c r="E3028" i="3"/>
  <c r="J3027" i="3"/>
  <c r="H3027" i="3"/>
  <c r="D3028" i="3"/>
  <c r="F3027" i="3"/>
  <c r="I3028" i="3" l="1"/>
  <c r="E3029" i="3"/>
  <c r="H3028" i="3"/>
  <c r="J3028" i="3"/>
  <c r="F3028" i="3"/>
  <c r="D3029" i="3"/>
  <c r="I3029" i="3" l="1"/>
  <c r="E3030" i="3"/>
  <c r="J3029" i="3"/>
  <c r="H3029" i="3"/>
  <c r="F3029" i="3"/>
  <c r="D3030" i="3"/>
  <c r="I3030" i="3" l="1"/>
  <c r="E3031" i="3"/>
  <c r="J3030" i="3"/>
  <c r="H3030" i="3"/>
  <c r="D3031" i="3"/>
  <c r="F3030" i="3"/>
  <c r="I3031" i="3" l="1"/>
  <c r="E3032" i="3"/>
  <c r="H3031" i="3"/>
  <c r="J3031" i="3"/>
  <c r="F3031" i="3"/>
  <c r="D3032" i="3"/>
  <c r="I3032" i="3" l="1"/>
  <c r="E3033" i="3"/>
  <c r="H3032" i="3"/>
  <c r="J3032" i="3"/>
  <c r="F3032" i="3"/>
  <c r="D3033" i="3"/>
  <c r="I3033" i="3" l="1"/>
  <c r="E3034" i="3"/>
  <c r="H3033" i="3"/>
  <c r="J3033" i="3"/>
  <c r="D3034" i="3"/>
  <c r="F3033" i="3"/>
  <c r="I3034" i="3" l="1"/>
  <c r="E3035" i="3"/>
  <c r="J3034" i="3"/>
  <c r="H3034" i="3"/>
  <c r="D3035" i="3"/>
  <c r="F3034" i="3"/>
  <c r="I3035" i="3" l="1"/>
  <c r="E3036" i="3"/>
  <c r="H3035" i="3"/>
  <c r="J3035" i="3"/>
  <c r="D3036" i="3"/>
  <c r="F3035" i="3"/>
  <c r="I3036" i="3" l="1"/>
  <c r="E3037" i="3"/>
  <c r="H3036" i="3"/>
  <c r="J3036" i="3"/>
  <c r="D3037" i="3"/>
  <c r="F3036" i="3"/>
  <c r="I3037" i="3" l="1"/>
  <c r="E3038" i="3"/>
  <c r="J3037" i="3"/>
  <c r="H3037" i="3"/>
  <c r="F3037" i="3"/>
  <c r="D3038" i="3"/>
  <c r="I3038" i="3" l="1"/>
  <c r="E3039" i="3"/>
  <c r="H3038" i="3"/>
  <c r="J3038" i="3"/>
  <c r="D3039" i="3"/>
  <c r="F3038" i="3"/>
  <c r="I3039" i="3" l="1"/>
  <c r="E3040" i="3"/>
  <c r="J3039" i="3"/>
  <c r="H3039" i="3"/>
  <c r="D3040" i="3"/>
  <c r="F3039" i="3"/>
  <c r="I3040" i="3" l="1"/>
  <c r="E3041" i="3"/>
  <c r="J3040" i="3"/>
  <c r="H3040" i="3"/>
  <c r="F3040" i="3"/>
  <c r="D3041" i="3"/>
  <c r="I3041" i="3" l="1"/>
  <c r="E3042" i="3"/>
  <c r="H3041" i="3"/>
  <c r="J3041" i="3"/>
  <c r="F3041" i="3"/>
  <c r="D3042" i="3"/>
  <c r="I3042" i="3" l="1"/>
  <c r="E3043" i="3"/>
  <c r="H3042" i="3"/>
  <c r="J3042" i="3"/>
  <c r="D3043" i="3"/>
  <c r="F3042" i="3"/>
  <c r="I3043" i="3" l="1"/>
  <c r="E3044" i="3"/>
  <c r="J3043" i="3"/>
  <c r="H3043" i="3"/>
  <c r="D3044" i="3"/>
  <c r="F3043" i="3"/>
  <c r="I3044" i="3" l="1"/>
  <c r="E3045" i="3"/>
  <c r="J3044" i="3"/>
  <c r="H3044" i="3"/>
  <c r="D3045" i="3"/>
  <c r="F3044" i="3"/>
  <c r="I3045" i="3" l="1"/>
  <c r="E3046" i="3"/>
  <c r="H3045" i="3"/>
  <c r="J3045" i="3"/>
  <c r="F3045" i="3"/>
  <c r="D3046" i="3"/>
  <c r="I3046" i="3" l="1"/>
  <c r="E3047" i="3"/>
  <c r="J3046" i="3"/>
  <c r="H3046" i="3"/>
  <c r="D3047" i="3"/>
  <c r="F3046" i="3"/>
  <c r="I3047" i="3" l="1"/>
  <c r="E3048" i="3"/>
  <c r="H3047" i="3"/>
  <c r="J3047" i="3"/>
  <c r="F3047" i="3"/>
  <c r="D3048" i="3"/>
  <c r="I3048" i="3" l="1"/>
  <c r="E3049" i="3"/>
  <c r="H3048" i="3"/>
  <c r="J3048" i="3"/>
  <c r="D3049" i="3"/>
  <c r="F3048" i="3"/>
  <c r="I3049" i="3" l="1"/>
  <c r="E3050" i="3"/>
  <c r="J3049" i="3"/>
  <c r="H3049" i="3"/>
  <c r="D3050" i="3"/>
  <c r="F3049" i="3"/>
  <c r="I3050" i="3" l="1"/>
  <c r="E3051" i="3"/>
  <c r="H3050" i="3"/>
  <c r="J3050" i="3"/>
  <c r="D3051" i="3"/>
  <c r="F3050" i="3"/>
  <c r="I3051" i="3" l="1"/>
  <c r="E3052" i="3"/>
  <c r="H3051" i="3"/>
  <c r="J3051" i="3"/>
  <c r="D3052" i="3"/>
  <c r="F3051" i="3"/>
  <c r="I3052" i="3" l="1"/>
  <c r="E3053" i="3"/>
  <c r="J3052" i="3"/>
  <c r="H3052" i="3"/>
  <c r="F3052" i="3"/>
  <c r="D3053" i="3"/>
  <c r="I3053" i="3" l="1"/>
  <c r="E3054" i="3"/>
  <c r="J3053" i="3"/>
  <c r="H3053" i="3"/>
  <c r="F3053" i="3"/>
  <c r="D3054" i="3"/>
  <c r="I3054" i="3" l="1"/>
  <c r="E3055" i="3"/>
  <c r="J3054" i="3"/>
  <c r="H3054" i="3"/>
  <c r="D3055" i="3"/>
  <c r="F3054" i="3"/>
  <c r="I3055" i="3" l="1"/>
  <c r="E3056" i="3"/>
  <c r="J3055" i="3"/>
  <c r="H3055" i="3"/>
  <c r="D3056" i="3"/>
  <c r="F3055" i="3"/>
  <c r="I3056" i="3" l="1"/>
  <c r="E3057" i="3"/>
  <c r="J3056" i="3"/>
  <c r="H3056" i="3"/>
  <c r="F3056" i="3"/>
  <c r="D3057" i="3"/>
  <c r="I3057" i="3" l="1"/>
  <c r="E3058" i="3"/>
  <c r="H3057" i="3"/>
  <c r="J3057" i="3"/>
  <c r="D3058" i="3"/>
  <c r="F3057" i="3"/>
  <c r="I3058" i="3" l="1"/>
  <c r="E3059" i="3"/>
  <c r="H3058" i="3"/>
  <c r="J3058" i="3"/>
  <c r="F3058" i="3"/>
  <c r="D3059" i="3"/>
  <c r="I3059" i="3" l="1"/>
  <c r="E3060" i="3"/>
  <c r="H3059" i="3"/>
  <c r="J3059" i="3"/>
  <c r="D3060" i="3"/>
  <c r="F3059" i="3"/>
  <c r="I3060" i="3" l="1"/>
  <c r="E3061" i="3"/>
  <c r="H3060" i="3"/>
  <c r="J3060" i="3"/>
  <c r="F3060" i="3"/>
  <c r="D3061" i="3"/>
  <c r="I3061" i="3" l="1"/>
  <c r="E3062" i="3"/>
  <c r="H3061" i="3"/>
  <c r="J3061" i="3"/>
  <c r="D3062" i="3"/>
  <c r="F3061" i="3"/>
  <c r="I3062" i="3" l="1"/>
  <c r="E3063" i="3"/>
  <c r="J3062" i="3"/>
  <c r="H3062" i="3"/>
  <c r="F3062" i="3"/>
  <c r="D3063" i="3"/>
  <c r="I3063" i="3" l="1"/>
  <c r="E3064" i="3"/>
  <c r="J3063" i="3"/>
  <c r="H3063" i="3"/>
  <c r="D3064" i="3"/>
  <c r="F3063" i="3"/>
  <c r="I3064" i="3" l="1"/>
  <c r="E3065" i="3"/>
  <c r="J3064" i="3"/>
  <c r="H3064" i="3"/>
  <c r="D3065" i="3"/>
  <c r="F3064" i="3"/>
  <c r="I3065" i="3" l="1"/>
  <c r="E3066" i="3"/>
  <c r="J3065" i="3"/>
  <c r="H3065" i="3"/>
  <c r="F3065" i="3"/>
  <c r="D3066" i="3"/>
  <c r="I3066" i="3" l="1"/>
  <c r="E3067" i="3"/>
  <c r="J3066" i="3"/>
  <c r="H3066" i="3"/>
  <c r="D3067" i="3"/>
  <c r="F3066" i="3"/>
  <c r="I3067" i="3" l="1"/>
  <c r="E3068" i="3"/>
  <c r="H3067" i="3"/>
  <c r="J3067" i="3"/>
  <c r="F3067" i="3"/>
  <c r="D3068" i="3"/>
  <c r="I3068" i="3" l="1"/>
  <c r="E3069" i="3"/>
  <c r="H3068" i="3"/>
  <c r="J3068" i="3"/>
  <c r="F3068" i="3"/>
  <c r="D3069" i="3"/>
  <c r="I3069" i="3" l="1"/>
  <c r="E3070" i="3"/>
  <c r="J3069" i="3"/>
  <c r="H3069" i="3"/>
  <c r="F3069" i="3"/>
  <c r="D3070" i="3"/>
  <c r="I3070" i="3" l="1"/>
  <c r="E3071" i="3"/>
  <c r="H3070" i="3"/>
  <c r="J3070" i="3"/>
  <c r="D3071" i="3"/>
  <c r="F3070" i="3"/>
  <c r="I3071" i="3" l="1"/>
  <c r="E3072" i="3"/>
  <c r="J3071" i="3"/>
  <c r="H3071" i="3"/>
  <c r="F3071" i="3"/>
  <c r="D3072" i="3"/>
  <c r="I3072" i="3" l="1"/>
  <c r="E3073" i="3"/>
  <c r="J3072" i="3"/>
  <c r="H3072" i="3"/>
  <c r="D3073" i="3"/>
  <c r="F3072" i="3"/>
  <c r="I3073" i="3" l="1"/>
  <c r="E3074" i="3"/>
  <c r="J3073" i="3"/>
  <c r="H3073" i="3"/>
  <c r="F3073" i="3"/>
  <c r="D3074" i="3"/>
  <c r="I3074" i="3" l="1"/>
  <c r="E3075" i="3"/>
  <c r="J3074" i="3"/>
  <c r="H3074" i="3"/>
  <c r="F3074" i="3"/>
  <c r="D3075" i="3"/>
  <c r="I3075" i="3" l="1"/>
  <c r="E3076" i="3"/>
  <c r="H3075" i="3"/>
  <c r="J3075" i="3"/>
  <c r="D3076" i="3"/>
  <c r="F3075" i="3"/>
  <c r="I3076" i="3" l="1"/>
  <c r="E3077" i="3"/>
  <c r="H3076" i="3"/>
  <c r="J3076" i="3"/>
  <c r="F3076" i="3"/>
  <c r="D3077" i="3"/>
  <c r="I3077" i="3" l="1"/>
  <c r="E3078" i="3"/>
  <c r="H3077" i="3"/>
  <c r="J3077" i="3"/>
  <c r="F3077" i="3"/>
  <c r="D3078" i="3"/>
  <c r="I3078" i="3" l="1"/>
  <c r="E3079" i="3"/>
  <c r="H3078" i="3"/>
  <c r="J3078" i="3"/>
  <c r="D3079" i="3"/>
  <c r="F3078" i="3"/>
  <c r="I3079" i="3" l="1"/>
  <c r="E3080" i="3"/>
  <c r="J3079" i="3"/>
  <c r="H3079" i="3"/>
  <c r="D3080" i="3"/>
  <c r="F3079" i="3"/>
  <c r="I3080" i="3" l="1"/>
  <c r="E3081" i="3"/>
  <c r="J3080" i="3"/>
  <c r="H3080" i="3"/>
  <c r="F3080" i="3"/>
  <c r="D3081" i="3"/>
  <c r="I3081" i="3" l="1"/>
  <c r="E3082" i="3"/>
  <c r="H3081" i="3"/>
  <c r="J3081" i="3"/>
  <c r="D3082" i="3"/>
  <c r="F3081" i="3"/>
  <c r="I3082" i="3" l="1"/>
  <c r="E3083" i="3"/>
  <c r="J3082" i="3"/>
  <c r="H3082" i="3"/>
  <c r="D3083" i="3"/>
  <c r="F3082" i="3"/>
  <c r="I3083" i="3" l="1"/>
  <c r="E3084" i="3"/>
  <c r="J3083" i="3"/>
  <c r="H3083" i="3"/>
  <c r="F3083" i="3"/>
  <c r="D3084" i="3"/>
  <c r="I3084" i="3" l="1"/>
  <c r="E3085" i="3"/>
  <c r="H3084" i="3"/>
  <c r="J3084" i="3"/>
  <c r="F3084" i="3"/>
  <c r="D3085" i="3"/>
  <c r="I3085" i="3" l="1"/>
  <c r="E3086" i="3"/>
  <c r="J3085" i="3"/>
  <c r="H3085" i="3"/>
  <c r="F3085" i="3"/>
  <c r="D3086" i="3"/>
  <c r="I3086" i="3" l="1"/>
  <c r="E3087" i="3"/>
  <c r="H3086" i="3"/>
  <c r="J3086" i="3"/>
  <c r="F3086" i="3"/>
  <c r="D3087" i="3"/>
  <c r="I3087" i="3" l="1"/>
  <c r="E3088" i="3"/>
  <c r="H3087" i="3"/>
  <c r="J3087" i="3"/>
  <c r="F3087" i="3"/>
  <c r="D3088" i="3"/>
  <c r="I3088" i="3" l="1"/>
  <c r="E3089" i="3"/>
  <c r="J3088" i="3"/>
  <c r="H3088" i="3"/>
  <c r="F3088" i="3"/>
  <c r="D3089" i="3"/>
  <c r="I3089" i="3" l="1"/>
  <c r="E3090" i="3"/>
  <c r="H3089" i="3"/>
  <c r="J3089" i="3"/>
  <c r="F3089" i="3"/>
  <c r="D3090" i="3"/>
  <c r="I3090" i="3" l="1"/>
  <c r="E3091" i="3"/>
  <c r="J3090" i="3"/>
  <c r="H3090" i="3"/>
  <c r="F3090" i="3"/>
  <c r="D3091" i="3"/>
  <c r="I3091" i="3" l="1"/>
  <c r="E3092" i="3"/>
  <c r="H3091" i="3"/>
  <c r="J3091" i="3"/>
  <c r="F3091" i="3"/>
  <c r="D3092" i="3"/>
  <c r="I3092" i="3" l="1"/>
  <c r="E3093" i="3"/>
  <c r="H3092" i="3"/>
  <c r="J3092" i="3"/>
  <c r="F3092" i="3"/>
  <c r="D3093" i="3"/>
  <c r="I3093" i="3" l="1"/>
  <c r="E3094" i="3"/>
  <c r="J3093" i="3"/>
  <c r="H3093" i="3"/>
  <c r="F3093" i="3"/>
  <c r="D3094" i="3"/>
  <c r="I3094" i="3" l="1"/>
  <c r="E3095" i="3"/>
  <c r="H3094" i="3"/>
  <c r="J3094" i="3"/>
  <c r="D3095" i="3"/>
  <c r="F3094" i="3"/>
  <c r="I3095" i="3" l="1"/>
  <c r="E3096" i="3"/>
  <c r="J3095" i="3"/>
  <c r="H3095" i="3"/>
  <c r="F3095" i="3"/>
  <c r="D3096" i="3"/>
  <c r="I3096" i="3" l="1"/>
  <c r="E3097" i="3"/>
  <c r="J3096" i="3"/>
  <c r="H3096" i="3"/>
  <c r="F3096" i="3"/>
  <c r="D3097" i="3"/>
  <c r="I3097" i="3" l="1"/>
  <c r="E3098" i="3"/>
  <c r="H3097" i="3"/>
  <c r="J3097" i="3"/>
  <c r="D3098" i="3"/>
  <c r="F3097" i="3"/>
  <c r="I3098" i="3" l="1"/>
  <c r="E3099" i="3"/>
  <c r="H3098" i="3"/>
  <c r="J3098" i="3"/>
  <c r="F3098" i="3"/>
  <c r="D3099" i="3"/>
  <c r="I3099" i="3" l="1"/>
  <c r="E3100" i="3"/>
  <c r="J3099" i="3"/>
  <c r="H3099" i="3"/>
  <c r="F3099" i="3"/>
  <c r="D3100" i="3"/>
  <c r="I3100" i="3" l="1"/>
  <c r="E3101" i="3"/>
  <c r="H3100" i="3"/>
  <c r="J3100" i="3"/>
  <c r="D3101" i="3"/>
  <c r="F3100" i="3"/>
  <c r="I3101" i="3" l="1"/>
  <c r="E3102" i="3"/>
  <c r="H3101" i="3"/>
  <c r="J3101" i="3"/>
  <c r="F3101" i="3"/>
  <c r="D3102" i="3"/>
  <c r="I3102" i="3" l="1"/>
  <c r="E3103" i="3"/>
  <c r="J3102" i="3"/>
  <c r="H3102" i="3"/>
  <c r="D3103" i="3"/>
  <c r="F3102" i="3"/>
  <c r="I3103" i="3" l="1"/>
  <c r="E3104" i="3"/>
  <c r="J3103" i="3"/>
  <c r="H3103" i="3"/>
  <c r="F3103" i="3"/>
  <c r="D3104" i="3"/>
  <c r="I3104" i="3" l="1"/>
  <c r="E3105" i="3"/>
  <c r="J3104" i="3"/>
  <c r="H3104" i="3"/>
  <c r="F3104" i="3"/>
  <c r="D3105" i="3"/>
  <c r="I3105" i="3" l="1"/>
  <c r="E3106" i="3"/>
  <c r="J3105" i="3"/>
  <c r="H3105" i="3"/>
  <c r="F3105" i="3"/>
  <c r="D3106" i="3"/>
  <c r="I3106" i="3" l="1"/>
  <c r="E3107" i="3"/>
  <c r="J3106" i="3"/>
  <c r="H3106" i="3"/>
  <c r="F3106" i="3"/>
  <c r="D3107" i="3"/>
  <c r="I3107" i="3" l="1"/>
  <c r="E3108" i="3"/>
  <c r="J3107" i="3"/>
  <c r="H3107" i="3"/>
  <c r="F3107" i="3"/>
  <c r="D3108" i="3"/>
  <c r="I3108" i="3" l="1"/>
  <c r="E3109" i="3"/>
  <c r="H3108" i="3"/>
  <c r="J3108" i="3"/>
  <c r="F3108" i="3"/>
  <c r="D3109" i="3"/>
  <c r="I3109" i="3" l="1"/>
  <c r="E3110" i="3"/>
  <c r="H3109" i="3"/>
  <c r="J3109" i="3"/>
  <c r="F3109" i="3"/>
  <c r="D3110" i="3"/>
  <c r="I3110" i="3" l="1"/>
  <c r="E3111" i="3"/>
  <c r="J3110" i="3"/>
  <c r="H3110" i="3"/>
  <c r="F3110" i="3"/>
  <c r="D3111" i="3"/>
  <c r="I3111" i="3" l="1"/>
  <c r="E3112" i="3"/>
  <c r="H3111" i="3"/>
  <c r="J3111" i="3"/>
  <c r="F3111" i="3"/>
  <c r="D3112" i="3"/>
  <c r="I3112" i="3" l="1"/>
  <c r="E3113" i="3"/>
  <c r="J3112" i="3"/>
  <c r="H3112" i="3"/>
  <c r="D3113" i="3"/>
  <c r="F3112" i="3"/>
  <c r="I3113" i="3" l="1"/>
  <c r="E3114" i="3"/>
  <c r="J3113" i="3"/>
  <c r="H3113" i="3"/>
  <c r="F3113" i="3"/>
  <c r="D3114" i="3"/>
  <c r="I3114" i="3" l="1"/>
  <c r="E3115" i="3"/>
  <c r="H3114" i="3"/>
  <c r="J3114" i="3"/>
  <c r="F3114" i="3"/>
  <c r="D3115" i="3"/>
  <c r="I3115" i="3" l="1"/>
  <c r="E3116" i="3"/>
  <c r="J3115" i="3"/>
  <c r="H3115" i="3"/>
  <c r="F3115" i="3"/>
  <c r="D3116" i="3"/>
  <c r="I3116" i="3" l="1"/>
  <c r="E3117" i="3"/>
  <c r="J3116" i="3"/>
  <c r="H3116" i="3"/>
  <c r="F3116" i="3"/>
  <c r="D3117" i="3"/>
  <c r="I3117" i="3" l="1"/>
  <c r="E3118" i="3"/>
  <c r="J3117" i="3"/>
  <c r="H3117" i="3"/>
  <c r="F3117" i="3"/>
  <c r="D3118" i="3"/>
  <c r="I3118" i="3" l="1"/>
  <c r="E3119" i="3"/>
  <c r="J3118" i="3"/>
  <c r="H3118" i="3"/>
  <c r="F3118" i="3"/>
  <c r="D3119" i="3"/>
  <c r="I3119" i="3" l="1"/>
  <c r="E3120" i="3"/>
  <c r="J3119" i="3"/>
  <c r="H3119" i="3"/>
  <c r="F3119" i="3"/>
  <c r="D3120" i="3"/>
  <c r="I3120" i="3" l="1"/>
  <c r="E3121" i="3"/>
  <c r="J3120" i="3"/>
  <c r="H3120" i="3"/>
  <c r="F3120" i="3"/>
  <c r="D3121" i="3"/>
  <c r="I3121" i="3" l="1"/>
  <c r="E3122" i="3"/>
  <c r="J3121" i="3"/>
  <c r="H3121" i="3"/>
  <c r="F3121" i="3"/>
  <c r="D3122" i="3"/>
  <c r="I3122" i="3" l="1"/>
  <c r="E3123" i="3"/>
  <c r="J3122" i="3"/>
  <c r="H3122" i="3"/>
  <c r="F3122" i="3"/>
  <c r="D3123" i="3"/>
  <c r="I3123" i="3" l="1"/>
  <c r="E3124" i="3"/>
  <c r="J3123" i="3"/>
  <c r="H3123" i="3"/>
  <c r="F3123" i="3"/>
  <c r="D3124" i="3"/>
  <c r="I3124" i="3" l="1"/>
  <c r="E3125" i="3"/>
  <c r="J3124" i="3"/>
  <c r="H3124" i="3"/>
  <c r="F3124" i="3"/>
  <c r="D3125" i="3"/>
  <c r="I3125" i="3" l="1"/>
  <c r="E3126" i="3"/>
  <c r="J3125" i="3"/>
  <c r="H3125" i="3"/>
  <c r="F3125" i="3"/>
  <c r="D3126" i="3"/>
  <c r="I3126" i="3" l="1"/>
  <c r="E3127" i="3"/>
  <c r="J3126" i="3"/>
  <c r="H3126" i="3"/>
  <c r="D3127" i="3"/>
  <c r="F3126" i="3"/>
  <c r="I3127" i="3" l="1"/>
  <c r="E3128" i="3"/>
  <c r="J3127" i="3"/>
  <c r="H3127" i="3"/>
  <c r="F3127" i="3"/>
  <c r="D3128" i="3"/>
  <c r="I3128" i="3" l="1"/>
  <c r="E3129" i="3"/>
  <c r="J3128" i="3"/>
  <c r="H3128" i="3"/>
  <c r="F3128" i="3"/>
  <c r="D3129" i="3"/>
  <c r="I3129" i="3" l="1"/>
  <c r="E3130" i="3"/>
  <c r="J3129" i="3"/>
  <c r="H3129" i="3"/>
  <c r="D3130" i="3"/>
  <c r="F3129" i="3"/>
  <c r="I3130" i="3" l="1"/>
  <c r="E3131" i="3"/>
  <c r="J3130" i="3"/>
  <c r="H3130" i="3"/>
  <c r="F3130" i="3"/>
  <c r="D3131" i="3"/>
  <c r="I3131" i="3" l="1"/>
  <c r="E3132" i="3"/>
  <c r="J3131" i="3"/>
  <c r="H3131" i="3"/>
  <c r="F3131" i="3"/>
  <c r="D3132" i="3"/>
  <c r="I3132" i="3" l="1"/>
  <c r="E3133" i="3"/>
  <c r="J3132" i="3"/>
  <c r="H3132" i="3"/>
  <c r="F3132" i="3"/>
  <c r="D3133" i="3"/>
  <c r="I3133" i="3" l="1"/>
  <c r="E3134" i="3"/>
  <c r="J3133" i="3"/>
  <c r="H3133" i="3"/>
  <c r="F3133" i="3"/>
  <c r="D3134" i="3"/>
  <c r="I3134" i="3" l="1"/>
  <c r="E3135" i="3"/>
  <c r="J3134" i="3"/>
  <c r="H3134" i="3"/>
  <c r="F3134" i="3"/>
  <c r="D3135" i="3"/>
  <c r="I3135" i="3" l="1"/>
  <c r="E3136" i="3"/>
  <c r="J3135" i="3"/>
  <c r="H3135" i="3"/>
  <c r="F3135" i="3"/>
  <c r="D3136" i="3"/>
  <c r="I3136" i="3" l="1"/>
  <c r="E3137" i="3"/>
  <c r="J3136" i="3"/>
  <c r="H3136" i="3"/>
  <c r="F3136" i="3"/>
  <c r="D3137" i="3"/>
  <c r="I3137" i="3" l="1"/>
  <c r="E3138" i="3"/>
  <c r="J3137" i="3"/>
  <c r="H3137" i="3"/>
  <c r="F3137" i="3"/>
  <c r="D3138" i="3"/>
  <c r="I3138" i="3" l="1"/>
  <c r="E3139" i="3"/>
  <c r="J3138" i="3"/>
  <c r="H3138" i="3"/>
  <c r="F3138" i="3"/>
  <c r="D3139" i="3"/>
  <c r="I3139" i="3" l="1"/>
  <c r="E3140" i="3"/>
  <c r="J3139" i="3"/>
  <c r="H3139" i="3"/>
  <c r="F3139" i="3"/>
  <c r="D3140" i="3"/>
  <c r="I3140" i="3" l="1"/>
  <c r="E3141" i="3"/>
  <c r="J3140" i="3"/>
  <c r="H3140" i="3"/>
  <c r="F3140" i="3"/>
  <c r="D3141" i="3"/>
  <c r="I3141" i="3" l="1"/>
  <c r="E3142" i="3"/>
  <c r="J3141" i="3"/>
  <c r="H3141" i="3"/>
  <c r="F3141" i="3"/>
  <c r="D3142" i="3"/>
  <c r="I3142" i="3" l="1"/>
  <c r="E3143" i="3"/>
  <c r="J3142" i="3"/>
  <c r="H3142" i="3"/>
  <c r="F3142" i="3"/>
  <c r="D3143" i="3"/>
  <c r="I3143" i="3" l="1"/>
  <c r="E3144" i="3"/>
  <c r="J3143" i="3"/>
  <c r="H3143" i="3"/>
  <c r="F3143" i="3"/>
  <c r="D3144" i="3"/>
  <c r="I3144" i="3" l="1"/>
  <c r="E3145" i="3"/>
  <c r="J3144" i="3"/>
  <c r="H3144" i="3"/>
  <c r="F3144" i="3"/>
  <c r="D3145" i="3"/>
  <c r="I3145" i="3" l="1"/>
  <c r="E3146" i="3"/>
  <c r="J3145" i="3"/>
  <c r="H3145" i="3"/>
  <c r="F3145" i="3"/>
  <c r="D3146" i="3"/>
  <c r="I3146" i="3" l="1"/>
  <c r="E3147" i="3"/>
  <c r="J3146" i="3"/>
  <c r="H3146" i="3"/>
  <c r="F3146" i="3"/>
  <c r="D3147" i="3"/>
  <c r="I3147" i="3" l="1"/>
  <c r="E3148" i="3"/>
  <c r="J3147" i="3"/>
  <c r="H3147" i="3"/>
  <c r="F3147" i="3"/>
  <c r="D3148" i="3"/>
  <c r="I3148" i="3" l="1"/>
  <c r="E3149" i="3"/>
  <c r="J3148" i="3"/>
  <c r="H3148" i="3"/>
  <c r="F3148" i="3"/>
  <c r="D3149" i="3"/>
  <c r="I3149" i="3" l="1"/>
  <c r="E3150" i="3"/>
  <c r="J3149" i="3"/>
  <c r="H3149" i="3"/>
  <c r="F3149" i="3"/>
  <c r="D3150" i="3"/>
  <c r="I3150" i="3" l="1"/>
  <c r="E3151" i="3"/>
  <c r="J3150" i="3"/>
  <c r="H3150" i="3"/>
  <c r="F3150" i="3"/>
  <c r="D3151" i="3"/>
  <c r="I3151" i="3" l="1"/>
  <c r="E3152" i="3"/>
  <c r="J3151" i="3"/>
  <c r="H3151" i="3"/>
  <c r="F3151" i="3"/>
  <c r="D3152" i="3"/>
  <c r="I3152" i="3" l="1"/>
  <c r="E3153" i="3"/>
  <c r="J3152" i="3"/>
  <c r="H3152" i="3"/>
  <c r="F3152" i="3"/>
  <c r="D3153" i="3"/>
  <c r="I3153" i="3" l="1"/>
  <c r="E3154" i="3"/>
  <c r="J3153" i="3"/>
  <c r="H3153" i="3"/>
  <c r="F3153" i="3"/>
  <c r="D3154" i="3"/>
  <c r="I3154" i="3" l="1"/>
  <c r="E3155" i="3"/>
  <c r="J3154" i="3"/>
  <c r="H3154" i="3"/>
  <c r="F3154" i="3"/>
  <c r="D3155" i="3"/>
  <c r="I3155" i="3" l="1"/>
  <c r="E3156" i="3"/>
  <c r="J3155" i="3"/>
  <c r="H3155" i="3"/>
  <c r="F3155" i="3"/>
  <c r="D3156" i="3"/>
  <c r="I3156" i="3" l="1"/>
  <c r="E3157" i="3"/>
  <c r="J3156" i="3"/>
  <c r="H3156" i="3"/>
  <c r="F3156" i="3"/>
  <c r="D3157" i="3"/>
  <c r="I3157" i="3" l="1"/>
  <c r="E3158" i="3"/>
  <c r="J3157" i="3"/>
  <c r="H3157" i="3"/>
  <c r="F3157" i="3"/>
  <c r="D3158" i="3"/>
  <c r="I3158" i="3" l="1"/>
  <c r="E3159" i="3"/>
  <c r="J3158" i="3"/>
  <c r="H3158" i="3"/>
  <c r="F3158" i="3"/>
  <c r="D3159" i="3"/>
  <c r="I3159" i="3" l="1"/>
  <c r="E3160" i="3"/>
  <c r="J3159" i="3"/>
  <c r="H3159" i="3"/>
  <c r="F3159" i="3"/>
  <c r="D3160" i="3"/>
  <c r="I3160" i="3" l="1"/>
  <c r="E3161" i="3"/>
  <c r="J3160" i="3"/>
  <c r="H3160" i="3"/>
  <c r="F3160" i="3"/>
  <c r="D3161" i="3"/>
  <c r="I3161" i="3" l="1"/>
  <c r="E3162" i="3"/>
  <c r="J3161" i="3"/>
  <c r="H3161" i="3"/>
  <c r="F3161" i="3"/>
  <c r="D3162" i="3"/>
  <c r="I3162" i="3" l="1"/>
  <c r="E3163" i="3"/>
  <c r="J3162" i="3"/>
  <c r="H3162" i="3"/>
  <c r="F3162" i="3"/>
  <c r="D3163" i="3"/>
  <c r="I3163" i="3" l="1"/>
  <c r="E3164" i="3"/>
  <c r="J3163" i="3"/>
  <c r="H3163" i="3"/>
  <c r="F3163" i="3"/>
  <c r="D3164" i="3"/>
  <c r="I3164" i="3" l="1"/>
  <c r="E3165" i="3"/>
  <c r="J3164" i="3"/>
  <c r="H3164" i="3"/>
  <c r="F3164" i="3"/>
  <c r="D3165" i="3"/>
  <c r="I3165" i="3" l="1"/>
  <c r="E3166" i="3"/>
  <c r="J3165" i="3"/>
  <c r="H3165" i="3"/>
  <c r="F3165" i="3"/>
  <c r="D3166" i="3"/>
  <c r="I3166" i="3" l="1"/>
  <c r="E3167" i="3"/>
  <c r="J3166" i="3"/>
  <c r="H3166" i="3"/>
  <c r="F3166" i="3"/>
  <c r="D3167" i="3"/>
  <c r="I3167" i="3" l="1"/>
  <c r="E3168" i="3"/>
  <c r="J3167" i="3"/>
  <c r="H3167" i="3"/>
  <c r="F3167" i="3"/>
  <c r="D3168" i="3"/>
  <c r="I3168" i="3" l="1"/>
  <c r="E3169" i="3"/>
  <c r="J3168" i="3"/>
  <c r="H3168" i="3"/>
  <c r="F3168" i="3"/>
  <c r="D3169" i="3"/>
  <c r="I3169" i="3" l="1"/>
  <c r="E3170" i="3"/>
  <c r="J3169" i="3"/>
  <c r="H3169" i="3"/>
  <c r="F3169" i="3"/>
  <c r="D3170" i="3"/>
  <c r="I3170" i="3" l="1"/>
  <c r="E3171" i="3"/>
  <c r="J3170" i="3"/>
  <c r="H3170" i="3"/>
  <c r="F3170" i="3"/>
  <c r="D3171" i="3"/>
  <c r="I3171" i="3" l="1"/>
  <c r="E3172" i="3"/>
  <c r="J3171" i="3"/>
  <c r="H3171" i="3"/>
  <c r="F3171" i="3"/>
  <c r="D3172" i="3"/>
  <c r="I3172" i="3" l="1"/>
  <c r="E3173" i="3"/>
  <c r="J3172" i="3"/>
  <c r="H3172" i="3"/>
  <c r="F3172" i="3"/>
  <c r="D3173" i="3"/>
  <c r="I3173" i="3" l="1"/>
  <c r="E3174" i="3"/>
  <c r="J3173" i="3"/>
  <c r="H3173" i="3"/>
  <c r="F3173" i="3"/>
  <c r="D3174" i="3"/>
  <c r="I3174" i="3" l="1"/>
  <c r="E3175" i="3"/>
  <c r="J3174" i="3"/>
  <c r="H3174" i="3"/>
  <c r="F3174" i="3"/>
  <c r="D3175" i="3"/>
  <c r="I3175" i="3" l="1"/>
  <c r="E3176" i="3"/>
  <c r="J3175" i="3"/>
  <c r="H3175" i="3"/>
  <c r="F3175" i="3"/>
  <c r="D3176" i="3"/>
  <c r="I3176" i="3" l="1"/>
  <c r="E3177" i="3"/>
  <c r="J3176" i="3"/>
  <c r="H3176" i="3"/>
  <c r="F3176" i="3"/>
  <c r="D3177" i="3"/>
  <c r="I3177" i="3" l="1"/>
  <c r="E3178" i="3"/>
  <c r="J3177" i="3"/>
  <c r="H3177" i="3"/>
  <c r="F3177" i="3"/>
  <c r="D3178" i="3"/>
  <c r="I3178" i="3" l="1"/>
  <c r="E3179" i="3"/>
  <c r="J3178" i="3"/>
  <c r="H3178" i="3"/>
  <c r="F3178" i="3"/>
  <c r="D3179" i="3"/>
  <c r="I3179" i="3" l="1"/>
  <c r="E3180" i="3"/>
  <c r="J3179" i="3"/>
  <c r="H3179" i="3"/>
  <c r="F3179" i="3"/>
  <c r="D3180" i="3"/>
  <c r="I3180" i="3" l="1"/>
  <c r="E3181" i="3"/>
  <c r="J3180" i="3"/>
  <c r="H3180" i="3"/>
  <c r="F3180" i="3"/>
  <c r="D3181" i="3"/>
  <c r="I3181" i="3" l="1"/>
  <c r="E3182" i="3"/>
  <c r="J3181" i="3"/>
  <c r="H3181" i="3"/>
  <c r="F3181" i="3"/>
  <c r="D3182" i="3"/>
  <c r="I3182" i="3" l="1"/>
  <c r="E3183" i="3"/>
  <c r="J3182" i="3"/>
  <c r="H3182" i="3"/>
  <c r="F3182" i="3"/>
  <c r="D3183" i="3"/>
  <c r="I3183" i="3" l="1"/>
  <c r="E3184" i="3"/>
  <c r="J3183" i="3"/>
  <c r="H3183" i="3"/>
  <c r="F3183" i="3"/>
  <c r="D3184" i="3"/>
  <c r="I3184" i="3" l="1"/>
  <c r="E3185" i="3"/>
  <c r="J3184" i="3"/>
  <c r="H3184" i="3"/>
  <c r="F3184" i="3"/>
  <c r="D3185" i="3"/>
  <c r="I3185" i="3" l="1"/>
  <c r="E3186" i="3"/>
  <c r="J3185" i="3"/>
  <c r="H3185" i="3"/>
  <c r="F3185" i="3"/>
  <c r="D3186" i="3"/>
  <c r="I3186" i="3" l="1"/>
  <c r="E3187" i="3"/>
  <c r="J3186" i="3"/>
  <c r="H3186" i="3"/>
  <c r="F3186" i="3"/>
  <c r="D3187" i="3"/>
  <c r="I3187" i="3" l="1"/>
  <c r="E3188" i="3"/>
  <c r="J3187" i="3"/>
  <c r="H3187" i="3"/>
  <c r="F3187" i="3"/>
  <c r="D3188" i="3"/>
  <c r="I3188" i="3" l="1"/>
  <c r="E3189" i="3"/>
  <c r="J3188" i="3"/>
  <c r="H3188" i="3"/>
  <c r="F3188" i="3"/>
  <c r="D3189" i="3"/>
  <c r="I3189" i="3" l="1"/>
  <c r="E3190" i="3"/>
  <c r="J3189" i="3"/>
  <c r="H3189" i="3"/>
  <c r="F3189" i="3"/>
  <c r="D3190" i="3"/>
  <c r="I3190" i="3" l="1"/>
  <c r="E3191" i="3"/>
  <c r="J3190" i="3"/>
  <c r="H3190" i="3"/>
  <c r="F3190" i="3"/>
  <c r="D3191" i="3"/>
  <c r="I3191" i="3" l="1"/>
  <c r="E3192" i="3"/>
  <c r="J3191" i="3"/>
  <c r="H3191" i="3"/>
  <c r="F3191" i="3"/>
  <c r="D3192" i="3"/>
  <c r="I3192" i="3" l="1"/>
  <c r="E3193" i="3"/>
  <c r="J3192" i="3"/>
  <c r="H3192" i="3"/>
  <c r="F3192" i="3"/>
  <c r="D3193" i="3"/>
  <c r="I3193" i="3" l="1"/>
  <c r="E3194" i="3"/>
  <c r="J3193" i="3"/>
  <c r="H3193" i="3"/>
  <c r="F3193" i="3"/>
  <c r="D3194" i="3"/>
  <c r="I3194" i="3" l="1"/>
  <c r="E3195" i="3"/>
  <c r="J3194" i="3"/>
  <c r="H3194" i="3"/>
  <c r="F3194" i="3"/>
  <c r="D3195" i="3"/>
  <c r="I3195" i="3" l="1"/>
  <c r="E3196" i="3"/>
  <c r="J3195" i="3"/>
  <c r="H3195" i="3"/>
  <c r="F3195" i="3"/>
  <c r="D3196" i="3"/>
  <c r="I3196" i="3" l="1"/>
  <c r="E3197" i="3"/>
  <c r="J3196" i="3"/>
  <c r="H3196" i="3"/>
  <c r="F3196" i="3"/>
  <c r="D3197" i="3"/>
  <c r="I3197" i="3" l="1"/>
  <c r="E3198" i="3"/>
  <c r="J3197" i="3"/>
  <c r="H3197" i="3"/>
  <c r="F3197" i="3"/>
  <c r="D3198" i="3"/>
  <c r="I3198" i="3" l="1"/>
  <c r="E3199" i="3"/>
  <c r="J3198" i="3"/>
  <c r="H3198" i="3"/>
  <c r="F3198" i="3"/>
  <c r="D3199" i="3"/>
  <c r="I3199" i="3" l="1"/>
  <c r="E3200" i="3"/>
  <c r="J3199" i="3"/>
  <c r="H3199" i="3"/>
  <c r="F3199" i="3"/>
  <c r="D3200" i="3"/>
  <c r="I3200" i="3" l="1"/>
  <c r="E3201" i="3"/>
  <c r="J3200" i="3"/>
  <c r="H3200" i="3"/>
  <c r="F3200" i="3"/>
  <c r="D3201" i="3"/>
  <c r="I3201" i="3" l="1"/>
  <c r="E3202" i="3"/>
  <c r="J3201" i="3"/>
  <c r="H3201" i="3"/>
  <c r="F3201" i="3"/>
  <c r="D3202" i="3"/>
  <c r="I3202" i="3" l="1"/>
  <c r="E3203" i="3"/>
  <c r="J3202" i="3"/>
  <c r="H3202" i="3"/>
  <c r="F3202" i="3"/>
  <c r="D3203" i="3"/>
  <c r="I3203" i="3" l="1"/>
  <c r="E3204" i="3"/>
  <c r="J3203" i="3"/>
  <c r="H3203" i="3"/>
  <c r="F3203" i="3"/>
  <c r="D3204" i="3"/>
  <c r="I3204" i="3" l="1"/>
  <c r="E3205" i="3"/>
  <c r="J3204" i="3"/>
  <c r="H3204" i="3"/>
  <c r="F3204" i="3"/>
  <c r="D3205" i="3"/>
  <c r="I3205" i="3" l="1"/>
  <c r="E3206" i="3"/>
  <c r="J3205" i="3"/>
  <c r="H3205" i="3"/>
  <c r="F3205" i="3"/>
  <c r="D3206" i="3"/>
  <c r="I3206" i="3" l="1"/>
  <c r="E3207" i="3"/>
  <c r="J3206" i="3"/>
  <c r="H3206" i="3"/>
  <c r="F3206" i="3"/>
  <c r="D3207" i="3"/>
  <c r="I3207" i="3" l="1"/>
  <c r="E3208" i="3"/>
  <c r="J3207" i="3"/>
  <c r="H3207" i="3"/>
  <c r="F3207" i="3"/>
  <c r="D3208" i="3"/>
  <c r="I3208" i="3" l="1"/>
  <c r="E3209" i="3"/>
  <c r="J3208" i="3"/>
  <c r="H3208" i="3"/>
  <c r="F3208" i="3"/>
  <c r="D3209" i="3"/>
  <c r="I3209" i="3" l="1"/>
  <c r="E3210" i="3"/>
  <c r="J3209" i="3"/>
  <c r="H3209" i="3"/>
  <c r="F3209" i="3"/>
  <c r="D3210" i="3"/>
  <c r="I3210" i="3" l="1"/>
  <c r="E3211" i="3"/>
  <c r="J3210" i="3"/>
  <c r="H3210" i="3"/>
  <c r="F3210" i="3"/>
  <c r="D3211" i="3"/>
  <c r="I3211" i="3" l="1"/>
  <c r="E3212" i="3"/>
  <c r="J3211" i="3"/>
  <c r="H3211" i="3"/>
  <c r="F3211" i="3"/>
  <c r="D3212" i="3"/>
  <c r="I3212" i="3" l="1"/>
  <c r="E3213" i="3"/>
  <c r="J3212" i="3"/>
  <c r="H3212" i="3"/>
  <c r="F3212" i="3"/>
  <c r="D3213" i="3"/>
  <c r="I3213" i="3" l="1"/>
  <c r="E3214" i="3"/>
  <c r="J3213" i="3"/>
  <c r="H3213" i="3"/>
  <c r="F3213" i="3"/>
  <c r="D3214" i="3"/>
  <c r="I3214" i="3" l="1"/>
  <c r="E3215" i="3"/>
  <c r="J3214" i="3"/>
  <c r="H3214" i="3"/>
  <c r="F3214" i="3"/>
  <c r="D3215" i="3"/>
  <c r="I3215" i="3" l="1"/>
  <c r="E3216" i="3"/>
  <c r="J3215" i="3"/>
  <c r="H3215" i="3"/>
  <c r="F3215" i="3"/>
  <c r="D3216" i="3"/>
  <c r="I3216" i="3" l="1"/>
  <c r="E3217" i="3"/>
  <c r="J3216" i="3"/>
  <c r="H3216" i="3"/>
  <c r="D3217" i="3"/>
  <c r="F3216" i="3"/>
  <c r="I3217" i="3" l="1"/>
  <c r="E3218" i="3"/>
  <c r="J3217" i="3"/>
  <c r="H3217" i="3"/>
  <c r="F3217" i="3"/>
  <c r="D3218" i="3"/>
  <c r="I3218" i="3" l="1"/>
  <c r="E3219" i="3"/>
  <c r="J3218" i="3"/>
  <c r="H3218" i="3"/>
  <c r="F3218" i="3"/>
  <c r="D3219" i="3"/>
  <c r="I3219" i="3" l="1"/>
  <c r="E3220" i="3"/>
  <c r="J3219" i="3"/>
  <c r="H3219" i="3"/>
  <c r="F3219" i="3"/>
  <c r="D3220" i="3"/>
  <c r="I3220" i="3" l="1"/>
  <c r="E3221" i="3"/>
  <c r="H3220" i="3"/>
  <c r="J3220" i="3"/>
  <c r="F3220" i="3"/>
  <c r="D3221" i="3"/>
  <c r="I3221" i="3" l="1"/>
  <c r="E3222" i="3"/>
  <c r="J3221" i="3"/>
  <c r="H3221" i="3"/>
  <c r="D3222" i="3"/>
  <c r="F3221" i="3"/>
  <c r="I3222" i="3" l="1"/>
  <c r="E3223" i="3"/>
  <c r="H3222" i="3"/>
  <c r="J3222" i="3"/>
  <c r="F3222" i="3"/>
  <c r="D3223" i="3"/>
  <c r="I3223" i="3" l="1"/>
  <c r="E3224" i="3"/>
  <c r="J3223" i="3"/>
  <c r="H3223" i="3"/>
  <c r="F3223" i="3"/>
  <c r="D3224" i="3"/>
  <c r="I3224" i="3" l="1"/>
  <c r="E3225" i="3"/>
  <c r="H3224" i="3"/>
  <c r="J3224" i="3"/>
  <c r="F3224" i="3"/>
  <c r="D3225" i="3"/>
  <c r="I3225" i="3" l="1"/>
  <c r="E3226" i="3"/>
  <c r="H3225" i="3"/>
  <c r="J3225" i="3"/>
  <c r="D3226" i="3"/>
  <c r="F3225" i="3"/>
  <c r="I3226" i="3" l="1"/>
  <c r="E3227" i="3"/>
  <c r="H3226" i="3"/>
  <c r="J3226" i="3"/>
  <c r="F3226" i="3"/>
  <c r="D3227" i="3"/>
  <c r="I3227" i="3" l="1"/>
  <c r="E3228" i="3"/>
  <c r="H3227" i="3"/>
  <c r="J3227" i="3"/>
  <c r="F3227" i="3"/>
  <c r="D3228" i="3"/>
  <c r="I3228" i="3" l="1"/>
  <c r="E3229" i="3"/>
  <c r="J3228" i="3"/>
  <c r="H3228" i="3"/>
  <c r="F3228" i="3"/>
  <c r="D3229" i="3"/>
  <c r="I3229" i="3" l="1"/>
  <c r="E3230" i="3"/>
  <c r="J3229" i="3"/>
  <c r="H3229" i="3"/>
  <c r="F3229" i="3"/>
  <c r="D3230" i="3"/>
  <c r="I3230" i="3" l="1"/>
  <c r="E3231" i="3"/>
  <c r="J3230" i="3"/>
  <c r="H3230" i="3"/>
  <c r="D3231" i="3"/>
  <c r="F3230" i="3"/>
  <c r="I3231" i="3" l="1"/>
  <c r="E3232" i="3"/>
  <c r="J3231" i="3"/>
  <c r="H3231" i="3"/>
  <c r="F3231" i="3"/>
  <c r="D3232" i="3"/>
  <c r="I3232" i="3" l="1"/>
  <c r="E3233" i="3"/>
  <c r="J3232" i="3"/>
  <c r="H3232" i="3"/>
  <c r="F3232" i="3"/>
  <c r="D3233" i="3"/>
  <c r="I3233" i="3" l="1"/>
  <c r="E3234" i="3"/>
  <c r="H3233" i="3"/>
  <c r="J3233" i="3"/>
  <c r="F3233" i="3"/>
  <c r="D3234" i="3"/>
  <c r="I3234" i="3" l="1"/>
  <c r="E3235" i="3"/>
  <c r="H3234" i="3"/>
  <c r="J3234" i="3"/>
  <c r="F3234" i="3"/>
  <c r="D3235" i="3"/>
  <c r="I3235" i="3" l="1"/>
  <c r="E3236" i="3"/>
  <c r="J3235" i="3"/>
  <c r="H3235" i="3"/>
  <c r="F3235" i="3"/>
  <c r="D3236" i="3"/>
  <c r="I3236" i="3" l="1"/>
  <c r="E3237" i="3"/>
  <c r="J3236" i="3"/>
  <c r="H3236" i="3"/>
  <c r="F3236" i="3"/>
  <c r="D3237" i="3"/>
  <c r="I3237" i="3" l="1"/>
  <c r="E3238" i="3"/>
  <c r="H3237" i="3"/>
  <c r="J3237" i="3"/>
  <c r="F3237" i="3"/>
  <c r="D3238" i="3"/>
  <c r="I3238" i="3" l="1"/>
  <c r="E3239" i="3"/>
  <c r="J3238" i="3"/>
  <c r="H3238" i="3"/>
  <c r="D3239" i="3"/>
  <c r="F3238" i="3"/>
  <c r="I3239" i="3" l="1"/>
  <c r="E3240" i="3"/>
  <c r="H3239" i="3"/>
  <c r="J3239" i="3"/>
  <c r="F3239" i="3"/>
  <c r="D3240" i="3"/>
  <c r="I3240" i="3" l="1"/>
  <c r="E3241" i="3"/>
  <c r="J3240" i="3"/>
  <c r="H3240" i="3"/>
  <c r="F3240" i="3"/>
  <c r="D3241" i="3"/>
  <c r="I3241" i="3" l="1"/>
  <c r="E3242" i="3"/>
  <c r="J3241" i="3"/>
  <c r="H3241" i="3"/>
  <c r="F3241" i="3"/>
  <c r="D3242" i="3"/>
  <c r="I3242" i="3" l="1"/>
  <c r="E3243" i="3"/>
  <c r="J3242" i="3"/>
  <c r="H3242" i="3"/>
  <c r="F3242" i="3"/>
  <c r="D3243" i="3"/>
  <c r="I3243" i="3" l="1"/>
  <c r="E3244" i="3"/>
  <c r="J3243" i="3"/>
  <c r="H3243" i="3"/>
  <c r="F3243" i="3"/>
  <c r="D3244" i="3"/>
  <c r="I3244" i="3" l="1"/>
  <c r="E3245" i="3"/>
  <c r="J3244" i="3"/>
  <c r="H3244" i="3"/>
  <c r="D3245" i="3"/>
  <c r="F3244" i="3"/>
  <c r="I3245" i="3" l="1"/>
  <c r="E3246" i="3"/>
  <c r="J3245" i="3"/>
  <c r="H3245" i="3"/>
  <c r="F3245" i="3"/>
  <c r="D3246" i="3"/>
  <c r="I3246" i="3" l="1"/>
  <c r="E3247" i="3"/>
  <c r="J3246" i="3"/>
  <c r="H3246" i="3"/>
  <c r="F3246" i="3"/>
  <c r="D3247" i="3"/>
  <c r="I3247" i="3" l="1"/>
  <c r="E3248" i="3"/>
  <c r="J3247" i="3"/>
  <c r="H3247" i="3"/>
  <c r="D3248" i="3"/>
  <c r="F3247" i="3"/>
  <c r="I3248" i="3" l="1"/>
  <c r="E3249" i="3"/>
  <c r="H3248" i="3"/>
  <c r="J3248" i="3"/>
  <c r="F3248" i="3"/>
  <c r="D3249" i="3"/>
  <c r="I3249" i="3" l="1"/>
  <c r="E3250" i="3"/>
  <c r="J3249" i="3"/>
  <c r="H3249" i="3"/>
  <c r="F3249" i="3"/>
  <c r="D3250" i="3"/>
  <c r="I3250" i="3" l="1"/>
  <c r="E3251" i="3"/>
  <c r="H3250" i="3"/>
  <c r="J3250" i="3"/>
  <c r="F3250" i="3"/>
  <c r="D3251" i="3"/>
  <c r="I3251" i="3" l="1"/>
  <c r="E3252" i="3"/>
  <c r="H3251" i="3"/>
  <c r="J3251" i="3"/>
  <c r="F3251" i="3"/>
  <c r="D3252" i="3"/>
  <c r="I3252" i="3" l="1"/>
  <c r="E3253" i="3"/>
  <c r="J3252" i="3"/>
  <c r="H3252" i="3"/>
  <c r="F3252" i="3"/>
  <c r="D3253" i="3"/>
  <c r="I3253" i="3" l="1"/>
  <c r="E3254" i="3"/>
  <c r="H3253" i="3"/>
  <c r="J3253" i="3"/>
  <c r="F3253" i="3"/>
  <c r="D3254" i="3"/>
  <c r="I3254" i="3" l="1"/>
  <c r="E3255" i="3"/>
  <c r="J3254" i="3"/>
  <c r="H3254" i="3"/>
  <c r="F3254" i="3"/>
  <c r="D3255" i="3"/>
  <c r="I3255" i="3" l="1"/>
  <c r="E3256" i="3"/>
  <c r="J3255" i="3"/>
  <c r="H3255" i="3"/>
  <c r="D3256" i="3"/>
  <c r="F3255" i="3"/>
  <c r="I3256" i="3" l="1"/>
  <c r="E3257" i="3"/>
  <c r="J3256" i="3"/>
  <c r="H3256" i="3"/>
  <c r="F3256" i="3"/>
  <c r="D3257" i="3"/>
  <c r="I3257" i="3" l="1"/>
  <c r="E3258" i="3"/>
  <c r="J3257" i="3"/>
  <c r="H3257" i="3"/>
  <c r="F3257" i="3"/>
  <c r="D3258" i="3"/>
  <c r="I3258" i="3" l="1"/>
  <c r="E3259" i="3"/>
  <c r="J3258" i="3"/>
  <c r="H3258" i="3"/>
  <c r="D3259" i="3"/>
  <c r="F3258" i="3"/>
  <c r="I3259" i="3" l="1"/>
  <c r="E3260" i="3"/>
  <c r="J3259" i="3"/>
  <c r="H3259" i="3"/>
  <c r="F3259" i="3"/>
  <c r="D3260" i="3"/>
  <c r="I3260" i="3" l="1"/>
  <c r="E3261" i="3"/>
  <c r="J3260" i="3"/>
  <c r="H3260" i="3"/>
  <c r="F3260" i="3"/>
  <c r="D3261" i="3"/>
  <c r="I3261" i="3" l="1"/>
  <c r="E3262" i="3"/>
  <c r="J3261" i="3"/>
  <c r="H3261" i="3"/>
  <c r="F3261" i="3"/>
  <c r="D3262" i="3"/>
  <c r="I3262" i="3" l="1"/>
  <c r="E3263" i="3"/>
  <c r="J3262" i="3"/>
  <c r="H3262" i="3"/>
  <c r="F3262" i="3"/>
  <c r="D3263" i="3"/>
  <c r="I3263" i="3" l="1"/>
  <c r="E3264" i="3"/>
  <c r="J3263" i="3"/>
  <c r="H3263" i="3"/>
  <c r="F3263" i="3"/>
  <c r="D3264" i="3"/>
  <c r="I3264" i="3" l="1"/>
  <c r="E3265" i="3"/>
  <c r="J3264" i="3"/>
  <c r="H3264" i="3"/>
  <c r="F3264" i="3"/>
  <c r="D3265" i="3"/>
  <c r="I3265" i="3" l="1"/>
  <c r="E3266" i="3"/>
  <c r="J3265" i="3"/>
  <c r="H3265" i="3"/>
  <c r="F3265" i="3"/>
  <c r="D3266" i="3"/>
  <c r="I3266" i="3" l="1"/>
  <c r="E3267" i="3"/>
  <c r="H3266" i="3"/>
  <c r="J3266" i="3"/>
  <c r="F3266" i="3"/>
  <c r="D3267" i="3"/>
  <c r="I3267" i="3" l="1"/>
  <c r="E3268" i="3"/>
  <c r="J3267" i="3"/>
  <c r="H3267" i="3"/>
  <c r="F3267" i="3"/>
  <c r="D3268" i="3"/>
  <c r="I3268" i="3" l="1"/>
  <c r="E3269" i="3"/>
  <c r="J3268" i="3"/>
  <c r="H3268" i="3"/>
  <c r="F3268" i="3"/>
  <c r="D3269" i="3"/>
  <c r="I3269" i="3" l="1"/>
  <c r="E3270" i="3"/>
  <c r="J3269" i="3"/>
  <c r="H3269" i="3"/>
  <c r="F3269" i="3"/>
  <c r="D3270" i="3"/>
  <c r="I3270" i="3" l="1"/>
  <c r="E3271" i="3"/>
  <c r="J3270" i="3"/>
  <c r="H3270" i="3"/>
  <c r="F3270" i="3"/>
  <c r="D3271" i="3"/>
  <c r="I3271" i="3" l="1"/>
  <c r="E3272" i="3"/>
  <c r="H3271" i="3"/>
  <c r="J3271" i="3"/>
  <c r="F3271" i="3"/>
  <c r="D3272" i="3"/>
  <c r="I3272" i="3" l="1"/>
  <c r="E3273" i="3"/>
  <c r="J3272" i="3"/>
  <c r="H3272" i="3"/>
  <c r="F3272" i="3"/>
  <c r="D3273" i="3"/>
  <c r="I3273" i="3" l="1"/>
  <c r="E3274" i="3"/>
  <c r="J3273" i="3"/>
  <c r="H3273" i="3"/>
  <c r="F3273" i="3"/>
  <c r="D3274" i="3"/>
  <c r="I3274" i="3" l="1"/>
  <c r="E3275" i="3"/>
  <c r="J3274" i="3"/>
  <c r="H3274" i="3"/>
  <c r="F3274" i="3"/>
  <c r="D3275" i="3"/>
  <c r="I3275" i="3" l="1"/>
  <c r="E3276" i="3"/>
  <c r="J3275" i="3"/>
  <c r="H3275" i="3"/>
  <c r="D3276" i="3"/>
  <c r="F3275" i="3"/>
  <c r="I3276" i="3" l="1"/>
  <c r="E3277" i="3"/>
  <c r="J3276" i="3"/>
  <c r="H3276" i="3"/>
  <c r="D3277" i="3"/>
  <c r="F3276" i="3"/>
  <c r="I3277" i="3" l="1"/>
  <c r="E3278" i="3"/>
  <c r="J3277" i="3"/>
  <c r="H3277" i="3"/>
  <c r="F3277" i="3"/>
  <c r="D3278" i="3"/>
  <c r="I3278" i="3" l="1"/>
  <c r="E3279" i="3"/>
  <c r="J3278" i="3"/>
  <c r="H3278" i="3"/>
  <c r="F3278" i="3"/>
  <c r="D3279" i="3"/>
  <c r="I3279" i="3" l="1"/>
  <c r="E3280" i="3"/>
  <c r="J3279" i="3"/>
  <c r="H3279" i="3"/>
  <c r="F3279" i="3"/>
  <c r="D3280" i="3"/>
  <c r="I3280" i="3" l="1"/>
  <c r="E3281" i="3"/>
  <c r="J3280" i="3"/>
  <c r="H3280" i="3"/>
  <c r="D3281" i="3"/>
  <c r="F3280" i="3"/>
  <c r="I3281" i="3" l="1"/>
  <c r="E3282" i="3"/>
  <c r="J3281" i="3"/>
  <c r="H3281" i="3"/>
  <c r="F3281" i="3"/>
  <c r="D3282" i="3"/>
  <c r="I3282" i="3" l="1"/>
  <c r="E3283" i="3"/>
  <c r="J3282" i="3"/>
  <c r="H3282" i="3"/>
  <c r="F3282" i="3"/>
  <c r="D3283" i="3"/>
  <c r="I3283" i="3" l="1"/>
  <c r="E3284" i="3"/>
  <c r="J3283" i="3"/>
  <c r="H3283" i="3"/>
  <c r="F3283" i="3"/>
  <c r="D3284" i="3"/>
  <c r="I3284" i="3" l="1"/>
  <c r="E3285" i="3"/>
  <c r="J3284" i="3"/>
  <c r="H3284" i="3"/>
  <c r="F3284" i="3"/>
  <c r="D3285" i="3"/>
  <c r="I3285" i="3" l="1"/>
  <c r="E3286" i="3"/>
  <c r="J3285" i="3"/>
  <c r="H3285" i="3"/>
  <c r="F3285" i="3"/>
  <c r="D3286" i="3"/>
  <c r="I3286" i="3" l="1"/>
  <c r="E3287" i="3"/>
  <c r="J3286" i="3"/>
  <c r="H3286" i="3"/>
  <c r="F3286" i="3"/>
  <c r="D3287" i="3"/>
  <c r="I3287" i="3" l="1"/>
  <c r="E3288" i="3"/>
  <c r="J3287" i="3"/>
  <c r="H3287" i="3"/>
  <c r="F3287" i="3"/>
  <c r="D3288" i="3"/>
  <c r="I3288" i="3" l="1"/>
  <c r="E3289" i="3"/>
  <c r="J3288" i="3"/>
  <c r="H3288" i="3"/>
  <c r="F3288" i="3"/>
  <c r="D3289" i="3"/>
  <c r="I3289" i="3" l="1"/>
  <c r="E3290" i="3"/>
  <c r="J3289" i="3"/>
  <c r="H3289" i="3"/>
  <c r="F3289" i="3"/>
  <c r="D3290" i="3"/>
  <c r="I3290" i="3" l="1"/>
  <c r="E3291" i="3"/>
  <c r="J3290" i="3"/>
  <c r="H3290" i="3"/>
  <c r="F3290" i="3"/>
  <c r="D3291" i="3"/>
  <c r="I3291" i="3" l="1"/>
  <c r="E3292" i="3"/>
  <c r="J3291" i="3"/>
  <c r="H3291" i="3"/>
  <c r="F3291" i="3"/>
  <c r="D3292" i="3"/>
  <c r="I3292" i="3" l="1"/>
  <c r="E3293" i="3"/>
  <c r="J3292" i="3"/>
  <c r="H3292" i="3"/>
  <c r="D3293" i="3"/>
  <c r="F3292" i="3"/>
  <c r="I3293" i="3" l="1"/>
  <c r="E3294" i="3"/>
  <c r="J3293" i="3"/>
  <c r="H3293" i="3"/>
  <c r="F3293" i="3"/>
  <c r="D3294" i="3"/>
  <c r="I3294" i="3" l="1"/>
  <c r="E3295" i="3"/>
  <c r="J3294" i="3"/>
  <c r="H3294" i="3"/>
  <c r="F3294" i="3"/>
  <c r="D3295" i="3"/>
  <c r="I3295" i="3" l="1"/>
  <c r="E3296" i="3"/>
  <c r="J3295" i="3"/>
  <c r="H3295" i="3"/>
  <c r="F3295" i="3"/>
  <c r="D3296" i="3"/>
  <c r="I3296" i="3" l="1"/>
  <c r="E3297" i="3"/>
  <c r="J3296" i="3"/>
  <c r="H3296" i="3"/>
  <c r="F3296" i="3"/>
  <c r="D3297" i="3"/>
  <c r="I3297" i="3" l="1"/>
  <c r="E3298" i="3"/>
  <c r="J3297" i="3"/>
  <c r="H3297" i="3"/>
  <c r="F3297" i="3"/>
  <c r="D3298" i="3"/>
  <c r="I3298" i="3" l="1"/>
  <c r="E3299" i="3"/>
  <c r="J3298" i="3"/>
  <c r="H3298" i="3"/>
  <c r="F3298" i="3"/>
  <c r="D3299" i="3"/>
  <c r="I3299" i="3" l="1"/>
  <c r="E3300" i="3"/>
  <c r="H3299" i="3"/>
  <c r="J3299" i="3"/>
  <c r="F3299" i="3"/>
  <c r="D3300" i="3"/>
  <c r="I3300" i="3" l="1"/>
  <c r="E3301" i="3"/>
  <c r="J3300" i="3"/>
  <c r="H3300" i="3"/>
  <c r="F3300" i="3"/>
  <c r="D3301" i="3"/>
  <c r="I3301" i="3" l="1"/>
  <c r="E3302" i="3"/>
  <c r="H3301" i="3"/>
  <c r="J3301" i="3"/>
  <c r="F3301" i="3"/>
  <c r="D3302" i="3"/>
  <c r="I3302" i="3" l="1"/>
  <c r="E3303" i="3"/>
  <c r="J3302" i="3"/>
  <c r="H3302" i="3"/>
  <c r="F3302" i="3"/>
  <c r="D3303" i="3"/>
  <c r="I3303" i="3" l="1"/>
  <c r="E3304" i="3"/>
  <c r="J3303" i="3"/>
  <c r="H3303" i="3"/>
  <c r="D3304" i="3"/>
  <c r="F3303" i="3"/>
  <c r="I3304" i="3" l="1"/>
  <c r="E3305" i="3"/>
  <c r="H3304" i="3"/>
  <c r="J3304" i="3"/>
  <c r="F3304" i="3"/>
  <c r="D3305" i="3"/>
  <c r="I3305" i="3" l="1"/>
  <c r="E3306" i="3"/>
  <c r="J3305" i="3"/>
  <c r="H3305" i="3"/>
  <c r="D3306" i="3"/>
  <c r="F3305" i="3"/>
  <c r="I3306" i="3" l="1"/>
  <c r="E3307" i="3"/>
  <c r="H3306" i="3"/>
  <c r="J3306" i="3"/>
  <c r="F3306" i="3"/>
  <c r="D3307" i="3"/>
  <c r="I3307" i="3" l="1"/>
  <c r="E3308" i="3"/>
  <c r="J3307" i="3"/>
  <c r="H3307" i="3"/>
  <c r="F3307" i="3"/>
  <c r="D3308" i="3"/>
  <c r="I3308" i="3" l="1"/>
  <c r="E3309" i="3"/>
  <c r="J3308" i="3"/>
  <c r="H3308" i="3"/>
  <c r="F3308" i="3"/>
  <c r="D3309" i="3"/>
  <c r="I3309" i="3" l="1"/>
  <c r="E3310" i="3"/>
  <c r="J3309" i="3"/>
  <c r="H3309" i="3"/>
  <c r="D3310" i="3"/>
  <c r="F3309" i="3"/>
  <c r="I3310" i="3" l="1"/>
  <c r="E3311" i="3"/>
  <c r="J3310" i="3"/>
  <c r="H3310" i="3"/>
  <c r="F3310" i="3"/>
  <c r="D3311" i="3"/>
  <c r="I3311" i="3" l="1"/>
  <c r="E3312" i="3"/>
  <c r="H3311" i="3"/>
  <c r="J3311" i="3"/>
  <c r="F3311" i="3"/>
  <c r="D3312" i="3"/>
  <c r="I3312" i="3" l="1"/>
  <c r="E3313" i="3"/>
  <c r="J3312" i="3"/>
  <c r="H3312" i="3"/>
  <c r="F3312" i="3"/>
  <c r="D3313" i="3"/>
  <c r="I3313" i="3" l="1"/>
  <c r="E3314" i="3"/>
  <c r="J3313" i="3"/>
  <c r="H3313" i="3"/>
  <c r="F3313" i="3"/>
  <c r="D3314" i="3"/>
  <c r="I3314" i="3" l="1"/>
  <c r="E3315" i="3"/>
  <c r="J3314" i="3"/>
  <c r="H3314" i="3"/>
  <c r="F3314" i="3"/>
  <c r="D3315" i="3"/>
  <c r="I3315" i="3" l="1"/>
  <c r="E3316" i="3"/>
  <c r="H3315" i="3"/>
  <c r="J3315" i="3"/>
  <c r="F3315" i="3"/>
  <c r="D3316" i="3"/>
  <c r="I3316" i="3" l="1"/>
  <c r="E3317" i="3"/>
  <c r="J3316" i="3"/>
  <c r="H3316" i="3"/>
  <c r="F3316" i="3"/>
  <c r="D3317" i="3"/>
  <c r="I3317" i="3" l="1"/>
  <c r="E3318" i="3"/>
  <c r="J3317" i="3"/>
  <c r="H3317" i="3"/>
  <c r="F3317" i="3"/>
  <c r="D3318" i="3"/>
  <c r="I3318" i="3" l="1"/>
  <c r="E3319" i="3"/>
  <c r="J3318" i="3"/>
  <c r="H3318" i="3"/>
  <c r="F3318" i="3"/>
  <c r="D3319" i="3"/>
  <c r="I3319" i="3" l="1"/>
  <c r="E3320" i="3"/>
  <c r="J3319" i="3"/>
  <c r="H3319" i="3"/>
  <c r="F3319" i="3"/>
  <c r="D3320" i="3"/>
  <c r="I3320" i="3" l="1"/>
  <c r="E3321" i="3"/>
  <c r="J3320" i="3"/>
  <c r="H3320" i="3"/>
  <c r="F3320" i="3"/>
  <c r="D3321" i="3"/>
  <c r="I3321" i="3" l="1"/>
  <c r="E3322" i="3"/>
  <c r="J3321" i="3"/>
  <c r="H3321" i="3"/>
  <c r="F3321" i="3"/>
  <c r="D3322" i="3"/>
  <c r="I3322" i="3" l="1"/>
  <c r="E3323" i="3"/>
  <c r="J3322" i="3"/>
  <c r="H3322" i="3"/>
  <c r="F3322" i="3"/>
  <c r="D3323" i="3"/>
  <c r="I3323" i="3" l="1"/>
  <c r="E3324" i="3"/>
  <c r="J3323" i="3"/>
  <c r="H3323" i="3"/>
  <c r="F3323" i="3"/>
  <c r="D3324" i="3"/>
  <c r="I3324" i="3" l="1"/>
  <c r="E3325" i="3"/>
  <c r="J3324" i="3"/>
  <c r="H3324" i="3"/>
  <c r="F3324" i="3"/>
  <c r="D3325" i="3"/>
  <c r="I3325" i="3" l="1"/>
  <c r="E3326" i="3"/>
  <c r="J3325" i="3"/>
  <c r="H3325" i="3"/>
  <c r="F3325" i="3"/>
  <c r="D3326" i="3"/>
  <c r="I3326" i="3" l="1"/>
  <c r="E3327" i="3"/>
  <c r="J3326" i="3"/>
  <c r="H3326" i="3"/>
  <c r="F3326" i="3"/>
  <c r="D3327" i="3"/>
  <c r="I3327" i="3" l="1"/>
  <c r="E3328" i="3"/>
  <c r="J3327" i="3"/>
  <c r="H3327" i="3"/>
  <c r="F3327" i="3"/>
  <c r="D3328" i="3"/>
  <c r="I3328" i="3" l="1"/>
  <c r="E3329" i="3"/>
  <c r="J3328" i="3"/>
  <c r="H3328" i="3"/>
  <c r="F3328" i="3"/>
  <c r="D3329" i="3"/>
  <c r="I3329" i="3" l="1"/>
  <c r="E3330" i="3"/>
  <c r="J3329" i="3"/>
  <c r="H3329" i="3"/>
  <c r="F3329" i="3"/>
  <c r="D3330" i="3"/>
  <c r="I3330" i="3" l="1"/>
  <c r="E3331" i="3"/>
  <c r="J3330" i="3"/>
  <c r="H3330" i="3"/>
  <c r="F3330" i="3"/>
  <c r="D3331" i="3"/>
  <c r="I3331" i="3" l="1"/>
  <c r="E3332" i="3"/>
  <c r="J3331" i="3"/>
  <c r="H3331" i="3"/>
  <c r="F3331" i="3"/>
  <c r="D3332" i="3"/>
  <c r="I3332" i="3" l="1"/>
  <c r="E3333" i="3"/>
  <c r="J3332" i="3"/>
  <c r="H3332" i="3"/>
  <c r="F3332" i="3"/>
  <c r="D3333" i="3"/>
  <c r="I3333" i="3" l="1"/>
  <c r="E3334" i="3"/>
  <c r="H3333" i="3"/>
  <c r="J3333" i="3"/>
  <c r="D3334" i="3"/>
  <c r="F3333" i="3"/>
  <c r="I3334" i="3" l="1"/>
  <c r="E3335" i="3"/>
  <c r="J3334" i="3"/>
  <c r="H3334" i="3"/>
  <c r="F3334" i="3"/>
  <c r="D3335" i="3"/>
  <c r="I3335" i="3" l="1"/>
  <c r="E3336" i="3"/>
  <c r="J3335" i="3"/>
  <c r="H3335" i="3"/>
  <c r="D3336" i="3"/>
  <c r="F3335" i="3"/>
  <c r="I3336" i="3" l="1"/>
  <c r="E3337" i="3"/>
  <c r="J3336" i="3"/>
  <c r="H3336" i="3"/>
  <c r="F3336" i="3"/>
  <c r="D3337" i="3"/>
  <c r="I3337" i="3" l="1"/>
  <c r="E3338" i="3"/>
  <c r="J3337" i="3"/>
  <c r="H3337" i="3"/>
  <c r="D3338" i="3"/>
  <c r="F3337" i="3"/>
  <c r="I3338" i="3" l="1"/>
  <c r="E3339" i="3"/>
  <c r="H3338" i="3"/>
  <c r="J3338" i="3"/>
  <c r="F3338" i="3"/>
  <c r="D3339" i="3"/>
  <c r="I3339" i="3" l="1"/>
  <c r="E3340" i="3"/>
  <c r="J3339" i="3"/>
  <c r="H3339" i="3"/>
  <c r="D3340" i="3"/>
  <c r="F3339" i="3"/>
  <c r="I3340" i="3" l="1"/>
  <c r="E3341" i="3"/>
  <c r="J3340" i="3"/>
  <c r="H3340" i="3"/>
  <c r="F3340" i="3"/>
  <c r="D3341" i="3"/>
  <c r="I3341" i="3" l="1"/>
  <c r="E3342" i="3"/>
  <c r="J3341" i="3"/>
  <c r="H3341" i="3"/>
  <c r="D3342" i="3"/>
  <c r="F3341" i="3"/>
  <c r="I3342" i="3" l="1"/>
  <c r="E3343" i="3"/>
  <c r="H3342" i="3"/>
  <c r="J3342" i="3"/>
  <c r="F3342" i="3"/>
  <c r="D3343" i="3"/>
  <c r="I3343" i="3" l="1"/>
  <c r="E3344" i="3"/>
  <c r="J3343" i="3"/>
  <c r="H3343" i="3"/>
  <c r="F3343" i="3"/>
  <c r="D3344" i="3"/>
  <c r="I3344" i="3" l="1"/>
  <c r="E3345" i="3"/>
  <c r="J3344" i="3"/>
  <c r="H3344" i="3"/>
  <c r="F3344" i="3"/>
  <c r="D3345" i="3"/>
  <c r="I3345" i="3" l="1"/>
  <c r="E3346" i="3"/>
  <c r="J3345" i="3"/>
  <c r="H3345" i="3"/>
  <c r="F3345" i="3"/>
  <c r="D3346" i="3"/>
  <c r="I3346" i="3" l="1"/>
  <c r="E3347" i="3"/>
  <c r="J3346" i="3"/>
  <c r="H3346" i="3"/>
  <c r="F3346" i="3"/>
  <c r="D3347" i="3"/>
  <c r="I3347" i="3" l="1"/>
  <c r="E3348" i="3"/>
  <c r="J3347" i="3"/>
  <c r="H3347" i="3"/>
  <c r="F3347" i="3"/>
  <c r="D3348" i="3"/>
  <c r="I3348" i="3" l="1"/>
  <c r="E3349" i="3"/>
  <c r="J3348" i="3"/>
  <c r="H3348" i="3"/>
  <c r="F3348" i="3"/>
  <c r="D3349" i="3"/>
  <c r="I3349" i="3" l="1"/>
  <c r="E3350" i="3"/>
  <c r="J3349" i="3"/>
  <c r="H3349" i="3"/>
  <c r="F3349" i="3"/>
  <c r="D3350" i="3"/>
  <c r="I3350" i="3" l="1"/>
  <c r="E3351" i="3"/>
  <c r="J3350" i="3"/>
  <c r="H3350" i="3"/>
  <c r="F3350" i="3"/>
  <c r="D3351" i="3"/>
  <c r="I3351" i="3" l="1"/>
  <c r="E3352" i="3"/>
  <c r="H3351" i="3"/>
  <c r="J3351" i="3"/>
  <c r="F3351" i="3"/>
  <c r="D3352" i="3"/>
  <c r="I3352" i="3" l="1"/>
  <c r="E3353" i="3"/>
  <c r="J3352" i="3"/>
  <c r="H3352" i="3"/>
  <c r="F3352" i="3"/>
  <c r="D3353" i="3"/>
  <c r="I3353" i="3" l="1"/>
  <c r="E3354" i="3"/>
  <c r="J3353" i="3"/>
  <c r="H3353" i="3"/>
  <c r="F3353" i="3"/>
  <c r="D3354" i="3"/>
  <c r="I3354" i="3" l="1"/>
  <c r="E3355" i="3"/>
  <c r="J3354" i="3"/>
  <c r="H3354" i="3"/>
  <c r="F3354" i="3"/>
  <c r="D3355" i="3"/>
  <c r="I3355" i="3" l="1"/>
  <c r="E3356" i="3"/>
  <c r="J3355" i="3"/>
  <c r="H3355" i="3"/>
  <c r="F3355" i="3"/>
  <c r="D3356" i="3"/>
  <c r="I3356" i="3" l="1"/>
  <c r="E3357" i="3"/>
  <c r="J3356" i="3"/>
  <c r="H3356" i="3"/>
  <c r="F3356" i="3"/>
  <c r="D3357" i="3"/>
  <c r="I3357" i="3" l="1"/>
  <c r="E3358" i="3"/>
  <c r="J3357" i="3"/>
  <c r="H3357" i="3"/>
  <c r="F3357" i="3"/>
  <c r="D3358" i="3"/>
  <c r="I3358" i="3" l="1"/>
  <c r="E3359" i="3"/>
  <c r="J3358" i="3"/>
  <c r="H3358" i="3"/>
  <c r="F3358" i="3"/>
  <c r="D3359" i="3"/>
  <c r="I3359" i="3" l="1"/>
  <c r="E3360" i="3"/>
  <c r="H3359" i="3"/>
  <c r="J3359" i="3"/>
  <c r="F3359" i="3"/>
  <c r="D3360" i="3"/>
  <c r="I3360" i="3" l="1"/>
  <c r="E3361" i="3"/>
  <c r="J3360" i="3"/>
  <c r="H3360" i="3"/>
  <c r="F3360" i="3"/>
  <c r="D3361" i="3"/>
  <c r="I3361" i="3" l="1"/>
  <c r="E3362" i="3"/>
  <c r="J3361" i="3"/>
  <c r="H3361" i="3"/>
  <c r="D3362" i="3"/>
  <c r="F3361" i="3"/>
  <c r="I3362" i="3" l="1"/>
  <c r="E3363" i="3"/>
  <c r="J3362" i="3"/>
  <c r="H3362" i="3"/>
  <c r="D3363" i="3"/>
  <c r="F3362" i="3"/>
  <c r="I3363" i="3" l="1"/>
  <c r="E3364" i="3"/>
  <c r="J3363" i="3"/>
  <c r="H3363" i="3"/>
  <c r="F3363" i="3"/>
  <c r="D3364" i="3"/>
  <c r="I3364" i="3" l="1"/>
  <c r="E3365" i="3"/>
  <c r="J3364" i="3"/>
  <c r="H3364" i="3"/>
  <c r="F3364" i="3"/>
  <c r="D3365" i="3"/>
  <c r="I3365" i="3" l="1"/>
  <c r="E3366" i="3"/>
  <c r="J3365" i="3"/>
  <c r="H3365" i="3"/>
  <c r="F3365" i="3"/>
  <c r="D3366" i="3"/>
  <c r="I3366" i="3" l="1"/>
  <c r="E3367" i="3"/>
  <c r="J3366" i="3"/>
  <c r="H3366" i="3"/>
  <c r="F3366" i="3"/>
  <c r="D3367" i="3"/>
  <c r="I3367" i="3" l="1"/>
  <c r="E3368" i="3"/>
  <c r="H3367" i="3"/>
  <c r="J3367" i="3"/>
  <c r="F3367" i="3"/>
  <c r="D3368" i="3"/>
  <c r="I3368" i="3" l="1"/>
  <c r="E3369" i="3"/>
  <c r="J3368" i="3"/>
  <c r="H3368" i="3"/>
  <c r="F3368" i="3"/>
  <c r="D3369" i="3"/>
  <c r="I3369" i="3" l="1"/>
  <c r="E3370" i="3"/>
  <c r="J3369" i="3"/>
  <c r="H3369" i="3"/>
  <c r="F3369" i="3"/>
  <c r="D3370" i="3"/>
  <c r="I3370" i="3" l="1"/>
  <c r="E3371" i="3"/>
  <c r="H3370" i="3"/>
  <c r="J3370" i="3"/>
  <c r="F3370" i="3"/>
  <c r="D3371" i="3"/>
  <c r="I3371" i="3" l="1"/>
  <c r="E3372" i="3"/>
  <c r="J3371" i="3"/>
  <c r="H3371" i="3"/>
  <c r="F3371" i="3"/>
  <c r="D3372" i="3"/>
  <c r="I3372" i="3" l="1"/>
  <c r="E3373" i="3"/>
  <c r="J3372" i="3"/>
  <c r="H3372" i="3"/>
  <c r="F3372" i="3"/>
  <c r="D3373" i="3"/>
  <c r="I3373" i="3" l="1"/>
  <c r="E3374" i="3"/>
  <c r="J3373" i="3"/>
  <c r="H3373" i="3"/>
  <c r="F3373" i="3"/>
  <c r="D3374" i="3"/>
  <c r="I3374" i="3" l="1"/>
  <c r="E3375" i="3"/>
  <c r="J3374" i="3"/>
  <c r="H3374" i="3"/>
  <c r="F3374" i="3"/>
  <c r="D3375" i="3"/>
  <c r="I3375" i="3" l="1"/>
  <c r="E3376" i="3"/>
  <c r="J3375" i="3"/>
  <c r="H3375" i="3"/>
  <c r="F3375" i="3"/>
  <c r="D3376" i="3"/>
  <c r="I3376" i="3" l="1"/>
  <c r="E3377" i="3"/>
  <c r="J3376" i="3"/>
  <c r="H3376" i="3"/>
  <c r="F3376" i="3"/>
  <c r="D3377" i="3"/>
  <c r="I3377" i="3" l="1"/>
  <c r="E3378" i="3"/>
  <c r="J3377" i="3"/>
  <c r="H3377" i="3"/>
  <c r="F3377" i="3"/>
  <c r="D3378" i="3"/>
  <c r="I3378" i="3" l="1"/>
  <c r="E3379" i="3"/>
  <c r="J3378" i="3"/>
  <c r="H3378" i="3"/>
  <c r="F3378" i="3"/>
  <c r="D3379" i="3"/>
  <c r="I3379" i="3" l="1"/>
  <c r="E3380" i="3"/>
  <c r="J3379" i="3"/>
  <c r="H3379" i="3"/>
  <c r="F3379" i="3"/>
  <c r="D3380" i="3"/>
  <c r="I3380" i="3" l="1"/>
  <c r="E3381" i="3"/>
  <c r="J3380" i="3"/>
  <c r="H3380" i="3"/>
  <c r="D3381" i="3"/>
  <c r="F3380" i="3"/>
  <c r="I3381" i="3" l="1"/>
  <c r="E3382" i="3"/>
  <c r="J3381" i="3"/>
  <c r="H3381" i="3"/>
  <c r="F3381" i="3"/>
  <c r="D3382" i="3"/>
  <c r="I3382" i="3" l="1"/>
  <c r="E3383" i="3"/>
  <c r="J3382" i="3"/>
  <c r="H3382" i="3"/>
  <c r="F3382" i="3"/>
  <c r="D3383" i="3"/>
  <c r="I3383" i="3" l="1"/>
  <c r="E3384" i="3"/>
  <c r="J3383" i="3"/>
  <c r="H3383" i="3"/>
  <c r="F3383" i="3"/>
  <c r="D3384" i="3"/>
  <c r="I3384" i="3" l="1"/>
  <c r="E3385" i="3"/>
  <c r="H3384" i="3"/>
  <c r="J3384" i="3"/>
  <c r="F3384" i="3"/>
  <c r="D3385" i="3"/>
  <c r="I3385" i="3" l="1"/>
  <c r="E3386" i="3"/>
  <c r="H3385" i="3"/>
  <c r="J3385" i="3"/>
  <c r="F3385" i="3"/>
  <c r="D3386" i="3"/>
  <c r="I3386" i="3" l="1"/>
  <c r="E3387" i="3"/>
  <c r="J3386" i="3"/>
  <c r="H3386" i="3"/>
  <c r="F3386" i="3"/>
  <c r="D3387" i="3"/>
  <c r="I3387" i="3" l="1"/>
  <c r="E3388" i="3"/>
  <c r="J3387" i="3"/>
  <c r="H3387" i="3"/>
  <c r="D3388" i="3"/>
  <c r="F3387" i="3"/>
  <c r="I3388" i="3" l="1"/>
  <c r="E3389" i="3"/>
  <c r="J3388" i="3"/>
  <c r="H3388" i="3"/>
  <c r="F3388" i="3"/>
  <c r="D3389" i="3"/>
  <c r="I3389" i="3" l="1"/>
  <c r="E3390" i="3"/>
  <c r="J3389" i="3"/>
  <c r="H3389" i="3"/>
  <c r="D3390" i="3"/>
  <c r="F3389" i="3"/>
  <c r="I3390" i="3" l="1"/>
  <c r="E3391" i="3"/>
  <c r="H3390" i="3"/>
  <c r="J3390" i="3"/>
  <c r="F3390" i="3"/>
  <c r="D3391" i="3"/>
  <c r="I3391" i="3" l="1"/>
  <c r="E3392" i="3"/>
  <c r="H3391" i="3"/>
  <c r="J3391" i="3"/>
  <c r="F3391" i="3"/>
  <c r="D3392" i="3"/>
  <c r="I3392" i="3" l="1"/>
  <c r="E3393" i="3"/>
  <c r="J3392" i="3"/>
  <c r="H3392" i="3"/>
  <c r="F3392" i="3"/>
  <c r="D3393" i="3"/>
  <c r="I3393" i="3" l="1"/>
  <c r="E3394" i="3"/>
  <c r="J3393" i="3"/>
  <c r="H3393" i="3"/>
  <c r="F3393" i="3"/>
  <c r="D3394" i="3"/>
  <c r="I3394" i="3" l="1"/>
  <c r="E3395" i="3"/>
  <c r="J3394" i="3"/>
  <c r="H3394" i="3"/>
  <c r="F3394" i="3"/>
  <c r="D3395" i="3"/>
  <c r="I3395" i="3" l="1"/>
  <c r="E3396" i="3"/>
  <c r="J3395" i="3"/>
  <c r="H3395" i="3"/>
  <c r="F3395" i="3"/>
  <c r="D3396" i="3"/>
  <c r="I3396" i="3" l="1"/>
  <c r="E3397" i="3"/>
  <c r="J3396" i="3"/>
  <c r="H3396" i="3"/>
  <c r="F3396" i="3"/>
  <c r="D3397" i="3"/>
  <c r="I3397" i="3" l="1"/>
  <c r="E3398" i="3"/>
  <c r="J3397" i="3"/>
  <c r="H3397" i="3"/>
  <c r="F3397" i="3"/>
  <c r="D3398" i="3"/>
  <c r="I3398" i="3" l="1"/>
  <c r="E3399" i="3"/>
  <c r="J3398" i="3"/>
  <c r="H3398" i="3"/>
  <c r="F3398" i="3"/>
  <c r="D3399" i="3"/>
  <c r="I3399" i="3" l="1"/>
  <c r="E3400" i="3"/>
  <c r="J3399" i="3"/>
  <c r="H3399" i="3"/>
  <c r="F3399" i="3"/>
  <c r="D3400" i="3"/>
  <c r="I3400" i="3" l="1"/>
  <c r="E3401" i="3"/>
  <c r="J3400" i="3"/>
  <c r="H3400" i="3"/>
  <c r="F3400" i="3"/>
  <c r="D3401" i="3"/>
  <c r="I3401" i="3" l="1"/>
  <c r="E3402" i="3"/>
  <c r="J3401" i="3"/>
  <c r="H3401" i="3"/>
  <c r="F3401" i="3"/>
  <c r="D3402" i="3"/>
  <c r="I3402" i="3" l="1"/>
  <c r="E3403" i="3"/>
  <c r="J3402" i="3"/>
  <c r="H3402" i="3"/>
  <c r="F3402" i="3"/>
  <c r="D3403" i="3"/>
  <c r="I3403" i="3" l="1"/>
  <c r="E3404" i="3"/>
  <c r="J3403" i="3"/>
  <c r="H3403" i="3"/>
  <c r="F3403" i="3"/>
  <c r="D3404" i="3"/>
  <c r="I3404" i="3" l="1"/>
  <c r="E3405" i="3"/>
  <c r="J3404" i="3"/>
  <c r="H3404" i="3"/>
  <c r="F3404" i="3"/>
  <c r="D3405" i="3"/>
  <c r="I3405" i="3" l="1"/>
  <c r="E3406" i="3"/>
  <c r="J3405" i="3"/>
  <c r="H3405" i="3"/>
  <c r="F3405" i="3"/>
  <c r="D3406" i="3"/>
  <c r="I3406" i="3" l="1"/>
  <c r="E3407" i="3"/>
  <c r="J3406" i="3"/>
  <c r="H3406" i="3"/>
  <c r="F3406" i="3"/>
  <c r="D3407" i="3"/>
  <c r="I3407" i="3" l="1"/>
  <c r="E3408" i="3"/>
  <c r="J3407" i="3"/>
  <c r="H3407" i="3"/>
  <c r="F3407" i="3"/>
  <c r="D3408" i="3"/>
  <c r="I3408" i="3" l="1"/>
  <c r="E3409" i="3"/>
  <c r="J3408" i="3"/>
  <c r="H3408" i="3"/>
  <c r="F3408" i="3"/>
  <c r="D3409" i="3"/>
  <c r="I3409" i="3" l="1"/>
  <c r="E3410" i="3"/>
  <c r="J3409" i="3"/>
  <c r="H3409" i="3"/>
  <c r="F3409" i="3"/>
  <c r="D3410" i="3"/>
  <c r="I3410" i="3" l="1"/>
  <c r="E3411" i="3"/>
  <c r="J3410" i="3"/>
  <c r="H3410" i="3"/>
  <c r="F3410" i="3"/>
  <c r="D3411" i="3"/>
  <c r="I3411" i="3" l="1"/>
  <c r="E3412" i="3"/>
  <c r="J3411" i="3"/>
  <c r="H3411" i="3"/>
  <c r="F3411" i="3"/>
  <c r="D3412" i="3"/>
  <c r="I3412" i="3" l="1"/>
  <c r="E3413" i="3"/>
  <c r="J3412" i="3"/>
  <c r="H3412" i="3"/>
  <c r="F3412" i="3"/>
  <c r="D3413" i="3"/>
  <c r="I3413" i="3" l="1"/>
  <c r="E3414" i="3"/>
  <c r="J3413" i="3"/>
  <c r="H3413" i="3"/>
  <c r="F3413" i="3"/>
  <c r="D3414" i="3"/>
  <c r="I3414" i="3" l="1"/>
  <c r="E3415" i="3"/>
  <c r="J3414" i="3"/>
  <c r="H3414" i="3"/>
  <c r="F3414" i="3"/>
  <c r="D3415" i="3"/>
  <c r="I3415" i="3" l="1"/>
  <c r="E3416" i="3"/>
  <c r="J3415" i="3"/>
  <c r="H3415" i="3"/>
  <c r="F3415" i="3"/>
  <c r="D3416" i="3"/>
  <c r="I3416" i="3" l="1"/>
  <c r="E3417" i="3"/>
  <c r="J3416" i="3"/>
  <c r="H3416" i="3"/>
  <c r="F3416" i="3"/>
  <c r="D3417" i="3"/>
  <c r="I3417" i="3" l="1"/>
  <c r="E3418" i="3"/>
  <c r="J3417" i="3"/>
  <c r="H3417" i="3"/>
  <c r="F3417" i="3"/>
  <c r="D3418" i="3"/>
  <c r="I3418" i="3" l="1"/>
  <c r="E3419" i="3"/>
  <c r="J3418" i="3"/>
  <c r="H3418" i="3"/>
  <c r="F3418" i="3"/>
  <c r="D3419" i="3"/>
  <c r="I3419" i="3" l="1"/>
  <c r="E3420" i="3"/>
  <c r="J3419" i="3"/>
  <c r="H3419" i="3"/>
  <c r="F3419" i="3"/>
  <c r="D3420" i="3"/>
  <c r="I3420" i="3" l="1"/>
  <c r="E3421" i="3"/>
  <c r="J3420" i="3"/>
  <c r="H3420" i="3"/>
  <c r="F3420" i="3"/>
  <c r="D3421" i="3"/>
  <c r="I3421" i="3" l="1"/>
  <c r="E3422" i="3"/>
  <c r="J3421" i="3"/>
  <c r="H3421" i="3"/>
  <c r="F3421" i="3"/>
  <c r="D3422" i="3"/>
  <c r="I3422" i="3" l="1"/>
  <c r="E3423" i="3"/>
  <c r="J3422" i="3"/>
  <c r="H3422" i="3"/>
  <c r="F3422" i="3"/>
  <c r="D3423" i="3"/>
  <c r="I3423" i="3" l="1"/>
  <c r="E3424" i="3"/>
  <c r="J3423" i="3"/>
  <c r="H3423" i="3"/>
  <c r="F3423" i="3"/>
  <c r="D3424" i="3"/>
  <c r="I3424" i="3" l="1"/>
  <c r="E3425" i="3"/>
  <c r="J3424" i="3"/>
  <c r="H3424" i="3"/>
  <c r="F3424" i="3"/>
  <c r="D3425" i="3"/>
  <c r="I3425" i="3" l="1"/>
  <c r="E3426" i="3"/>
  <c r="J3425" i="3"/>
  <c r="H3425" i="3"/>
  <c r="F3425" i="3"/>
  <c r="D3426" i="3"/>
  <c r="I3426" i="3" l="1"/>
  <c r="E3427" i="3"/>
  <c r="J3426" i="3"/>
  <c r="H3426" i="3"/>
  <c r="F3426" i="3"/>
  <c r="D3427" i="3"/>
  <c r="I3427" i="3" l="1"/>
  <c r="E3428" i="3"/>
  <c r="J3427" i="3"/>
  <c r="H3427" i="3"/>
  <c r="F3427" i="3"/>
  <c r="D3428" i="3"/>
  <c r="I3428" i="3" l="1"/>
  <c r="E3429" i="3"/>
  <c r="J3428" i="3"/>
  <c r="H3428" i="3"/>
  <c r="F3428" i="3"/>
  <c r="D3429" i="3"/>
  <c r="I3429" i="3" l="1"/>
  <c r="E3430" i="3"/>
  <c r="J3429" i="3"/>
  <c r="H3429" i="3"/>
  <c r="F3429" i="3"/>
  <c r="D3430" i="3"/>
  <c r="I3430" i="3" l="1"/>
  <c r="E3431" i="3"/>
  <c r="J3430" i="3"/>
  <c r="H3430" i="3"/>
  <c r="F3430" i="3"/>
  <c r="D3431" i="3"/>
  <c r="I3431" i="3" l="1"/>
  <c r="E3432" i="3"/>
  <c r="J3431" i="3"/>
  <c r="H3431" i="3"/>
  <c r="F3431" i="3"/>
  <c r="D3432" i="3"/>
  <c r="I3432" i="3" l="1"/>
  <c r="E3433" i="3"/>
  <c r="J3432" i="3"/>
  <c r="H3432" i="3"/>
  <c r="F3432" i="3"/>
  <c r="D3433" i="3"/>
  <c r="I3433" i="3" l="1"/>
  <c r="E3434" i="3"/>
  <c r="J3433" i="3"/>
  <c r="H3433" i="3"/>
  <c r="F3433" i="3"/>
  <c r="D3434" i="3"/>
  <c r="I3434" i="3" l="1"/>
  <c r="E3435" i="3"/>
  <c r="J3434" i="3"/>
  <c r="H3434" i="3"/>
  <c r="F3434" i="3"/>
  <c r="D3435" i="3"/>
  <c r="I3435" i="3" l="1"/>
  <c r="E3436" i="3"/>
  <c r="J3435" i="3"/>
  <c r="H3435" i="3"/>
  <c r="F3435" i="3"/>
  <c r="D3436" i="3"/>
  <c r="I3436" i="3" l="1"/>
  <c r="E3437" i="3"/>
  <c r="J3436" i="3"/>
  <c r="H3436" i="3"/>
  <c r="F3436" i="3"/>
  <c r="D3437" i="3"/>
  <c r="I3437" i="3" l="1"/>
  <c r="E3438" i="3"/>
  <c r="J3437" i="3"/>
  <c r="H3437" i="3"/>
  <c r="F3437" i="3"/>
  <c r="D3438" i="3"/>
  <c r="I3438" i="3" l="1"/>
  <c r="E3439" i="3"/>
  <c r="J3438" i="3"/>
  <c r="H3438" i="3"/>
  <c r="F3438" i="3"/>
  <c r="D3439" i="3"/>
  <c r="I3439" i="3" l="1"/>
  <c r="E3440" i="3"/>
  <c r="J3439" i="3"/>
  <c r="H3439" i="3"/>
  <c r="F3439" i="3"/>
  <c r="D3440" i="3"/>
  <c r="I3440" i="3" l="1"/>
  <c r="E3441" i="3"/>
  <c r="J3440" i="3"/>
  <c r="H3440" i="3"/>
  <c r="F3440" i="3"/>
  <c r="D3441" i="3"/>
  <c r="I3441" i="3" l="1"/>
  <c r="E3442" i="3"/>
  <c r="J3441" i="3"/>
  <c r="H3441" i="3"/>
  <c r="F3441" i="3"/>
  <c r="D3442" i="3"/>
  <c r="I3442" i="3" l="1"/>
  <c r="E3443" i="3"/>
  <c r="J3442" i="3"/>
  <c r="H3442" i="3"/>
  <c r="F3442" i="3"/>
  <c r="D3443" i="3"/>
  <c r="I3443" i="3" l="1"/>
  <c r="E3444" i="3"/>
  <c r="J3443" i="3"/>
  <c r="H3443" i="3"/>
  <c r="F3443" i="3"/>
  <c r="D3444" i="3"/>
  <c r="I3444" i="3" l="1"/>
  <c r="E3445" i="3"/>
  <c r="J3444" i="3"/>
  <c r="H3444" i="3"/>
  <c r="F3444" i="3"/>
  <c r="D3445" i="3"/>
  <c r="I3445" i="3" l="1"/>
  <c r="E3446" i="3"/>
  <c r="J3445" i="3"/>
  <c r="H3445" i="3"/>
  <c r="F3445" i="3"/>
  <c r="D3446" i="3"/>
  <c r="I3446" i="3" l="1"/>
  <c r="E3447" i="3"/>
  <c r="J3446" i="3"/>
  <c r="H3446" i="3"/>
  <c r="F3446" i="3"/>
  <c r="D3447" i="3"/>
  <c r="I3447" i="3" l="1"/>
  <c r="E3448" i="3"/>
  <c r="J3447" i="3"/>
  <c r="H3447" i="3"/>
  <c r="F3447" i="3"/>
  <c r="D3448" i="3"/>
  <c r="I3448" i="3" l="1"/>
  <c r="E3449" i="3"/>
  <c r="J3448" i="3"/>
  <c r="H3448" i="3"/>
  <c r="F3448" i="3"/>
  <c r="D3449" i="3"/>
  <c r="I3449" i="3" l="1"/>
  <c r="E3450" i="3"/>
  <c r="J3449" i="3"/>
  <c r="H3449" i="3"/>
  <c r="F3449" i="3"/>
  <c r="D3450" i="3"/>
  <c r="I3450" i="3" l="1"/>
  <c r="E3451" i="3"/>
  <c r="J3450" i="3"/>
  <c r="H3450" i="3"/>
  <c r="F3450" i="3"/>
  <c r="D3451" i="3"/>
  <c r="I3451" i="3" l="1"/>
  <c r="E3452" i="3"/>
  <c r="J3451" i="3"/>
  <c r="H3451" i="3"/>
  <c r="F3451" i="3"/>
  <c r="D3452" i="3"/>
  <c r="I3452" i="3" l="1"/>
  <c r="E3453" i="3"/>
  <c r="J3452" i="3"/>
  <c r="H3452" i="3"/>
  <c r="F3452" i="3"/>
  <c r="D3453" i="3"/>
  <c r="I3453" i="3" l="1"/>
  <c r="E3454" i="3"/>
  <c r="J3453" i="3"/>
  <c r="H3453" i="3"/>
  <c r="F3453" i="3"/>
  <c r="D3454" i="3"/>
  <c r="I3454" i="3" l="1"/>
  <c r="E3455" i="3"/>
  <c r="J3454" i="3"/>
  <c r="H3454" i="3"/>
  <c r="F3454" i="3"/>
  <c r="D3455" i="3"/>
  <c r="I3455" i="3" l="1"/>
  <c r="E3456" i="3"/>
  <c r="J3455" i="3"/>
  <c r="H3455" i="3"/>
  <c r="F3455" i="3"/>
  <c r="D3456" i="3"/>
  <c r="I3456" i="3" l="1"/>
  <c r="E3457" i="3"/>
  <c r="J3456" i="3"/>
  <c r="H3456" i="3"/>
  <c r="F3456" i="3"/>
  <c r="D3457" i="3"/>
  <c r="I3457" i="3" l="1"/>
  <c r="E3458" i="3"/>
  <c r="J3457" i="3"/>
  <c r="H3457" i="3"/>
  <c r="F3457" i="3"/>
  <c r="D3458" i="3"/>
  <c r="I3458" i="3" l="1"/>
  <c r="E3459" i="3"/>
  <c r="J3458" i="3"/>
  <c r="H3458" i="3"/>
  <c r="F3458" i="3"/>
  <c r="D3459" i="3"/>
  <c r="I3459" i="3" l="1"/>
  <c r="E3460" i="3"/>
  <c r="J3459" i="3"/>
  <c r="H3459" i="3"/>
  <c r="F3459" i="3"/>
  <c r="D3460" i="3"/>
  <c r="I3460" i="3" l="1"/>
  <c r="E3461" i="3"/>
  <c r="J3460" i="3"/>
  <c r="H3460" i="3"/>
  <c r="F3460" i="3"/>
  <c r="D3461" i="3"/>
  <c r="I3461" i="3" l="1"/>
  <c r="E3462" i="3"/>
  <c r="J3461" i="3"/>
  <c r="H3461" i="3"/>
  <c r="F3461" i="3"/>
  <c r="D3462" i="3"/>
  <c r="I3462" i="3" l="1"/>
  <c r="E3463" i="3"/>
  <c r="J3462" i="3"/>
  <c r="H3462" i="3"/>
  <c r="F3462" i="3"/>
  <c r="D3463" i="3"/>
  <c r="I3463" i="3" l="1"/>
  <c r="E3464" i="3"/>
  <c r="J3463" i="3"/>
  <c r="H3463" i="3"/>
  <c r="F3463" i="3"/>
  <c r="D3464" i="3"/>
  <c r="I3464" i="3" l="1"/>
  <c r="E3465" i="3"/>
  <c r="J3464" i="3"/>
  <c r="H3464" i="3"/>
  <c r="F3464" i="3"/>
  <c r="D3465" i="3"/>
  <c r="I3465" i="3" l="1"/>
  <c r="E3466" i="3"/>
  <c r="J3465" i="3"/>
  <c r="H3465" i="3"/>
  <c r="F3465" i="3"/>
  <c r="D3466" i="3"/>
  <c r="I3466" i="3" l="1"/>
  <c r="E3467" i="3"/>
  <c r="J3466" i="3"/>
  <c r="H3466" i="3"/>
  <c r="F3466" i="3"/>
  <c r="D3467" i="3"/>
  <c r="I3467" i="3" l="1"/>
  <c r="E3468" i="3"/>
  <c r="J3467" i="3"/>
  <c r="H3467" i="3"/>
  <c r="F3467" i="3"/>
  <c r="D3468" i="3"/>
  <c r="I3468" i="3" l="1"/>
  <c r="E3469" i="3"/>
  <c r="J3468" i="3"/>
  <c r="H3468" i="3"/>
  <c r="F3468" i="3"/>
  <c r="D3469" i="3"/>
  <c r="I3469" i="3" l="1"/>
  <c r="E3470" i="3"/>
  <c r="J3469" i="3"/>
  <c r="H3469" i="3"/>
  <c r="F3469" i="3"/>
  <c r="D3470" i="3"/>
  <c r="I3470" i="3" l="1"/>
  <c r="E3471" i="3"/>
  <c r="J3470" i="3"/>
  <c r="H3470" i="3"/>
  <c r="F3470" i="3"/>
  <c r="D3471" i="3"/>
  <c r="I3471" i="3" l="1"/>
  <c r="E3472" i="3"/>
  <c r="J3471" i="3"/>
  <c r="H3471" i="3"/>
  <c r="F3471" i="3"/>
  <c r="D3472" i="3"/>
  <c r="I3472" i="3" l="1"/>
  <c r="E3473" i="3"/>
  <c r="J3472" i="3"/>
  <c r="H3472" i="3"/>
  <c r="F3472" i="3"/>
  <c r="D3473" i="3"/>
  <c r="I3473" i="3" l="1"/>
  <c r="E3474" i="3"/>
  <c r="J3473" i="3"/>
  <c r="H3473" i="3"/>
  <c r="F3473" i="3"/>
  <c r="D3474" i="3"/>
  <c r="I3474" i="3" l="1"/>
  <c r="E3475" i="3"/>
  <c r="J3474" i="3"/>
  <c r="H3474" i="3"/>
  <c r="F3474" i="3"/>
  <c r="D3475" i="3"/>
  <c r="I3475" i="3" l="1"/>
  <c r="E3476" i="3"/>
  <c r="J3475" i="3"/>
  <c r="H3475" i="3"/>
  <c r="F3475" i="3"/>
  <c r="D3476" i="3"/>
  <c r="I3476" i="3" l="1"/>
  <c r="E3477" i="3"/>
  <c r="J3476" i="3"/>
  <c r="H3476" i="3"/>
  <c r="F3476" i="3"/>
  <c r="D3477" i="3"/>
  <c r="I3477" i="3" l="1"/>
  <c r="E3478" i="3"/>
  <c r="J3477" i="3"/>
  <c r="H3477" i="3"/>
  <c r="F3477" i="3"/>
  <c r="D3478" i="3"/>
  <c r="I3478" i="3" l="1"/>
  <c r="E3479" i="3"/>
  <c r="J3478" i="3"/>
  <c r="H3478" i="3"/>
  <c r="F3478" i="3"/>
  <c r="D3479" i="3"/>
  <c r="I3479" i="3" l="1"/>
  <c r="E3480" i="3"/>
  <c r="J3479" i="3"/>
  <c r="H3479" i="3"/>
  <c r="F3479" i="3"/>
  <c r="D3480" i="3"/>
  <c r="I3480" i="3" l="1"/>
  <c r="E3481" i="3"/>
  <c r="J3480" i="3"/>
  <c r="H3480" i="3"/>
  <c r="F3480" i="3"/>
  <c r="D3481" i="3"/>
  <c r="I3481" i="3" l="1"/>
  <c r="E3482" i="3"/>
  <c r="J3481" i="3"/>
  <c r="H3481" i="3"/>
  <c r="F3481" i="3"/>
  <c r="D3482" i="3"/>
  <c r="I3482" i="3" l="1"/>
  <c r="E3483" i="3"/>
  <c r="J3482" i="3"/>
  <c r="H3482" i="3"/>
  <c r="F3482" i="3"/>
  <c r="D3483" i="3"/>
  <c r="I3483" i="3" l="1"/>
  <c r="E3484" i="3"/>
  <c r="J3483" i="3"/>
  <c r="H3483" i="3"/>
  <c r="F3483" i="3"/>
  <c r="D3484" i="3"/>
  <c r="I3484" i="3" l="1"/>
  <c r="E3485" i="3"/>
  <c r="J3484" i="3"/>
  <c r="H3484" i="3"/>
  <c r="F3484" i="3"/>
  <c r="D3485" i="3"/>
  <c r="I3485" i="3" l="1"/>
  <c r="E3486" i="3"/>
  <c r="J3485" i="3"/>
  <c r="H3485" i="3"/>
  <c r="F3485" i="3"/>
  <c r="D3486" i="3"/>
  <c r="I3486" i="3" l="1"/>
  <c r="E3487" i="3"/>
  <c r="J3486" i="3"/>
  <c r="H3486" i="3"/>
  <c r="F3486" i="3"/>
  <c r="D3487" i="3"/>
  <c r="I3487" i="3" l="1"/>
  <c r="E3488" i="3"/>
  <c r="J3487" i="3"/>
  <c r="H3487" i="3"/>
  <c r="F3487" i="3"/>
  <c r="D3488" i="3"/>
  <c r="I3488" i="3" l="1"/>
  <c r="E3489" i="3"/>
  <c r="J3488" i="3"/>
  <c r="H3488" i="3"/>
  <c r="F3488" i="3"/>
  <c r="D3489" i="3"/>
  <c r="I3489" i="3" l="1"/>
  <c r="E3490" i="3"/>
  <c r="J3489" i="3"/>
  <c r="H3489" i="3"/>
  <c r="F3489" i="3"/>
  <c r="D3490" i="3"/>
  <c r="I3490" i="3" l="1"/>
  <c r="E3491" i="3"/>
  <c r="J3490" i="3"/>
  <c r="H3490" i="3"/>
  <c r="F3490" i="3"/>
  <c r="D3491" i="3"/>
  <c r="I3491" i="3" l="1"/>
  <c r="E3492" i="3"/>
  <c r="J3491" i="3"/>
  <c r="H3491" i="3"/>
  <c r="F3491" i="3"/>
  <c r="D3492" i="3"/>
  <c r="I3492" i="3" l="1"/>
  <c r="E3493" i="3"/>
  <c r="J3492" i="3"/>
  <c r="H3492" i="3"/>
  <c r="F3492" i="3"/>
  <c r="D3493" i="3"/>
  <c r="I3493" i="3" l="1"/>
  <c r="E3494" i="3"/>
  <c r="J3493" i="3"/>
  <c r="H3493" i="3"/>
  <c r="F3493" i="3"/>
  <c r="D3494" i="3"/>
  <c r="I3494" i="3" l="1"/>
  <c r="E3495" i="3"/>
  <c r="J3494" i="3"/>
  <c r="H3494" i="3"/>
  <c r="F3494" i="3"/>
  <c r="D3495" i="3"/>
  <c r="I3495" i="3" l="1"/>
  <c r="E3496" i="3"/>
  <c r="J3495" i="3"/>
  <c r="H3495" i="3"/>
  <c r="F3495" i="3"/>
  <c r="D3496" i="3"/>
  <c r="I3496" i="3" l="1"/>
  <c r="E3497" i="3"/>
  <c r="J3496" i="3"/>
  <c r="H3496" i="3"/>
  <c r="F3496" i="3"/>
  <c r="D3497" i="3"/>
  <c r="I3497" i="3" l="1"/>
  <c r="E3498" i="3"/>
  <c r="J3497" i="3"/>
  <c r="H3497" i="3"/>
  <c r="F3497" i="3"/>
  <c r="D3498" i="3"/>
  <c r="I3498" i="3" l="1"/>
  <c r="E3499" i="3"/>
  <c r="J3498" i="3"/>
  <c r="H3498" i="3"/>
  <c r="F3498" i="3"/>
  <c r="D3499" i="3"/>
  <c r="I3499" i="3" l="1"/>
  <c r="E3500" i="3"/>
  <c r="J3499" i="3"/>
  <c r="H3499" i="3"/>
  <c r="F3499" i="3"/>
  <c r="D3500" i="3"/>
  <c r="I3500" i="3" l="1"/>
  <c r="E3501" i="3"/>
  <c r="J3500" i="3"/>
  <c r="H3500" i="3"/>
  <c r="F3500" i="3"/>
  <c r="D3501" i="3"/>
  <c r="I3501" i="3" l="1"/>
  <c r="E3502" i="3"/>
  <c r="J3501" i="3"/>
  <c r="H3501" i="3"/>
  <c r="F3501" i="3"/>
  <c r="D3502" i="3"/>
  <c r="I3502" i="3" l="1"/>
  <c r="E3503" i="3"/>
  <c r="J3502" i="3"/>
  <c r="H3502" i="3"/>
  <c r="F3502" i="3"/>
  <c r="D3503" i="3"/>
  <c r="I3503" i="3" l="1"/>
  <c r="E3504" i="3"/>
  <c r="J3503" i="3"/>
  <c r="H3503" i="3"/>
  <c r="F3503" i="3"/>
  <c r="D3504" i="3"/>
  <c r="I3504" i="3" l="1"/>
  <c r="E3505" i="3"/>
  <c r="J3504" i="3"/>
  <c r="H3504" i="3"/>
  <c r="F3504" i="3"/>
  <c r="D3505" i="3"/>
  <c r="I3505" i="3" l="1"/>
  <c r="E3506" i="3"/>
  <c r="J3505" i="3"/>
  <c r="H3505" i="3"/>
  <c r="F3505" i="3"/>
  <c r="D3506" i="3"/>
  <c r="I3506" i="3" l="1"/>
  <c r="E3507" i="3"/>
  <c r="J3506" i="3"/>
  <c r="H3506" i="3"/>
  <c r="F3506" i="3"/>
  <c r="D3507" i="3"/>
  <c r="I3507" i="3" l="1"/>
  <c r="E3508" i="3"/>
  <c r="J3507" i="3"/>
  <c r="H3507" i="3"/>
  <c r="F3507" i="3"/>
  <c r="D3508" i="3"/>
  <c r="I3508" i="3" l="1"/>
  <c r="E3509" i="3"/>
  <c r="J3508" i="3"/>
  <c r="H3508" i="3"/>
  <c r="F3508" i="3"/>
  <c r="D3509" i="3"/>
  <c r="I3509" i="3" l="1"/>
  <c r="E3510" i="3"/>
  <c r="J3509" i="3"/>
  <c r="H3509" i="3"/>
  <c r="F3509" i="3"/>
  <c r="D3510" i="3"/>
  <c r="I3510" i="3" l="1"/>
  <c r="E3511" i="3"/>
  <c r="J3510" i="3"/>
  <c r="H3510" i="3"/>
  <c r="F3510" i="3"/>
  <c r="D3511" i="3"/>
  <c r="I3511" i="3" l="1"/>
  <c r="E3512" i="3"/>
  <c r="J3511" i="3"/>
  <c r="H3511" i="3"/>
  <c r="F3511" i="3"/>
  <c r="D3512" i="3"/>
  <c r="I3512" i="3" l="1"/>
  <c r="E3513" i="3"/>
  <c r="J3512" i="3"/>
  <c r="H3512" i="3"/>
  <c r="F3512" i="3"/>
  <c r="D3513" i="3"/>
  <c r="I3513" i="3" l="1"/>
  <c r="E3514" i="3"/>
  <c r="J3513" i="3"/>
  <c r="H3513" i="3"/>
  <c r="F3513" i="3"/>
  <c r="D3514" i="3"/>
  <c r="I3514" i="3" l="1"/>
  <c r="E3515" i="3"/>
  <c r="J3514" i="3"/>
  <c r="H3514" i="3"/>
  <c r="F3514" i="3"/>
  <c r="D3515" i="3"/>
  <c r="I3515" i="3" l="1"/>
  <c r="E3516" i="3"/>
  <c r="J3515" i="3"/>
  <c r="H3515" i="3"/>
  <c r="F3515" i="3"/>
  <c r="D3516" i="3"/>
  <c r="I3516" i="3" l="1"/>
  <c r="E3517" i="3"/>
  <c r="J3516" i="3"/>
  <c r="H3516" i="3"/>
  <c r="F3516" i="3"/>
  <c r="D3517" i="3"/>
  <c r="I3517" i="3" l="1"/>
  <c r="E3518" i="3"/>
  <c r="J3517" i="3"/>
  <c r="H3517" i="3"/>
  <c r="F3517" i="3"/>
  <c r="D3518" i="3"/>
  <c r="I3518" i="3" l="1"/>
  <c r="E3519" i="3"/>
  <c r="J3518" i="3"/>
  <c r="H3518" i="3"/>
  <c r="F3518" i="3"/>
  <c r="D3519" i="3"/>
  <c r="I3519" i="3" l="1"/>
  <c r="E3520" i="3"/>
  <c r="J3519" i="3"/>
  <c r="H3519" i="3"/>
  <c r="F3519" i="3"/>
  <c r="D3520" i="3"/>
  <c r="I3520" i="3" l="1"/>
  <c r="E3521" i="3"/>
  <c r="J3520" i="3"/>
  <c r="H3520" i="3"/>
  <c r="F3520" i="3"/>
  <c r="D3521" i="3"/>
  <c r="I3521" i="3" l="1"/>
  <c r="E3522" i="3"/>
  <c r="J3521" i="3"/>
  <c r="H3521" i="3"/>
  <c r="F3521" i="3"/>
  <c r="D3522" i="3"/>
  <c r="I3522" i="3" l="1"/>
  <c r="E3523" i="3"/>
  <c r="J3522" i="3"/>
  <c r="H3522" i="3"/>
  <c r="F3522" i="3"/>
  <c r="D3523" i="3"/>
  <c r="I3523" i="3" l="1"/>
  <c r="E3524" i="3"/>
  <c r="J3523" i="3"/>
  <c r="H3523" i="3"/>
  <c r="F3523" i="3"/>
  <c r="D3524" i="3"/>
  <c r="I3524" i="3" l="1"/>
  <c r="E3525" i="3"/>
  <c r="J3524" i="3"/>
  <c r="H3524" i="3"/>
  <c r="F3524" i="3"/>
  <c r="D3525" i="3"/>
  <c r="I3525" i="3" l="1"/>
  <c r="E3526" i="3"/>
  <c r="J3525" i="3"/>
  <c r="H3525" i="3"/>
  <c r="F3525" i="3"/>
  <c r="D3526" i="3"/>
  <c r="I3526" i="3" l="1"/>
  <c r="E3527" i="3"/>
  <c r="J3526" i="3"/>
  <c r="H3526" i="3"/>
  <c r="F3526" i="3"/>
  <c r="D3527" i="3"/>
  <c r="I3527" i="3" l="1"/>
  <c r="E3528" i="3"/>
  <c r="J3527" i="3"/>
  <c r="H3527" i="3"/>
  <c r="F3527" i="3"/>
  <c r="D3528" i="3"/>
  <c r="I3528" i="3" l="1"/>
  <c r="E3529" i="3"/>
  <c r="J3528" i="3"/>
  <c r="H3528" i="3"/>
  <c r="F3528" i="3"/>
  <c r="D3529" i="3"/>
  <c r="I3529" i="3" l="1"/>
  <c r="E3530" i="3"/>
  <c r="J3529" i="3"/>
  <c r="H3529" i="3"/>
  <c r="F3529" i="3"/>
  <c r="D3530" i="3"/>
  <c r="I3530" i="3" l="1"/>
  <c r="E3531" i="3"/>
  <c r="J3530" i="3"/>
  <c r="H3530" i="3"/>
  <c r="F3530" i="3"/>
  <c r="D3531" i="3"/>
  <c r="I3531" i="3" l="1"/>
  <c r="E3532" i="3"/>
  <c r="J3531" i="3"/>
  <c r="H3531" i="3"/>
  <c r="F3531" i="3"/>
  <c r="D3532" i="3"/>
  <c r="I3532" i="3" l="1"/>
  <c r="E3533" i="3"/>
  <c r="J3532" i="3"/>
  <c r="H3532" i="3"/>
  <c r="F3532" i="3"/>
  <c r="D3533" i="3"/>
  <c r="I3533" i="3" l="1"/>
  <c r="E3534" i="3"/>
  <c r="J3533" i="3"/>
  <c r="H3533" i="3"/>
  <c r="F3533" i="3"/>
  <c r="D3534" i="3"/>
  <c r="I3534" i="3" l="1"/>
  <c r="E3535" i="3"/>
  <c r="J3534" i="3"/>
  <c r="H3534" i="3"/>
  <c r="F3534" i="3"/>
  <c r="D3535" i="3"/>
  <c r="I3535" i="3" l="1"/>
  <c r="E3536" i="3"/>
  <c r="J3535" i="3"/>
  <c r="H3535" i="3"/>
  <c r="F3535" i="3"/>
  <c r="D3536" i="3"/>
  <c r="I3536" i="3" l="1"/>
  <c r="E3537" i="3"/>
  <c r="J3536" i="3"/>
  <c r="H3536" i="3"/>
  <c r="F3536" i="3"/>
  <c r="D3537" i="3"/>
  <c r="I3537" i="3" l="1"/>
  <c r="E3538" i="3"/>
  <c r="J3537" i="3"/>
  <c r="H3537" i="3"/>
  <c r="F3537" i="3"/>
  <c r="D3538" i="3"/>
  <c r="I3538" i="3" l="1"/>
  <c r="E3539" i="3"/>
  <c r="J3538" i="3"/>
  <c r="H3538" i="3"/>
  <c r="F3538" i="3"/>
  <c r="D3539" i="3"/>
  <c r="I3539" i="3" l="1"/>
  <c r="E3540" i="3"/>
  <c r="J3539" i="3"/>
  <c r="H3539" i="3"/>
  <c r="F3539" i="3"/>
  <c r="D3540" i="3"/>
  <c r="I3540" i="3" l="1"/>
  <c r="E3541" i="3"/>
  <c r="J3540" i="3"/>
  <c r="H3540" i="3"/>
  <c r="F3540" i="3"/>
  <c r="D3541" i="3"/>
  <c r="I3541" i="3" l="1"/>
  <c r="E3542" i="3"/>
  <c r="J3541" i="3"/>
  <c r="H3541" i="3"/>
  <c r="F3541" i="3"/>
  <c r="D3542" i="3"/>
  <c r="I3542" i="3" l="1"/>
  <c r="E3543" i="3"/>
  <c r="J3542" i="3"/>
  <c r="H3542" i="3"/>
  <c r="F3542" i="3"/>
  <c r="D3543" i="3"/>
  <c r="I3543" i="3" l="1"/>
  <c r="E3544" i="3"/>
  <c r="J3543" i="3"/>
  <c r="H3543" i="3"/>
  <c r="F3543" i="3"/>
  <c r="D3544" i="3"/>
  <c r="I3544" i="3" l="1"/>
  <c r="E3545" i="3"/>
  <c r="J3544" i="3"/>
  <c r="H3544" i="3"/>
  <c r="F3544" i="3"/>
  <c r="D3545" i="3"/>
  <c r="I3545" i="3" l="1"/>
  <c r="E3546" i="3"/>
  <c r="J3545" i="3"/>
  <c r="H3545" i="3"/>
  <c r="F3545" i="3"/>
  <c r="D3546" i="3"/>
  <c r="I3546" i="3" l="1"/>
  <c r="E3547" i="3"/>
  <c r="J3546" i="3"/>
  <c r="H3546" i="3"/>
  <c r="F3546" i="3"/>
  <c r="D3547" i="3"/>
  <c r="I3547" i="3" l="1"/>
  <c r="E3548" i="3"/>
  <c r="J3547" i="3"/>
  <c r="H3547" i="3"/>
  <c r="F3547" i="3"/>
  <c r="D3548" i="3"/>
  <c r="I3548" i="3" l="1"/>
  <c r="E3549" i="3"/>
  <c r="J3548" i="3"/>
  <c r="H3548" i="3"/>
  <c r="F3548" i="3"/>
  <c r="D3549" i="3"/>
  <c r="I3549" i="3" l="1"/>
  <c r="E3550" i="3"/>
  <c r="J3549" i="3"/>
  <c r="H3549" i="3"/>
  <c r="F3549" i="3"/>
  <c r="D3550" i="3"/>
  <c r="I3550" i="3" l="1"/>
  <c r="E3551" i="3"/>
  <c r="J3550" i="3"/>
  <c r="H3550" i="3"/>
  <c r="F3550" i="3"/>
  <c r="D3551" i="3"/>
  <c r="I3551" i="3" l="1"/>
  <c r="E3552" i="3"/>
  <c r="J3551" i="3"/>
  <c r="H3551" i="3"/>
  <c r="F3551" i="3"/>
  <c r="D3552" i="3"/>
  <c r="I3552" i="3" l="1"/>
  <c r="E3553" i="3"/>
  <c r="J3552" i="3"/>
  <c r="H3552" i="3"/>
  <c r="F3552" i="3"/>
  <c r="D3553" i="3"/>
  <c r="I3553" i="3" l="1"/>
  <c r="E3554" i="3"/>
  <c r="J3553" i="3"/>
  <c r="H3553" i="3"/>
  <c r="F3553" i="3"/>
  <c r="D3554" i="3"/>
  <c r="I3554" i="3" l="1"/>
  <c r="E3555" i="3"/>
  <c r="J3554" i="3"/>
  <c r="H3554" i="3"/>
  <c r="F3554" i="3"/>
  <c r="D3555" i="3"/>
  <c r="I3555" i="3" l="1"/>
  <c r="E3556" i="3"/>
  <c r="J3555" i="3"/>
  <c r="H3555" i="3"/>
  <c r="F3555" i="3"/>
  <c r="D3556" i="3"/>
  <c r="I3556" i="3" l="1"/>
  <c r="E3557" i="3"/>
  <c r="J3556" i="3"/>
  <c r="H3556" i="3"/>
  <c r="F3556" i="3"/>
  <c r="D3557" i="3"/>
  <c r="I3557" i="3" l="1"/>
  <c r="E3558" i="3"/>
  <c r="J3557" i="3"/>
  <c r="H3557" i="3"/>
  <c r="F3557" i="3"/>
  <c r="D3558" i="3"/>
  <c r="I3558" i="3" l="1"/>
  <c r="E3559" i="3"/>
  <c r="J3558" i="3"/>
  <c r="H3558" i="3"/>
  <c r="F3558" i="3"/>
  <c r="D3559" i="3"/>
  <c r="I3559" i="3" l="1"/>
  <c r="E3560" i="3"/>
  <c r="J3559" i="3"/>
  <c r="H3559" i="3"/>
  <c r="F3559" i="3"/>
  <c r="D3560" i="3"/>
  <c r="I3560" i="3" l="1"/>
  <c r="E3561" i="3"/>
  <c r="J3560" i="3"/>
  <c r="H3560" i="3"/>
  <c r="F3560" i="3"/>
  <c r="D3561" i="3"/>
  <c r="I3561" i="3" l="1"/>
  <c r="E3562" i="3"/>
  <c r="J3561" i="3"/>
  <c r="H3561" i="3"/>
  <c r="F3561" i="3"/>
  <c r="D3562" i="3"/>
  <c r="I3562" i="3" l="1"/>
  <c r="E3563" i="3"/>
  <c r="J3562" i="3"/>
  <c r="H3562" i="3"/>
  <c r="F3562" i="3"/>
  <c r="D3563" i="3"/>
  <c r="I3563" i="3" l="1"/>
  <c r="E3564" i="3"/>
  <c r="J3563" i="3"/>
  <c r="H3563" i="3"/>
  <c r="F3563" i="3"/>
  <c r="D3564" i="3"/>
  <c r="I3564" i="3" l="1"/>
  <c r="E3565" i="3"/>
  <c r="J3564" i="3"/>
  <c r="H3564" i="3"/>
  <c r="F3564" i="3"/>
  <c r="D3565" i="3"/>
  <c r="I3565" i="3" l="1"/>
  <c r="E3566" i="3"/>
  <c r="J3565" i="3"/>
  <c r="H3565" i="3"/>
  <c r="F3565" i="3"/>
  <c r="D3566" i="3"/>
  <c r="I3566" i="3" l="1"/>
  <c r="E3567" i="3"/>
  <c r="J3566" i="3"/>
  <c r="H3566" i="3"/>
  <c r="F3566" i="3"/>
  <c r="D3567" i="3"/>
  <c r="I3567" i="3" l="1"/>
  <c r="E3568" i="3"/>
  <c r="J3567" i="3"/>
  <c r="H3567" i="3"/>
  <c r="F3567" i="3"/>
  <c r="D3568" i="3"/>
  <c r="I3568" i="3" l="1"/>
  <c r="E3569" i="3"/>
  <c r="J3568" i="3"/>
  <c r="H3568" i="3"/>
  <c r="F3568" i="3"/>
  <c r="D3569" i="3"/>
  <c r="I3569" i="3" l="1"/>
  <c r="E3570" i="3"/>
  <c r="J3569" i="3"/>
  <c r="H3569" i="3"/>
  <c r="F3569" i="3"/>
  <c r="D3570" i="3"/>
  <c r="I3570" i="3" l="1"/>
  <c r="E3571" i="3"/>
  <c r="J3570" i="3"/>
  <c r="H3570" i="3"/>
  <c r="F3570" i="3"/>
  <c r="D3571" i="3"/>
  <c r="I3571" i="3" l="1"/>
  <c r="E3572" i="3"/>
  <c r="J3571" i="3"/>
  <c r="H3571" i="3"/>
  <c r="F3571" i="3"/>
  <c r="D3572" i="3"/>
  <c r="I3572" i="3" l="1"/>
  <c r="E3573" i="3"/>
  <c r="J3572" i="3"/>
  <c r="H3572" i="3"/>
  <c r="F3572" i="3"/>
  <c r="D3573" i="3"/>
  <c r="I3573" i="3" l="1"/>
  <c r="E3574" i="3"/>
  <c r="J3573" i="3"/>
  <c r="H3573" i="3"/>
  <c r="F3573" i="3"/>
  <c r="D3574" i="3"/>
  <c r="I3574" i="3" l="1"/>
  <c r="E3575" i="3"/>
  <c r="J3574" i="3"/>
  <c r="H3574" i="3"/>
  <c r="F3574" i="3"/>
  <c r="D3575" i="3"/>
  <c r="I3575" i="3" l="1"/>
  <c r="E3576" i="3"/>
  <c r="J3575" i="3"/>
  <c r="H3575" i="3"/>
  <c r="F3575" i="3"/>
  <c r="D3576" i="3"/>
  <c r="I3576" i="3" l="1"/>
  <c r="E3577" i="3"/>
  <c r="J3576" i="3"/>
  <c r="H3576" i="3"/>
  <c r="F3576" i="3"/>
  <c r="D3577" i="3"/>
  <c r="I3577" i="3" l="1"/>
  <c r="E3578" i="3"/>
  <c r="J3577" i="3"/>
  <c r="H3577" i="3"/>
  <c r="F3577" i="3"/>
  <c r="D3578" i="3"/>
  <c r="I3578" i="3" l="1"/>
  <c r="E3579" i="3"/>
  <c r="J3578" i="3"/>
  <c r="H3578" i="3"/>
  <c r="F3578" i="3"/>
  <c r="D3579" i="3"/>
  <c r="I3579" i="3" l="1"/>
  <c r="E3580" i="3"/>
  <c r="J3579" i="3"/>
  <c r="H3579" i="3"/>
  <c r="F3579" i="3"/>
  <c r="D3580" i="3"/>
  <c r="I3580" i="3" l="1"/>
  <c r="E3581" i="3"/>
  <c r="J3580" i="3"/>
  <c r="H3580" i="3"/>
  <c r="F3580" i="3"/>
  <c r="D3581" i="3"/>
  <c r="I3581" i="3" l="1"/>
  <c r="E3582" i="3"/>
  <c r="J3581" i="3"/>
  <c r="H3581" i="3"/>
  <c r="F3581" i="3"/>
  <c r="D3582" i="3"/>
  <c r="I3582" i="3" l="1"/>
  <c r="E3583" i="3"/>
  <c r="J3582" i="3"/>
  <c r="H3582" i="3"/>
  <c r="F3582" i="3"/>
  <c r="D3583" i="3"/>
  <c r="I3583" i="3" l="1"/>
  <c r="E3584" i="3"/>
  <c r="J3583" i="3"/>
  <c r="H3583" i="3"/>
  <c r="F3583" i="3"/>
  <c r="D3584" i="3"/>
  <c r="I3584" i="3" l="1"/>
  <c r="E3585" i="3"/>
  <c r="J3584" i="3"/>
  <c r="H3584" i="3"/>
  <c r="F3584" i="3"/>
  <c r="D3585" i="3"/>
  <c r="I3585" i="3" l="1"/>
  <c r="E3586" i="3"/>
  <c r="J3585" i="3"/>
  <c r="H3585" i="3"/>
  <c r="F3585" i="3"/>
  <c r="D3586" i="3"/>
  <c r="I3586" i="3" l="1"/>
  <c r="E3587" i="3"/>
  <c r="J3586" i="3"/>
  <c r="H3586" i="3"/>
  <c r="F3586" i="3"/>
  <c r="D3587" i="3"/>
  <c r="I3587" i="3" l="1"/>
  <c r="E3588" i="3"/>
  <c r="J3587" i="3"/>
  <c r="H3587" i="3"/>
  <c r="F3587" i="3"/>
  <c r="D3588" i="3"/>
  <c r="I3588" i="3" l="1"/>
  <c r="E3589" i="3"/>
  <c r="J3588" i="3"/>
  <c r="H3588" i="3"/>
  <c r="F3588" i="3"/>
  <c r="D3589" i="3"/>
  <c r="I3589" i="3" l="1"/>
  <c r="E3590" i="3"/>
  <c r="J3589" i="3"/>
  <c r="H3589" i="3"/>
  <c r="F3589" i="3"/>
  <c r="D3590" i="3"/>
  <c r="I3590" i="3" l="1"/>
  <c r="E3591" i="3"/>
  <c r="J3590" i="3"/>
  <c r="H3590" i="3"/>
  <c r="F3590" i="3"/>
  <c r="D3591" i="3"/>
  <c r="I3591" i="3" l="1"/>
  <c r="E3592" i="3"/>
  <c r="J3591" i="3"/>
  <c r="H3591" i="3"/>
  <c r="F3591" i="3"/>
  <c r="D3592" i="3"/>
  <c r="I3592" i="3" l="1"/>
  <c r="E3593" i="3"/>
  <c r="J3592" i="3"/>
  <c r="H3592" i="3"/>
  <c r="F3592" i="3"/>
  <c r="D3593" i="3"/>
  <c r="I3593" i="3" l="1"/>
  <c r="E3594" i="3"/>
  <c r="J3593" i="3"/>
  <c r="H3593" i="3"/>
  <c r="F3593" i="3"/>
  <c r="D3594" i="3"/>
  <c r="I3594" i="3" l="1"/>
  <c r="E3595" i="3"/>
  <c r="J3594" i="3"/>
  <c r="H3594" i="3"/>
  <c r="F3594" i="3"/>
  <c r="D3595" i="3"/>
  <c r="I3595" i="3" l="1"/>
  <c r="E3596" i="3"/>
  <c r="J3595" i="3"/>
  <c r="H3595" i="3"/>
  <c r="F3595" i="3"/>
  <c r="D3596" i="3"/>
  <c r="I3596" i="3" l="1"/>
  <c r="E3597" i="3"/>
  <c r="J3596" i="3"/>
  <c r="H3596" i="3"/>
  <c r="F3596" i="3"/>
  <c r="D3597" i="3"/>
  <c r="I3597" i="3" l="1"/>
  <c r="E3598" i="3"/>
  <c r="J3597" i="3"/>
  <c r="H3597" i="3"/>
  <c r="F3597" i="3"/>
  <c r="D3598" i="3"/>
  <c r="I3598" i="3" l="1"/>
  <c r="E3599" i="3"/>
  <c r="J3598" i="3"/>
  <c r="H3598" i="3"/>
  <c r="F3598" i="3"/>
  <c r="D3599" i="3"/>
  <c r="I3599" i="3" l="1"/>
  <c r="E3600" i="3"/>
  <c r="J3599" i="3"/>
  <c r="H3599" i="3"/>
  <c r="F3599" i="3"/>
  <c r="D3600" i="3"/>
  <c r="I3600" i="3" l="1"/>
  <c r="E3601" i="3"/>
  <c r="J3600" i="3"/>
  <c r="H3600" i="3"/>
  <c r="F3600" i="3"/>
  <c r="D3601" i="3"/>
  <c r="I3601" i="3" l="1"/>
  <c r="E3602" i="3"/>
  <c r="J3601" i="3"/>
  <c r="H3601" i="3"/>
  <c r="F3601" i="3"/>
  <c r="D3602" i="3"/>
  <c r="I3602" i="3" l="1"/>
  <c r="E3603" i="3"/>
  <c r="J3602" i="3"/>
  <c r="H3602" i="3"/>
  <c r="F3602" i="3"/>
  <c r="D3603" i="3"/>
  <c r="I3603" i="3" l="1"/>
  <c r="E3604" i="3"/>
  <c r="J3603" i="3"/>
  <c r="H3603" i="3"/>
  <c r="F3603" i="3"/>
  <c r="D3604" i="3"/>
  <c r="I3604" i="3" l="1"/>
  <c r="E3605" i="3"/>
  <c r="J3604" i="3"/>
  <c r="H3604" i="3"/>
  <c r="F3604" i="3"/>
  <c r="D3605" i="3"/>
  <c r="I3605" i="3" l="1"/>
  <c r="E3606" i="3"/>
  <c r="J3605" i="3"/>
  <c r="H3605" i="3"/>
  <c r="F3605" i="3"/>
  <c r="D3606" i="3"/>
  <c r="I3606" i="3" l="1"/>
  <c r="E3607" i="3"/>
  <c r="J3606" i="3"/>
  <c r="H3606" i="3"/>
  <c r="F3606" i="3"/>
  <c r="D3607" i="3"/>
  <c r="I3607" i="3" l="1"/>
  <c r="E3608" i="3"/>
  <c r="J3607" i="3"/>
  <c r="H3607" i="3"/>
  <c r="F3607" i="3"/>
  <c r="D3608" i="3"/>
  <c r="I3608" i="3" l="1"/>
  <c r="E3609" i="3"/>
  <c r="J3608" i="3"/>
  <c r="H3608" i="3"/>
  <c r="F3608" i="3"/>
  <c r="D3609" i="3"/>
  <c r="I3609" i="3" l="1"/>
  <c r="E3610" i="3"/>
  <c r="J3609" i="3"/>
  <c r="H3609" i="3"/>
  <c r="F3609" i="3"/>
  <c r="D3610" i="3"/>
  <c r="I3610" i="3" l="1"/>
  <c r="E3611" i="3"/>
  <c r="J3610" i="3"/>
  <c r="H3610" i="3"/>
  <c r="F3610" i="3"/>
  <c r="D3611" i="3"/>
  <c r="I3611" i="3" l="1"/>
  <c r="E3612" i="3"/>
  <c r="J3611" i="3"/>
  <c r="H3611" i="3"/>
  <c r="F3611" i="3"/>
  <c r="D3612" i="3"/>
  <c r="I3612" i="3" l="1"/>
  <c r="E3613" i="3"/>
  <c r="J3612" i="3"/>
  <c r="H3612" i="3"/>
  <c r="F3612" i="3"/>
  <c r="D3613" i="3"/>
  <c r="I3613" i="3" l="1"/>
  <c r="E3614" i="3"/>
  <c r="J3613" i="3"/>
  <c r="H3613" i="3"/>
  <c r="F3613" i="3"/>
  <c r="D3614" i="3"/>
  <c r="I3614" i="3" l="1"/>
  <c r="E3615" i="3"/>
  <c r="J3614" i="3"/>
  <c r="H3614" i="3"/>
  <c r="F3614" i="3"/>
  <c r="D3615" i="3"/>
  <c r="I3615" i="3" l="1"/>
  <c r="E3616" i="3"/>
  <c r="J3615" i="3"/>
  <c r="H3615" i="3"/>
  <c r="F3615" i="3"/>
  <c r="D3616" i="3"/>
  <c r="I3616" i="3" l="1"/>
  <c r="E3617" i="3"/>
  <c r="J3616" i="3"/>
  <c r="H3616" i="3"/>
  <c r="F3616" i="3"/>
  <c r="D3617" i="3"/>
  <c r="I3617" i="3" l="1"/>
  <c r="E3618" i="3"/>
  <c r="J3617" i="3"/>
  <c r="H3617" i="3"/>
  <c r="F3617" i="3"/>
  <c r="D3618" i="3"/>
  <c r="I3618" i="3" l="1"/>
  <c r="E3619" i="3"/>
  <c r="J3618" i="3"/>
  <c r="H3618" i="3"/>
  <c r="F3618" i="3"/>
  <c r="D3619" i="3"/>
  <c r="I3619" i="3" l="1"/>
  <c r="E3620" i="3"/>
  <c r="J3619" i="3"/>
  <c r="H3619" i="3"/>
  <c r="F3619" i="3"/>
  <c r="D3620" i="3"/>
  <c r="I3620" i="3" l="1"/>
  <c r="E3621" i="3"/>
  <c r="J3620" i="3"/>
  <c r="H3620" i="3"/>
  <c r="F3620" i="3"/>
  <c r="D3621" i="3"/>
  <c r="I3621" i="3" l="1"/>
  <c r="E3622" i="3"/>
  <c r="J3621" i="3"/>
  <c r="H3621" i="3"/>
  <c r="F3621" i="3"/>
  <c r="D3622" i="3"/>
  <c r="I3622" i="3" l="1"/>
  <c r="E3623" i="3"/>
  <c r="J3622" i="3"/>
  <c r="H3622" i="3"/>
  <c r="F3622" i="3"/>
  <c r="D3623" i="3"/>
  <c r="I3623" i="3" l="1"/>
  <c r="E3624" i="3"/>
  <c r="J3623" i="3"/>
  <c r="H3623" i="3"/>
  <c r="F3623" i="3"/>
  <c r="D3624" i="3"/>
  <c r="I3624" i="3" l="1"/>
  <c r="E3625" i="3"/>
  <c r="J3624" i="3"/>
  <c r="H3624" i="3"/>
  <c r="F3624" i="3"/>
  <c r="D3625" i="3"/>
  <c r="I3625" i="3" l="1"/>
  <c r="E3626" i="3"/>
  <c r="J3625" i="3"/>
  <c r="H3625" i="3"/>
  <c r="F3625" i="3"/>
  <c r="D3626" i="3"/>
  <c r="I3626" i="3" l="1"/>
  <c r="E3627" i="3"/>
  <c r="J3626" i="3"/>
  <c r="H3626" i="3"/>
  <c r="F3626" i="3"/>
  <c r="D3627" i="3"/>
  <c r="I3627" i="3" l="1"/>
  <c r="E3628" i="3"/>
  <c r="J3627" i="3"/>
  <c r="H3627" i="3"/>
  <c r="F3627" i="3"/>
  <c r="D3628" i="3"/>
  <c r="I3628" i="3" l="1"/>
  <c r="E3629" i="3"/>
  <c r="J3628" i="3"/>
  <c r="H3628" i="3"/>
  <c r="F3628" i="3"/>
  <c r="D3629" i="3"/>
  <c r="I3629" i="3" l="1"/>
  <c r="E3630" i="3"/>
  <c r="J3629" i="3"/>
  <c r="H3629" i="3"/>
  <c r="F3629" i="3"/>
  <c r="D3630" i="3"/>
  <c r="I3630" i="3" l="1"/>
  <c r="E3631" i="3"/>
  <c r="J3630" i="3"/>
  <c r="H3630" i="3"/>
  <c r="F3630" i="3"/>
  <c r="D3631" i="3"/>
  <c r="I3631" i="3" l="1"/>
  <c r="E3632" i="3"/>
  <c r="J3631" i="3"/>
  <c r="H3631" i="3"/>
  <c r="F3631" i="3"/>
  <c r="D3632" i="3"/>
  <c r="I3632" i="3" l="1"/>
  <c r="E3633" i="3"/>
  <c r="J3632" i="3"/>
  <c r="H3632" i="3"/>
  <c r="F3632" i="3"/>
  <c r="D3633" i="3"/>
  <c r="I3633" i="3" l="1"/>
  <c r="E3634" i="3"/>
  <c r="J3633" i="3"/>
  <c r="H3633" i="3"/>
  <c r="F3633" i="3"/>
  <c r="D3634" i="3"/>
  <c r="I3634" i="3" l="1"/>
  <c r="E3635" i="3"/>
  <c r="J3634" i="3"/>
  <c r="H3634" i="3"/>
  <c r="F3634" i="3"/>
  <c r="D3635" i="3"/>
  <c r="I3635" i="3" l="1"/>
  <c r="E3636" i="3"/>
  <c r="J3635" i="3"/>
  <c r="H3635" i="3"/>
  <c r="F3635" i="3"/>
  <c r="D3636" i="3"/>
  <c r="I3636" i="3" l="1"/>
  <c r="E3637" i="3"/>
  <c r="J3636" i="3"/>
  <c r="H3636" i="3"/>
  <c r="F3636" i="3"/>
  <c r="D3637" i="3"/>
  <c r="I3637" i="3" l="1"/>
  <c r="E3638" i="3"/>
  <c r="J3637" i="3"/>
  <c r="H3637" i="3"/>
  <c r="F3637" i="3"/>
  <c r="D3638" i="3"/>
  <c r="I3638" i="3" l="1"/>
  <c r="E3639" i="3"/>
  <c r="J3638" i="3"/>
  <c r="H3638" i="3"/>
  <c r="F3638" i="3"/>
  <c r="D3639" i="3"/>
  <c r="I3639" i="3" l="1"/>
  <c r="E3640" i="3"/>
  <c r="J3639" i="3"/>
  <c r="H3639" i="3"/>
  <c r="F3639" i="3"/>
  <c r="D3640" i="3"/>
  <c r="I3640" i="3" l="1"/>
  <c r="E3641" i="3"/>
  <c r="J3640" i="3"/>
  <c r="H3640" i="3"/>
  <c r="F3640" i="3"/>
  <c r="D3641" i="3"/>
  <c r="I3641" i="3" l="1"/>
  <c r="E3642" i="3"/>
  <c r="J3641" i="3"/>
  <c r="H3641" i="3"/>
  <c r="F3641" i="3"/>
  <c r="D3642" i="3"/>
  <c r="I3642" i="3" l="1"/>
  <c r="E3643" i="3"/>
  <c r="J3642" i="3"/>
  <c r="H3642" i="3"/>
  <c r="F3642" i="3"/>
  <c r="D3643" i="3"/>
  <c r="I3643" i="3" l="1"/>
  <c r="E3644" i="3"/>
  <c r="J3643" i="3"/>
  <c r="H3643" i="3"/>
  <c r="F3643" i="3"/>
  <c r="D3644" i="3"/>
  <c r="I3644" i="3" l="1"/>
  <c r="E3645" i="3"/>
  <c r="J3644" i="3"/>
  <c r="H3644" i="3"/>
  <c r="F3644" i="3"/>
  <c r="D3645" i="3"/>
  <c r="I3645" i="3" l="1"/>
  <c r="E3646" i="3"/>
  <c r="J3645" i="3"/>
  <c r="H3645" i="3"/>
  <c r="F3645" i="3"/>
  <c r="D3646" i="3"/>
  <c r="I3646" i="3" l="1"/>
  <c r="E3647" i="3"/>
  <c r="J3646" i="3"/>
  <c r="H3646" i="3"/>
  <c r="F3646" i="3"/>
  <c r="D3647" i="3"/>
  <c r="I3647" i="3" l="1"/>
  <c r="E3648" i="3"/>
  <c r="J3647" i="3"/>
  <c r="H3647" i="3"/>
  <c r="F3647" i="3"/>
  <c r="D3648" i="3"/>
  <c r="I3648" i="3" l="1"/>
  <c r="E3649" i="3"/>
  <c r="J3648" i="3"/>
  <c r="H3648" i="3"/>
  <c r="F3648" i="3"/>
  <c r="D3649" i="3"/>
  <c r="I3649" i="3" l="1"/>
  <c r="E3650" i="3"/>
  <c r="J3649" i="3"/>
  <c r="H3649" i="3"/>
  <c r="F3649" i="3"/>
  <c r="D3650" i="3"/>
  <c r="I3650" i="3" l="1"/>
  <c r="E3651" i="3"/>
  <c r="J3650" i="3"/>
  <c r="H3650" i="3"/>
  <c r="F3650" i="3"/>
  <c r="D3651" i="3"/>
  <c r="I3651" i="3" l="1"/>
  <c r="E3652" i="3"/>
  <c r="J3651" i="3"/>
  <c r="H3651" i="3"/>
  <c r="F3651" i="3"/>
  <c r="D3652" i="3"/>
  <c r="I3652" i="3" l="1"/>
  <c r="E3653" i="3"/>
  <c r="J3652" i="3"/>
  <c r="H3652" i="3"/>
  <c r="F3652" i="3"/>
  <c r="D3653" i="3"/>
  <c r="I3653" i="3" l="1"/>
  <c r="E3654" i="3"/>
  <c r="J3653" i="3"/>
  <c r="H3653" i="3"/>
  <c r="F3653" i="3"/>
  <c r="D3654" i="3"/>
  <c r="I3654" i="3" l="1"/>
  <c r="E3655" i="3"/>
  <c r="J3654" i="3"/>
  <c r="H3654" i="3"/>
  <c r="F3654" i="3"/>
  <c r="D3655" i="3"/>
  <c r="I3655" i="3" l="1"/>
  <c r="E3656" i="3"/>
  <c r="J3655" i="3"/>
  <c r="H3655" i="3"/>
  <c r="F3655" i="3"/>
  <c r="D3656" i="3"/>
  <c r="I3656" i="3" l="1"/>
  <c r="E3657" i="3"/>
  <c r="J3656" i="3"/>
  <c r="H3656" i="3"/>
  <c r="F3656" i="3"/>
  <c r="D3657" i="3"/>
  <c r="I3657" i="3" l="1"/>
  <c r="E3658" i="3"/>
  <c r="J3657" i="3"/>
  <c r="H3657" i="3"/>
  <c r="F3657" i="3"/>
  <c r="D3658" i="3"/>
  <c r="I3658" i="3" l="1"/>
  <c r="E3659" i="3"/>
  <c r="J3658" i="3"/>
  <c r="H3658" i="3"/>
  <c r="F3658" i="3"/>
  <c r="D3659" i="3"/>
  <c r="I3659" i="3" l="1"/>
  <c r="E3660" i="3"/>
  <c r="J3659" i="3"/>
  <c r="H3659" i="3"/>
  <c r="F3659" i="3"/>
  <c r="D3660" i="3"/>
  <c r="I3660" i="3" l="1"/>
  <c r="E3661" i="3"/>
  <c r="J3660" i="3"/>
  <c r="H3660" i="3"/>
  <c r="F3660" i="3"/>
  <c r="D3661" i="3"/>
  <c r="I3661" i="3" l="1"/>
  <c r="E3662" i="3"/>
  <c r="J3661" i="3"/>
  <c r="H3661" i="3"/>
  <c r="F3661" i="3"/>
  <c r="D3662" i="3"/>
  <c r="I3662" i="3" l="1"/>
  <c r="E3663" i="3"/>
  <c r="J3662" i="3"/>
  <c r="H3662" i="3"/>
  <c r="F3662" i="3"/>
  <c r="D3663" i="3"/>
  <c r="I3663" i="3" l="1"/>
  <c r="E3664" i="3"/>
  <c r="J3663" i="3"/>
  <c r="H3663" i="3"/>
  <c r="F3663" i="3"/>
  <c r="D3664" i="3"/>
  <c r="I3664" i="3" l="1"/>
  <c r="E3665" i="3"/>
  <c r="J3664" i="3"/>
  <c r="H3664" i="3"/>
  <c r="F3664" i="3"/>
  <c r="D3665" i="3"/>
  <c r="I3665" i="3" l="1"/>
  <c r="E3666" i="3"/>
  <c r="J3665" i="3"/>
  <c r="H3665" i="3"/>
  <c r="F3665" i="3"/>
  <c r="D3666" i="3"/>
  <c r="I3666" i="3" l="1"/>
  <c r="E3667" i="3"/>
  <c r="J3666" i="3"/>
  <c r="H3666" i="3"/>
  <c r="F3666" i="3"/>
  <c r="D3667" i="3"/>
  <c r="I3667" i="3" l="1"/>
  <c r="E3668" i="3"/>
  <c r="J3667" i="3"/>
  <c r="H3667" i="3"/>
  <c r="F3667" i="3"/>
  <c r="D3668" i="3"/>
  <c r="I3668" i="3" l="1"/>
  <c r="E3669" i="3"/>
  <c r="J3668" i="3"/>
  <c r="H3668" i="3"/>
  <c r="F3668" i="3"/>
  <c r="D3669" i="3"/>
  <c r="I3669" i="3" l="1"/>
  <c r="E3670" i="3"/>
  <c r="J3669" i="3"/>
  <c r="H3669" i="3"/>
  <c r="F3669" i="3"/>
  <c r="D3670" i="3"/>
  <c r="I3670" i="3" l="1"/>
  <c r="E3671" i="3"/>
  <c r="J3670" i="3"/>
  <c r="H3670" i="3"/>
  <c r="F3670" i="3"/>
  <c r="D3671" i="3"/>
  <c r="I3671" i="3" l="1"/>
  <c r="E3672" i="3"/>
  <c r="J3671" i="3"/>
  <c r="H3671" i="3"/>
  <c r="F3671" i="3"/>
  <c r="D3672" i="3"/>
  <c r="I3672" i="3" l="1"/>
  <c r="E3673" i="3"/>
  <c r="J3672" i="3"/>
  <c r="H3672" i="3"/>
  <c r="F3672" i="3"/>
  <c r="D3673" i="3"/>
  <c r="I3673" i="3" l="1"/>
  <c r="E3674" i="3"/>
  <c r="J3673" i="3"/>
  <c r="H3673" i="3"/>
  <c r="F3673" i="3"/>
  <c r="D3674" i="3"/>
  <c r="I3674" i="3" l="1"/>
  <c r="E3675" i="3"/>
  <c r="J3674" i="3"/>
  <c r="H3674" i="3"/>
  <c r="F3674" i="3"/>
  <c r="D3675" i="3"/>
  <c r="I3675" i="3" l="1"/>
  <c r="E3676" i="3"/>
  <c r="J3675" i="3"/>
  <c r="H3675" i="3"/>
  <c r="F3675" i="3"/>
  <c r="D3676" i="3"/>
  <c r="I3676" i="3" l="1"/>
  <c r="E3677" i="3"/>
  <c r="J3676" i="3"/>
  <c r="H3676" i="3"/>
  <c r="F3676" i="3"/>
  <c r="D3677" i="3"/>
  <c r="I3677" i="3" l="1"/>
  <c r="E3678" i="3"/>
  <c r="J3677" i="3"/>
  <c r="H3677" i="3"/>
  <c r="F3677" i="3"/>
  <c r="D3678" i="3"/>
  <c r="I3678" i="3" l="1"/>
  <c r="E3679" i="3"/>
  <c r="J3678" i="3"/>
  <c r="H3678" i="3"/>
  <c r="F3678" i="3"/>
  <c r="D3679" i="3"/>
  <c r="I3679" i="3" l="1"/>
  <c r="E3680" i="3"/>
  <c r="J3679" i="3"/>
  <c r="H3679" i="3"/>
  <c r="F3679" i="3"/>
  <c r="D3680" i="3"/>
  <c r="I3680" i="3" l="1"/>
  <c r="E3681" i="3"/>
  <c r="J3680" i="3"/>
  <c r="H3680" i="3"/>
  <c r="F3680" i="3"/>
  <c r="D3681" i="3"/>
  <c r="I3681" i="3" l="1"/>
  <c r="E3682" i="3"/>
  <c r="J3681" i="3"/>
  <c r="H3681" i="3"/>
  <c r="F3681" i="3"/>
  <c r="D3682" i="3"/>
  <c r="I3682" i="3" l="1"/>
  <c r="E3683" i="3"/>
  <c r="J3682" i="3"/>
  <c r="H3682" i="3"/>
  <c r="F3682" i="3"/>
  <c r="D3683" i="3"/>
  <c r="I3683" i="3" l="1"/>
  <c r="E3684" i="3"/>
  <c r="J3683" i="3"/>
  <c r="H3683" i="3"/>
  <c r="F3683" i="3"/>
  <c r="D3684" i="3"/>
  <c r="I3684" i="3" l="1"/>
  <c r="E3685" i="3"/>
  <c r="J3684" i="3"/>
  <c r="H3684" i="3"/>
  <c r="F3684" i="3"/>
  <c r="D3685" i="3"/>
  <c r="I3685" i="3" l="1"/>
  <c r="E3686" i="3"/>
  <c r="J3685" i="3"/>
  <c r="H3685" i="3"/>
  <c r="F3685" i="3"/>
  <c r="D3686" i="3"/>
  <c r="I3686" i="3" l="1"/>
  <c r="E3687" i="3"/>
  <c r="J3686" i="3"/>
  <c r="H3686" i="3"/>
  <c r="F3686" i="3"/>
  <c r="D3687" i="3"/>
  <c r="I3687" i="3" l="1"/>
  <c r="E3688" i="3"/>
  <c r="J3687" i="3"/>
  <c r="H3687" i="3"/>
  <c r="F3687" i="3"/>
  <c r="D3688" i="3"/>
  <c r="I3688" i="3" l="1"/>
  <c r="E3689" i="3"/>
  <c r="J3688" i="3"/>
  <c r="H3688" i="3"/>
  <c r="F3688" i="3"/>
  <c r="D3689" i="3"/>
  <c r="I3689" i="3" l="1"/>
  <c r="E3690" i="3"/>
  <c r="J3689" i="3"/>
  <c r="H3689" i="3"/>
  <c r="F3689" i="3"/>
  <c r="D3690" i="3"/>
  <c r="I3690" i="3" l="1"/>
  <c r="E3691" i="3"/>
  <c r="J3690" i="3"/>
  <c r="H3690" i="3"/>
  <c r="F3690" i="3"/>
  <c r="D3691" i="3"/>
  <c r="I3691" i="3" l="1"/>
  <c r="E3692" i="3"/>
  <c r="J3691" i="3"/>
  <c r="H3691" i="3"/>
  <c r="F3691" i="3"/>
  <c r="D3692" i="3"/>
  <c r="I3692" i="3" l="1"/>
  <c r="E3693" i="3"/>
  <c r="J3692" i="3"/>
  <c r="H3692" i="3"/>
  <c r="F3692" i="3"/>
  <c r="D3693" i="3"/>
  <c r="I3693" i="3" l="1"/>
  <c r="E3694" i="3"/>
  <c r="J3693" i="3"/>
  <c r="H3693" i="3"/>
  <c r="F3693" i="3"/>
  <c r="D3694" i="3"/>
  <c r="I3694" i="3" l="1"/>
  <c r="E3695" i="3"/>
  <c r="J3694" i="3"/>
  <c r="H3694" i="3"/>
  <c r="F3694" i="3"/>
  <c r="D3695" i="3"/>
  <c r="I3695" i="3" l="1"/>
  <c r="E3696" i="3"/>
  <c r="J3695" i="3"/>
  <c r="H3695" i="3"/>
  <c r="F3695" i="3"/>
  <c r="D3696" i="3"/>
  <c r="I3696" i="3" l="1"/>
  <c r="E3697" i="3"/>
  <c r="J3696" i="3"/>
  <c r="H3696" i="3"/>
  <c r="F3696" i="3"/>
  <c r="D3697" i="3"/>
  <c r="I3697" i="3" l="1"/>
  <c r="E3698" i="3"/>
  <c r="J3697" i="3"/>
  <c r="H3697" i="3"/>
  <c r="F3697" i="3"/>
  <c r="D3698" i="3"/>
  <c r="I3698" i="3" l="1"/>
  <c r="E3699" i="3"/>
  <c r="J3698" i="3"/>
  <c r="H3698" i="3"/>
  <c r="F3698" i="3"/>
  <c r="D3699" i="3"/>
  <c r="I3699" i="3" l="1"/>
  <c r="E3700" i="3"/>
  <c r="J3699" i="3"/>
  <c r="H3699" i="3"/>
  <c r="F3699" i="3"/>
  <c r="D3700" i="3"/>
  <c r="I3700" i="3" l="1"/>
  <c r="E3701" i="3"/>
  <c r="J3700" i="3"/>
  <c r="H3700" i="3"/>
  <c r="F3700" i="3"/>
  <c r="D3701" i="3"/>
  <c r="I3701" i="3" l="1"/>
  <c r="E3702" i="3"/>
  <c r="J3701" i="3"/>
  <c r="H3701" i="3"/>
  <c r="F3701" i="3"/>
  <c r="D3702" i="3"/>
  <c r="I3702" i="3" l="1"/>
  <c r="E3703" i="3"/>
  <c r="J3702" i="3"/>
  <c r="H3702" i="3"/>
  <c r="F3702" i="3"/>
  <c r="D3703" i="3"/>
  <c r="I3703" i="3" l="1"/>
  <c r="E3704" i="3"/>
  <c r="J3703" i="3"/>
  <c r="H3703" i="3"/>
  <c r="F3703" i="3"/>
  <c r="D3704" i="3"/>
  <c r="I3704" i="3" l="1"/>
  <c r="E3705" i="3"/>
  <c r="J3704" i="3"/>
  <c r="H3704" i="3"/>
  <c r="F3704" i="3"/>
  <c r="D3705" i="3"/>
  <c r="I3705" i="3" l="1"/>
  <c r="E3706" i="3"/>
  <c r="J3705" i="3"/>
  <c r="H3705" i="3"/>
  <c r="F3705" i="3"/>
  <c r="D3706" i="3"/>
  <c r="I3706" i="3" l="1"/>
  <c r="E3707" i="3"/>
  <c r="J3706" i="3"/>
  <c r="H3706" i="3"/>
  <c r="F3706" i="3"/>
  <c r="D3707" i="3"/>
  <c r="I3707" i="3" l="1"/>
  <c r="E3708" i="3"/>
  <c r="J3707" i="3"/>
  <c r="H3707" i="3"/>
  <c r="F3707" i="3"/>
  <c r="D3708" i="3"/>
  <c r="I3708" i="3" l="1"/>
  <c r="E3709" i="3"/>
  <c r="J3708" i="3"/>
  <c r="H3708" i="3"/>
  <c r="F3708" i="3"/>
  <c r="D3709" i="3"/>
  <c r="I3709" i="3" l="1"/>
  <c r="E3710" i="3"/>
  <c r="J3709" i="3"/>
  <c r="H3709" i="3"/>
  <c r="F3709" i="3"/>
  <c r="D3710" i="3"/>
  <c r="I3710" i="3" l="1"/>
  <c r="E3711" i="3"/>
  <c r="J3710" i="3"/>
  <c r="H3710" i="3"/>
  <c r="F3710" i="3"/>
  <c r="D3711" i="3"/>
  <c r="I3711" i="3" l="1"/>
  <c r="E3712" i="3"/>
  <c r="J3711" i="3"/>
  <c r="H3711" i="3"/>
  <c r="F3711" i="3"/>
  <c r="D3712" i="3"/>
  <c r="I3712" i="3" l="1"/>
  <c r="E3713" i="3"/>
  <c r="J3712" i="3"/>
  <c r="H3712" i="3"/>
  <c r="F3712" i="3"/>
  <c r="D3713" i="3"/>
  <c r="I3713" i="3" l="1"/>
  <c r="E3714" i="3"/>
  <c r="J3713" i="3"/>
  <c r="H3713" i="3"/>
  <c r="F3713" i="3"/>
  <c r="D3714" i="3"/>
  <c r="I3714" i="3" l="1"/>
  <c r="E3715" i="3"/>
  <c r="J3714" i="3"/>
  <c r="H3714" i="3"/>
  <c r="F3714" i="3"/>
  <c r="D3715" i="3"/>
  <c r="I3715" i="3" l="1"/>
  <c r="E3716" i="3"/>
  <c r="J3715" i="3"/>
  <c r="H3715" i="3"/>
  <c r="F3715" i="3"/>
  <c r="D3716" i="3"/>
  <c r="I3716" i="3" l="1"/>
  <c r="E3717" i="3"/>
  <c r="J3716" i="3"/>
  <c r="H3716" i="3"/>
  <c r="F3716" i="3"/>
  <c r="D3717" i="3"/>
  <c r="I3717" i="3" l="1"/>
  <c r="E3718" i="3"/>
  <c r="J3717" i="3"/>
  <c r="H3717" i="3"/>
  <c r="F3717" i="3"/>
  <c r="D3718" i="3"/>
  <c r="I3718" i="3" l="1"/>
  <c r="E3719" i="3"/>
  <c r="J3718" i="3"/>
  <c r="H3718" i="3"/>
  <c r="F3718" i="3"/>
  <c r="D3719" i="3"/>
  <c r="I3719" i="3" l="1"/>
  <c r="E3720" i="3"/>
  <c r="J3719" i="3"/>
  <c r="H3719" i="3"/>
  <c r="F3719" i="3"/>
  <c r="D3720" i="3"/>
  <c r="I3720" i="3" l="1"/>
  <c r="E3721" i="3"/>
  <c r="J3720" i="3"/>
  <c r="H3720" i="3"/>
  <c r="F3720" i="3"/>
  <c r="D3721" i="3"/>
  <c r="I3721" i="3" l="1"/>
  <c r="E3722" i="3"/>
  <c r="J3721" i="3"/>
  <c r="H3721" i="3"/>
  <c r="F3721" i="3"/>
  <c r="D3722" i="3"/>
  <c r="I3722" i="3" l="1"/>
  <c r="E3723" i="3"/>
  <c r="J3722" i="3"/>
  <c r="H3722" i="3"/>
  <c r="F3722" i="3"/>
  <c r="D3723" i="3"/>
  <c r="I3723" i="3" l="1"/>
  <c r="E3724" i="3"/>
  <c r="J3723" i="3"/>
  <c r="H3723" i="3"/>
  <c r="F3723" i="3"/>
  <c r="D3724" i="3"/>
  <c r="I3724" i="3" l="1"/>
  <c r="E3725" i="3"/>
  <c r="J3724" i="3"/>
  <c r="H3724" i="3"/>
  <c r="F3724" i="3"/>
  <c r="D3725" i="3"/>
  <c r="I3725" i="3" l="1"/>
  <c r="E3726" i="3"/>
  <c r="J3725" i="3"/>
  <c r="H3725" i="3"/>
  <c r="F3725" i="3"/>
  <c r="D3726" i="3"/>
  <c r="I3726" i="3" l="1"/>
  <c r="E3727" i="3"/>
  <c r="J3726" i="3"/>
  <c r="H3726" i="3"/>
  <c r="F3726" i="3"/>
  <c r="D3727" i="3"/>
  <c r="I3727" i="3" l="1"/>
  <c r="E3728" i="3"/>
  <c r="J3727" i="3"/>
  <c r="H3727" i="3"/>
  <c r="F3727" i="3"/>
  <c r="D3728" i="3"/>
  <c r="I3728" i="3" l="1"/>
  <c r="E3729" i="3"/>
  <c r="J3728" i="3"/>
  <c r="H3728" i="3"/>
  <c r="F3728" i="3"/>
  <c r="D3729" i="3"/>
  <c r="I3729" i="3" l="1"/>
  <c r="E3730" i="3"/>
  <c r="J3729" i="3"/>
  <c r="H3729" i="3"/>
  <c r="F3729" i="3"/>
  <c r="D3730" i="3"/>
  <c r="I3730" i="3" l="1"/>
  <c r="E3731" i="3"/>
  <c r="J3730" i="3"/>
  <c r="H3730" i="3"/>
  <c r="F3730" i="3"/>
  <c r="D3731" i="3"/>
  <c r="I3731" i="3" l="1"/>
  <c r="E3732" i="3"/>
  <c r="J3731" i="3"/>
  <c r="H3731" i="3"/>
  <c r="F3731" i="3"/>
  <c r="D3732" i="3"/>
  <c r="I3732" i="3" l="1"/>
  <c r="E3733" i="3"/>
  <c r="J3732" i="3"/>
  <c r="H3732" i="3"/>
  <c r="F3732" i="3"/>
  <c r="D3733" i="3"/>
  <c r="I3733" i="3" l="1"/>
  <c r="E3734" i="3"/>
  <c r="J3733" i="3"/>
  <c r="H3733" i="3"/>
  <c r="F3733" i="3"/>
  <c r="D3734" i="3"/>
  <c r="I3734" i="3" l="1"/>
  <c r="E3735" i="3"/>
  <c r="J3734" i="3"/>
  <c r="H3734" i="3"/>
  <c r="F3734" i="3"/>
  <c r="D3735" i="3"/>
  <c r="I3735" i="3" l="1"/>
  <c r="E3736" i="3"/>
  <c r="J3735" i="3"/>
  <c r="H3735" i="3"/>
  <c r="F3735" i="3"/>
  <c r="D3736" i="3"/>
  <c r="I3736" i="3" l="1"/>
  <c r="E3737" i="3"/>
  <c r="J3736" i="3"/>
  <c r="H3736" i="3"/>
  <c r="F3736" i="3"/>
  <c r="D3737" i="3"/>
  <c r="I3737" i="3" l="1"/>
  <c r="E3738" i="3"/>
  <c r="J3737" i="3"/>
  <c r="H3737" i="3"/>
  <c r="F3737" i="3"/>
  <c r="D3738" i="3"/>
  <c r="I3738" i="3" l="1"/>
  <c r="E3739" i="3"/>
  <c r="J3738" i="3"/>
  <c r="H3738" i="3"/>
  <c r="F3738" i="3"/>
  <c r="D3739" i="3"/>
  <c r="I3739" i="3" l="1"/>
  <c r="E3740" i="3"/>
  <c r="J3739" i="3"/>
  <c r="H3739" i="3"/>
  <c r="F3739" i="3"/>
  <c r="D3740" i="3"/>
  <c r="I3740" i="3" l="1"/>
  <c r="E3741" i="3"/>
  <c r="J3740" i="3"/>
  <c r="H3740" i="3"/>
  <c r="F3740" i="3"/>
  <c r="D3741" i="3"/>
  <c r="I3741" i="3" l="1"/>
  <c r="E3742" i="3"/>
  <c r="J3741" i="3"/>
  <c r="H3741" i="3"/>
  <c r="F3741" i="3"/>
  <c r="D3742" i="3"/>
  <c r="I3742" i="3" l="1"/>
  <c r="E3743" i="3"/>
  <c r="J3742" i="3"/>
  <c r="H3742" i="3"/>
  <c r="F3742" i="3"/>
  <c r="D3743" i="3"/>
  <c r="I3743" i="3" l="1"/>
  <c r="E3744" i="3"/>
  <c r="J3743" i="3"/>
  <c r="H3743" i="3"/>
  <c r="F3743" i="3"/>
  <c r="D3744" i="3"/>
  <c r="I3744" i="3" l="1"/>
  <c r="E3745" i="3"/>
  <c r="J3744" i="3"/>
  <c r="H3744" i="3"/>
  <c r="F3744" i="3"/>
  <c r="D3745" i="3"/>
  <c r="I3745" i="3" l="1"/>
  <c r="E3746" i="3"/>
  <c r="J3745" i="3"/>
  <c r="H3745" i="3"/>
  <c r="F3745" i="3"/>
  <c r="D3746" i="3"/>
  <c r="I3746" i="3" l="1"/>
  <c r="E3747" i="3"/>
  <c r="J3746" i="3"/>
  <c r="H3746" i="3"/>
  <c r="F3746" i="3"/>
  <c r="D3747" i="3"/>
  <c r="I3747" i="3" l="1"/>
  <c r="E3748" i="3"/>
  <c r="J3747" i="3"/>
  <c r="H3747" i="3"/>
  <c r="F3747" i="3"/>
  <c r="D3748" i="3"/>
  <c r="I3748" i="3" l="1"/>
  <c r="E3749" i="3"/>
  <c r="J3748" i="3"/>
  <c r="H3748" i="3"/>
  <c r="F3748" i="3"/>
  <c r="D3749" i="3"/>
  <c r="I3749" i="3" l="1"/>
  <c r="E3750" i="3"/>
  <c r="J3749" i="3"/>
  <c r="H3749" i="3"/>
  <c r="F3749" i="3"/>
  <c r="D3750" i="3"/>
  <c r="I3750" i="3" l="1"/>
  <c r="E3751" i="3"/>
  <c r="J3750" i="3"/>
  <c r="H3750" i="3"/>
  <c r="F3750" i="3"/>
  <c r="D3751" i="3"/>
  <c r="I3751" i="3" l="1"/>
  <c r="E3752" i="3"/>
  <c r="J3751" i="3"/>
  <c r="H3751" i="3"/>
  <c r="F3751" i="3"/>
  <c r="D3752" i="3"/>
  <c r="I3752" i="3" l="1"/>
  <c r="E3753" i="3"/>
  <c r="J3752" i="3"/>
  <c r="H3752" i="3"/>
  <c r="F3752" i="3"/>
  <c r="D3753" i="3"/>
  <c r="I3753" i="3" l="1"/>
  <c r="E3754" i="3"/>
  <c r="J3753" i="3"/>
  <c r="H3753" i="3"/>
  <c r="F3753" i="3"/>
  <c r="D3754" i="3"/>
  <c r="I3754" i="3" l="1"/>
  <c r="E3755" i="3"/>
  <c r="J3754" i="3"/>
  <c r="H3754" i="3"/>
  <c r="F3754" i="3"/>
  <c r="D3755" i="3"/>
  <c r="I3755" i="3" l="1"/>
  <c r="E3756" i="3"/>
  <c r="J3755" i="3"/>
  <c r="H3755" i="3"/>
  <c r="F3755" i="3"/>
  <c r="D3756" i="3"/>
  <c r="I3756" i="3" l="1"/>
  <c r="E3757" i="3"/>
  <c r="J3756" i="3"/>
  <c r="H3756" i="3"/>
  <c r="F3756" i="3"/>
  <c r="D3757" i="3"/>
  <c r="I3757" i="3" l="1"/>
  <c r="E3758" i="3"/>
  <c r="J3757" i="3"/>
  <c r="H3757" i="3"/>
  <c r="F3757" i="3"/>
  <c r="D3758" i="3"/>
  <c r="I3758" i="3" l="1"/>
  <c r="E3759" i="3"/>
  <c r="J3758" i="3"/>
  <c r="H3758" i="3"/>
  <c r="F3758" i="3"/>
  <c r="D3759" i="3"/>
  <c r="I3759" i="3" l="1"/>
  <c r="E3760" i="3"/>
  <c r="J3759" i="3"/>
  <c r="H3759" i="3"/>
  <c r="F3759" i="3"/>
  <c r="D3760" i="3"/>
  <c r="I3760" i="3" l="1"/>
  <c r="E3761" i="3"/>
  <c r="J3760" i="3"/>
  <c r="H3760" i="3"/>
  <c r="F3760" i="3"/>
  <c r="D3761" i="3"/>
  <c r="I3761" i="3" l="1"/>
  <c r="E3762" i="3"/>
  <c r="J3761" i="3"/>
  <c r="H3761" i="3"/>
  <c r="F3761" i="3"/>
  <c r="D3762" i="3"/>
  <c r="I3762" i="3" l="1"/>
  <c r="E3763" i="3"/>
  <c r="J3762" i="3"/>
  <c r="H3762" i="3"/>
  <c r="F3762" i="3"/>
  <c r="D3763" i="3"/>
  <c r="I3763" i="3" l="1"/>
  <c r="E3764" i="3"/>
  <c r="J3763" i="3"/>
  <c r="H3763" i="3"/>
  <c r="F3763" i="3"/>
  <c r="D3764" i="3"/>
  <c r="I3764" i="3" l="1"/>
  <c r="E3765" i="3"/>
  <c r="J3764" i="3"/>
  <c r="H3764" i="3"/>
  <c r="F3764" i="3"/>
  <c r="D3765" i="3"/>
  <c r="I3765" i="3" l="1"/>
  <c r="E3766" i="3"/>
  <c r="J3765" i="3"/>
  <c r="H3765" i="3"/>
  <c r="F3765" i="3"/>
  <c r="D3766" i="3"/>
  <c r="I3766" i="3" l="1"/>
  <c r="E3767" i="3"/>
  <c r="J3766" i="3"/>
  <c r="H3766" i="3"/>
  <c r="F3766" i="3"/>
  <c r="D3767" i="3"/>
  <c r="I3767" i="3" l="1"/>
  <c r="E3768" i="3"/>
  <c r="J3767" i="3"/>
  <c r="H3767" i="3"/>
  <c r="F3767" i="3"/>
  <c r="D3768" i="3"/>
  <c r="I3768" i="3" l="1"/>
  <c r="E3769" i="3"/>
  <c r="J3768" i="3"/>
  <c r="H3768" i="3"/>
  <c r="F3768" i="3"/>
  <c r="D3769" i="3"/>
  <c r="I3769" i="3" l="1"/>
  <c r="E3770" i="3"/>
  <c r="J3769" i="3"/>
  <c r="H3769" i="3"/>
  <c r="F3769" i="3"/>
  <c r="D3770" i="3"/>
  <c r="I3770" i="3" l="1"/>
  <c r="E3771" i="3"/>
  <c r="J3770" i="3"/>
  <c r="H3770" i="3"/>
  <c r="F3770" i="3"/>
  <c r="D3771" i="3"/>
  <c r="I3771" i="3" l="1"/>
  <c r="E3772" i="3"/>
  <c r="J3771" i="3"/>
  <c r="H3771" i="3"/>
  <c r="F3771" i="3"/>
  <c r="D3772" i="3"/>
  <c r="I3772" i="3" l="1"/>
  <c r="E3773" i="3"/>
  <c r="J3772" i="3"/>
  <c r="H3772" i="3"/>
  <c r="F3772" i="3"/>
  <c r="D3773" i="3"/>
  <c r="I3773" i="3" l="1"/>
  <c r="E3774" i="3"/>
  <c r="J3773" i="3"/>
  <c r="H3773" i="3"/>
  <c r="F3773" i="3"/>
  <c r="D3774" i="3"/>
  <c r="I3774" i="3" l="1"/>
  <c r="E3775" i="3"/>
  <c r="J3774" i="3"/>
  <c r="H3774" i="3"/>
  <c r="F3774" i="3"/>
  <c r="D3775" i="3"/>
  <c r="I3775" i="3" l="1"/>
  <c r="E3776" i="3"/>
  <c r="J3775" i="3"/>
  <c r="H3775" i="3"/>
  <c r="F3775" i="3"/>
  <c r="D3776" i="3"/>
  <c r="I3776" i="3" l="1"/>
  <c r="E3777" i="3"/>
  <c r="J3776" i="3"/>
  <c r="H3776" i="3"/>
  <c r="F3776" i="3"/>
  <c r="D3777" i="3"/>
  <c r="I3777" i="3" l="1"/>
  <c r="E3778" i="3"/>
  <c r="J3777" i="3"/>
  <c r="H3777" i="3"/>
  <c r="F3777" i="3"/>
  <c r="D3778" i="3"/>
  <c r="I3778" i="3" l="1"/>
  <c r="E3779" i="3"/>
  <c r="J3778" i="3"/>
  <c r="H3778" i="3"/>
  <c r="F3778" i="3"/>
  <c r="D3779" i="3"/>
  <c r="I3779" i="3" l="1"/>
  <c r="E3780" i="3"/>
  <c r="J3779" i="3"/>
  <c r="H3779" i="3"/>
  <c r="F3779" i="3"/>
  <c r="D3780" i="3"/>
  <c r="I3780" i="3" l="1"/>
  <c r="E3781" i="3"/>
  <c r="J3780" i="3"/>
  <c r="H3780" i="3"/>
  <c r="F3780" i="3"/>
  <c r="D3781" i="3"/>
  <c r="I3781" i="3" l="1"/>
  <c r="E3782" i="3"/>
  <c r="J3781" i="3"/>
  <c r="H3781" i="3"/>
  <c r="F3781" i="3"/>
  <c r="D3782" i="3"/>
  <c r="I3782" i="3" l="1"/>
  <c r="E3783" i="3"/>
  <c r="J3782" i="3"/>
  <c r="H3782" i="3"/>
  <c r="F3782" i="3"/>
  <c r="D3783" i="3"/>
  <c r="I3783" i="3" l="1"/>
  <c r="E3784" i="3"/>
  <c r="J3783" i="3"/>
  <c r="H3783" i="3"/>
  <c r="F3783" i="3"/>
  <c r="D3784" i="3"/>
  <c r="I3784" i="3" l="1"/>
  <c r="E3785" i="3"/>
  <c r="J3784" i="3"/>
  <c r="H3784" i="3"/>
  <c r="F3784" i="3"/>
  <c r="D3785" i="3"/>
  <c r="I3785" i="3" l="1"/>
  <c r="E3786" i="3"/>
  <c r="J3785" i="3"/>
  <c r="H3785" i="3"/>
  <c r="F3785" i="3"/>
  <c r="D3786" i="3"/>
  <c r="I3786" i="3" l="1"/>
  <c r="E3787" i="3"/>
  <c r="J3786" i="3"/>
  <c r="H3786" i="3"/>
  <c r="F3786" i="3"/>
  <c r="D3787" i="3"/>
  <c r="I3787" i="3" l="1"/>
  <c r="E3788" i="3"/>
  <c r="J3787" i="3"/>
  <c r="H3787" i="3"/>
  <c r="F3787" i="3"/>
  <c r="D3788" i="3"/>
  <c r="I3788" i="3" l="1"/>
  <c r="E3789" i="3"/>
  <c r="J3788" i="3"/>
  <c r="H3788" i="3"/>
  <c r="F3788" i="3"/>
  <c r="D3789" i="3"/>
  <c r="I3789" i="3" l="1"/>
  <c r="E3790" i="3"/>
  <c r="J3789" i="3"/>
  <c r="H3789" i="3"/>
  <c r="F3789" i="3"/>
  <c r="D3790" i="3"/>
  <c r="I3790" i="3" l="1"/>
  <c r="E3791" i="3"/>
  <c r="J3790" i="3"/>
  <c r="H3790" i="3"/>
  <c r="F3790" i="3"/>
  <c r="D3791" i="3"/>
  <c r="I3791" i="3" l="1"/>
  <c r="E3792" i="3"/>
  <c r="J3791" i="3"/>
  <c r="H3791" i="3"/>
  <c r="F3791" i="3"/>
  <c r="D3792" i="3"/>
  <c r="I3792" i="3" l="1"/>
  <c r="E3793" i="3"/>
  <c r="J3792" i="3"/>
  <c r="H3792" i="3"/>
  <c r="F3792" i="3"/>
  <c r="D3793" i="3"/>
  <c r="I3793" i="3" l="1"/>
  <c r="E3794" i="3"/>
  <c r="J3793" i="3"/>
  <c r="H3793" i="3"/>
  <c r="F3793" i="3"/>
  <c r="D3794" i="3"/>
  <c r="I3794" i="3" l="1"/>
  <c r="E3795" i="3"/>
  <c r="J3794" i="3"/>
  <c r="H3794" i="3"/>
  <c r="F3794" i="3"/>
  <c r="D3795" i="3"/>
  <c r="I3795" i="3" l="1"/>
  <c r="E3796" i="3"/>
  <c r="J3795" i="3"/>
  <c r="H3795" i="3"/>
  <c r="F3795" i="3"/>
  <c r="D3796" i="3"/>
  <c r="I3796" i="3" l="1"/>
  <c r="E3797" i="3"/>
  <c r="J3796" i="3"/>
  <c r="H3796" i="3"/>
  <c r="F3796" i="3"/>
  <c r="D3797" i="3"/>
  <c r="I3797" i="3" l="1"/>
  <c r="E3798" i="3"/>
  <c r="J3797" i="3"/>
  <c r="H3797" i="3"/>
  <c r="F3797" i="3"/>
  <c r="D3798" i="3"/>
  <c r="I3798" i="3" l="1"/>
  <c r="E3799" i="3"/>
  <c r="J3798" i="3"/>
  <c r="H3798" i="3"/>
  <c r="F3798" i="3"/>
  <c r="D3799" i="3"/>
  <c r="I3799" i="3" l="1"/>
  <c r="E3800" i="3"/>
  <c r="J3799" i="3"/>
  <c r="H3799" i="3"/>
  <c r="F3799" i="3"/>
  <c r="D3800" i="3"/>
  <c r="I3800" i="3" l="1"/>
  <c r="E3801" i="3"/>
  <c r="J3800" i="3"/>
  <c r="H3800" i="3"/>
  <c r="F3800" i="3"/>
  <c r="D3801" i="3"/>
  <c r="I3801" i="3" l="1"/>
  <c r="E3802" i="3"/>
  <c r="J3801" i="3"/>
  <c r="H3801" i="3"/>
  <c r="F3801" i="3"/>
  <c r="D3802" i="3"/>
  <c r="I3802" i="3" l="1"/>
  <c r="E3803" i="3"/>
  <c r="J3802" i="3"/>
  <c r="H3802" i="3"/>
  <c r="F3802" i="3"/>
  <c r="D3803" i="3"/>
  <c r="I3803" i="3" l="1"/>
  <c r="E3804" i="3"/>
  <c r="J3803" i="3"/>
  <c r="H3803" i="3"/>
  <c r="F3803" i="3"/>
  <c r="D3804" i="3"/>
  <c r="I3804" i="3" l="1"/>
  <c r="E3805" i="3"/>
  <c r="J3804" i="3"/>
  <c r="H3804" i="3"/>
  <c r="F3804" i="3"/>
  <c r="D3805" i="3"/>
  <c r="I3805" i="3" l="1"/>
  <c r="E3806" i="3"/>
  <c r="J3805" i="3"/>
  <c r="H3805" i="3"/>
  <c r="F3805" i="3"/>
  <c r="D3806" i="3"/>
  <c r="I3806" i="3" l="1"/>
  <c r="E3807" i="3"/>
  <c r="J3806" i="3"/>
  <c r="H3806" i="3"/>
  <c r="F3806" i="3"/>
  <c r="D3807" i="3"/>
  <c r="I3807" i="3" l="1"/>
  <c r="E3808" i="3"/>
  <c r="J3807" i="3"/>
  <c r="H3807" i="3"/>
  <c r="F3807" i="3"/>
  <c r="D3808" i="3"/>
  <c r="I3808" i="3" l="1"/>
  <c r="E3809" i="3"/>
  <c r="J3808" i="3"/>
  <c r="H3808" i="3"/>
  <c r="F3808" i="3"/>
  <c r="D3809" i="3"/>
  <c r="I3809" i="3" l="1"/>
  <c r="E3810" i="3"/>
  <c r="J3809" i="3"/>
  <c r="H3809" i="3"/>
  <c r="F3809" i="3"/>
  <c r="D3810" i="3"/>
  <c r="I3810" i="3" l="1"/>
  <c r="E3811" i="3"/>
  <c r="J3810" i="3"/>
  <c r="H3810" i="3"/>
  <c r="F3810" i="3"/>
  <c r="D3811" i="3"/>
  <c r="I3811" i="3" l="1"/>
  <c r="E3812" i="3"/>
  <c r="J3811" i="3"/>
  <c r="H3811" i="3"/>
  <c r="F3811" i="3"/>
  <c r="D3812" i="3"/>
  <c r="I3812" i="3" l="1"/>
  <c r="E3813" i="3"/>
  <c r="J3812" i="3"/>
  <c r="H3812" i="3"/>
  <c r="F3812" i="3"/>
  <c r="D3813" i="3"/>
  <c r="I3813" i="3" l="1"/>
  <c r="E3814" i="3"/>
  <c r="J3813" i="3"/>
  <c r="H3813" i="3"/>
  <c r="F3813" i="3"/>
  <c r="D3814" i="3"/>
  <c r="I3814" i="3" l="1"/>
  <c r="E3815" i="3"/>
  <c r="J3814" i="3"/>
  <c r="H3814" i="3"/>
  <c r="F3814" i="3"/>
  <c r="D3815" i="3"/>
  <c r="I3815" i="3" l="1"/>
  <c r="E3816" i="3"/>
  <c r="J3815" i="3"/>
  <c r="H3815" i="3"/>
  <c r="F3815" i="3"/>
  <c r="D3816" i="3"/>
  <c r="I3816" i="3" l="1"/>
  <c r="E3817" i="3"/>
  <c r="J3816" i="3"/>
  <c r="H3816" i="3"/>
  <c r="F3816" i="3"/>
  <c r="D3817" i="3"/>
  <c r="I3817" i="3" l="1"/>
  <c r="E3818" i="3"/>
  <c r="J3817" i="3"/>
  <c r="H3817" i="3"/>
  <c r="F3817" i="3"/>
  <c r="D3818" i="3"/>
  <c r="I3818" i="3" l="1"/>
  <c r="E3819" i="3"/>
  <c r="J3818" i="3"/>
  <c r="H3818" i="3"/>
  <c r="F3818" i="3"/>
  <c r="D3819" i="3"/>
  <c r="I3819" i="3" l="1"/>
  <c r="E3820" i="3"/>
  <c r="J3819" i="3"/>
  <c r="H3819" i="3"/>
  <c r="F3819" i="3"/>
  <c r="D3820" i="3"/>
  <c r="I3820" i="3" l="1"/>
  <c r="E3821" i="3"/>
  <c r="J3820" i="3"/>
  <c r="H3820" i="3"/>
  <c r="F3820" i="3"/>
  <c r="D3821" i="3"/>
  <c r="I3821" i="3" l="1"/>
  <c r="E3822" i="3"/>
  <c r="J3821" i="3"/>
  <c r="H3821" i="3"/>
  <c r="F3821" i="3"/>
  <c r="D3822" i="3"/>
  <c r="I3822" i="3" l="1"/>
  <c r="E3823" i="3"/>
  <c r="J3822" i="3"/>
  <c r="H3822" i="3"/>
  <c r="F3822" i="3"/>
  <c r="D3823" i="3"/>
  <c r="I3823" i="3" l="1"/>
  <c r="E3824" i="3"/>
  <c r="J3823" i="3"/>
  <c r="H3823" i="3"/>
  <c r="F3823" i="3"/>
  <c r="D3824" i="3"/>
  <c r="I3824" i="3" l="1"/>
  <c r="E3825" i="3"/>
  <c r="J3824" i="3"/>
  <c r="H3824" i="3"/>
  <c r="F3824" i="3"/>
  <c r="D3825" i="3"/>
  <c r="I3825" i="3" l="1"/>
  <c r="E3826" i="3"/>
  <c r="J3825" i="3"/>
  <c r="H3825" i="3"/>
  <c r="F3825" i="3"/>
  <c r="D3826" i="3"/>
  <c r="I3826" i="3" l="1"/>
  <c r="E3827" i="3"/>
  <c r="J3826" i="3"/>
  <c r="H3826" i="3"/>
  <c r="F3826" i="3"/>
  <c r="D3827" i="3"/>
  <c r="I3827" i="3" l="1"/>
  <c r="E3828" i="3"/>
  <c r="J3827" i="3"/>
  <c r="H3827" i="3"/>
  <c r="F3827" i="3"/>
  <c r="D3828" i="3"/>
  <c r="I3828" i="3" l="1"/>
  <c r="E3829" i="3"/>
  <c r="J3828" i="3"/>
  <c r="H3828" i="3"/>
  <c r="F3828" i="3"/>
  <c r="D3829" i="3"/>
  <c r="I3829" i="3" l="1"/>
  <c r="E3830" i="3"/>
  <c r="J3829" i="3"/>
  <c r="H3829" i="3"/>
  <c r="F3829" i="3"/>
  <c r="D3830" i="3"/>
  <c r="I3830" i="3" l="1"/>
  <c r="E3831" i="3"/>
  <c r="J3830" i="3"/>
  <c r="H3830" i="3"/>
  <c r="F3830" i="3"/>
  <c r="D3831" i="3"/>
  <c r="I3831" i="3" l="1"/>
  <c r="E3832" i="3"/>
  <c r="J3831" i="3"/>
  <c r="H3831" i="3"/>
  <c r="F3831" i="3"/>
  <c r="D3832" i="3"/>
  <c r="I3832" i="3" l="1"/>
  <c r="E3833" i="3"/>
  <c r="J3832" i="3"/>
  <c r="H3832" i="3"/>
  <c r="F3832" i="3"/>
  <c r="D3833" i="3"/>
  <c r="I3833" i="3" l="1"/>
  <c r="E3834" i="3"/>
  <c r="J3833" i="3"/>
  <c r="H3833" i="3"/>
  <c r="F3833" i="3"/>
  <c r="D3834" i="3"/>
  <c r="I3834" i="3" l="1"/>
  <c r="E3835" i="3"/>
  <c r="J3834" i="3"/>
  <c r="H3834" i="3"/>
  <c r="F3834" i="3"/>
  <c r="D3835" i="3"/>
  <c r="I3835" i="3" l="1"/>
  <c r="E3836" i="3"/>
  <c r="J3835" i="3"/>
  <c r="H3835" i="3"/>
  <c r="F3835" i="3"/>
  <c r="D3836" i="3"/>
  <c r="I3836" i="3" l="1"/>
  <c r="E3837" i="3"/>
  <c r="J3836" i="3"/>
  <c r="H3836" i="3"/>
  <c r="F3836" i="3"/>
  <c r="D3837" i="3"/>
  <c r="I3837" i="3" l="1"/>
  <c r="E3838" i="3"/>
  <c r="J3837" i="3"/>
  <c r="H3837" i="3"/>
  <c r="F3837" i="3"/>
  <c r="D3838" i="3"/>
  <c r="I3838" i="3" l="1"/>
  <c r="E3839" i="3"/>
  <c r="J3838" i="3"/>
  <c r="H3838" i="3"/>
  <c r="F3838" i="3"/>
  <c r="D3839" i="3"/>
  <c r="I3839" i="3" l="1"/>
  <c r="E3840" i="3"/>
  <c r="J3839" i="3"/>
  <c r="H3839" i="3"/>
  <c r="F3839" i="3"/>
  <c r="D3840" i="3"/>
  <c r="I3840" i="3" l="1"/>
  <c r="E3841" i="3"/>
  <c r="J3840" i="3"/>
  <c r="H3840" i="3"/>
  <c r="F3840" i="3"/>
  <c r="D3841" i="3"/>
  <c r="I3841" i="3" l="1"/>
  <c r="E3842" i="3"/>
  <c r="J3841" i="3"/>
  <c r="H3841" i="3"/>
  <c r="F3841" i="3"/>
  <c r="D3842" i="3"/>
  <c r="I3842" i="3" l="1"/>
  <c r="E3843" i="3"/>
  <c r="J3842" i="3"/>
  <c r="H3842" i="3"/>
  <c r="F3842" i="3"/>
  <c r="D3843" i="3"/>
  <c r="I3843" i="3" l="1"/>
  <c r="E3844" i="3"/>
  <c r="J3843" i="3"/>
  <c r="H3843" i="3"/>
  <c r="F3843" i="3"/>
  <c r="D3844" i="3"/>
  <c r="I3844" i="3" l="1"/>
  <c r="E3845" i="3"/>
  <c r="J3844" i="3"/>
  <c r="H3844" i="3"/>
  <c r="F3844" i="3"/>
  <c r="D3845" i="3"/>
  <c r="I3845" i="3" l="1"/>
  <c r="E3846" i="3"/>
  <c r="J3845" i="3"/>
  <c r="H3845" i="3"/>
  <c r="F3845" i="3"/>
  <c r="D3846" i="3"/>
  <c r="I3846" i="3" l="1"/>
  <c r="E3847" i="3"/>
  <c r="J3846" i="3"/>
  <c r="H3846" i="3"/>
  <c r="F3846" i="3"/>
  <c r="D3847" i="3"/>
  <c r="I3847" i="3" l="1"/>
  <c r="E3848" i="3"/>
  <c r="J3847" i="3"/>
  <c r="H3847" i="3"/>
  <c r="F3847" i="3"/>
  <c r="D3848" i="3"/>
  <c r="I3848" i="3" l="1"/>
  <c r="E3849" i="3"/>
  <c r="J3848" i="3"/>
  <c r="H3848" i="3"/>
  <c r="F3848" i="3"/>
  <c r="D3849" i="3"/>
  <c r="I3849" i="3" l="1"/>
  <c r="E3850" i="3"/>
  <c r="J3849" i="3"/>
  <c r="H3849" i="3"/>
  <c r="F3849" i="3"/>
  <c r="D3850" i="3"/>
  <c r="I3850" i="3" l="1"/>
  <c r="E3851" i="3"/>
  <c r="J3850" i="3"/>
  <c r="H3850" i="3"/>
  <c r="F3850" i="3"/>
  <c r="D3851" i="3"/>
  <c r="I3851" i="3" l="1"/>
  <c r="E3852" i="3"/>
  <c r="J3851" i="3"/>
  <c r="H3851" i="3"/>
  <c r="F3851" i="3"/>
  <c r="D3852" i="3"/>
  <c r="I3852" i="3" l="1"/>
  <c r="E3853" i="3"/>
  <c r="J3852" i="3"/>
  <c r="H3852" i="3"/>
  <c r="F3852" i="3"/>
  <c r="D3853" i="3"/>
  <c r="I3853" i="3" l="1"/>
  <c r="E3854" i="3"/>
  <c r="J3853" i="3"/>
  <c r="H3853" i="3"/>
  <c r="F3853" i="3"/>
  <c r="D3854" i="3"/>
  <c r="I3854" i="3" l="1"/>
  <c r="E3855" i="3"/>
  <c r="J3854" i="3"/>
  <c r="H3854" i="3"/>
  <c r="F3854" i="3"/>
  <c r="D3855" i="3"/>
  <c r="I3855" i="3" l="1"/>
  <c r="E3856" i="3"/>
  <c r="J3855" i="3"/>
  <c r="H3855" i="3"/>
  <c r="F3855" i="3"/>
  <c r="D3856" i="3"/>
  <c r="I3856" i="3" l="1"/>
  <c r="E3857" i="3"/>
  <c r="J3856" i="3"/>
  <c r="H3856" i="3"/>
  <c r="F3856" i="3"/>
  <c r="D3857" i="3"/>
  <c r="I3857" i="3" l="1"/>
  <c r="E3858" i="3"/>
  <c r="J3857" i="3"/>
  <c r="H3857" i="3"/>
  <c r="F3857" i="3"/>
  <c r="D3858" i="3"/>
  <c r="I3858" i="3" l="1"/>
  <c r="E3859" i="3"/>
  <c r="J3858" i="3"/>
  <c r="H3858" i="3"/>
  <c r="F3858" i="3"/>
  <c r="D3859" i="3"/>
  <c r="I3859" i="3" l="1"/>
  <c r="E3860" i="3"/>
  <c r="J3859" i="3"/>
  <c r="H3859" i="3"/>
  <c r="F3859" i="3"/>
  <c r="D3860" i="3"/>
  <c r="I3860" i="3" l="1"/>
  <c r="E3861" i="3"/>
  <c r="J3860" i="3"/>
  <c r="H3860" i="3"/>
  <c r="F3860" i="3"/>
  <c r="D3861" i="3"/>
  <c r="I3861" i="3" l="1"/>
  <c r="E3862" i="3"/>
  <c r="J3861" i="3"/>
  <c r="H3861" i="3"/>
  <c r="F3861" i="3"/>
  <c r="D3862" i="3"/>
  <c r="I3862" i="3" l="1"/>
  <c r="E3863" i="3"/>
  <c r="J3862" i="3"/>
  <c r="H3862" i="3"/>
  <c r="F3862" i="3"/>
  <c r="D3863" i="3"/>
  <c r="I3863" i="3" l="1"/>
  <c r="E3864" i="3"/>
  <c r="J3863" i="3"/>
  <c r="H3863" i="3"/>
  <c r="F3863" i="3"/>
  <c r="D3864" i="3"/>
  <c r="I3864" i="3" l="1"/>
  <c r="E3865" i="3"/>
  <c r="J3864" i="3"/>
  <c r="H3864" i="3"/>
  <c r="F3864" i="3"/>
  <c r="D3865" i="3"/>
  <c r="I3865" i="3" l="1"/>
  <c r="E3866" i="3"/>
  <c r="J3865" i="3"/>
  <c r="H3865" i="3"/>
  <c r="F3865" i="3"/>
  <c r="D3866" i="3"/>
  <c r="I3866" i="3" l="1"/>
  <c r="E3867" i="3"/>
  <c r="J3866" i="3"/>
  <c r="H3866" i="3"/>
  <c r="F3866" i="3"/>
  <c r="D3867" i="3"/>
  <c r="I3867" i="3" l="1"/>
  <c r="E3868" i="3"/>
  <c r="J3867" i="3"/>
  <c r="H3867" i="3"/>
  <c r="F3867" i="3"/>
  <c r="D3868" i="3"/>
  <c r="I3868" i="3" l="1"/>
  <c r="E3869" i="3"/>
  <c r="J3868" i="3"/>
  <c r="H3868" i="3"/>
  <c r="F3868" i="3"/>
  <c r="D3869" i="3"/>
  <c r="I3869" i="3" l="1"/>
  <c r="E3870" i="3"/>
  <c r="J3869" i="3"/>
  <c r="H3869" i="3"/>
  <c r="F3869" i="3"/>
  <c r="D3870" i="3"/>
  <c r="I3870" i="3" l="1"/>
  <c r="E3871" i="3"/>
  <c r="J3870" i="3"/>
  <c r="H3870" i="3"/>
  <c r="F3870" i="3"/>
  <c r="D3871" i="3"/>
  <c r="I3871" i="3" l="1"/>
  <c r="E3872" i="3"/>
  <c r="J3871" i="3"/>
  <c r="H3871" i="3"/>
  <c r="F3871" i="3"/>
  <c r="D3872" i="3"/>
  <c r="I3872" i="3" l="1"/>
  <c r="E3873" i="3"/>
  <c r="J3872" i="3"/>
  <c r="H3872" i="3"/>
  <c r="F3872" i="3"/>
  <c r="D3873" i="3"/>
  <c r="I3873" i="3" l="1"/>
  <c r="E3874" i="3"/>
  <c r="J3873" i="3"/>
  <c r="H3873" i="3"/>
  <c r="F3873" i="3"/>
  <c r="D3874" i="3"/>
  <c r="I3874" i="3" l="1"/>
  <c r="E3875" i="3"/>
  <c r="J3874" i="3"/>
  <c r="H3874" i="3"/>
  <c r="F3874" i="3"/>
  <c r="D3875" i="3"/>
  <c r="I3875" i="3" l="1"/>
  <c r="E3876" i="3"/>
  <c r="J3875" i="3"/>
  <c r="H3875" i="3"/>
  <c r="F3875" i="3"/>
  <c r="D3876" i="3"/>
  <c r="I3876" i="3" l="1"/>
  <c r="E3877" i="3"/>
  <c r="J3876" i="3"/>
  <c r="H3876" i="3"/>
  <c r="F3876" i="3"/>
  <c r="D3877" i="3"/>
  <c r="I3877" i="3" l="1"/>
  <c r="E3878" i="3"/>
  <c r="J3877" i="3"/>
  <c r="H3877" i="3"/>
  <c r="F3877" i="3"/>
  <c r="D3878" i="3"/>
  <c r="I3878" i="3" l="1"/>
  <c r="E3879" i="3"/>
  <c r="J3878" i="3"/>
  <c r="H3878" i="3"/>
  <c r="F3878" i="3"/>
  <c r="D3879" i="3"/>
  <c r="I3879" i="3" l="1"/>
  <c r="E3880" i="3"/>
  <c r="J3879" i="3"/>
  <c r="H3879" i="3"/>
  <c r="F3879" i="3"/>
  <c r="D3880" i="3"/>
  <c r="I3880" i="3" l="1"/>
  <c r="E3881" i="3"/>
  <c r="J3880" i="3"/>
  <c r="H3880" i="3"/>
  <c r="F3880" i="3"/>
  <c r="D3881" i="3"/>
  <c r="I3881" i="3" l="1"/>
  <c r="E3882" i="3"/>
  <c r="J3881" i="3"/>
  <c r="H3881" i="3"/>
  <c r="F3881" i="3"/>
  <c r="D3882" i="3"/>
  <c r="I3882" i="3" l="1"/>
  <c r="E3883" i="3"/>
  <c r="J3882" i="3"/>
  <c r="H3882" i="3"/>
  <c r="F3882" i="3"/>
  <c r="D3883" i="3"/>
  <c r="I3883" i="3" l="1"/>
  <c r="E3884" i="3"/>
  <c r="J3883" i="3"/>
  <c r="H3883" i="3"/>
  <c r="F3883" i="3"/>
  <c r="D3884" i="3"/>
  <c r="I3884" i="3" l="1"/>
  <c r="E3885" i="3"/>
  <c r="J3884" i="3"/>
  <c r="H3884" i="3"/>
  <c r="F3884" i="3"/>
  <c r="D3885" i="3"/>
  <c r="I3885" i="3" l="1"/>
  <c r="E3886" i="3"/>
  <c r="J3885" i="3"/>
  <c r="H3885" i="3"/>
  <c r="F3885" i="3"/>
  <c r="D3886" i="3"/>
  <c r="I3886" i="3" l="1"/>
  <c r="E3887" i="3"/>
  <c r="J3886" i="3"/>
  <c r="H3886" i="3"/>
  <c r="F3886" i="3"/>
  <c r="D3887" i="3"/>
  <c r="I3887" i="3" l="1"/>
  <c r="E3888" i="3"/>
  <c r="J3887" i="3"/>
  <c r="H3887" i="3"/>
  <c r="F3887" i="3"/>
  <c r="D3888" i="3"/>
  <c r="I3888" i="3" l="1"/>
  <c r="E3889" i="3"/>
  <c r="J3888" i="3"/>
  <c r="H3888" i="3"/>
  <c r="F3888" i="3"/>
  <c r="D3889" i="3"/>
  <c r="I3889" i="3" l="1"/>
  <c r="E3890" i="3"/>
  <c r="J3889" i="3"/>
  <c r="H3889" i="3"/>
  <c r="F3889" i="3"/>
  <c r="D3890" i="3"/>
  <c r="I3890" i="3" l="1"/>
  <c r="E3891" i="3"/>
  <c r="J3890" i="3"/>
  <c r="H3890" i="3"/>
  <c r="F3890" i="3"/>
  <c r="D3891" i="3"/>
  <c r="I3891" i="3" l="1"/>
  <c r="E3892" i="3"/>
  <c r="J3891" i="3"/>
  <c r="H3891" i="3"/>
  <c r="F3891" i="3"/>
  <c r="D3892" i="3"/>
  <c r="I3892" i="3" l="1"/>
  <c r="E3893" i="3"/>
  <c r="J3892" i="3"/>
  <c r="H3892" i="3"/>
  <c r="F3892" i="3"/>
  <c r="D3893" i="3"/>
  <c r="I3893" i="3" l="1"/>
  <c r="E3894" i="3"/>
  <c r="J3893" i="3"/>
  <c r="H3893" i="3"/>
  <c r="F3893" i="3"/>
  <c r="D3894" i="3"/>
  <c r="I3894" i="3" l="1"/>
  <c r="E3895" i="3"/>
  <c r="J3894" i="3"/>
  <c r="H3894" i="3"/>
  <c r="F3894" i="3"/>
  <c r="D3895" i="3"/>
  <c r="I3895" i="3" l="1"/>
  <c r="E3896" i="3"/>
  <c r="J3895" i="3"/>
  <c r="H3895" i="3"/>
  <c r="F3895" i="3"/>
  <c r="D3896" i="3"/>
  <c r="I3896" i="3" l="1"/>
  <c r="E3897" i="3"/>
  <c r="J3896" i="3"/>
  <c r="H3896" i="3"/>
  <c r="F3896" i="3"/>
  <c r="D3897" i="3"/>
  <c r="I3897" i="3" l="1"/>
  <c r="E3898" i="3"/>
  <c r="J3897" i="3"/>
  <c r="H3897" i="3"/>
  <c r="F3897" i="3"/>
  <c r="D3898" i="3"/>
  <c r="I3898" i="3" l="1"/>
  <c r="E3899" i="3"/>
  <c r="J3898" i="3"/>
  <c r="H3898" i="3"/>
  <c r="F3898" i="3"/>
  <c r="D3899" i="3"/>
  <c r="I3899" i="3" l="1"/>
  <c r="E3900" i="3"/>
  <c r="J3899" i="3"/>
  <c r="H3899" i="3"/>
  <c r="F3899" i="3"/>
  <c r="D3900" i="3"/>
  <c r="I3900" i="3" l="1"/>
  <c r="E3901" i="3"/>
  <c r="J3900" i="3"/>
  <c r="H3900" i="3"/>
  <c r="F3900" i="3"/>
  <c r="D3901" i="3"/>
  <c r="I3901" i="3" l="1"/>
  <c r="E3902" i="3"/>
  <c r="J3901" i="3"/>
  <c r="H3901" i="3"/>
  <c r="F3901" i="3"/>
  <c r="D3902" i="3"/>
  <c r="I3902" i="3" l="1"/>
  <c r="E3903" i="3"/>
  <c r="J3902" i="3"/>
  <c r="H3902" i="3"/>
  <c r="F3902" i="3"/>
  <c r="D3903" i="3"/>
  <c r="I3903" i="3" l="1"/>
  <c r="E3904" i="3"/>
  <c r="J3903" i="3"/>
  <c r="H3903" i="3"/>
  <c r="F3903" i="3"/>
  <c r="D3904" i="3"/>
  <c r="I3904" i="3" l="1"/>
  <c r="E3905" i="3"/>
  <c r="J3904" i="3"/>
  <c r="H3904" i="3"/>
  <c r="F3904" i="3"/>
  <c r="D3905" i="3"/>
  <c r="I3905" i="3" l="1"/>
  <c r="E3906" i="3"/>
  <c r="J3905" i="3"/>
  <c r="H3905" i="3"/>
  <c r="F3905" i="3"/>
  <c r="D3906" i="3"/>
  <c r="I3906" i="3" l="1"/>
  <c r="E3907" i="3"/>
  <c r="J3906" i="3"/>
  <c r="H3906" i="3"/>
  <c r="F3906" i="3"/>
  <c r="D3907" i="3"/>
  <c r="I3907" i="3" l="1"/>
  <c r="E3908" i="3"/>
  <c r="J3907" i="3"/>
  <c r="H3907" i="3"/>
  <c r="F3907" i="3"/>
  <c r="D3908" i="3"/>
  <c r="I3908" i="3" l="1"/>
  <c r="E3909" i="3"/>
  <c r="J3908" i="3"/>
  <c r="H3908" i="3"/>
  <c r="F3908" i="3"/>
  <c r="D3909" i="3"/>
  <c r="I3909" i="3" l="1"/>
  <c r="E3910" i="3"/>
  <c r="J3909" i="3"/>
  <c r="H3909" i="3"/>
  <c r="F3909" i="3"/>
  <c r="D3910" i="3"/>
  <c r="I3910" i="3" l="1"/>
  <c r="E3911" i="3"/>
  <c r="J3910" i="3"/>
  <c r="H3910" i="3"/>
  <c r="F3910" i="3"/>
  <c r="D3911" i="3"/>
  <c r="I3911" i="3" l="1"/>
  <c r="E3912" i="3"/>
  <c r="J3911" i="3"/>
  <c r="H3911" i="3"/>
  <c r="F3911" i="3"/>
  <c r="D3912" i="3"/>
  <c r="I3912" i="3" l="1"/>
  <c r="E3913" i="3"/>
  <c r="J3912" i="3"/>
  <c r="H3912" i="3"/>
  <c r="F3912" i="3"/>
  <c r="D3913" i="3"/>
  <c r="I3913" i="3" l="1"/>
  <c r="E3914" i="3"/>
  <c r="J3913" i="3"/>
  <c r="H3913" i="3"/>
  <c r="F3913" i="3"/>
  <c r="D3914" i="3"/>
  <c r="I3914" i="3" l="1"/>
  <c r="E3915" i="3"/>
  <c r="J3914" i="3"/>
  <c r="H3914" i="3"/>
  <c r="F3914" i="3"/>
  <c r="D3915" i="3"/>
  <c r="I3915" i="3" l="1"/>
  <c r="E3916" i="3"/>
  <c r="J3915" i="3"/>
  <c r="H3915" i="3"/>
  <c r="F3915" i="3"/>
  <c r="D3916" i="3"/>
  <c r="I3916" i="3" l="1"/>
  <c r="E3917" i="3"/>
  <c r="J3916" i="3"/>
  <c r="H3916" i="3"/>
  <c r="F3916" i="3"/>
  <c r="D3917" i="3"/>
  <c r="I3917" i="3" l="1"/>
  <c r="E3918" i="3"/>
  <c r="J3917" i="3"/>
  <c r="H3917" i="3"/>
  <c r="F3917" i="3"/>
  <c r="D3918" i="3"/>
  <c r="I3918" i="3" l="1"/>
  <c r="E3919" i="3"/>
  <c r="J3918" i="3"/>
  <c r="H3918" i="3"/>
  <c r="F3918" i="3"/>
  <c r="D3919" i="3"/>
  <c r="I3919" i="3" l="1"/>
  <c r="E3920" i="3"/>
  <c r="J3919" i="3"/>
  <c r="H3919" i="3"/>
  <c r="F3919" i="3"/>
  <c r="D3920" i="3"/>
  <c r="I3920" i="3" l="1"/>
  <c r="E3921" i="3"/>
  <c r="J3920" i="3"/>
  <c r="H3920" i="3"/>
  <c r="F3920" i="3"/>
  <c r="D3921" i="3"/>
  <c r="I3921" i="3" l="1"/>
  <c r="E3922" i="3"/>
  <c r="J3921" i="3"/>
  <c r="H3921" i="3"/>
  <c r="F3921" i="3"/>
  <c r="D3922" i="3"/>
  <c r="I3922" i="3" l="1"/>
  <c r="E3923" i="3"/>
  <c r="J3922" i="3"/>
  <c r="H3922" i="3"/>
  <c r="F3922" i="3"/>
  <c r="D3923" i="3"/>
  <c r="I3923" i="3" l="1"/>
  <c r="E3924" i="3"/>
  <c r="J3923" i="3"/>
  <c r="H3923" i="3"/>
  <c r="F3923" i="3"/>
  <c r="D3924" i="3"/>
  <c r="I3924" i="3" l="1"/>
  <c r="E3925" i="3"/>
  <c r="J3924" i="3"/>
  <c r="H3924" i="3"/>
  <c r="F3924" i="3"/>
  <c r="D3925" i="3"/>
  <c r="I3925" i="3" l="1"/>
  <c r="E3926" i="3"/>
  <c r="J3925" i="3"/>
  <c r="H3925" i="3"/>
  <c r="F3925" i="3"/>
  <c r="D3926" i="3"/>
  <c r="I3926" i="3" l="1"/>
  <c r="E3927" i="3"/>
  <c r="J3926" i="3"/>
  <c r="H3926" i="3"/>
  <c r="F3926" i="3"/>
  <c r="D3927" i="3"/>
  <c r="I3927" i="3" l="1"/>
  <c r="E3928" i="3"/>
  <c r="J3927" i="3"/>
  <c r="H3927" i="3"/>
  <c r="F3927" i="3"/>
  <c r="D3928" i="3"/>
  <c r="I3928" i="3" l="1"/>
  <c r="E3929" i="3"/>
  <c r="J3928" i="3"/>
  <c r="H3928" i="3"/>
  <c r="F3928" i="3"/>
  <c r="D3929" i="3"/>
  <c r="I3929" i="3" l="1"/>
  <c r="E3930" i="3"/>
  <c r="J3929" i="3"/>
  <c r="H3929" i="3"/>
  <c r="F3929" i="3"/>
  <c r="D3930" i="3"/>
  <c r="I3930" i="3" l="1"/>
  <c r="E3931" i="3"/>
  <c r="J3930" i="3"/>
  <c r="H3930" i="3"/>
  <c r="F3930" i="3"/>
  <c r="D3931" i="3"/>
  <c r="I3931" i="3" l="1"/>
  <c r="E3932" i="3"/>
  <c r="J3931" i="3"/>
  <c r="H3931" i="3"/>
  <c r="F3931" i="3"/>
  <c r="D3932" i="3"/>
  <c r="I3932" i="3" l="1"/>
  <c r="E3933" i="3"/>
  <c r="J3932" i="3"/>
  <c r="H3932" i="3"/>
  <c r="F3932" i="3"/>
  <c r="D3933" i="3"/>
  <c r="I3933" i="3" l="1"/>
  <c r="E3934" i="3"/>
  <c r="J3933" i="3"/>
  <c r="H3933" i="3"/>
  <c r="F3933" i="3"/>
  <c r="D3934" i="3"/>
  <c r="I3934" i="3" l="1"/>
  <c r="E3935" i="3"/>
  <c r="J3934" i="3"/>
  <c r="H3934" i="3"/>
  <c r="F3934" i="3"/>
  <c r="D3935" i="3"/>
  <c r="I3935" i="3" l="1"/>
  <c r="E3936" i="3"/>
  <c r="J3935" i="3"/>
  <c r="H3935" i="3"/>
  <c r="F3935" i="3"/>
  <c r="D3936" i="3"/>
  <c r="I3936" i="3" l="1"/>
  <c r="E3937" i="3"/>
  <c r="J3936" i="3"/>
  <c r="H3936" i="3"/>
  <c r="F3936" i="3"/>
  <c r="D3937" i="3"/>
  <c r="I3937" i="3" l="1"/>
  <c r="E3938" i="3"/>
  <c r="J3937" i="3"/>
  <c r="H3937" i="3"/>
  <c r="F3937" i="3"/>
  <c r="D3938" i="3"/>
  <c r="I3938" i="3" l="1"/>
  <c r="E3939" i="3"/>
  <c r="J3938" i="3"/>
  <c r="H3938" i="3"/>
  <c r="F3938" i="3"/>
  <c r="D3939" i="3"/>
  <c r="I3939" i="3" l="1"/>
  <c r="E3940" i="3"/>
  <c r="J3939" i="3"/>
  <c r="H3939" i="3"/>
  <c r="F3939" i="3"/>
  <c r="D3940" i="3"/>
  <c r="I3940" i="3" l="1"/>
  <c r="E3941" i="3"/>
  <c r="J3940" i="3"/>
  <c r="H3940" i="3"/>
  <c r="F3940" i="3"/>
  <c r="D3941" i="3"/>
  <c r="I3941" i="3" l="1"/>
  <c r="E3942" i="3"/>
  <c r="J3941" i="3"/>
  <c r="H3941" i="3"/>
  <c r="F3941" i="3"/>
  <c r="D3942" i="3"/>
  <c r="I3942" i="3" l="1"/>
  <c r="E3943" i="3"/>
  <c r="J3942" i="3"/>
  <c r="H3942" i="3"/>
  <c r="F3942" i="3"/>
  <c r="D3943" i="3"/>
  <c r="I3943" i="3" l="1"/>
  <c r="E3944" i="3"/>
  <c r="J3943" i="3"/>
  <c r="H3943" i="3"/>
  <c r="F3943" i="3"/>
  <c r="D3944" i="3"/>
  <c r="I3944" i="3" l="1"/>
  <c r="E3945" i="3"/>
  <c r="J3944" i="3"/>
  <c r="H3944" i="3"/>
  <c r="F3944" i="3"/>
  <c r="D3945" i="3"/>
  <c r="I3945" i="3" l="1"/>
  <c r="E3946" i="3"/>
  <c r="J3945" i="3"/>
  <c r="H3945" i="3"/>
  <c r="F3945" i="3"/>
  <c r="D3946" i="3"/>
  <c r="I3946" i="3" l="1"/>
  <c r="E3947" i="3"/>
  <c r="J3946" i="3"/>
  <c r="H3946" i="3"/>
  <c r="F3946" i="3"/>
  <c r="D3947" i="3"/>
  <c r="I3947" i="3" l="1"/>
  <c r="E3948" i="3"/>
  <c r="J3947" i="3"/>
  <c r="H3947" i="3"/>
  <c r="F3947" i="3"/>
  <c r="D3948" i="3"/>
  <c r="I3948" i="3" l="1"/>
  <c r="E3949" i="3"/>
  <c r="J3948" i="3"/>
  <c r="H3948" i="3"/>
  <c r="F3948" i="3"/>
  <c r="D3949" i="3"/>
  <c r="I3949" i="3" l="1"/>
  <c r="E3950" i="3"/>
  <c r="J3949" i="3"/>
  <c r="H3949" i="3"/>
  <c r="F3949" i="3"/>
  <c r="D3950" i="3"/>
  <c r="I3950" i="3" l="1"/>
  <c r="E3951" i="3"/>
  <c r="J3950" i="3"/>
  <c r="H3950" i="3"/>
  <c r="F3950" i="3"/>
  <c r="D3951" i="3"/>
  <c r="I3951" i="3" l="1"/>
  <c r="E3952" i="3"/>
  <c r="J3951" i="3"/>
  <c r="H3951" i="3"/>
  <c r="F3951" i="3"/>
  <c r="D3952" i="3"/>
  <c r="I3952" i="3" l="1"/>
  <c r="E3953" i="3"/>
  <c r="J3952" i="3"/>
  <c r="H3952" i="3"/>
  <c r="F3952" i="3"/>
  <c r="D3953" i="3"/>
  <c r="I3953" i="3" l="1"/>
  <c r="E3954" i="3"/>
  <c r="J3953" i="3"/>
  <c r="H3953" i="3"/>
  <c r="F3953" i="3"/>
  <c r="D3954" i="3"/>
  <c r="I3954" i="3" l="1"/>
  <c r="E3955" i="3"/>
  <c r="J3954" i="3"/>
  <c r="H3954" i="3"/>
  <c r="F3954" i="3"/>
  <c r="D3955" i="3"/>
  <c r="I3955" i="3" l="1"/>
  <c r="E3956" i="3"/>
  <c r="J3955" i="3"/>
  <c r="H3955" i="3"/>
  <c r="F3955" i="3"/>
  <c r="D3956" i="3"/>
  <c r="I3956" i="3" l="1"/>
  <c r="E3957" i="3"/>
  <c r="J3956" i="3"/>
  <c r="H3956" i="3"/>
  <c r="F3956" i="3"/>
  <c r="D3957" i="3"/>
  <c r="I3957" i="3" l="1"/>
  <c r="E3958" i="3"/>
  <c r="J3957" i="3"/>
  <c r="H3957" i="3"/>
  <c r="F3957" i="3"/>
  <c r="D3958" i="3"/>
  <c r="I3958" i="3" l="1"/>
  <c r="E3959" i="3"/>
  <c r="J3958" i="3"/>
  <c r="H3958" i="3"/>
  <c r="F3958" i="3"/>
  <c r="D3959" i="3"/>
  <c r="I3959" i="3" l="1"/>
  <c r="E3960" i="3"/>
  <c r="J3959" i="3"/>
  <c r="H3959" i="3"/>
  <c r="F3959" i="3"/>
  <c r="D3960" i="3"/>
  <c r="I3960" i="3" l="1"/>
  <c r="E3961" i="3"/>
  <c r="J3960" i="3"/>
  <c r="H3960" i="3"/>
  <c r="F3960" i="3"/>
  <c r="D3961" i="3"/>
  <c r="I3961" i="3" l="1"/>
  <c r="E3962" i="3"/>
  <c r="J3961" i="3"/>
  <c r="H3961" i="3"/>
  <c r="F3961" i="3"/>
  <c r="D3962" i="3"/>
  <c r="I3962" i="3" l="1"/>
  <c r="E3963" i="3"/>
  <c r="J3962" i="3"/>
  <c r="H3962" i="3"/>
  <c r="F3962" i="3"/>
  <c r="D3963" i="3"/>
  <c r="I3963" i="3" l="1"/>
  <c r="E3964" i="3"/>
  <c r="J3963" i="3"/>
  <c r="H3963" i="3"/>
  <c r="F3963" i="3"/>
  <c r="D3964" i="3"/>
  <c r="I3964" i="3" l="1"/>
  <c r="E3965" i="3"/>
  <c r="J3964" i="3"/>
  <c r="H3964" i="3"/>
  <c r="F3964" i="3"/>
  <c r="D3965" i="3"/>
  <c r="I3965" i="3" l="1"/>
  <c r="E3966" i="3"/>
  <c r="J3965" i="3"/>
  <c r="H3965" i="3"/>
  <c r="F3965" i="3"/>
  <c r="D3966" i="3"/>
  <c r="I3966" i="3" l="1"/>
  <c r="E3967" i="3"/>
  <c r="J3966" i="3"/>
  <c r="H3966" i="3"/>
  <c r="F3966" i="3"/>
  <c r="D3967" i="3"/>
  <c r="I3967" i="3" l="1"/>
  <c r="E3968" i="3"/>
  <c r="J3967" i="3"/>
  <c r="H3967" i="3"/>
  <c r="F3967" i="3"/>
  <c r="D3968" i="3"/>
  <c r="I3968" i="3" l="1"/>
  <c r="E3969" i="3"/>
  <c r="J3968" i="3"/>
  <c r="H3968" i="3"/>
  <c r="F3968" i="3"/>
  <c r="D3969" i="3"/>
  <c r="I3969" i="3" l="1"/>
  <c r="E3970" i="3"/>
  <c r="J3969" i="3"/>
  <c r="H3969" i="3"/>
  <c r="F3969" i="3"/>
  <c r="D3970" i="3"/>
  <c r="I3970" i="3" l="1"/>
  <c r="E3971" i="3"/>
  <c r="J3970" i="3"/>
  <c r="H3970" i="3"/>
  <c r="F3970" i="3"/>
  <c r="D3971" i="3"/>
  <c r="I3971" i="3" l="1"/>
  <c r="E3972" i="3"/>
  <c r="J3971" i="3"/>
  <c r="H3971" i="3"/>
  <c r="F3971" i="3"/>
  <c r="D3972" i="3"/>
  <c r="I3972" i="3" l="1"/>
  <c r="E3973" i="3"/>
  <c r="J3972" i="3"/>
  <c r="H3972" i="3"/>
  <c r="F3972" i="3"/>
  <c r="D3973" i="3"/>
  <c r="I3973" i="3" l="1"/>
  <c r="E3974" i="3"/>
  <c r="J3973" i="3"/>
  <c r="H3973" i="3"/>
  <c r="F3973" i="3"/>
  <c r="D3974" i="3"/>
  <c r="I3974" i="3" l="1"/>
  <c r="E3975" i="3"/>
  <c r="J3974" i="3"/>
  <c r="H3974" i="3"/>
  <c r="F3974" i="3"/>
  <c r="D3975" i="3"/>
  <c r="I3975" i="3" l="1"/>
  <c r="E3976" i="3"/>
  <c r="J3975" i="3"/>
  <c r="H3975" i="3"/>
  <c r="F3975" i="3"/>
  <c r="D3976" i="3"/>
  <c r="I3976" i="3" l="1"/>
  <c r="E3977" i="3"/>
  <c r="J3976" i="3"/>
  <c r="H3976" i="3"/>
  <c r="F3976" i="3"/>
  <c r="D3977" i="3"/>
  <c r="I3977" i="3" l="1"/>
  <c r="E3978" i="3"/>
  <c r="J3977" i="3"/>
  <c r="H3977" i="3"/>
  <c r="F3977" i="3"/>
  <c r="D3978" i="3"/>
  <c r="I3978" i="3" l="1"/>
  <c r="E3979" i="3"/>
  <c r="J3978" i="3"/>
  <c r="H3978" i="3"/>
  <c r="F3978" i="3"/>
  <c r="D3979" i="3"/>
  <c r="I3979" i="3" l="1"/>
  <c r="E3980" i="3"/>
  <c r="J3979" i="3"/>
  <c r="H3979" i="3"/>
  <c r="F3979" i="3"/>
  <c r="D3980" i="3"/>
  <c r="I3980" i="3" l="1"/>
  <c r="E3981" i="3"/>
  <c r="J3980" i="3"/>
  <c r="H3980" i="3"/>
  <c r="F3980" i="3"/>
  <c r="D3981" i="3"/>
  <c r="I3981" i="3" l="1"/>
  <c r="E3982" i="3"/>
  <c r="J3981" i="3"/>
  <c r="H3981" i="3"/>
  <c r="F3981" i="3"/>
  <c r="D3982" i="3"/>
  <c r="I3982" i="3" l="1"/>
  <c r="E3983" i="3"/>
  <c r="J3982" i="3"/>
  <c r="H3982" i="3"/>
  <c r="F3982" i="3"/>
  <c r="D3983" i="3"/>
  <c r="I3983" i="3" l="1"/>
  <c r="E3984" i="3"/>
  <c r="J3983" i="3"/>
  <c r="H3983" i="3"/>
  <c r="F3983" i="3"/>
  <c r="D3984" i="3"/>
  <c r="I3984" i="3" l="1"/>
  <c r="E3985" i="3"/>
  <c r="J3984" i="3"/>
  <c r="H3984" i="3"/>
  <c r="F3984" i="3"/>
  <c r="D3985" i="3"/>
  <c r="I3985" i="3" l="1"/>
  <c r="E3986" i="3"/>
  <c r="J3985" i="3"/>
  <c r="H3985" i="3"/>
  <c r="F3985" i="3"/>
  <c r="D3986" i="3"/>
  <c r="I3986" i="3" l="1"/>
  <c r="E3987" i="3"/>
  <c r="J3986" i="3"/>
  <c r="H3986" i="3"/>
  <c r="F3986" i="3"/>
  <c r="D3987" i="3"/>
  <c r="I3987" i="3" l="1"/>
  <c r="E3988" i="3"/>
  <c r="J3987" i="3"/>
  <c r="H3987" i="3"/>
  <c r="F3987" i="3"/>
  <c r="D3988" i="3"/>
  <c r="I3988" i="3" l="1"/>
  <c r="E3989" i="3"/>
  <c r="J3988" i="3"/>
  <c r="H3988" i="3"/>
  <c r="F3988" i="3"/>
  <c r="D3989" i="3"/>
  <c r="I3989" i="3" l="1"/>
  <c r="E3990" i="3"/>
  <c r="J3989" i="3"/>
  <c r="H3989" i="3"/>
  <c r="F3989" i="3"/>
  <c r="D3990" i="3"/>
  <c r="I3990" i="3" l="1"/>
  <c r="E3991" i="3"/>
  <c r="J3990" i="3"/>
  <c r="H3990" i="3"/>
  <c r="F3990" i="3"/>
  <c r="D3991" i="3"/>
  <c r="I3991" i="3" l="1"/>
  <c r="E3992" i="3"/>
  <c r="J3991" i="3"/>
  <c r="H3991" i="3"/>
  <c r="F3991" i="3"/>
  <c r="D3992" i="3"/>
  <c r="I3992" i="3" l="1"/>
  <c r="E3993" i="3"/>
  <c r="J3992" i="3"/>
  <c r="H3992" i="3"/>
  <c r="F3992" i="3"/>
  <c r="D3993" i="3"/>
  <c r="I3993" i="3" l="1"/>
  <c r="E3994" i="3"/>
  <c r="J3993" i="3"/>
  <c r="H3993" i="3"/>
  <c r="F3993" i="3"/>
  <c r="D3994" i="3"/>
  <c r="I3994" i="3" l="1"/>
  <c r="E3995" i="3"/>
  <c r="J3994" i="3"/>
  <c r="H3994" i="3"/>
  <c r="F3994" i="3"/>
  <c r="D3995" i="3"/>
  <c r="I3995" i="3" l="1"/>
  <c r="E3996" i="3"/>
  <c r="J3995" i="3"/>
  <c r="H3995" i="3"/>
  <c r="F3995" i="3"/>
  <c r="D3996" i="3"/>
  <c r="I3996" i="3" l="1"/>
  <c r="E3997" i="3"/>
  <c r="J3996" i="3"/>
  <c r="H3996" i="3"/>
  <c r="F3996" i="3"/>
  <c r="D3997" i="3"/>
  <c r="I3997" i="3" l="1"/>
  <c r="E3998" i="3"/>
  <c r="J3997" i="3"/>
  <c r="H3997" i="3"/>
  <c r="F3997" i="3"/>
  <c r="D3998" i="3"/>
  <c r="I3998" i="3" l="1"/>
  <c r="E3999" i="3"/>
  <c r="J3998" i="3"/>
  <c r="H3998" i="3"/>
  <c r="F3998" i="3"/>
  <c r="D3999" i="3"/>
  <c r="I3999" i="3" l="1"/>
  <c r="E4000" i="3"/>
  <c r="J3999" i="3"/>
  <c r="H3999" i="3"/>
  <c r="F3999" i="3"/>
  <c r="D4000" i="3"/>
  <c r="I4000" i="3" l="1"/>
  <c r="E4001" i="3"/>
  <c r="J4000" i="3"/>
  <c r="H4000" i="3"/>
  <c r="F4000" i="3"/>
  <c r="D4001" i="3"/>
  <c r="I4001" i="3" l="1"/>
  <c r="E4002" i="3"/>
  <c r="J4001" i="3"/>
  <c r="H4001" i="3"/>
  <c r="F4001" i="3"/>
  <c r="D4002" i="3"/>
  <c r="I4002" i="3" l="1"/>
  <c r="E4003" i="3"/>
  <c r="J4002" i="3"/>
  <c r="H4002" i="3"/>
  <c r="F4002" i="3"/>
  <c r="D4003" i="3"/>
  <c r="I4003" i="3" l="1"/>
  <c r="E4004" i="3"/>
  <c r="J4003" i="3"/>
  <c r="H4003" i="3"/>
  <c r="F4003" i="3"/>
  <c r="D4004" i="3"/>
  <c r="I4004" i="3" l="1"/>
  <c r="E4005" i="3"/>
  <c r="J4004" i="3"/>
  <c r="H4004" i="3"/>
  <c r="F4004" i="3"/>
  <c r="D4005" i="3"/>
  <c r="I4005" i="3" l="1"/>
  <c r="E4006" i="3"/>
  <c r="J4005" i="3"/>
  <c r="H4005" i="3"/>
  <c r="F4005" i="3"/>
  <c r="D4006" i="3"/>
  <c r="I4006" i="3" l="1"/>
  <c r="E4007" i="3"/>
  <c r="J4006" i="3"/>
  <c r="H4006" i="3"/>
  <c r="F4006" i="3"/>
  <c r="D4007" i="3"/>
  <c r="I4007" i="3" l="1"/>
  <c r="M6" i="3" s="1"/>
  <c r="M8" i="3" s="1"/>
  <c r="E4008" i="3"/>
  <c r="I4008" i="3" s="1"/>
  <c r="J4007" i="3"/>
  <c r="H4007" i="3"/>
  <c r="F4007" i="3"/>
  <c r="D4008" i="3"/>
  <c r="C6" i="5" l="1"/>
  <c r="J4008" i="3"/>
  <c r="M7" i="3" s="1"/>
  <c r="M9" i="3" s="1"/>
  <c r="H4008" i="3"/>
  <c r="M5" i="3" s="1"/>
  <c r="F4008" i="3"/>
  <c r="F6" i="5" l="1"/>
  <c r="E6" i="5"/>
  <c r="C7" i="5"/>
  <c r="M10" i="3"/>
  <c r="E7" i="5" l="1"/>
  <c r="F7" i="5"/>
  <c r="C8" i="5"/>
  <c r="M11" i="3"/>
  <c r="C5" i="5" s="1"/>
  <c r="E8" i="5" l="1"/>
  <c r="F8" i="5"/>
  <c r="E5" i="5"/>
  <c r="F5" i="5"/>
  <c r="B11" i="5" s="1"/>
  <c r="B10" i="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D8" authorId="0" shapeId="0" xr:uid="{00000000-0006-0000-0200-000001000000}">
      <text>
        <r>
          <rPr>
            <sz val="10"/>
            <rFont val="Arial"/>
            <family val="2"/>
          </rPr>
          <t>Starting value: everyone is healthy at issue.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B5" authorId="0" shapeId="0" xr:uid="{00000000-0006-0000-0400-000001000000}">
      <text>
        <r>
          <rPr>
            <sz val="10"/>
            <rFont val="Arial"/>
            <family val="2"/>
          </rPr>
          <t>Source: Shiny calculator output at the default assumptions (mu01 0.02, mu02 0.01, mu12 0.05, delta 0.05, n 20, benefits 12,000 and 50,000).</t>
        </r>
      </text>
    </comment>
  </commentList>
</comments>
</file>

<file path=xl/sharedStrings.xml><?xml version="1.0" encoding="utf-8"?>
<sst xmlns="http://schemas.openxmlformats.org/spreadsheetml/2006/main" count="98" uniqueCount="88">
  <si>
    <t>Disability &amp; Death Policy: Excel cross-check</t>
  </si>
  <si>
    <t>Part of the Actuarial Models Lab project. This workbook rebuilds the R calculations independently in spreadsheet formulas.</t>
  </si>
  <si>
    <t>Sheets</t>
  </si>
  <si>
    <t>Assumptions: all inputs in one place. Every other sheet reads from here.</t>
  </si>
  <si>
    <t>Euler: Kolmogorov forward equations solved step by step (same method as the R engine), then the annuity and insurance integrals by the trapezoid rule.</t>
  </si>
  <si>
    <t>Closed form: exact formulas for constant intensities, with no numerical method at all.</t>
  </si>
  <si>
    <t>Cross-check: R calculator results side by side with both Excel methods.</t>
  </si>
  <si>
    <t>Experience: paste the SQL query results from R and Excel re-estimates the intensities.</t>
  </si>
  <si>
    <t>Legend</t>
  </si>
  <si>
    <t>Blue text on yellow = input you can change</t>
  </si>
  <si>
    <t>Black text = formula</t>
  </si>
  <si>
    <t>Green text = value pulled from another sheet</t>
  </si>
  <si>
    <t>Illustrative assumptions only, not calibrated to real data and not a pricing basis.</t>
  </si>
  <si>
    <t>Assumptions</t>
  </si>
  <si>
    <t>States: 0 = healthy, 1 = disabled, 2 = dead. Premiums paid continuously while healthy.</t>
  </si>
  <si>
    <t>Item</t>
  </si>
  <si>
    <t>Value</t>
  </si>
  <si>
    <t>Note</t>
  </si>
  <si>
    <t>Intensity healthy to disabled (mu01)</t>
  </si>
  <si>
    <t>Per year. Default matches the calculator.</t>
  </si>
  <si>
    <t>Intensity death while healthy (mu02)</t>
  </si>
  <si>
    <t>Per year.</t>
  </si>
  <si>
    <t>Intensity death while disabled (mu12)</t>
  </si>
  <si>
    <t>Per year. Must differ from mu01 + mu02 for the closed form.</t>
  </si>
  <si>
    <t>Force of interest (delta)</t>
  </si>
  <si>
    <t>Continuous rate.</t>
  </si>
  <si>
    <t>Policy term n (years)</t>
  </si>
  <si>
    <t>At most 40 with step 0.01 (Euler sheet has 4,000 steps).</t>
  </si>
  <si>
    <t>Disability benefit per year</t>
  </si>
  <si>
    <t>Paid continuously while disabled.</t>
  </si>
  <si>
    <t>Death benefit</t>
  </si>
  <si>
    <t>Paid immediately on death.</t>
  </si>
  <si>
    <t>Euler step size h</t>
  </si>
  <si>
    <t>Same default as the R engine. Do not go below 0.01.</t>
  </si>
  <si>
    <t>Number of Euler steps N = n / h</t>
  </si>
  <si>
    <t>Steps available on Euler sheet</t>
  </si>
  <si>
    <t>Euler solution of Kolmogorov's forward equations</t>
  </si>
  <si>
    <t>p00(t+h) = p00(t)(1 - h(mu01+mu02));  p01(t+h) = p01(t) + h(p00(t) mu01 - p01(t) mu12);  trapezoid weights are zero beyond the term.</t>
  </si>
  <si>
    <t>Results</t>
  </si>
  <si>
    <t>a-bar 00 (annuity while healthy)</t>
  </si>
  <si>
    <t>a-bar 01 (annuity while disabled)</t>
  </si>
  <si>
    <t>Step k</t>
  </si>
  <si>
    <t>Time t</t>
  </si>
  <si>
    <t>Trapezoid weight</t>
  </si>
  <si>
    <t>p00 healthy</t>
  </si>
  <si>
    <t>p01 disabled</t>
  </si>
  <si>
    <t>p02 dead</t>
  </si>
  <si>
    <t>Discount e^(-delta t)</t>
  </si>
  <si>
    <t>v p00</t>
  </si>
  <si>
    <t>v p01</t>
  </si>
  <si>
    <t>v (p00 mu02 + p01 mu12)</t>
  </si>
  <si>
    <t>A-bar 02 (insurance on death)</t>
  </si>
  <si>
    <t>EPV disability benefit</t>
  </si>
  <si>
    <t>EPV death benefit</t>
  </si>
  <si>
    <t>Total EPV of benefits</t>
  </si>
  <si>
    <t>Annual premium</t>
  </si>
  <si>
    <t>Closed-form values (constant intensities)</t>
  </si>
  <si>
    <t>Exact integrals, no numerical method. Small differences from the Euler sheet are the Euler discretisation error.</t>
  </si>
  <si>
    <t>Total exit rate from healthy, k = mu01 + mu02</t>
  </si>
  <si>
    <t>Annuity while healthy: (1 - e^-(k+delta)n) / (k+delta)</t>
  </si>
  <si>
    <t>Annuity while disabled (needs mu12 different from k)</t>
  </si>
  <si>
    <t>Insurance on death: mu02 a00 + mu12 a01</t>
  </si>
  <si>
    <t>Check: mu12 differs from mu01 + mu02</t>
  </si>
  <si>
    <t>R calculator vs Excel</t>
  </si>
  <si>
    <t>R values were read off the Shiny calculator at the default assumptions. If you change the assumptions, re-enter the R values from the app.</t>
  </si>
  <si>
    <t>R calculator</t>
  </si>
  <si>
    <t>Excel: Euler</t>
  </si>
  <si>
    <t>Excel: closed form</t>
  </si>
  <si>
    <t>R minus Excel Euler</t>
  </si>
  <si>
    <t>Euler minus closed form</t>
  </si>
  <si>
    <t>R and Excel agree to the cent?</t>
  </si>
  <si>
    <t>Euler error vs exact premium (%)</t>
  </si>
  <si>
    <t>Intensities from experience data</t>
  </si>
  <si>
    <t>Input</t>
  </si>
  <si>
    <t>Exposure in healthy (years), T0</t>
  </si>
  <si>
    <t>Exposure in disabled (years), T1</t>
  </si>
  <si>
    <t>Transitions healthy to disabled, D01</t>
  </si>
  <si>
    <t>Transitions healthy to dead, D02</t>
  </si>
  <si>
    <t>Transitions disabled to dead, D12</t>
  </si>
  <si>
    <t>Transition</t>
  </si>
  <si>
    <t>Estimate D / T</t>
  </si>
  <si>
    <t>Std error sqrt(D) / T</t>
  </si>
  <si>
    <t>95% lower</t>
  </si>
  <si>
    <t>95% upper</t>
  </si>
  <si>
    <t>Healthy to disabled</t>
  </si>
  <si>
    <t>Death while healthy</t>
  </si>
  <si>
    <t>Death while disabled</t>
  </si>
  <si>
    <t>Values below are the SQL query results from the simulated experience data (20,000 lives, 5 years, seed 2026).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</si>
</sst>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000"/>
    <numFmt numFmtId="165" formatCode="\$#,##0"/>
    <numFmt numFmtId="166" formatCode="0.000"/>
    <numFmt numFmtId="167" formatCode="0.000000"/>
    <numFmt numFmtId="168" formatCode="\$#,##0.00"/>
    <numFmt numFmtId="169" formatCode="\$#,##0.00;&quot;($&quot;#,##0.00\);\-"/>
    <numFmt numFmtId="170" formatCode="0.000%"/>
  </numFmts>
  <fonts count="10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4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0000FF"/>
      <name val="Arial"/>
      <family val="2"/>
    </font>
    <font>
      <sz val="11"/>
      <color rgb="FF008000"/>
      <name val="Arial"/>
      <family val="2"/>
    </font>
    <font>
      <i/>
      <sz val="11"/>
      <name val="Arial"/>
      <family val="2"/>
    </font>
    <font>
      <b/>
      <sz val="11"/>
      <color rgb="FFFFFFFF"/>
      <name val="Arial"/>
      <family val="2"/>
    </font>
    <font>
      <i/>
      <sz val="11"/>
      <color rgb="FF59595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4E78"/>
        <bgColor rgb="FF0033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/>
    <xf numFmtId="0" fontId="6" fillId="0" borderId="0" xfId="0" applyFont="1"/>
    <xf numFmtId="0" fontId="7" fillId="0" borderId="0" xfId="0" applyFont="1"/>
    <xf numFmtId="0" fontId="8" fillId="3" borderId="0" xfId="0" applyFont="1" applyFill="1"/>
    <xf numFmtId="164" fontId="5" fillId="2" borderId="0" xfId="0" applyNumberFormat="1" applyFont="1" applyFill="1"/>
    <xf numFmtId="0" fontId="9" fillId="0" borderId="0" xfId="0" applyFont="1"/>
    <xf numFmtId="165" fontId="5" fillId="2" borderId="0" xfId="0" applyNumberFormat="1" applyFont="1" applyFill="1"/>
    <xf numFmtId="166" fontId="5" fillId="2" borderId="0" xfId="0" applyNumberFormat="1" applyFont="1" applyFill="1"/>
    <xf numFmtId="167" fontId="3" fillId="0" borderId="0" xfId="0" applyNumberFormat="1" applyFont="1"/>
    <xf numFmtId="0" fontId="8" fillId="3" borderId="0" xfId="0" applyFont="1" applyFill="1" applyAlignment="1">
      <alignment wrapText="1"/>
    </xf>
    <xf numFmtId="2" fontId="3" fillId="0" borderId="0" xfId="0" applyNumberFormat="1" applyFont="1"/>
    <xf numFmtId="166" fontId="3" fillId="0" borderId="0" xfId="0" applyNumberFormat="1" applyFont="1"/>
    <xf numFmtId="167" fontId="5" fillId="0" borderId="0" xfId="0" applyNumberFormat="1" applyFont="1"/>
    <xf numFmtId="168" fontId="3" fillId="0" borderId="0" xfId="0" applyNumberFormat="1" applyFont="1"/>
    <xf numFmtId="168" fontId="4" fillId="0" borderId="0" xfId="0" applyNumberFormat="1" applyFont="1"/>
    <xf numFmtId="169" fontId="5" fillId="2" borderId="0" xfId="0" applyNumberFormat="1" applyFont="1" applyFill="1"/>
    <xf numFmtId="169" fontId="6" fillId="0" borderId="0" xfId="0" applyNumberFormat="1" applyFont="1"/>
    <xf numFmtId="169" fontId="3" fillId="0" borderId="0" xfId="0" applyNumberFormat="1" applyFont="1"/>
    <xf numFmtId="170" fontId="0" fillId="0" borderId="0" xfId="0" applyNumberFormat="1"/>
    <xf numFmtId="4" fontId="5" fillId="2" borderId="0" xfId="0" applyNumberFormat="1" applyFont="1" applyFill="1"/>
    <xf numFmtId="164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6"/>
  <sheetViews>
    <sheetView zoomScaleNormal="100" workbookViewId="0"/>
  </sheetViews>
  <sheetFormatPr baseColWidth="10" defaultColWidth="8.6640625" defaultRowHeight="15" x14ac:dyDescent="0.2"/>
  <cols>
    <col min="1" max="1" width="120" customWidth="1"/>
  </cols>
  <sheetData>
    <row r="1" spans="1:1" ht="18" x14ac:dyDescent="0.2">
      <c r="A1" s="1" t="s">
        <v>0</v>
      </c>
    </row>
    <row r="2" spans="1:1" x14ac:dyDescent="0.2">
      <c r="A2" s="2" t="s">
        <v>1</v>
      </c>
    </row>
    <row r="3" spans="1:1" x14ac:dyDescent="0.2">
      <c r="A3" s="2"/>
    </row>
    <row r="4" spans="1:1" x14ac:dyDescent="0.2">
      <c r="A4" s="3" t="s">
        <v>2</v>
      </c>
    </row>
    <row r="5" spans="1:1" x14ac:dyDescent="0.2">
      <c r="A5" s="2" t="s">
        <v>3</v>
      </c>
    </row>
    <row r="6" spans="1:1" x14ac:dyDescent="0.2">
      <c r="A6" s="2" t="s">
        <v>4</v>
      </c>
    </row>
    <row r="7" spans="1:1" x14ac:dyDescent="0.2">
      <c r="A7" s="2" t="s">
        <v>5</v>
      </c>
    </row>
    <row r="8" spans="1:1" x14ac:dyDescent="0.2">
      <c r="A8" s="2" t="s">
        <v>6</v>
      </c>
    </row>
    <row r="9" spans="1:1" x14ac:dyDescent="0.2">
      <c r="A9" s="2" t="s">
        <v>7</v>
      </c>
    </row>
    <row r="10" spans="1:1" x14ac:dyDescent="0.2">
      <c r="A10" s="2"/>
    </row>
    <row r="11" spans="1:1" x14ac:dyDescent="0.2">
      <c r="A11" s="3" t="s">
        <v>8</v>
      </c>
    </row>
    <row r="12" spans="1:1" x14ac:dyDescent="0.2">
      <c r="A12" s="4" t="s">
        <v>9</v>
      </c>
    </row>
    <row r="13" spans="1:1" x14ac:dyDescent="0.2">
      <c r="A13" s="2" t="s">
        <v>10</v>
      </c>
    </row>
    <row r="14" spans="1:1" x14ac:dyDescent="0.2">
      <c r="A14" s="5" t="s">
        <v>11</v>
      </c>
    </row>
    <row r="15" spans="1:1" x14ac:dyDescent="0.2">
      <c r="A15" s="2"/>
    </row>
    <row r="16" spans="1:1" x14ac:dyDescent="0.2">
      <c r="A16" s="6" t="s">
        <v>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4"/>
  <sheetViews>
    <sheetView zoomScaleNormal="100" workbookViewId="0"/>
  </sheetViews>
  <sheetFormatPr baseColWidth="10" defaultColWidth="8.6640625" defaultRowHeight="15" x14ac:dyDescent="0.2"/>
  <cols>
    <col min="1" max="1" width="40" customWidth="1"/>
    <col min="2" max="2" width="16" customWidth="1"/>
    <col min="3" max="3" width="62" customWidth="1"/>
  </cols>
  <sheetData>
    <row r="1" spans="1:3" ht="18" x14ac:dyDescent="0.2">
      <c r="A1" s="1" t="s">
        <v>13</v>
      </c>
    </row>
    <row r="2" spans="1:3" x14ac:dyDescent="0.2">
      <c r="A2" s="6" t="s">
        <v>14</v>
      </c>
    </row>
    <row r="4" spans="1:3" x14ac:dyDescent="0.2">
      <c r="A4" s="7" t="s">
        <v>15</v>
      </c>
      <c r="B4" s="7" t="s">
        <v>16</v>
      </c>
      <c r="C4" s="7" t="s">
        <v>17</v>
      </c>
    </row>
    <row r="5" spans="1:3" x14ac:dyDescent="0.2">
      <c r="A5" s="2" t="s">
        <v>18</v>
      </c>
      <c r="B5" s="8">
        <v>0.02</v>
      </c>
      <c r="C5" s="9" t="s">
        <v>19</v>
      </c>
    </row>
    <row r="6" spans="1:3" x14ac:dyDescent="0.2">
      <c r="A6" s="2" t="s">
        <v>20</v>
      </c>
      <c r="B6" s="8">
        <v>0.01</v>
      </c>
      <c r="C6" s="9" t="s">
        <v>21</v>
      </c>
    </row>
    <row r="7" spans="1:3" x14ac:dyDescent="0.2">
      <c r="A7" s="2" t="s">
        <v>22</v>
      </c>
      <c r="B7" s="8">
        <v>0.05</v>
      </c>
      <c r="C7" s="9" t="s">
        <v>23</v>
      </c>
    </row>
    <row r="8" spans="1:3" x14ac:dyDescent="0.2">
      <c r="A8" s="2" t="s">
        <v>24</v>
      </c>
      <c r="B8" s="8">
        <v>0.05</v>
      </c>
      <c r="C8" s="9" t="s">
        <v>25</v>
      </c>
    </row>
    <row r="9" spans="1:3" x14ac:dyDescent="0.2">
      <c r="A9" s="2" t="s">
        <v>26</v>
      </c>
      <c r="B9" s="4">
        <v>20</v>
      </c>
      <c r="C9" s="9" t="s">
        <v>27</v>
      </c>
    </row>
    <row r="10" spans="1:3" x14ac:dyDescent="0.2">
      <c r="A10" s="2" t="s">
        <v>28</v>
      </c>
      <c r="B10" s="10">
        <v>12000</v>
      </c>
      <c r="C10" s="9" t="s">
        <v>29</v>
      </c>
    </row>
    <row r="11" spans="1:3" x14ac:dyDescent="0.2">
      <c r="A11" s="2" t="s">
        <v>30</v>
      </c>
      <c r="B11" s="10">
        <v>50000</v>
      </c>
      <c r="C11" s="9" t="s">
        <v>31</v>
      </c>
    </row>
    <row r="12" spans="1:3" x14ac:dyDescent="0.2">
      <c r="A12" s="2" t="s">
        <v>32</v>
      </c>
      <c r="B12" s="11">
        <v>0.01</v>
      </c>
      <c r="C12" s="9" t="s">
        <v>33</v>
      </c>
    </row>
    <row r="13" spans="1:3" x14ac:dyDescent="0.2">
      <c r="A13" s="2" t="s">
        <v>34</v>
      </c>
      <c r="B13" s="2">
        <f>ROUND(B9/B12,0)</f>
        <v>2000</v>
      </c>
    </row>
    <row r="14" spans="1:3" x14ac:dyDescent="0.2">
      <c r="A14" s="2" t="s">
        <v>35</v>
      </c>
      <c r="B14" s="3" t="str">
        <f>IF(B13&lt;=4000,"OK","Too many steps: raise h or shorten n")</f>
        <v>OK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4008"/>
  <sheetViews>
    <sheetView zoomScaleNormal="100" workbookViewId="0">
      <pane ySplit="7" topLeftCell="A8" activePane="bottomLeft" state="frozen"/>
      <selection pane="bottomLeft"/>
    </sheetView>
  </sheetViews>
  <sheetFormatPr baseColWidth="10" defaultColWidth="8.6640625" defaultRowHeight="15" x14ac:dyDescent="0.2"/>
  <cols>
    <col min="1" max="2" width="8" customWidth="1"/>
    <col min="3" max="3" width="11" customWidth="1"/>
    <col min="4" max="6" width="12" customWidth="1"/>
    <col min="7" max="7" width="13" customWidth="1"/>
    <col min="8" max="9" width="12" customWidth="1"/>
    <col min="10" max="10" width="16" customWidth="1"/>
    <col min="11" max="11" width="2" customWidth="1"/>
    <col min="12" max="12" width="34" customWidth="1"/>
    <col min="13" max="13" width="16" customWidth="1"/>
  </cols>
  <sheetData>
    <row r="1" spans="1:13" ht="18" x14ac:dyDescent="0.2">
      <c r="A1" s="1" t="s">
        <v>36</v>
      </c>
    </row>
    <row r="2" spans="1:13" x14ac:dyDescent="0.2">
      <c r="A2" s="6" t="s">
        <v>37</v>
      </c>
    </row>
    <row r="4" spans="1:13" x14ac:dyDescent="0.2">
      <c r="L4" s="3" t="s">
        <v>38</v>
      </c>
    </row>
    <row r="5" spans="1:13" x14ac:dyDescent="0.2">
      <c r="L5" s="2" t="s">
        <v>39</v>
      </c>
      <c r="M5" s="12">
        <f>SUMPRODUCT($C$8:$C$4008,$H$8:$H$4008)</f>
        <v>9.975959966000012</v>
      </c>
    </row>
    <row r="6" spans="1:13" x14ac:dyDescent="0.2">
      <c r="L6" s="2" t="s">
        <v>40</v>
      </c>
      <c r="M6" s="12">
        <f>SUMPRODUCT($C$8:$C$4008,$I$8:$I$4008)</f>
        <v>1.3300547674217655</v>
      </c>
    </row>
    <row r="7" spans="1:13" ht="45" customHeight="1" x14ac:dyDescent="0.2">
      <c r="A7" s="13" t="s">
        <v>41</v>
      </c>
      <c r="B7" s="13" t="s">
        <v>42</v>
      </c>
      <c r="C7" s="13" t="s">
        <v>43</v>
      </c>
      <c r="D7" s="13" t="s">
        <v>44</v>
      </c>
      <c r="E7" s="13" t="s">
        <v>45</v>
      </c>
      <c r="F7" s="13" t="s">
        <v>46</v>
      </c>
      <c r="G7" s="13" t="s">
        <v>47</v>
      </c>
      <c r="H7" s="13" t="s">
        <v>48</v>
      </c>
      <c r="I7" s="13" t="s">
        <v>49</v>
      </c>
      <c r="J7" s="13" t="s">
        <v>50</v>
      </c>
      <c r="L7" s="2" t="s">
        <v>51</v>
      </c>
      <c r="M7" s="12">
        <f>SUMPRODUCT($C$8:$C$4008,$J$8:$J$4008)</f>
        <v>0.16626233803108814</v>
      </c>
    </row>
    <row r="8" spans="1:13" x14ac:dyDescent="0.2">
      <c r="A8" s="2">
        <v>0</v>
      </c>
      <c r="B8" s="14">
        <f>A8*Assumptions!$B$12</f>
        <v>0</v>
      </c>
      <c r="C8" s="15">
        <f>IF(A8&lt;=Assumptions!$B$13,IF(OR(A8=0,A8=Assumptions!$B$13),0.5,1),0)*Assumptions!$B$12</f>
        <v>5.0000000000000001E-3</v>
      </c>
      <c r="D8" s="16">
        <v>1</v>
      </c>
      <c r="E8" s="16">
        <v>0</v>
      </c>
      <c r="F8" s="12">
        <f t="shared" ref="F8:F71" si="0">1-D8-E8</f>
        <v>0</v>
      </c>
      <c r="G8" s="12">
        <f>EXP(-Assumptions!$B$8*B8)</f>
        <v>1</v>
      </c>
      <c r="H8" s="12">
        <f t="shared" ref="H8:H71" si="1">G8*D8</f>
        <v>1</v>
      </c>
      <c r="I8" s="12">
        <f t="shared" ref="I8:I71" si="2">G8*E8</f>
        <v>0</v>
      </c>
      <c r="J8" s="12">
        <f>G8*(D8*Assumptions!$B$6+E8*Assumptions!$B$7)</f>
        <v>0.01</v>
      </c>
      <c r="L8" s="2" t="s">
        <v>52</v>
      </c>
      <c r="M8" s="17">
        <f>Assumptions!$B$10*M6</f>
        <v>15960.657209061186</v>
      </c>
    </row>
    <row r="9" spans="1:13" x14ac:dyDescent="0.2">
      <c r="A9" s="2">
        <v>1</v>
      </c>
      <c r="B9" s="14">
        <f>A9*Assumptions!$B$12</f>
        <v>0.01</v>
      </c>
      <c r="C9" s="15">
        <f>IF(A9&lt;=Assumptions!$B$13,IF(OR(A9=0,A9=Assumptions!$B$13),0.5,1),0)*Assumptions!$B$12</f>
        <v>0.01</v>
      </c>
      <c r="D9" s="12">
        <f>D8*(1-Assumptions!$B$12*(Assumptions!$B$5+Assumptions!$B$6))</f>
        <v>0.99970000000000003</v>
      </c>
      <c r="E9" s="12">
        <f>E8+Assumptions!$B$12*(D8*Assumptions!$B$5-E8*Assumptions!$B$7)</f>
        <v>2.0000000000000001E-4</v>
      </c>
      <c r="F9" s="12">
        <f t="shared" si="0"/>
        <v>9.999999999996695E-5</v>
      </c>
      <c r="G9" s="12">
        <f>EXP(-Assumptions!$B$8*B9)</f>
        <v>0.99950012497916929</v>
      </c>
      <c r="H9" s="12">
        <f t="shared" si="1"/>
        <v>0.99920027494167563</v>
      </c>
      <c r="I9" s="12">
        <f t="shared" si="2"/>
        <v>1.9990002499583386E-4</v>
      </c>
      <c r="J9" s="12">
        <f>G9*(D9*Assumptions!$B$6+E9*Assumptions!$B$7)</f>
        <v>1.0001997750666547E-2</v>
      </c>
      <c r="L9" s="2" t="s">
        <v>53</v>
      </c>
      <c r="M9" s="17">
        <f>Assumptions!$B$11*M7</f>
        <v>8313.1169015544074</v>
      </c>
    </row>
    <row r="10" spans="1:13" x14ac:dyDescent="0.2">
      <c r="A10" s="2">
        <v>2</v>
      </c>
      <c r="B10" s="14">
        <f>A10*Assumptions!$B$12</f>
        <v>0.02</v>
      </c>
      <c r="C10" s="15">
        <f>IF(A10&lt;=Assumptions!$B$13,IF(OR(A10=0,A10=Assumptions!$B$13),0.5,1),0)*Assumptions!$B$12</f>
        <v>0.01</v>
      </c>
      <c r="D10" s="12">
        <f>D9*(1-Assumptions!$B$12*(Assumptions!$B$5+Assumptions!$B$6))</f>
        <v>0.99940009000000007</v>
      </c>
      <c r="E10" s="12">
        <f>E9+Assumptions!$B$12*(D9*Assumptions!$B$5-E9*Assumptions!$B$7)</f>
        <v>3.9984000000000005E-4</v>
      </c>
      <c r="F10" s="12">
        <f t="shared" si="0"/>
        <v>2.0006999999992573E-4</v>
      </c>
      <c r="G10" s="12">
        <f>EXP(-Assumptions!$B$8*B10)</f>
        <v>0.99900049983337502</v>
      </c>
      <c r="H10" s="12">
        <f t="shared" si="1"/>
        <v>0.99840118944352008</v>
      </c>
      <c r="I10" s="12">
        <f t="shared" si="2"/>
        <v>3.9944035985337674E-4</v>
      </c>
      <c r="J10" s="12">
        <f>G10*(D10*Assumptions!$B$6+E10*Assumptions!$B$7)</f>
        <v>1.000398391242787E-2</v>
      </c>
      <c r="L10" s="2" t="s">
        <v>54</v>
      </c>
      <c r="M10" s="17">
        <f>M8+M9</f>
        <v>24273.774110615595</v>
      </c>
    </row>
    <row r="11" spans="1:13" x14ac:dyDescent="0.2">
      <c r="A11" s="2">
        <v>3</v>
      </c>
      <c r="B11" s="14">
        <f>A11*Assumptions!$B$12</f>
        <v>0.03</v>
      </c>
      <c r="C11" s="15">
        <f>IF(A11&lt;=Assumptions!$B$13,IF(OR(A11=0,A11=Assumptions!$B$13),0.5,1),0)*Assumptions!$B$12</f>
        <v>0.01</v>
      </c>
      <c r="D11" s="12">
        <f>D10*(1-Assumptions!$B$12*(Assumptions!$B$5+Assumptions!$B$6))</f>
        <v>0.99910026997300005</v>
      </c>
      <c r="E11" s="12">
        <f>E10+Assumptions!$B$12*(D10*Assumptions!$B$5-E10*Assumptions!$B$7)</f>
        <v>5.9952009800000013E-4</v>
      </c>
      <c r="F11" s="12">
        <f t="shared" si="0"/>
        <v>3.0020992899994518E-4</v>
      </c>
      <c r="G11" s="12">
        <f>EXP(-Assumptions!$B$8*B11)</f>
        <v>0.99850112443771089</v>
      </c>
      <c r="H11" s="12">
        <f t="shared" si="1"/>
        <v>0.99760274299406104</v>
      </c>
      <c r="I11" s="12">
        <f t="shared" si="2"/>
        <v>5.9862149197600673E-4</v>
      </c>
      <c r="J11" s="12">
        <f>G11*(D11*Assumptions!$B$6+E11*Assumptions!$B$7)</f>
        <v>1.0005958504539411E-2</v>
      </c>
      <c r="L11" s="2" t="s">
        <v>55</v>
      </c>
      <c r="M11" s="18">
        <f>M10/M5</f>
        <v>2433.2268967944219</v>
      </c>
    </row>
    <row r="12" spans="1:13" x14ac:dyDescent="0.2">
      <c r="A12" s="2">
        <v>4</v>
      </c>
      <c r="B12" s="14">
        <f>A12*Assumptions!$B$12</f>
        <v>0.04</v>
      </c>
      <c r="C12" s="15">
        <f>IF(A12&lt;=Assumptions!$B$13,IF(OR(A12=0,A12=Assumptions!$B$13),0.5,1),0)*Assumptions!$B$12</f>
        <v>0.01</v>
      </c>
      <c r="D12" s="12">
        <f>D11*(1-Assumptions!$B$12*(Assumptions!$B$5+Assumptions!$B$6))</f>
        <v>0.99880053989200823</v>
      </c>
      <c r="E12" s="12">
        <f>E11+Assumptions!$B$12*(D11*Assumptions!$B$5-E11*Assumptions!$B$7)</f>
        <v>7.990403919456001E-4</v>
      </c>
      <c r="F12" s="12">
        <f t="shared" si="0"/>
        <v>4.0041971604616762E-4</v>
      </c>
      <c r="G12" s="12">
        <f>EXP(-Assumptions!$B$8*B12)</f>
        <v>0.99800199866733308</v>
      </c>
      <c r="H12" s="12">
        <f t="shared" si="1"/>
        <v>0.99680493508223555</v>
      </c>
      <c r="I12" s="12">
        <f t="shared" si="2"/>
        <v>7.9744390817763813E-4</v>
      </c>
      <c r="J12" s="12">
        <f>G12*(D12*Assumptions!$B$6+E12*Assumptions!$B$7)</f>
        <v>1.0007921546231237E-2</v>
      </c>
    </row>
    <row r="13" spans="1:13" x14ac:dyDescent="0.2">
      <c r="A13" s="2">
        <v>5</v>
      </c>
      <c r="B13" s="14">
        <f>A13*Assumptions!$B$12</f>
        <v>0.05</v>
      </c>
      <c r="C13" s="15">
        <f>IF(A13&lt;=Assumptions!$B$13,IF(OR(A13=0,A13=Assumptions!$B$13),0.5,1),0)*Assumptions!$B$12</f>
        <v>0.01</v>
      </c>
      <c r="D13" s="12">
        <f>D12*(1-Assumptions!$B$12*(Assumptions!$B$5+Assumptions!$B$6))</f>
        <v>0.99850089973004064</v>
      </c>
      <c r="E13" s="12">
        <f>E12+Assumptions!$B$12*(D12*Assumptions!$B$5-E12*Assumptions!$B$7)</f>
        <v>9.9840097972802894E-4</v>
      </c>
      <c r="F13" s="12">
        <f t="shared" si="0"/>
        <v>5.0069929023133469E-4</v>
      </c>
      <c r="G13" s="12">
        <f>EXP(-Assumptions!$B$8*B13)</f>
        <v>0.99750312239746008</v>
      </c>
      <c r="H13" s="12">
        <f t="shared" si="1"/>
        <v>0.99600776519738876</v>
      </c>
      <c r="I13" s="12">
        <f t="shared" si="2"/>
        <v>9.959080946833922E-4</v>
      </c>
      <c r="J13" s="12">
        <f>G13*(D13*Assumptions!$B$6+E13*Assumptions!$B$7)</f>
        <v>1.0009873056708059E-2</v>
      </c>
    </row>
    <row r="14" spans="1:13" x14ac:dyDescent="0.2">
      <c r="A14" s="2">
        <v>6</v>
      </c>
      <c r="B14" s="14">
        <f>A14*Assumptions!$B$12</f>
        <v>0.06</v>
      </c>
      <c r="C14" s="15">
        <f>IF(A14&lt;=Assumptions!$B$13,IF(OR(A14=0,A14=Assumptions!$B$13),0.5,1),0)*Assumptions!$B$12</f>
        <v>0.01</v>
      </c>
      <c r="D14" s="12">
        <f>D13*(1-Assumptions!$B$12*(Assumptions!$B$5+Assumptions!$B$6))</f>
        <v>0.99820134946012162</v>
      </c>
      <c r="E14" s="12">
        <f>E13+Assumptions!$B$12*(D13*Assumptions!$B$5-E13*Assumptions!$B$7)</f>
        <v>1.197601959184173E-3</v>
      </c>
      <c r="F14" s="12">
        <f t="shared" si="0"/>
        <v>6.0104858069420395E-4</v>
      </c>
      <c r="G14" s="12">
        <f>EXP(-Assumptions!$B$8*B14)</f>
        <v>0.997004495503373</v>
      </c>
      <c r="H14" s="12">
        <f t="shared" si="1"/>
        <v>0.99521123282927471</v>
      </c>
      <c r="I14" s="12">
        <f t="shared" si="2"/>
        <v>1.1940145371302675E-3</v>
      </c>
      <c r="J14" s="12">
        <f>G14*(D14*Assumptions!$B$6+E14*Assumptions!$B$7)</f>
        <v>1.0011813055149262E-2</v>
      </c>
    </row>
    <row r="15" spans="1:13" x14ac:dyDescent="0.2">
      <c r="A15" s="2">
        <v>7</v>
      </c>
      <c r="B15" s="14">
        <f>A15*Assumptions!$B$12</f>
        <v>7.0000000000000007E-2</v>
      </c>
      <c r="C15" s="15">
        <f>IF(A15&lt;=Assumptions!$B$13,IF(OR(A15=0,A15=Assumptions!$B$13),0.5,1),0)*Assumptions!$B$12</f>
        <v>0.01</v>
      </c>
      <c r="D15" s="12">
        <f>D14*(1-Assumptions!$B$12*(Assumptions!$B$5+Assumptions!$B$6))</f>
        <v>0.99790188905528365</v>
      </c>
      <c r="E15" s="12">
        <f>E14+Assumptions!$B$12*(D14*Assumptions!$B$5-E14*Assumptions!$B$7)</f>
        <v>1.3966434280966054E-3</v>
      </c>
      <c r="F15" s="12">
        <f t="shared" si="0"/>
        <v>7.0146751661974167E-4</v>
      </c>
      <c r="G15" s="12">
        <f>EXP(-Assumptions!$B$8*B15)</f>
        <v>0.99650611786041488</v>
      </c>
      <c r="H15" s="12">
        <f t="shared" si="1"/>
        <v>0.9944153374680551</v>
      </c>
      <c r="I15" s="12">
        <f t="shared" si="2"/>
        <v>1.3917637205678097E-3</v>
      </c>
      <c r="J15" s="12">
        <f>G15*(D15*Assumptions!$B$6+E15*Assumptions!$B$7)</f>
        <v>1.0013741560708942E-2</v>
      </c>
    </row>
    <row r="16" spans="1:13" x14ac:dyDescent="0.2">
      <c r="A16" s="2">
        <v>8</v>
      </c>
      <c r="B16" s="14">
        <f>A16*Assumptions!$B$12</f>
        <v>0.08</v>
      </c>
      <c r="C16" s="15">
        <f>IF(A16&lt;=Assumptions!$B$13,IF(OR(A16=0,A16=Assumptions!$B$13),0.5,1),0)*Assumptions!$B$12</f>
        <v>0.01</v>
      </c>
      <c r="D16" s="12">
        <f>D15*(1-Assumptions!$B$12*(Assumptions!$B$5+Assumptions!$B$6))</f>
        <v>0.99760251848856707</v>
      </c>
      <c r="E16" s="12">
        <f>E15+Assumptions!$B$12*(D15*Assumptions!$B$5-E15*Assumptions!$B$7)</f>
        <v>1.5955254841936138E-3</v>
      </c>
      <c r="F16" s="12">
        <f t="shared" si="0"/>
        <v>8.0195602723931686E-4</v>
      </c>
      <c r="G16" s="12">
        <f>EXP(-Assumptions!$B$8*B16)</f>
        <v>0.99600798934399148</v>
      </c>
      <c r="H16" s="12">
        <f t="shared" si="1"/>
        <v>0.99362007860429979</v>
      </c>
      <c r="I16" s="12">
        <f t="shared" si="2"/>
        <v>1.5891561294587798E-3</v>
      </c>
      <c r="J16" s="12">
        <f>G16*(D16*Assumptions!$B$6+E16*Assumptions!$B$7)</f>
        <v>1.0015658592515938E-2</v>
      </c>
    </row>
    <row r="17" spans="1:10" x14ac:dyDescent="0.2">
      <c r="A17" s="2">
        <v>9</v>
      </c>
      <c r="B17" s="14">
        <f>A17*Assumptions!$B$12</f>
        <v>0.09</v>
      </c>
      <c r="C17" s="15">
        <f>IF(A17&lt;=Assumptions!$B$13,IF(OR(A17=0,A17=Assumptions!$B$13),0.5,1),0)*Assumptions!$B$12</f>
        <v>0.01</v>
      </c>
      <c r="D17" s="12">
        <f>D16*(1-Assumptions!$B$12*(Assumptions!$B$5+Assumptions!$B$6))</f>
        <v>0.99730323773302054</v>
      </c>
      <c r="E17" s="12">
        <f>E16+Assumptions!$B$12*(D16*Assumptions!$B$5-E16*Assumptions!$B$7)</f>
        <v>1.7942482251492304E-3</v>
      </c>
      <c r="F17" s="12">
        <f t="shared" si="0"/>
        <v>9.0251404183022731E-4</v>
      </c>
      <c r="G17" s="12">
        <f>EXP(-Assumptions!$B$8*B17)</f>
        <v>0.99551010982957056</v>
      </c>
      <c r="H17" s="12">
        <f t="shared" si="1"/>
        <v>0.99282545572898562</v>
      </c>
      <c r="I17" s="12">
        <f t="shared" si="2"/>
        <v>1.7861922476798224E-3</v>
      </c>
      <c r="J17" s="12">
        <f>G17*(D17*Assumptions!$B$6+E17*Assumptions!$B$7)</f>
        <v>1.0017564169673846E-2</v>
      </c>
    </row>
    <row r="18" spans="1:10" x14ac:dyDescent="0.2">
      <c r="A18" s="2">
        <v>10</v>
      </c>
      <c r="B18" s="14">
        <f>A18*Assumptions!$B$12</f>
        <v>0.1</v>
      </c>
      <c r="C18" s="15">
        <f>IF(A18&lt;=Assumptions!$B$13,IF(OR(A18=0,A18=Assumptions!$B$13),0.5,1),0)*Assumptions!$B$12</f>
        <v>0.01</v>
      </c>
      <c r="D18" s="12">
        <f>D17*(1-Assumptions!$B$12*(Assumptions!$B$5+Assumptions!$B$6))</f>
        <v>0.99700404676170062</v>
      </c>
      <c r="E18" s="12">
        <f>E17+Assumptions!$B$12*(D17*Assumptions!$B$5-E17*Assumptions!$B$7)</f>
        <v>1.9928117485832598E-3</v>
      </c>
      <c r="F18" s="12">
        <f t="shared" si="0"/>
        <v>1.0031414897161161E-3</v>
      </c>
      <c r="G18" s="12">
        <f>EXP(-Assumptions!$B$8*B18)</f>
        <v>0.99501247919268232</v>
      </c>
      <c r="H18" s="12">
        <f t="shared" si="1"/>
        <v>0.99203146833349676</v>
      </c>
      <c r="I18" s="12">
        <f t="shared" si="2"/>
        <v>1.9828725585221336E-3</v>
      </c>
      <c r="J18" s="12">
        <f>G18*(D18*Assumptions!$B$6+E18*Assumptions!$B$7)</f>
        <v>1.0019458311261074E-2</v>
      </c>
    </row>
    <row r="19" spans="1:10" x14ac:dyDescent="0.2">
      <c r="A19" s="2">
        <v>11</v>
      </c>
      <c r="B19" s="14">
        <f>A19*Assumptions!$B$12</f>
        <v>0.11</v>
      </c>
      <c r="C19" s="15">
        <f>IF(A19&lt;=Assumptions!$B$13,IF(OR(A19=0,A19=Assumptions!$B$13),0.5,1),0)*Assumptions!$B$12</f>
        <v>0.01</v>
      </c>
      <c r="D19" s="12">
        <f>D18*(1-Assumptions!$B$12*(Assumptions!$B$5+Assumptions!$B$6))</f>
        <v>0.99670494554767219</v>
      </c>
      <c r="E19" s="12">
        <f>E18+Assumptions!$B$12*(D18*Assumptions!$B$5-E18*Assumptions!$B$7)</f>
        <v>2.1912161520613082E-3</v>
      </c>
      <c r="F19" s="12">
        <f t="shared" si="0"/>
        <v>1.1038383002664976E-3</v>
      </c>
      <c r="G19" s="12">
        <f>EXP(-Assumptions!$B$8*B19)</f>
        <v>0.99451509730891907</v>
      </c>
      <c r="H19" s="12">
        <f t="shared" si="1"/>
        <v>0.99123811590962407</v>
      </c>
      <c r="I19" s="12">
        <f t="shared" si="2"/>
        <v>2.1791975446921272E-3</v>
      </c>
      <c r="J19" s="12">
        <f>G19*(D19*Assumptions!$B$6+E19*Assumptions!$B$7)</f>
        <v>1.0021341036330849E-2</v>
      </c>
    </row>
    <row r="20" spans="1:10" x14ac:dyDescent="0.2">
      <c r="A20" s="2">
        <v>12</v>
      </c>
      <c r="B20" s="14">
        <f>A20*Assumptions!$B$12</f>
        <v>0.12</v>
      </c>
      <c r="C20" s="15">
        <f>IF(A20&lt;=Assumptions!$B$13,IF(OR(A20=0,A20=Assumptions!$B$13),0.5,1),0)*Assumptions!$B$12</f>
        <v>0.01</v>
      </c>
      <c r="D20" s="12">
        <f>D19*(1-Assumptions!$B$12*(Assumptions!$B$5+Assumptions!$B$6))</f>
        <v>0.9964059340640079</v>
      </c>
      <c r="E20" s="12">
        <f>E19+Assumptions!$B$12*(D19*Assumptions!$B$5-E19*Assumptions!$B$7)</f>
        <v>2.3894615330948121E-3</v>
      </c>
      <c r="F20" s="12">
        <f t="shared" si="0"/>
        <v>1.2046044028972847E-3</v>
      </c>
      <c r="G20" s="12">
        <f>EXP(-Assumptions!$B$8*B20)</f>
        <v>0.99401796405393528</v>
      </c>
      <c r="H20" s="12">
        <f t="shared" si="1"/>
        <v>0.99044539794956477</v>
      </c>
      <c r="I20" s="12">
        <f t="shared" si="2"/>
        <v>2.3751676883121001E-3</v>
      </c>
      <c r="J20" s="12">
        <f>G20*(D20*Assumptions!$B$6+E20*Assumptions!$B$7)</f>
        <v>1.0023212363911254E-2</v>
      </c>
    </row>
    <row r="21" spans="1:10" x14ac:dyDescent="0.2">
      <c r="A21" s="2">
        <v>13</v>
      </c>
      <c r="B21" s="14">
        <f>A21*Assumptions!$B$12</f>
        <v>0.13</v>
      </c>
      <c r="C21" s="15">
        <f>IF(A21&lt;=Assumptions!$B$13,IF(OR(A21=0,A21=Assumptions!$B$13),0.5,1),0)*Assumptions!$B$12</f>
        <v>0.01</v>
      </c>
      <c r="D21" s="12">
        <f>D20*(1-Assumptions!$B$12*(Assumptions!$B$5+Assumptions!$B$6))</f>
        <v>0.99610701228378873</v>
      </c>
      <c r="E21" s="12">
        <f>E20+Assumptions!$B$12*(D20*Assumptions!$B$5-E20*Assumptions!$B$7)</f>
        <v>2.5875479891410663E-3</v>
      </c>
      <c r="F21" s="12">
        <f t="shared" si="0"/>
        <v>1.3054397270702051E-3</v>
      </c>
      <c r="G21" s="12">
        <f>EXP(-Assumptions!$B$8*B21)</f>
        <v>0.99352107930344769</v>
      </c>
      <c r="H21" s="12">
        <f t="shared" si="1"/>
        <v>0.98965331394592237</v>
      </c>
      <c r="I21" s="12">
        <f t="shared" si="2"/>
        <v>2.5707834709208979E-3</v>
      </c>
      <c r="J21" s="12">
        <f>G21*(D21*Assumptions!$B$6+E21*Assumptions!$B$7)</f>
        <v>1.0025072313005269E-2</v>
      </c>
    </row>
    <row r="22" spans="1:10" x14ac:dyDescent="0.2">
      <c r="A22" s="2">
        <v>14</v>
      </c>
      <c r="B22" s="14">
        <f>A22*Assumptions!$B$12</f>
        <v>0.14000000000000001</v>
      </c>
      <c r="C22" s="15">
        <f>IF(A22&lt;=Assumptions!$B$13,IF(OR(A22=0,A22=Assumptions!$B$13),0.5,1),0)*Assumptions!$B$12</f>
        <v>0.01</v>
      </c>
      <c r="D22" s="12">
        <f>D21*(1-Assumptions!$B$12*(Assumptions!$B$5+Assumptions!$B$6))</f>
        <v>0.99580818018010364</v>
      </c>
      <c r="E22" s="12">
        <f>E21+Assumptions!$B$12*(D21*Assumptions!$B$5-E21*Assumptions!$B$7)</f>
        <v>2.7854756176032536E-3</v>
      </c>
      <c r="F22" s="12">
        <f t="shared" si="0"/>
        <v>1.4063442022931049E-3</v>
      </c>
      <c r="G22" s="12">
        <f>EXP(-Assumptions!$B$8*B22)</f>
        <v>0.99302444293323511</v>
      </c>
      <c r="H22" s="12">
        <f t="shared" si="1"/>
        <v>0.98886186339170601</v>
      </c>
      <c r="I22" s="12">
        <f t="shared" si="2"/>
        <v>2.7660453734745798E-3</v>
      </c>
      <c r="J22" s="12">
        <f>G22*(D22*Assumptions!$B$6+E22*Assumptions!$B$7)</f>
        <v>1.0026920902590788E-2</v>
      </c>
    </row>
    <row r="23" spans="1:10" x14ac:dyDescent="0.2">
      <c r="A23" s="2">
        <v>15</v>
      </c>
      <c r="B23" s="14">
        <f>A23*Assumptions!$B$12</f>
        <v>0.15</v>
      </c>
      <c r="C23" s="15">
        <f>IF(A23&lt;=Assumptions!$B$13,IF(OR(A23=0,A23=Assumptions!$B$13),0.5,1),0)*Assumptions!$B$12</f>
        <v>0.01</v>
      </c>
      <c r="D23" s="12">
        <f>D22*(1-Assumptions!$B$12*(Assumptions!$B$5+Assumptions!$B$6))</f>
        <v>0.99550943772604961</v>
      </c>
      <c r="E23" s="12">
        <f>E22+Assumptions!$B$12*(D22*Assumptions!$B$5-E22*Assumptions!$B$7)</f>
        <v>2.9832445158304729E-3</v>
      </c>
      <c r="F23" s="12">
        <f t="shared" si="0"/>
        <v>1.5073177581199208E-3</v>
      </c>
      <c r="G23" s="12">
        <f>EXP(-Assumptions!$B$8*B23)</f>
        <v>0.99252805481913842</v>
      </c>
      <c r="H23" s="12">
        <f t="shared" si="1"/>
        <v>0.98807104578033023</v>
      </c>
      <c r="I23" s="12">
        <f t="shared" si="2"/>
        <v>2.9609538763470818E-3</v>
      </c>
      <c r="J23" s="12">
        <f>G23*(D23*Assumptions!$B$6+E23*Assumptions!$B$7)</f>
        <v>1.0028758151620657E-2</v>
      </c>
    </row>
    <row r="24" spans="1:10" x14ac:dyDescent="0.2">
      <c r="A24" s="2">
        <v>16</v>
      </c>
      <c r="B24" s="14">
        <f>A24*Assumptions!$B$12</f>
        <v>0.16</v>
      </c>
      <c r="C24" s="15">
        <f>IF(A24&lt;=Assumptions!$B$13,IF(OR(A24=0,A24=Assumptions!$B$13),0.5,1),0)*Assumptions!$B$12</f>
        <v>0.01</v>
      </c>
      <c r="D24" s="12">
        <f>D23*(1-Assumptions!$B$12*(Assumptions!$B$5+Assumptions!$B$6))</f>
        <v>0.9952107848947318</v>
      </c>
      <c r="E24" s="12">
        <f>E23+Assumptions!$B$12*(D23*Assumptions!$B$5-E23*Assumptions!$B$7)</f>
        <v>3.1808547811177676E-3</v>
      </c>
      <c r="F24" s="12">
        <f t="shared" si="0"/>
        <v>1.6083603241504288E-3</v>
      </c>
      <c r="G24" s="12">
        <f>EXP(-Assumptions!$B$8*B24)</f>
        <v>0.99203191483706066</v>
      </c>
      <c r="H24" s="12">
        <f t="shared" si="1"/>
        <v>0.98728086060561482</v>
      </c>
      <c r="I24" s="12">
        <f t="shared" si="2"/>
        <v>3.1555094593308784E-3</v>
      </c>
      <c r="J24" s="12">
        <f>G24*(D24*Assumptions!$B$6+E24*Assumptions!$B$7)</f>
        <v>1.0030584079022695E-2</v>
      </c>
    </row>
    <row r="25" spans="1:10" x14ac:dyDescent="0.2">
      <c r="A25" s="2">
        <v>17</v>
      </c>
      <c r="B25" s="14">
        <f>A25*Assumptions!$B$12</f>
        <v>0.17</v>
      </c>
      <c r="C25" s="15">
        <f>IF(A25&lt;=Assumptions!$B$13,IF(OR(A25=0,A25=Assumptions!$B$13),0.5,1),0)*Assumptions!$B$12</f>
        <v>0.01</v>
      </c>
      <c r="D25" s="12">
        <f>D24*(1-Assumptions!$B$12*(Assumptions!$B$5+Assumptions!$B$6))</f>
        <v>0.99491222165926341</v>
      </c>
      <c r="E25" s="12">
        <f>E24+Assumptions!$B$12*(D24*Assumptions!$B$5-E24*Assumptions!$B$7)</f>
        <v>3.3783065107061551E-3</v>
      </c>
      <c r="F25" s="12">
        <f t="shared" si="0"/>
        <v>1.7094718300304378E-3</v>
      </c>
      <c r="G25" s="12">
        <f>EXP(-Assumptions!$B$8*B25)</f>
        <v>0.99153602286296671</v>
      </c>
      <c r="H25" s="12">
        <f t="shared" si="1"/>
        <v>0.98649130736178436</v>
      </c>
      <c r="I25" s="12">
        <f t="shared" si="2"/>
        <v>3.3497126016376476E-3</v>
      </c>
      <c r="J25" s="12">
        <f>G25*(D25*Assumptions!$B$6+E25*Assumptions!$B$7)</f>
        <v>1.0032398703699727E-2</v>
      </c>
    </row>
    <row r="26" spans="1:10" x14ac:dyDescent="0.2">
      <c r="A26" s="2">
        <v>18</v>
      </c>
      <c r="B26" s="14">
        <f>A26*Assumptions!$B$12</f>
        <v>0.18</v>
      </c>
      <c r="C26" s="15">
        <f>IF(A26&lt;=Assumptions!$B$13,IF(OR(A26=0,A26=Assumptions!$B$13),0.5,1),0)*Assumptions!$B$12</f>
        <v>0.01</v>
      </c>
      <c r="D26" s="12">
        <f>D25*(1-Assumptions!$B$12*(Assumptions!$B$5+Assumptions!$B$6))</f>
        <v>0.9946137479927657</v>
      </c>
      <c r="E26" s="12">
        <f>E25+Assumptions!$B$12*(D25*Assumptions!$B$5-E25*Assumptions!$B$7)</f>
        <v>3.5755998017826546E-3</v>
      </c>
      <c r="F26" s="12">
        <f t="shared" si="0"/>
        <v>1.8106522054516499E-3</v>
      </c>
      <c r="G26" s="12">
        <f>EXP(-Assumptions!$B$8*B26)</f>
        <v>0.99104037877288365</v>
      </c>
      <c r="H26" s="12">
        <f t="shared" si="1"/>
        <v>0.98570238554346801</v>
      </c>
      <c r="I26" s="12">
        <f t="shared" si="2"/>
        <v>3.5435637818989297E-3</v>
      </c>
      <c r="J26" s="12">
        <f>G26*(D26*Assumptions!$B$6+E26*Assumptions!$B$7)</f>
        <v>1.0034202044529626E-2</v>
      </c>
    </row>
    <row r="27" spans="1:10" x14ac:dyDescent="0.2">
      <c r="A27" s="2">
        <v>19</v>
      </c>
      <c r="B27" s="14">
        <f>A27*Assumptions!$B$12</f>
        <v>0.19</v>
      </c>
      <c r="C27" s="15">
        <f>IF(A27&lt;=Assumptions!$B$13,IF(OR(A27=0,A27=Assumptions!$B$13),0.5,1),0)*Assumptions!$B$12</f>
        <v>0.01</v>
      </c>
      <c r="D27" s="12">
        <f>D26*(1-Assumptions!$B$12*(Assumptions!$B$5+Assumptions!$B$6))</f>
        <v>0.99431536386836794</v>
      </c>
      <c r="E27" s="12">
        <f>E26+Assumptions!$B$12*(D26*Assumptions!$B$5-E26*Assumptions!$B$7)</f>
        <v>3.7727347514803166E-3</v>
      </c>
      <c r="F27" s="12">
        <f t="shared" si="0"/>
        <v>1.9119013801517427E-3</v>
      </c>
      <c r="G27" s="12">
        <f>EXP(-Assumptions!$B$8*B27)</f>
        <v>0.99054498244290046</v>
      </c>
      <c r="H27" s="12">
        <f t="shared" si="1"/>
        <v>0.98491409464569868</v>
      </c>
      <c r="I27" s="12">
        <f t="shared" si="2"/>
        <v>3.7370634781667906E-3</v>
      </c>
      <c r="J27" s="12">
        <f>G27*(D27*Assumptions!$B$6+E27*Assumptions!$B$7)</f>
        <v>1.0035994120365328E-2</v>
      </c>
    </row>
    <row r="28" spans="1:10" x14ac:dyDescent="0.2">
      <c r="A28" s="2">
        <v>20</v>
      </c>
      <c r="B28" s="14">
        <f>A28*Assumptions!$B$12</f>
        <v>0.2</v>
      </c>
      <c r="C28" s="15">
        <f>IF(A28&lt;=Assumptions!$B$13,IF(OR(A28=0,A28=Assumptions!$B$13),0.5,1),0)*Assumptions!$B$12</f>
        <v>0.01</v>
      </c>
      <c r="D28" s="12">
        <f>D27*(1-Assumptions!$B$12*(Assumptions!$B$5+Assumptions!$B$6))</f>
        <v>0.99401706925920741</v>
      </c>
      <c r="E28" s="12">
        <f>E27+Assumptions!$B$12*(D27*Assumptions!$B$5-E27*Assumptions!$B$7)</f>
        <v>3.9697114568782504E-3</v>
      </c>
      <c r="F28" s="12">
        <f t="shared" si="0"/>
        <v>2.0132192839143409E-3</v>
      </c>
      <c r="G28" s="12">
        <f>EXP(-Assumptions!$B$8*B28)</f>
        <v>0.99004983374916811</v>
      </c>
      <c r="H28" s="12">
        <f t="shared" si="1"/>
        <v>0.98412643416391365</v>
      </c>
      <c r="I28" s="12">
        <f t="shared" si="2"/>
        <v>3.9302121679144798E-3</v>
      </c>
      <c r="J28" s="12">
        <f>G28*(D28*Assumptions!$B$6+E28*Assumptions!$B$7)</f>
        <v>1.0037774950034861E-2</v>
      </c>
    </row>
    <row r="29" spans="1:10" x14ac:dyDescent="0.2">
      <c r="A29" s="2">
        <v>21</v>
      </c>
      <c r="B29" s="14">
        <f>A29*Assumptions!$B$12</f>
        <v>0.21</v>
      </c>
      <c r="C29" s="15">
        <f>IF(A29&lt;=Assumptions!$B$13,IF(OR(A29=0,A29=Assumptions!$B$13),0.5,1),0)*Assumptions!$B$12</f>
        <v>0.01</v>
      </c>
      <c r="D29" s="12">
        <f>D28*(1-Assumptions!$B$12*(Assumptions!$B$5+Assumptions!$B$6))</f>
        <v>0.99371886413842969</v>
      </c>
      <c r="E29" s="12">
        <f>E28+Assumptions!$B$12*(D28*Assumptions!$B$5-E28*Assumptions!$B$7)</f>
        <v>4.1665300150016526E-3</v>
      </c>
      <c r="F29" s="12">
        <f t="shared" si="0"/>
        <v>2.1146058465686558E-3</v>
      </c>
      <c r="G29" s="12">
        <f>EXP(-Assumptions!$B$8*B29)</f>
        <v>0.98955493256789928</v>
      </c>
      <c r="H29" s="12">
        <f t="shared" si="1"/>
        <v>0.98333940359395322</v>
      </c>
      <c r="I29" s="12">
        <f t="shared" si="2"/>
        <v>4.1230103280370887E-3</v>
      </c>
      <c r="J29" s="12">
        <f>G29*(D29*Assumptions!$B$6+E29*Assumptions!$B$7)</f>
        <v>1.0039544552341387E-2</v>
      </c>
    </row>
    <row r="30" spans="1:10" x14ac:dyDescent="0.2">
      <c r="A30" s="2">
        <v>22</v>
      </c>
      <c r="B30" s="14">
        <f>A30*Assumptions!$B$12</f>
        <v>0.22</v>
      </c>
      <c r="C30" s="15">
        <f>IF(A30&lt;=Assumptions!$B$13,IF(OR(A30=0,A30=Assumptions!$B$13),0.5,1),0)*Assumptions!$B$12</f>
        <v>0.01</v>
      </c>
      <c r="D30" s="12">
        <f>D29*(1-Assumptions!$B$12*(Assumptions!$B$5+Assumptions!$B$6))</f>
        <v>0.99342074847918815</v>
      </c>
      <c r="E30" s="12">
        <f>E29+Assumptions!$B$12*(D29*Assumptions!$B$5-E29*Assumptions!$B$7)</f>
        <v>4.3631905228218373E-3</v>
      </c>
      <c r="F30" s="12">
        <f t="shared" si="0"/>
        <v>2.2160609979900089E-3</v>
      </c>
      <c r="G30" s="12">
        <f>EXP(-Assumptions!$B$8*B30)</f>
        <v>0.98906027877536873</v>
      </c>
      <c r="H30" s="12">
        <f t="shared" si="1"/>
        <v>0.98255300243206134</v>
      </c>
      <c r="I30" s="12">
        <f t="shared" si="2"/>
        <v>4.3154584348522136E-3</v>
      </c>
      <c r="J30" s="12">
        <f>G30*(D30*Assumptions!$B$6+E30*Assumptions!$B$7)</f>
        <v>1.0041302946063225E-2</v>
      </c>
    </row>
    <row r="31" spans="1:10" x14ac:dyDescent="0.2">
      <c r="A31" s="2">
        <v>23</v>
      </c>
      <c r="B31" s="14">
        <f>A31*Assumptions!$B$12</f>
        <v>0.23</v>
      </c>
      <c r="C31" s="15">
        <f>IF(A31&lt;=Assumptions!$B$13,IF(OR(A31=0,A31=Assumptions!$B$13),0.5,1),0)*Assumptions!$B$12</f>
        <v>0.01</v>
      </c>
      <c r="D31" s="12">
        <f>D30*(1-Assumptions!$B$12*(Assumptions!$B$5+Assumptions!$B$6))</f>
        <v>0.99312272225464449</v>
      </c>
      <c r="E31" s="12">
        <f>E30+Assumptions!$B$12*(D30*Assumptions!$B$5-E30*Assumptions!$B$7)</f>
        <v>4.559693077256264E-3</v>
      </c>
      <c r="F31" s="12">
        <f t="shared" si="0"/>
        <v>2.3175846680992505E-3</v>
      </c>
      <c r="G31" s="12">
        <f>EXP(-Assumptions!$B$8*B31)</f>
        <v>0.98856587224791304</v>
      </c>
      <c r="H31" s="12">
        <f t="shared" si="1"/>
        <v>0.98176723017488454</v>
      </c>
      <c r="I31" s="12">
        <f t="shared" si="2"/>
        <v>4.5075569641006095E-3</v>
      </c>
      <c r="J31" s="12">
        <f>G31*(D31*Assumptions!$B$6+E31*Assumptions!$B$7)</f>
        <v>1.0043050149953877E-2</v>
      </c>
    </row>
    <row r="32" spans="1:10" x14ac:dyDescent="0.2">
      <c r="A32" s="2">
        <v>24</v>
      </c>
      <c r="B32" s="14">
        <f>A32*Assumptions!$B$12</f>
        <v>0.24</v>
      </c>
      <c r="C32" s="15">
        <f>IF(A32&lt;=Assumptions!$B$13,IF(OR(A32=0,A32=Assumptions!$B$13),0.5,1),0)*Assumptions!$B$12</f>
        <v>0.01</v>
      </c>
      <c r="D32" s="12">
        <f>D31*(1-Assumptions!$B$12*(Assumptions!$B$5+Assumptions!$B$6))</f>
        <v>0.99282478543796815</v>
      </c>
      <c r="E32" s="12">
        <f>E31+Assumptions!$B$12*(D31*Assumptions!$B$5-E31*Assumptions!$B$7)</f>
        <v>4.756037775168565E-3</v>
      </c>
      <c r="F32" s="12">
        <f t="shared" si="0"/>
        <v>2.4191767868632858E-3</v>
      </c>
      <c r="G32" s="12">
        <f>EXP(-Assumptions!$B$8*B32)</f>
        <v>0.98807171286193052</v>
      </c>
      <c r="H32" s="12">
        <f t="shared" si="1"/>
        <v>0.98098208631947181</v>
      </c>
      <c r="I32" s="12">
        <f t="shared" si="2"/>
        <v>4.699306390946849E-3</v>
      </c>
      <c r="J32" s="12">
        <f>G32*(D32*Assumptions!$B$6+E32*Assumptions!$B$7)</f>
        <v>1.0044786182742061E-2</v>
      </c>
    </row>
    <row r="33" spans="1:10" x14ac:dyDescent="0.2">
      <c r="A33" s="2">
        <v>25</v>
      </c>
      <c r="B33" s="14">
        <f>A33*Assumptions!$B$12</f>
        <v>0.25</v>
      </c>
      <c r="C33" s="15">
        <f>IF(A33&lt;=Assumptions!$B$13,IF(OR(A33=0,A33=Assumptions!$B$13),0.5,1),0)*Assumptions!$B$12</f>
        <v>0.01</v>
      </c>
      <c r="D33" s="12">
        <f>D32*(1-Assumptions!$B$12*(Assumptions!$B$5+Assumptions!$B$6))</f>
        <v>0.99252693800233682</v>
      </c>
      <c r="E33" s="12">
        <f>E32+Assumptions!$B$12*(D32*Assumptions!$B$5-E32*Assumptions!$B$7)</f>
        <v>4.9522247133685741E-3</v>
      </c>
      <c r="F33" s="12">
        <f t="shared" si="0"/>
        <v>2.5208372842946032E-3</v>
      </c>
      <c r="G33" s="12">
        <f>EXP(-Assumptions!$B$8*B33)</f>
        <v>0.98757780049388144</v>
      </c>
      <c r="H33" s="12">
        <f t="shared" si="1"/>
        <v>0.98019757036327482</v>
      </c>
      <c r="I33" s="12">
        <f t="shared" si="2"/>
        <v>4.890707189979979E-3</v>
      </c>
      <c r="J33" s="12">
        <f>G33*(D33*Assumptions!$B$6+E33*Assumptions!$B$7)</f>
        <v>1.0046511063131749E-2</v>
      </c>
    </row>
    <row r="34" spans="1:10" x14ac:dyDescent="0.2">
      <c r="A34" s="2">
        <v>26</v>
      </c>
      <c r="B34" s="14">
        <f>A34*Assumptions!$B$12</f>
        <v>0.26</v>
      </c>
      <c r="C34" s="15">
        <f>IF(A34&lt;=Assumptions!$B$13,IF(OR(A34=0,A34=Assumptions!$B$13),0.5,1),0)*Assumptions!$B$12</f>
        <v>0.01</v>
      </c>
      <c r="D34" s="12">
        <f>D33*(1-Assumptions!$B$12*(Assumptions!$B$5+Assumptions!$B$6))</f>
        <v>0.99222917992093618</v>
      </c>
      <c r="E34" s="12">
        <f>E33+Assumptions!$B$12*(D33*Assumptions!$B$5-E33*Assumptions!$B$7)</f>
        <v>5.1482539886123571E-3</v>
      </c>
      <c r="F34" s="12">
        <f t="shared" si="0"/>
        <v>2.6225660904514655E-3</v>
      </c>
      <c r="G34" s="12">
        <f>EXP(-Assumptions!$B$8*B34)</f>
        <v>0.98708413502028758</v>
      </c>
      <c r="H34" s="12">
        <f t="shared" si="1"/>
        <v>0.97941368180414656</v>
      </c>
      <c r="I34" s="12">
        <f t="shared" si="2"/>
        <v>5.0817598352141738E-3</v>
      </c>
      <c r="J34" s="12">
        <f>G34*(D34*Assumptions!$B$6+E34*Assumptions!$B$7)</f>
        <v>1.0048224809802175E-2</v>
      </c>
    </row>
    <row r="35" spans="1:10" x14ac:dyDescent="0.2">
      <c r="A35" s="2">
        <v>27</v>
      </c>
      <c r="B35" s="14">
        <f>A35*Assumptions!$B$12</f>
        <v>0.27</v>
      </c>
      <c r="C35" s="15">
        <f>IF(A35&lt;=Assumptions!$B$13,IF(OR(A35=0,A35=Assumptions!$B$13),0.5,1),0)*Assumptions!$B$12</f>
        <v>0.01</v>
      </c>
      <c r="D35" s="12">
        <f>D34*(1-Assumptions!$B$12*(Assumptions!$B$5+Assumptions!$B$6))</f>
        <v>0.99193151116695988</v>
      </c>
      <c r="E35" s="12">
        <f>E34+Assumptions!$B$12*(D34*Assumptions!$B$5-E34*Assumptions!$B$7)</f>
        <v>5.344125697602238E-3</v>
      </c>
      <c r="F35" s="12">
        <f t="shared" si="0"/>
        <v>2.7243631354378836E-3</v>
      </c>
      <c r="G35" s="12">
        <f>EXP(-Assumptions!$B$8*B35)</f>
        <v>0.98659071631773265</v>
      </c>
      <c r="H35" s="12">
        <f t="shared" si="1"/>
        <v>0.97863042014034196</v>
      </c>
      <c r="I35" s="12">
        <f t="shared" si="2"/>
        <v>5.2724648000893951E-3</v>
      </c>
      <c r="J35" s="12">
        <f>G35*(D35*Assumptions!$B$6+E35*Assumptions!$B$7)</f>
        <v>1.004992744140789E-2</v>
      </c>
    </row>
    <row r="36" spans="1:10" x14ac:dyDescent="0.2">
      <c r="A36" s="2">
        <v>28</v>
      </c>
      <c r="B36" s="14">
        <f>A36*Assumptions!$B$12</f>
        <v>0.28000000000000003</v>
      </c>
      <c r="C36" s="15">
        <f>IF(A36&lt;=Assumptions!$B$13,IF(OR(A36=0,A36=Assumptions!$B$13),0.5,1),0)*Assumptions!$B$12</f>
        <v>0.01</v>
      </c>
      <c r="D36" s="12">
        <f>D35*(1-Assumptions!$B$12*(Assumptions!$B$5+Assumptions!$B$6))</f>
        <v>0.99163393171360981</v>
      </c>
      <c r="E36" s="12">
        <f>E35+Assumptions!$B$12*(D35*Assumptions!$B$5-E35*Assumptions!$B$7)</f>
        <v>5.5398399369868288E-3</v>
      </c>
      <c r="F36" s="12">
        <f t="shared" si="0"/>
        <v>2.8262283494033648E-3</v>
      </c>
      <c r="G36" s="12">
        <f>EXP(-Assumptions!$B$8*B36)</f>
        <v>0.98609754426286189</v>
      </c>
      <c r="H36" s="12">
        <f t="shared" si="1"/>
        <v>0.97784778487051716</v>
      </c>
      <c r="I36" s="12">
        <f t="shared" si="2"/>
        <v>5.4628225574720399E-3</v>
      </c>
      <c r="J36" s="12">
        <f>G36*(D36*Assumptions!$B$6+E36*Assumptions!$B$7)</f>
        <v>1.0051618976578773E-2</v>
      </c>
    </row>
    <row r="37" spans="1:10" x14ac:dyDescent="0.2">
      <c r="A37" s="2">
        <v>29</v>
      </c>
      <c r="B37" s="14">
        <f>A37*Assumptions!$B$12</f>
        <v>0.28999999999999998</v>
      </c>
      <c r="C37" s="15">
        <f>IF(A37&lt;=Assumptions!$B$13,IF(OR(A37=0,A37=Assumptions!$B$13),0.5,1),0)*Assumptions!$B$12</f>
        <v>0.01</v>
      </c>
      <c r="D37" s="12">
        <f>D36*(1-Assumptions!$B$12*(Assumptions!$B$5+Assumptions!$B$6))</f>
        <v>0.99133644153409572</v>
      </c>
      <c r="E37" s="12">
        <f>E36+Assumptions!$B$12*(D36*Assumptions!$B$5-E36*Assumptions!$B$7)</f>
        <v>5.7353968033610576E-3</v>
      </c>
      <c r="F37" s="12">
        <f t="shared" si="0"/>
        <v>2.9281616625432176E-3</v>
      </c>
      <c r="G37" s="12">
        <f>EXP(-Assumptions!$B$8*B37)</f>
        <v>0.98560461873238236</v>
      </c>
      <c r="H37" s="12">
        <f t="shared" si="1"/>
        <v>0.97706577549372908</v>
      </c>
      <c r="I37" s="12">
        <f t="shared" si="2"/>
        <v>5.6528335796555999E-3</v>
      </c>
      <c r="J37" s="12">
        <f>G37*(D37*Assumptions!$B$6+E37*Assumptions!$B$7)</f>
        <v>1.005329943392007E-2</v>
      </c>
    </row>
    <row r="38" spans="1:10" x14ac:dyDescent="0.2">
      <c r="A38" s="2">
        <v>30</v>
      </c>
      <c r="B38" s="14">
        <f>A38*Assumptions!$B$12</f>
        <v>0.3</v>
      </c>
      <c r="C38" s="15">
        <f>IF(A38&lt;=Assumptions!$B$13,IF(OR(A38=0,A38=Assumptions!$B$13),0.5,1),0)*Assumptions!$B$12</f>
        <v>0.01</v>
      </c>
      <c r="D38" s="12">
        <f>D37*(1-Assumptions!$B$12*(Assumptions!$B$5+Assumptions!$B$6))</f>
        <v>0.9910390406016355</v>
      </c>
      <c r="E38" s="12">
        <f>E37+Assumptions!$B$12*(D37*Assumptions!$B$5-E37*Assumptions!$B$7)</f>
        <v>5.930796393266196E-3</v>
      </c>
      <c r="F38" s="12">
        <f t="shared" si="0"/>
        <v>3.0301630050983026E-3</v>
      </c>
      <c r="G38" s="12">
        <f>EXP(-Assumptions!$B$8*B38)</f>
        <v>0.98511193960306265</v>
      </c>
      <c r="H38" s="12">
        <f t="shared" si="1"/>
        <v>0.97628439150943547</v>
      </c>
      <c r="I38" s="12">
        <f t="shared" si="2"/>
        <v>5.842498338361311E-3</v>
      </c>
      <c r="J38" s="12">
        <f>G38*(D38*Assumptions!$B$6+E38*Assumptions!$B$7)</f>
        <v>1.0054968832012422E-2</v>
      </c>
    </row>
    <row r="39" spans="1:10" x14ac:dyDescent="0.2">
      <c r="A39" s="2">
        <v>31</v>
      </c>
      <c r="B39" s="14">
        <f>A39*Assumptions!$B$12</f>
        <v>0.31</v>
      </c>
      <c r="C39" s="15">
        <f>IF(A39&lt;=Assumptions!$B$13,IF(OR(A39=0,A39=Assumptions!$B$13),0.5,1),0)*Assumptions!$B$12</f>
        <v>0.01</v>
      </c>
      <c r="D39" s="12">
        <f>D38*(1-Assumptions!$B$12*(Assumptions!$B$5+Assumptions!$B$6))</f>
        <v>0.990741728889455</v>
      </c>
      <c r="E39" s="12">
        <f>E38+Assumptions!$B$12*(D38*Assumptions!$B$5-E38*Assumptions!$B$7)</f>
        <v>6.1260388031898899E-3</v>
      </c>
      <c r="F39" s="12">
        <f t="shared" si="0"/>
        <v>3.1322323073551123E-3</v>
      </c>
      <c r="G39" s="12">
        <f>EXP(-Assumptions!$B$8*B39)</f>
        <v>0.98461950675173293</v>
      </c>
      <c r="H39" s="12">
        <f t="shared" si="1"/>
        <v>0.97550363241749427</v>
      </c>
      <c r="I39" s="12">
        <f t="shared" si="2"/>
        <v>6.0318173047388055E-3</v>
      </c>
      <c r="J39" s="12">
        <f>G39*(D39*Assumptions!$B$6+E39*Assumptions!$B$7)</f>
        <v>1.0056627189411882E-2</v>
      </c>
    </row>
    <row r="40" spans="1:10" x14ac:dyDescent="0.2">
      <c r="A40" s="2">
        <v>32</v>
      </c>
      <c r="B40" s="14">
        <f>A40*Assumptions!$B$12</f>
        <v>0.32</v>
      </c>
      <c r="C40" s="15">
        <f>IF(A40&lt;=Assumptions!$B$13,IF(OR(A40=0,A40=Assumptions!$B$13),0.5,1),0)*Assumptions!$B$12</f>
        <v>0.01</v>
      </c>
      <c r="D40" s="12">
        <f>D39*(1-Assumptions!$B$12*(Assumptions!$B$5+Assumptions!$B$6))</f>
        <v>0.99044450637078818</v>
      </c>
      <c r="E40" s="12">
        <f>E39+Assumptions!$B$12*(D39*Assumptions!$B$5-E39*Assumptions!$B$7)</f>
        <v>6.3211241295661859E-3</v>
      </c>
      <c r="F40" s="12">
        <f t="shared" si="0"/>
        <v>3.2343694996456339E-3</v>
      </c>
      <c r="G40" s="12">
        <f>EXP(-Assumptions!$B$8*B40)</f>
        <v>0.98412732005528514</v>
      </c>
      <c r="H40" s="12">
        <f t="shared" si="1"/>
        <v>0.97472349771816358</v>
      </c>
      <c r="I40" s="12">
        <f t="shared" si="2"/>
        <v>6.2207909493667678E-3</v>
      </c>
      <c r="J40" s="12">
        <f>G40*(D40*Assumptions!$B$6+E40*Assumptions!$B$7)</f>
        <v>1.0058274524649973E-2</v>
      </c>
    </row>
    <row r="41" spans="1:10" x14ac:dyDescent="0.2">
      <c r="A41" s="2">
        <v>33</v>
      </c>
      <c r="B41" s="14">
        <f>A41*Assumptions!$B$12</f>
        <v>0.33</v>
      </c>
      <c r="C41" s="15">
        <f>IF(A41&lt;=Assumptions!$B$13,IF(OR(A41=0,A41=Assumptions!$B$13),0.5,1),0)*Assumptions!$B$12</f>
        <v>0.01</v>
      </c>
      <c r="D41" s="12">
        <f>D40*(1-Assumptions!$B$12*(Assumptions!$B$5+Assumptions!$B$6))</f>
        <v>0.99014737301887701</v>
      </c>
      <c r="E41" s="12">
        <f>E40+Assumptions!$B$12*(D40*Assumptions!$B$5-E40*Assumptions!$B$7)</f>
        <v>6.5160524687755605E-3</v>
      </c>
      <c r="F41" s="12">
        <f t="shared" si="0"/>
        <v>3.3365745123474311E-3</v>
      </c>
      <c r="G41" s="12">
        <f>EXP(-Assumptions!$B$8*B41)</f>
        <v>0.98363537939067236</v>
      </c>
      <c r="H41" s="12">
        <f t="shared" si="1"/>
        <v>0.97394398691210071</v>
      </c>
      <c r="I41" s="12">
        <f t="shared" si="2"/>
        <v>6.4094197422535758E-3</v>
      </c>
      <c r="J41" s="12">
        <f>G41*(D41*Assumptions!$B$6+E41*Assumptions!$B$7)</f>
        <v>1.0059910856233685E-2</v>
      </c>
    </row>
    <row r="42" spans="1:10" x14ac:dyDescent="0.2">
      <c r="A42" s="2">
        <v>34</v>
      </c>
      <c r="B42" s="14">
        <f>A42*Assumptions!$B$12</f>
        <v>0.34</v>
      </c>
      <c r="C42" s="15">
        <f>IF(A42&lt;=Assumptions!$B$13,IF(OR(A42=0,A42=Assumptions!$B$13),0.5,1),0)*Assumptions!$B$12</f>
        <v>0.01</v>
      </c>
      <c r="D42" s="12">
        <f>D41*(1-Assumptions!$B$12*(Assumptions!$B$5+Assumptions!$B$6))</f>
        <v>0.98985032880697132</v>
      </c>
      <c r="E42" s="12">
        <f>E41+Assumptions!$B$12*(D41*Assumptions!$B$5-E41*Assumptions!$B$7)</f>
        <v>6.710823917144948E-3</v>
      </c>
      <c r="F42" s="12">
        <f t="shared" si="0"/>
        <v>3.4388472758837274E-3</v>
      </c>
      <c r="G42" s="12">
        <f>EXP(-Assumptions!$B$8*B42)</f>
        <v>0.98314368463490964</v>
      </c>
      <c r="H42" s="12">
        <f t="shared" si="1"/>
        <v>0.97316509950036267</v>
      </c>
      <c r="I42" s="12">
        <f t="shared" si="2"/>
        <v>6.5977041528379621E-3</v>
      </c>
      <c r="J42" s="12">
        <f>G42*(D42*Assumptions!$B$6+E42*Assumptions!$B$7)</f>
        <v>1.0061536202645525E-2</v>
      </c>
    </row>
    <row r="43" spans="1:10" x14ac:dyDescent="0.2">
      <c r="A43" s="2">
        <v>35</v>
      </c>
      <c r="B43" s="14">
        <f>A43*Assumptions!$B$12</f>
        <v>0.35000000000000003</v>
      </c>
      <c r="C43" s="15">
        <f>IF(A43&lt;=Assumptions!$B$13,IF(OR(A43=0,A43=Assumptions!$B$13),0.5,1),0)*Assumptions!$B$12</f>
        <v>0.01</v>
      </c>
      <c r="D43" s="12">
        <f>D42*(1-Assumptions!$B$12*(Assumptions!$B$5+Assumptions!$B$6))</f>
        <v>0.9895533737083293</v>
      </c>
      <c r="E43" s="12">
        <f>E42+Assumptions!$B$12*(D42*Assumptions!$B$5-E42*Assumptions!$B$7)</f>
        <v>6.9054385709477698E-3</v>
      </c>
      <c r="F43" s="12">
        <f t="shared" si="0"/>
        <v>3.5411877207229322E-3</v>
      </c>
      <c r="G43" s="12">
        <f>EXP(-Assumptions!$B$8*B43)</f>
        <v>0.9826522356650732</v>
      </c>
      <c r="H43" s="12">
        <f t="shared" si="1"/>
        <v>0.97238683498440548</v>
      </c>
      <c r="I43" s="12">
        <f t="shared" si="2"/>
        <v>6.7856446499896545E-3</v>
      </c>
      <c r="J43" s="12">
        <f>G43*(D43*Assumptions!$B$6+E43*Assumptions!$B$7)</f>
        <v>1.0063150582343536E-2</v>
      </c>
    </row>
    <row r="44" spans="1:10" x14ac:dyDescent="0.2">
      <c r="A44" s="2">
        <v>36</v>
      </c>
      <c r="B44" s="14">
        <f>A44*Assumptions!$B$12</f>
        <v>0.36</v>
      </c>
      <c r="C44" s="15">
        <f>IF(A44&lt;=Assumptions!$B$13,IF(OR(A44=0,A44=Assumptions!$B$13),0.5,1),0)*Assumptions!$B$12</f>
        <v>0.01</v>
      </c>
      <c r="D44" s="12">
        <f>D43*(1-Assumptions!$B$12*(Assumptions!$B$5+Assumptions!$B$6))</f>
        <v>0.98925650769621687</v>
      </c>
      <c r="E44" s="12">
        <f>E43+Assumptions!$B$12*(D43*Assumptions!$B$5-E43*Assumptions!$B$7)</f>
        <v>7.0998965264039617E-3</v>
      </c>
      <c r="F44" s="12">
        <f t="shared" si="0"/>
        <v>3.6435957773791692E-3</v>
      </c>
      <c r="G44" s="12">
        <f>EXP(-Assumptions!$B$8*B44)</f>
        <v>0.98216103235830077</v>
      </c>
      <c r="H44" s="12">
        <f t="shared" si="1"/>
        <v>0.97160919286608372</v>
      </c>
      <c r="I44" s="12">
        <f t="shared" si="2"/>
        <v>6.9732417020100289E-3</v>
      </c>
      <c r="J44" s="12">
        <f>G44*(D44*Assumptions!$B$6+E44*Assumptions!$B$7)</f>
        <v>1.0064754013761338E-2</v>
      </c>
    </row>
    <row r="45" spans="1:10" x14ac:dyDescent="0.2">
      <c r="A45" s="2">
        <v>37</v>
      </c>
      <c r="B45" s="14">
        <f>A45*Assumptions!$B$12</f>
        <v>0.37</v>
      </c>
      <c r="C45" s="15">
        <f>IF(A45&lt;=Assumptions!$B$13,IF(OR(A45=0,A45=Assumptions!$B$13),0.5,1),0)*Assumptions!$B$12</f>
        <v>0.01</v>
      </c>
      <c r="D45" s="12">
        <f>D44*(1-Assumptions!$B$12*(Assumptions!$B$5+Assumptions!$B$6))</f>
        <v>0.98895973074390808</v>
      </c>
      <c r="E45" s="12">
        <f>E44+Assumptions!$B$12*(D44*Assumptions!$B$5-E44*Assumptions!$B$7)</f>
        <v>7.294197879680003E-3</v>
      </c>
      <c r="F45" s="12">
        <f t="shared" si="0"/>
        <v>3.7460713764119139E-3</v>
      </c>
      <c r="G45" s="12">
        <f>EXP(-Assumptions!$B$8*B45)</f>
        <v>0.98167007459179145</v>
      </c>
      <c r="H45" s="12">
        <f t="shared" si="1"/>
        <v>0.9708321726476502</v>
      </c>
      <c r="I45" s="12">
        <f t="shared" si="2"/>
        <v>7.1604957766327557E-3</v>
      </c>
      <c r="J45" s="12">
        <f>G45*(D45*Assumptions!$B$6+E45*Assumptions!$B$7)</f>
        <v>1.0066346515308142E-2</v>
      </c>
    </row>
    <row r="46" spans="1:10" x14ac:dyDescent="0.2">
      <c r="A46" s="2">
        <v>38</v>
      </c>
      <c r="B46" s="14">
        <f>A46*Assumptions!$B$12</f>
        <v>0.38</v>
      </c>
      <c r="C46" s="15">
        <f>IF(A46&lt;=Assumptions!$B$13,IF(OR(A46=0,A46=Assumptions!$B$13),0.5,1),0)*Assumptions!$B$12</f>
        <v>0.01</v>
      </c>
      <c r="D46" s="12">
        <f>D45*(1-Assumptions!$B$12*(Assumptions!$B$5+Assumptions!$B$6))</f>
        <v>0.98866304282468498</v>
      </c>
      <c r="E46" s="12">
        <f>E45+Assumptions!$B$12*(D45*Assumptions!$B$5-E45*Assumptions!$B$7)</f>
        <v>7.4883427268889443E-3</v>
      </c>
      <c r="F46" s="12">
        <f t="shared" si="0"/>
        <v>3.8486144484260769E-3</v>
      </c>
      <c r="G46" s="12">
        <f>EXP(-Assumptions!$B$8*B46)</f>
        <v>0.981179362242806</v>
      </c>
      <c r="H46" s="12">
        <f t="shared" si="1"/>
        <v>0.97005577383175645</v>
      </c>
      <c r="I46" s="12">
        <f t="shared" si="2"/>
        <v>7.3474073410244494E-3</v>
      </c>
      <c r="J46" s="12">
        <f>G46*(D46*Assumptions!$B$6+E46*Assumptions!$B$7)</f>
        <v>1.0067928105368787E-2</v>
      </c>
    </row>
    <row r="47" spans="1:10" x14ac:dyDescent="0.2">
      <c r="A47" s="2">
        <v>39</v>
      </c>
      <c r="B47" s="14">
        <f>A47*Assumptions!$B$12</f>
        <v>0.39</v>
      </c>
      <c r="C47" s="15">
        <f>IF(A47&lt;=Assumptions!$B$13,IF(OR(A47=0,A47=Assumptions!$B$13),0.5,1),0)*Assumptions!$B$12</f>
        <v>0.01</v>
      </c>
      <c r="D47" s="12">
        <f>D46*(1-Assumptions!$B$12*(Assumptions!$B$5+Assumptions!$B$6))</f>
        <v>0.98836644391183759</v>
      </c>
      <c r="E47" s="12">
        <f>E46+Assumptions!$B$12*(D46*Assumptions!$B$5-E46*Assumptions!$B$7)</f>
        <v>7.6823311640904371E-3</v>
      </c>
      <c r="F47" s="12">
        <f t="shared" si="0"/>
        <v>3.951224924071974E-3</v>
      </c>
      <c r="G47" s="12">
        <f>EXP(-Assumptions!$B$8*B47)</f>
        <v>0.9806888951886662</v>
      </c>
      <c r="H47" s="12">
        <f t="shared" si="1"/>
        <v>0.96927999592145087</v>
      </c>
      <c r="I47" s="12">
        <f t="shared" si="2"/>
        <v>7.533976861785311E-3</v>
      </c>
      <c r="J47" s="12">
        <f>G47*(D47*Assumptions!$B$6+E47*Assumptions!$B$7)</f>
        <v>1.0069498802303773E-2</v>
      </c>
    </row>
    <row r="48" spans="1:10" x14ac:dyDescent="0.2">
      <c r="A48" s="2">
        <v>40</v>
      </c>
      <c r="B48" s="14">
        <f>A48*Assumptions!$B$12</f>
        <v>0.4</v>
      </c>
      <c r="C48" s="15">
        <f>IF(A48&lt;=Assumptions!$B$13,IF(OR(A48=0,A48=Assumptions!$B$13),0.5,1),0)*Assumptions!$B$12</f>
        <v>0.01</v>
      </c>
      <c r="D48" s="12">
        <f>D47*(1-Assumptions!$B$12*(Assumptions!$B$5+Assumptions!$B$6))</f>
        <v>0.98806993397866405</v>
      </c>
      <c r="E48" s="12">
        <f>E47+Assumptions!$B$12*(D47*Assumptions!$B$5-E47*Assumptions!$B$7)</f>
        <v>7.8761632872907592E-3</v>
      </c>
      <c r="F48" s="12">
        <f t="shared" si="0"/>
        <v>4.0539027340451908E-3</v>
      </c>
      <c r="G48" s="12">
        <f>EXP(-Assumptions!$B$8*B48)</f>
        <v>0.98019867330675525</v>
      </c>
      <c r="H48" s="12">
        <f t="shared" si="1"/>
        <v>0.96850483842017976</v>
      </c>
      <c r="I48" s="12">
        <f t="shared" si="2"/>
        <v>7.720204804949774E-3</v>
      </c>
      <c r="J48" s="12">
        <f>G48*(D48*Assumptions!$B$6+E48*Assumptions!$B$7)</f>
        <v>1.0071058624449288E-2</v>
      </c>
    </row>
    <row r="49" spans="1:10" x14ac:dyDescent="0.2">
      <c r="A49" s="2">
        <v>41</v>
      </c>
      <c r="B49" s="14">
        <f>A49*Assumptions!$B$12</f>
        <v>0.41000000000000003</v>
      </c>
      <c r="C49" s="15">
        <f>IF(A49&lt;=Assumptions!$B$13,IF(OR(A49=0,A49=Assumptions!$B$13),0.5,1),0)*Assumptions!$B$12</f>
        <v>0.01</v>
      </c>
      <c r="D49" s="12">
        <f>D48*(1-Assumptions!$B$12*(Assumptions!$B$5+Assumptions!$B$6))</f>
        <v>0.98777351299847049</v>
      </c>
      <c r="E49" s="12">
        <f>E48+Assumptions!$B$12*(D48*Assumptions!$B$5-E48*Assumptions!$B$7)</f>
        <v>8.0698391924428469E-3</v>
      </c>
      <c r="F49" s="12">
        <f t="shared" si="0"/>
        <v>4.1566478090866599E-3</v>
      </c>
      <c r="G49" s="12">
        <f>EXP(-Assumptions!$B$8*B49)</f>
        <v>0.97970869647451786</v>
      </c>
      <c r="H49" s="12">
        <f t="shared" si="1"/>
        <v>0.96773030083178679</v>
      </c>
      <c r="I49" s="12">
        <f t="shared" si="2"/>
        <v>7.9060916359871575E-3</v>
      </c>
      <c r="J49" s="12">
        <f>G49*(D49*Assumptions!$B$6+E49*Assumptions!$B$7)</f>
        <v>1.0072607590117227E-2</v>
      </c>
    </row>
    <row r="50" spans="1:10" x14ac:dyDescent="0.2">
      <c r="A50" s="2">
        <v>42</v>
      </c>
      <c r="B50" s="14">
        <f>A50*Assumptions!$B$12</f>
        <v>0.42</v>
      </c>
      <c r="C50" s="15">
        <f>IF(A50&lt;=Assumptions!$B$13,IF(OR(A50=0,A50=Assumptions!$B$13),0.5,1),0)*Assumptions!$B$12</f>
        <v>0.01</v>
      </c>
      <c r="D50" s="12">
        <f>D49*(1-Assumptions!$B$12*(Assumptions!$B$5+Assumptions!$B$6))</f>
        <v>0.98747718094457093</v>
      </c>
      <c r="E50" s="12">
        <f>E49+Assumptions!$B$12*(D49*Assumptions!$B$5-E49*Assumptions!$B$7)</f>
        <v>8.2633589754463194E-3</v>
      </c>
      <c r="F50" s="12">
        <f t="shared" si="0"/>
        <v>4.2594600799827492E-3</v>
      </c>
      <c r="G50" s="12">
        <f>EXP(-Assumptions!$B$8*B50)</f>
        <v>0.97921896456945956</v>
      </c>
      <c r="H50" s="12">
        <f t="shared" si="1"/>
        <v>0.96695638266051165</v>
      </c>
      <c r="I50" s="12">
        <f t="shared" si="2"/>
        <v>8.0916378198022942E-3</v>
      </c>
      <c r="J50" s="12">
        <f>G50*(D50*Assumptions!$B$6+E50*Assumptions!$B$7)</f>
        <v>1.0074145717595231E-2</v>
      </c>
    </row>
    <row r="51" spans="1:10" x14ac:dyDescent="0.2">
      <c r="A51" s="2">
        <v>43</v>
      </c>
      <c r="B51" s="14">
        <f>A51*Assumptions!$B$12</f>
        <v>0.43</v>
      </c>
      <c r="C51" s="15">
        <f>IF(A51&lt;=Assumptions!$B$13,IF(OR(A51=0,A51=Assumptions!$B$13),0.5,1),0)*Assumptions!$B$12</f>
        <v>0.01</v>
      </c>
      <c r="D51" s="12">
        <f>D50*(1-Assumptions!$B$12*(Assumptions!$B$5+Assumptions!$B$6))</f>
        <v>0.98718093779028759</v>
      </c>
      <c r="E51" s="12">
        <f>E50+Assumptions!$B$12*(D50*Assumptions!$B$5-E50*Assumptions!$B$7)</f>
        <v>8.4567227321475109E-3</v>
      </c>
      <c r="F51" s="12">
        <f t="shared" si="0"/>
        <v>4.3623394775648954E-3</v>
      </c>
      <c r="G51" s="12">
        <f>EXP(-Assumptions!$B$8*B51)</f>
        <v>0.97872947746914762</v>
      </c>
      <c r="H51" s="12">
        <f t="shared" si="1"/>
        <v>0.96618308341099135</v>
      </c>
      <c r="I51" s="12">
        <f t="shared" si="2"/>
        <v>8.276843820736195E-3</v>
      </c>
      <c r="J51" s="12">
        <f>G51*(D51*Assumptions!$B$6+E51*Assumptions!$B$7)</f>
        <v>1.0075673025146724E-2</v>
      </c>
    </row>
    <row r="52" spans="1:10" x14ac:dyDescent="0.2">
      <c r="A52" s="2">
        <v>44</v>
      </c>
      <c r="B52" s="14">
        <f>A52*Assumptions!$B$12</f>
        <v>0.44</v>
      </c>
      <c r="C52" s="15">
        <f>IF(A52&lt;=Assumptions!$B$13,IF(OR(A52=0,A52=Assumptions!$B$13),0.5,1),0)*Assumptions!$B$12</f>
        <v>0.01</v>
      </c>
      <c r="D52" s="12">
        <f>D51*(1-Assumptions!$B$12*(Assumptions!$B$5+Assumptions!$B$6))</f>
        <v>0.98688478350895059</v>
      </c>
      <c r="E52" s="12">
        <f>E51+Assumptions!$B$12*(D51*Assumptions!$B$5-E51*Assumptions!$B$7)</f>
        <v>8.6499305583394945E-3</v>
      </c>
      <c r="F52" s="12">
        <f t="shared" si="0"/>
        <v>4.4652859327099139E-3</v>
      </c>
      <c r="G52" s="12">
        <f>EXP(-Assumptions!$B$8*B52)</f>
        <v>0.97824023505121005</v>
      </c>
      <c r="H52" s="12">
        <f t="shared" si="1"/>
        <v>0.96541040258825839</v>
      </c>
      <c r="I52" s="12">
        <f t="shared" si="2"/>
        <v>8.4617101025666712E-3</v>
      </c>
      <c r="J52" s="12">
        <f>G52*(D52*Assumptions!$B$6+E52*Assumptions!$B$7)</f>
        <v>1.0077189531010918E-2</v>
      </c>
    </row>
    <row r="53" spans="1:10" x14ac:dyDescent="0.2">
      <c r="A53" s="2">
        <v>45</v>
      </c>
      <c r="B53" s="14">
        <f>A53*Assumptions!$B$12</f>
        <v>0.45</v>
      </c>
      <c r="C53" s="15">
        <f>IF(A53&lt;=Assumptions!$B$13,IF(OR(A53=0,A53=Assumptions!$B$13),0.5,1),0)*Assumptions!$B$12</f>
        <v>0.01</v>
      </c>
      <c r="D53" s="12">
        <f>D52*(1-Assumptions!$B$12*(Assumptions!$B$5+Assumptions!$B$6))</f>
        <v>0.98658871807389792</v>
      </c>
      <c r="E53" s="12">
        <f>E52+Assumptions!$B$12*(D52*Assumptions!$B$5-E52*Assumptions!$B$7)</f>
        <v>8.8429825497621153E-3</v>
      </c>
      <c r="F53" s="12">
        <f t="shared" si="0"/>
        <v>4.5682993763399658E-3</v>
      </c>
      <c r="G53" s="12">
        <f>EXP(-Assumptions!$B$8*B53)</f>
        <v>0.97775123719333634</v>
      </c>
      <c r="H53" s="12">
        <f t="shared" si="1"/>
        <v>0.96463833969774138</v>
      </c>
      <c r="I53" s="12">
        <f t="shared" si="2"/>
        <v>8.6462371285089927E-3</v>
      </c>
      <c r="J53" s="12">
        <f>G53*(D53*Assumptions!$B$6+E53*Assumptions!$B$7)</f>
        <v>1.0078695253402865E-2</v>
      </c>
    </row>
    <row r="54" spans="1:10" x14ac:dyDescent="0.2">
      <c r="A54" s="2">
        <v>46</v>
      </c>
      <c r="B54" s="14">
        <f>A54*Assumptions!$B$12</f>
        <v>0.46</v>
      </c>
      <c r="C54" s="15">
        <f>IF(A54&lt;=Assumptions!$B$13,IF(OR(A54=0,A54=Assumptions!$B$13),0.5,1),0)*Assumptions!$B$12</f>
        <v>0.01</v>
      </c>
      <c r="D54" s="12">
        <f>D53*(1-Assumptions!$B$12*(Assumptions!$B$5+Assumptions!$B$6))</f>
        <v>0.98629274145847579</v>
      </c>
      <c r="E54" s="12">
        <f>E53+Assumptions!$B$12*(D53*Assumptions!$B$5-E53*Assumptions!$B$7)</f>
        <v>9.0358788021020139E-3</v>
      </c>
      <c r="F54" s="12">
        <f t="shared" si="0"/>
        <v>4.6713797394222004E-3</v>
      </c>
      <c r="G54" s="12">
        <f>EXP(-Assumptions!$B$8*B54)</f>
        <v>0.97726248377327707</v>
      </c>
      <c r="H54" s="12">
        <f t="shared" si="1"/>
        <v>0.96386689424526462</v>
      </c>
      <c r="I54" s="12">
        <f t="shared" si="2"/>
        <v>8.8304253612165179E-3</v>
      </c>
      <c r="J54" s="12">
        <f>G54*(D54*Assumptions!$B$6+E54*Assumptions!$B$7)</f>
        <v>1.0080190210513472E-2</v>
      </c>
    </row>
    <row r="55" spans="1:10" x14ac:dyDescent="0.2">
      <c r="A55" s="2">
        <v>47</v>
      </c>
      <c r="B55" s="14">
        <f>A55*Assumptions!$B$12</f>
        <v>0.47000000000000003</v>
      </c>
      <c r="C55" s="15">
        <f>IF(A55&lt;=Assumptions!$B$13,IF(OR(A55=0,A55=Assumptions!$B$13),0.5,1),0)*Assumptions!$B$12</f>
        <v>0.01</v>
      </c>
      <c r="D55" s="12">
        <f>D54*(1-Assumptions!$B$12*(Assumptions!$B$5+Assumptions!$B$6))</f>
        <v>0.98599685363603828</v>
      </c>
      <c r="E55" s="12">
        <f>E54+Assumptions!$B$12*(D54*Assumptions!$B$5-E54*Assumptions!$B$7)</f>
        <v>9.2286194109926587E-3</v>
      </c>
      <c r="F55" s="12">
        <f t="shared" si="0"/>
        <v>4.7745269529690573E-3</v>
      </c>
      <c r="G55" s="12">
        <f>EXP(-Assumptions!$B$8*B55)</f>
        <v>0.97677397466884386</v>
      </c>
      <c r="H55" s="12">
        <f t="shared" si="1"/>
        <v>0.96309606573704742</v>
      </c>
      <c r="I55" s="12">
        <f t="shared" si="2"/>
        <v>9.014275262781344E-3</v>
      </c>
      <c r="J55" s="12">
        <f>G55*(D55*Assumptions!$B$6+E55*Assumptions!$B$7)</f>
        <v>1.0081674420509541E-2</v>
      </c>
    </row>
    <row r="56" spans="1:10" x14ac:dyDescent="0.2">
      <c r="A56" s="2">
        <v>48</v>
      </c>
      <c r="B56" s="14">
        <f>A56*Assumptions!$B$12</f>
        <v>0.48</v>
      </c>
      <c r="C56" s="15">
        <f>IF(A56&lt;=Assumptions!$B$13,IF(OR(A56=0,A56=Assumptions!$B$13),0.5,1),0)*Assumptions!$B$12</f>
        <v>0.01</v>
      </c>
      <c r="D56" s="12">
        <f>D55*(1-Assumptions!$B$12*(Assumptions!$B$5+Assumptions!$B$6))</f>
        <v>0.9857010545799475</v>
      </c>
      <c r="E56" s="12">
        <f>E55+Assumptions!$B$12*(D55*Assumptions!$B$5-E55*Assumptions!$B$7)</f>
        <v>9.4212044720143693E-3</v>
      </c>
      <c r="F56" s="12">
        <f t="shared" si="0"/>
        <v>4.8777409480381308E-3</v>
      </c>
      <c r="G56" s="12">
        <f>EXP(-Assumptions!$B$8*B56)</f>
        <v>0.97628570975790929</v>
      </c>
      <c r="H56" s="12">
        <f t="shared" si="1"/>
        <v>0.96232585367970369</v>
      </c>
      <c r="I56" s="12">
        <f t="shared" si="2"/>
        <v>9.1977872947349368E-3</v>
      </c>
      <c r="J56" s="12">
        <f>G56*(D56*Assumptions!$B$6+E56*Assumptions!$B$7)</f>
        <v>1.0083147901533784E-2</v>
      </c>
    </row>
    <row r="57" spans="1:10" x14ac:dyDescent="0.2">
      <c r="A57" s="2">
        <v>49</v>
      </c>
      <c r="B57" s="14">
        <f>A57*Assumptions!$B$12</f>
        <v>0.49</v>
      </c>
      <c r="C57" s="15">
        <f>IF(A57&lt;=Assumptions!$B$13,IF(OR(A57=0,A57=Assumptions!$B$13),0.5,1),0)*Assumptions!$B$12</f>
        <v>0.01</v>
      </c>
      <c r="D57" s="12">
        <f>D56*(1-Assumptions!$B$12*(Assumptions!$B$5+Assumptions!$B$6))</f>
        <v>0.98540534426357351</v>
      </c>
      <c r="E57" s="12">
        <f>E56+Assumptions!$B$12*(D56*Assumptions!$B$5-E56*Assumptions!$B$7)</f>
        <v>9.6136340806943516E-3</v>
      </c>
      <c r="F57" s="12">
        <f t="shared" si="0"/>
        <v>4.9810216557321357E-3</v>
      </c>
      <c r="G57" s="12">
        <f>EXP(-Assumptions!$B$8*B57)</f>
        <v>0.97579768891840735</v>
      </c>
      <c r="H57" s="12">
        <f t="shared" si="1"/>
        <v>0.96155625758024266</v>
      </c>
      <c r="I57" s="12">
        <f t="shared" si="2"/>
        <v>9.3809619180487865E-3</v>
      </c>
      <c r="J57" s="12">
        <f>G57*(D57*Assumptions!$B$6+E57*Assumptions!$B$7)</f>
        <v>1.0084610671704866E-2</v>
      </c>
    </row>
    <row r="58" spans="1:10" x14ac:dyDescent="0.2">
      <c r="A58" s="2">
        <v>50</v>
      </c>
      <c r="B58" s="14">
        <f>A58*Assumptions!$B$12</f>
        <v>0.5</v>
      </c>
      <c r="C58" s="15">
        <f>IF(A58&lt;=Assumptions!$B$13,IF(OR(A58=0,A58=Assumptions!$B$13),0.5,1),0)*Assumptions!$B$12</f>
        <v>0.01</v>
      </c>
      <c r="D58" s="12">
        <f>D57*(1-Assumptions!$B$12*(Assumptions!$B$5+Assumptions!$B$6))</f>
        <v>0.98510972266029451</v>
      </c>
      <c r="E58" s="12">
        <f>E57+Assumptions!$B$12*(D57*Assumptions!$B$5-E57*Assumptions!$B$7)</f>
        <v>9.8059083325067187E-3</v>
      </c>
      <c r="F58" s="12">
        <f t="shared" si="0"/>
        <v>5.0843690071987746E-3</v>
      </c>
      <c r="G58" s="12">
        <f>EXP(-Assumptions!$B$8*B58)</f>
        <v>0.97530991202833262</v>
      </c>
      <c r="H58" s="12">
        <f t="shared" si="1"/>
        <v>0.96078727694606703</v>
      </c>
      <c r="I58" s="12">
        <f t="shared" si="2"/>
        <v>9.5637995931350216E-3</v>
      </c>
      <c r="J58" s="12">
        <f>G58*(D58*Assumptions!$B$6+E58*Assumptions!$B$7)</f>
        <v>1.0086062749117422E-2</v>
      </c>
    </row>
    <row r="59" spans="1:10" x14ac:dyDescent="0.2">
      <c r="A59" s="2">
        <v>51</v>
      </c>
      <c r="B59" s="14">
        <f>A59*Assumptions!$B$12</f>
        <v>0.51</v>
      </c>
      <c r="C59" s="15">
        <f>IF(A59&lt;=Assumptions!$B$13,IF(OR(A59=0,A59=Assumptions!$B$13),0.5,1),0)*Assumptions!$B$12</f>
        <v>0.01</v>
      </c>
      <c r="D59" s="12">
        <f>D58*(1-Assumptions!$B$12*(Assumptions!$B$5+Assumptions!$B$6))</f>
        <v>0.98481418974349644</v>
      </c>
      <c r="E59" s="12">
        <f>E58+Assumptions!$B$12*(D58*Assumptions!$B$5-E58*Assumptions!$B$7)</f>
        <v>9.9980273228725235E-3</v>
      </c>
      <c r="F59" s="12">
        <f t="shared" si="0"/>
        <v>5.187782933631039E-3</v>
      </c>
      <c r="G59" s="12">
        <f>EXP(-Assumptions!$B$8*B59)</f>
        <v>0.97482237896574109</v>
      </c>
      <c r="H59" s="12">
        <f t="shared" si="1"/>
        <v>0.96001891128497396</v>
      </c>
      <c r="I59" s="12">
        <f t="shared" si="2"/>
        <v>9.7463007798470735E-3</v>
      </c>
      <c r="J59" s="12">
        <f>G59*(D59*Assumptions!$B$6+E59*Assumptions!$B$7)</f>
        <v>1.0087504151842093E-2</v>
      </c>
    </row>
    <row r="60" spans="1:10" x14ac:dyDescent="0.2">
      <c r="A60" s="2">
        <v>52</v>
      </c>
      <c r="B60" s="14">
        <f>A60*Assumptions!$B$12</f>
        <v>0.52</v>
      </c>
      <c r="C60" s="15">
        <f>IF(A60&lt;=Assumptions!$B$13,IF(OR(A60=0,A60=Assumptions!$B$13),0.5,1),0)*Assumptions!$B$12</f>
        <v>0.01</v>
      </c>
      <c r="D60" s="12">
        <f>D59*(1-Assumptions!$B$12*(Assumptions!$B$5+Assumptions!$B$6))</f>
        <v>0.98451874548657348</v>
      </c>
      <c r="E60" s="12">
        <f>E59+Assumptions!$B$12*(D59*Assumptions!$B$5-E59*Assumptions!$B$7)</f>
        <v>1.0189991147159787E-2</v>
      </c>
      <c r="F60" s="12">
        <f t="shared" si="0"/>
        <v>5.2912633662667366E-3</v>
      </c>
      <c r="G60" s="12">
        <f>EXP(-Assumptions!$B$8*B60)</f>
        <v>0.97433508960874937</v>
      </c>
      <c r="H60" s="12">
        <f t="shared" si="1"/>
        <v>0.9592511601051541</v>
      </c>
      <c r="I60" s="12">
        <f t="shared" si="2"/>
        <v>9.9284659374802939E-3</v>
      </c>
      <c r="J60" s="12">
        <f>G60*(D60*Assumptions!$B$6+E60*Assumptions!$B$7)</f>
        <v>1.0088934897925556E-2</v>
      </c>
    </row>
    <row r="61" spans="1:10" x14ac:dyDescent="0.2">
      <c r="A61" s="2">
        <v>53</v>
      </c>
      <c r="B61" s="14">
        <f>A61*Assumptions!$B$12</f>
        <v>0.53</v>
      </c>
      <c r="C61" s="15">
        <f>IF(A61&lt;=Assumptions!$B$13,IF(OR(A61=0,A61=Assumptions!$B$13),0.5,1),0)*Assumptions!$B$12</f>
        <v>0.01</v>
      </c>
      <c r="D61" s="12">
        <f>D60*(1-Assumptions!$B$12*(Assumptions!$B$5+Assumptions!$B$6))</f>
        <v>0.98422338986292757</v>
      </c>
      <c r="E61" s="12">
        <f>E60+Assumptions!$B$12*(D60*Assumptions!$B$5-E60*Assumptions!$B$7)</f>
        <v>1.0381799900683521E-2</v>
      </c>
      <c r="F61" s="12">
        <f t="shared" si="0"/>
        <v>5.3948102363889118E-3</v>
      </c>
      <c r="G61" s="12">
        <f>EXP(-Assumptions!$B$8*B61)</f>
        <v>0.97384804383553503</v>
      </c>
      <c r="H61" s="12">
        <f t="shared" si="1"/>
        <v>0.95848402291519119</v>
      </c>
      <c r="I61" s="12">
        <f t="shared" si="2"/>
        <v>1.0110295524772599E-2</v>
      </c>
      <c r="J61" s="12">
        <f>G61*(D61*Assumptions!$B$6+E61*Assumptions!$B$7)</f>
        <v>1.0090355005390541E-2</v>
      </c>
    </row>
    <row r="62" spans="1:10" x14ac:dyDescent="0.2">
      <c r="A62" s="2">
        <v>54</v>
      </c>
      <c r="B62" s="14">
        <f>A62*Assumptions!$B$12</f>
        <v>0.54</v>
      </c>
      <c r="C62" s="15">
        <f>IF(A62&lt;=Assumptions!$B$13,IF(OR(A62=0,A62=Assumptions!$B$13),0.5,1),0)*Assumptions!$B$12</f>
        <v>0.01</v>
      </c>
      <c r="D62" s="12">
        <f>D61*(1-Assumptions!$B$12*(Assumptions!$B$5+Assumptions!$B$6))</f>
        <v>0.98392812284596876</v>
      </c>
      <c r="E62" s="12">
        <f>E61+Assumptions!$B$12*(D61*Assumptions!$B$5-E61*Assumptions!$B$7)</f>
        <v>1.0573453678705765E-2</v>
      </c>
      <c r="F62" s="12">
        <f t="shared" si="0"/>
        <v>5.4984234753254792E-3</v>
      </c>
      <c r="G62" s="12">
        <f>EXP(-Assumptions!$B$8*B62)</f>
        <v>0.97336124152433678</v>
      </c>
      <c r="H62" s="12">
        <f t="shared" si="1"/>
        <v>0.95771749922406235</v>
      </c>
      <c r="I62" s="12">
        <f t="shared" si="2"/>
        <v>1.0291789999905109E-2</v>
      </c>
      <c r="J62" s="12">
        <f>G62*(D62*Assumptions!$B$6+E62*Assumptions!$B$7)</f>
        <v>1.0091764492235877E-2</v>
      </c>
    </row>
    <row r="63" spans="1:10" x14ac:dyDescent="0.2">
      <c r="A63" s="2">
        <v>55</v>
      </c>
      <c r="B63" s="14">
        <f>A63*Assumptions!$B$12</f>
        <v>0.55000000000000004</v>
      </c>
      <c r="C63" s="15">
        <f>IF(A63&lt;=Assumptions!$B$13,IF(OR(A63=0,A63=Assumptions!$B$13),0.5,1),0)*Assumptions!$B$12</f>
        <v>0.01</v>
      </c>
      <c r="D63" s="12">
        <f>D62*(1-Assumptions!$B$12*(Assumptions!$B$5+Assumptions!$B$6))</f>
        <v>0.98363294440911497</v>
      </c>
      <c r="E63" s="12">
        <f>E62+Assumptions!$B$12*(D62*Assumptions!$B$5-E62*Assumptions!$B$7)</f>
        <v>1.0764952576435605E-2</v>
      </c>
      <c r="F63" s="12">
        <f t="shared" si="0"/>
        <v>5.6021030144494215E-3</v>
      </c>
      <c r="G63" s="12">
        <f>EXP(-Assumptions!$B$8*B63)</f>
        <v>0.972874682553454</v>
      </c>
      <c r="H63" s="12">
        <f t="shared" si="1"/>
        <v>0.95695158854113704</v>
      </c>
      <c r="I63" s="12">
        <f t="shared" si="2"/>
        <v>1.0472949820502776E-2</v>
      </c>
      <c r="J63" s="12">
        <f>G63*(D63*Assumptions!$B$6+E63*Assumptions!$B$7)</f>
        <v>1.0093163376436509E-2</v>
      </c>
    </row>
    <row r="64" spans="1:10" x14ac:dyDescent="0.2">
      <c r="A64" s="2">
        <v>56</v>
      </c>
      <c r="B64" s="14">
        <f>A64*Assumptions!$B$12</f>
        <v>0.56000000000000005</v>
      </c>
      <c r="C64" s="15">
        <f>IF(A64&lt;=Assumptions!$B$13,IF(OR(A64=0,A64=Assumptions!$B$13),0.5,1),0)*Assumptions!$B$12</f>
        <v>0.01</v>
      </c>
      <c r="D64" s="12">
        <f>D63*(1-Assumptions!$B$12*(Assumptions!$B$5+Assumptions!$B$6))</f>
        <v>0.98333785452579225</v>
      </c>
      <c r="E64" s="12">
        <f>E63+Assumptions!$B$12*(D63*Assumptions!$B$5-E63*Assumptions!$B$7)</f>
        <v>1.0956296689029211E-2</v>
      </c>
      <c r="F64" s="12">
        <f t="shared" si="0"/>
        <v>5.7058487851785345E-3</v>
      </c>
      <c r="G64" s="12">
        <f>EXP(-Assumptions!$B$8*B64)</f>
        <v>0.97238836680124685</v>
      </c>
      <c r="H64" s="12">
        <f t="shared" si="1"/>
        <v>0.95618629037617719</v>
      </c>
      <c r="I64" s="12">
        <f t="shared" si="2"/>
        <v>1.0653775443635024E-2</v>
      </c>
      <c r="J64" s="12">
        <f>G64*(D64*Assumptions!$B$6+E64*Assumptions!$B$7)</f>
        <v>1.0094551675943522E-2</v>
      </c>
    </row>
    <row r="65" spans="1:10" x14ac:dyDescent="0.2">
      <c r="A65" s="2">
        <v>57</v>
      </c>
      <c r="B65" s="14">
        <f>A65*Assumptions!$B$12</f>
        <v>0.57000000000000006</v>
      </c>
      <c r="C65" s="15">
        <f>IF(A65&lt;=Assumptions!$B$13,IF(OR(A65=0,A65=Assumptions!$B$13),0.5,1),0)*Assumptions!$B$12</f>
        <v>0.01</v>
      </c>
      <c r="D65" s="12">
        <f>D64*(1-Assumptions!$B$12*(Assumptions!$B$5+Assumptions!$B$6))</f>
        <v>0.98304285316943452</v>
      </c>
      <c r="E65" s="12">
        <f>E64+Assumptions!$B$12*(D64*Assumptions!$B$5-E64*Assumptions!$B$7)</f>
        <v>1.1147486111589855E-2</v>
      </c>
      <c r="F65" s="12">
        <f t="shared" si="0"/>
        <v>5.8096607189756285E-3</v>
      </c>
      <c r="G65" s="12">
        <f>EXP(-Assumptions!$B$8*B65)</f>
        <v>0.9719022941461366</v>
      </c>
      <c r="H65" s="12">
        <f t="shared" si="1"/>
        <v>0.95542160423933709</v>
      </c>
      <c r="I65" s="12">
        <f t="shared" si="2"/>
        <v>1.0834267325816375E-2</v>
      </c>
      <c r="J65" s="12">
        <f>G65*(D65*Assumptions!$B$6+E65*Assumptions!$B$7)</f>
        <v>1.0095929408684191E-2</v>
      </c>
    </row>
    <row r="66" spans="1:10" x14ac:dyDescent="0.2">
      <c r="A66" s="2">
        <v>58</v>
      </c>
      <c r="B66" s="14">
        <f>A66*Assumptions!$B$12</f>
        <v>0.57999999999999996</v>
      </c>
      <c r="C66" s="15">
        <f>IF(A66&lt;=Assumptions!$B$13,IF(OR(A66=0,A66=Assumptions!$B$13),0.5,1),0)*Assumptions!$B$12</f>
        <v>0.01</v>
      </c>
      <c r="D66" s="12">
        <f>D65*(1-Assumptions!$B$12*(Assumptions!$B$5+Assumptions!$B$6))</f>
        <v>0.98274794031348367</v>
      </c>
      <c r="E66" s="12">
        <f>E65+Assumptions!$B$12*(D65*Assumptions!$B$5-E65*Assumptions!$B$7)</f>
        <v>1.1338520939167948E-2</v>
      </c>
      <c r="F66" s="12">
        <f t="shared" si="0"/>
        <v>5.9135387473483823E-3</v>
      </c>
      <c r="G66" s="12">
        <f>EXP(-Assumptions!$B$8*B66)</f>
        <v>0.97141646446660479</v>
      </c>
      <c r="H66" s="12">
        <f t="shared" si="1"/>
        <v>0.95465752964116224</v>
      </c>
      <c r="I66" s="12">
        <f t="shared" si="2"/>
        <v>1.1014425923007096E-2</v>
      </c>
      <c r="J66" s="12">
        <f>G66*(D66*Assumptions!$B$6+E66*Assumptions!$B$7)</f>
        <v>1.0097296592561977E-2</v>
      </c>
    </row>
    <row r="67" spans="1:10" x14ac:dyDescent="0.2">
      <c r="A67" s="2">
        <v>59</v>
      </c>
      <c r="B67" s="14">
        <f>A67*Assumptions!$B$12</f>
        <v>0.59</v>
      </c>
      <c r="C67" s="15">
        <f>IF(A67&lt;=Assumptions!$B$13,IF(OR(A67=0,A67=Assumptions!$B$13),0.5,1),0)*Assumptions!$B$12</f>
        <v>0.01</v>
      </c>
      <c r="D67" s="12">
        <f>D66*(1-Assumptions!$B$12*(Assumptions!$B$5+Assumptions!$B$6))</f>
        <v>0.98245311593138962</v>
      </c>
      <c r="E67" s="12">
        <f>E66+Assumptions!$B$12*(D66*Assumptions!$B$5-E66*Assumptions!$B$7)</f>
        <v>1.1529401266761061E-2</v>
      </c>
      <c r="F67" s="12">
        <f t="shared" si="0"/>
        <v>6.0174828018493189E-3</v>
      </c>
      <c r="G67" s="12">
        <f>EXP(-Assumptions!$B$8*B67)</f>
        <v>0.97093087764119423</v>
      </c>
      <c r="H67" s="12">
        <f t="shared" si="1"/>
        <v>0.95389406609259009</v>
      </c>
      <c r="I67" s="12">
        <f t="shared" si="2"/>
        <v>1.1194251690613813E-2</v>
      </c>
      <c r="J67" s="12">
        <f>G67*(D67*Assumptions!$B$6+E67*Assumptions!$B$7)</f>
        <v>1.0098653245456592E-2</v>
      </c>
    </row>
    <row r="68" spans="1:10" x14ac:dyDescent="0.2">
      <c r="A68" s="2">
        <v>60</v>
      </c>
      <c r="B68" s="14">
        <f>A68*Assumptions!$B$12</f>
        <v>0.6</v>
      </c>
      <c r="C68" s="15">
        <f>IF(A68&lt;=Assumptions!$B$13,IF(OR(A68=0,A68=Assumptions!$B$13),0.5,1),0)*Assumptions!$B$12</f>
        <v>0.01</v>
      </c>
      <c r="D68" s="12">
        <f>D67*(1-Assumptions!$B$12*(Assumptions!$B$5+Assumptions!$B$6))</f>
        <v>0.98215837999661026</v>
      </c>
      <c r="E68" s="12">
        <f>E67+Assumptions!$B$12*(D67*Assumptions!$B$5-E67*Assumptions!$B$7)</f>
        <v>1.1720127189313959E-2</v>
      </c>
      <c r="F68" s="12">
        <f t="shared" si="0"/>
        <v>6.1214928140757765E-3</v>
      </c>
      <c r="G68" s="12">
        <f>EXP(-Assumptions!$B$8*B68)</f>
        <v>0.97044553354850815</v>
      </c>
      <c r="H68" s="12">
        <f t="shared" si="1"/>
        <v>0.95313121310494886</v>
      </c>
      <c r="I68" s="12">
        <f t="shared" si="2"/>
        <v>1.1373745083490162E-2</v>
      </c>
      <c r="J68" s="12">
        <f>G68*(D68*Assumptions!$B$6+E68*Assumptions!$B$7)</f>
        <v>1.0099999385223997E-2</v>
      </c>
    </row>
    <row r="69" spans="1:10" x14ac:dyDescent="0.2">
      <c r="A69" s="2">
        <v>61</v>
      </c>
      <c r="B69" s="14">
        <f>A69*Assumptions!$B$12</f>
        <v>0.61</v>
      </c>
      <c r="C69" s="15">
        <f>IF(A69&lt;=Assumptions!$B$13,IF(OR(A69=0,A69=Assumptions!$B$13),0.5,1),0)*Assumptions!$B$12</f>
        <v>0.01</v>
      </c>
      <c r="D69" s="12">
        <f>D68*(1-Assumptions!$B$12*(Assumptions!$B$5+Assumptions!$B$6))</f>
        <v>0.98186373248261127</v>
      </c>
      <c r="E69" s="12">
        <f>E68+Assumptions!$B$12*(D68*Assumptions!$B$5-E68*Assumptions!$B$7)</f>
        <v>1.1910698801718625E-2</v>
      </c>
      <c r="F69" s="12">
        <f t="shared" si="0"/>
        <v>6.2255687156701021E-3</v>
      </c>
      <c r="G69" s="12">
        <f>EXP(-Assumptions!$B$8*B69)</f>
        <v>0.9699604320672105</v>
      </c>
      <c r="H69" s="12">
        <f t="shared" si="1"/>
        <v>0.95236897018995759</v>
      </c>
      <c r="I69" s="12">
        <f t="shared" si="2"/>
        <v>1.1552906555937404E-2</v>
      </c>
      <c r="J69" s="12">
        <f>G69*(D69*Assumptions!$B$6+E69*Assumptions!$B$7)</f>
        <v>1.0101335029696448E-2</v>
      </c>
    </row>
    <row r="70" spans="1:10" x14ac:dyDescent="0.2">
      <c r="A70" s="2">
        <v>62</v>
      </c>
      <c r="B70" s="14">
        <f>A70*Assumptions!$B$12</f>
        <v>0.62</v>
      </c>
      <c r="C70" s="15">
        <f>IF(A70&lt;=Assumptions!$B$13,IF(OR(A70=0,A70=Assumptions!$B$13),0.5,1),0)*Assumptions!$B$12</f>
        <v>0.01</v>
      </c>
      <c r="D70" s="12">
        <f>D69*(1-Assumptions!$B$12*(Assumptions!$B$5+Assumptions!$B$6))</f>
        <v>0.98156917336286653</v>
      </c>
      <c r="E70" s="12">
        <f>E69+Assumptions!$B$12*(D69*Assumptions!$B$5-E69*Assumptions!$B$7)</f>
        <v>1.2101116198814288E-2</v>
      </c>
      <c r="F70" s="12">
        <f t="shared" si="0"/>
        <v>6.3297104383191801E-3</v>
      </c>
      <c r="G70" s="12">
        <f>EXP(-Assumptions!$B$8*B70)</f>
        <v>0.96947557307602594</v>
      </c>
      <c r="H70" s="12">
        <f t="shared" si="1"/>
        <v>0.95160733685972609</v>
      </c>
      <c r="I70" s="12">
        <f t="shared" si="2"/>
        <v>1.1731736561705062E-2</v>
      </c>
      <c r="J70" s="12">
        <f>G70*(D70*Assumptions!$B$6+E70*Assumptions!$B$7)</f>
        <v>1.0102660196682515E-2</v>
      </c>
    </row>
    <row r="71" spans="1:10" x14ac:dyDescent="0.2">
      <c r="A71" s="2">
        <v>63</v>
      </c>
      <c r="B71" s="14">
        <f>A71*Assumptions!$B$12</f>
        <v>0.63</v>
      </c>
      <c r="C71" s="15">
        <f>IF(A71&lt;=Assumptions!$B$13,IF(OR(A71=0,A71=Assumptions!$B$13),0.5,1),0)*Assumptions!$B$12</f>
        <v>0.01</v>
      </c>
      <c r="D71" s="12">
        <f>D70*(1-Assumptions!$B$12*(Assumptions!$B$5+Assumptions!$B$6))</f>
        <v>0.9812747026108577</v>
      </c>
      <c r="E71" s="12">
        <f>E70+Assumptions!$B$12*(D70*Assumptions!$B$5-E70*Assumptions!$B$7)</f>
        <v>1.2291379475387455E-2</v>
      </c>
      <c r="F71" s="12">
        <f t="shared" si="0"/>
        <v>6.4339179137548486E-3</v>
      </c>
      <c r="G71" s="12">
        <f>EXP(-Assumptions!$B$8*B71)</f>
        <v>0.96899095645373967</v>
      </c>
      <c r="H71" s="12">
        <f t="shared" si="1"/>
        <v>0.95084631262675401</v>
      </c>
      <c r="I71" s="12">
        <f t="shared" si="2"/>
        <v>1.1910235553991556E-2</v>
      </c>
      <c r="J71" s="12">
        <f>G71*(D71*Assumptions!$B$6+E71*Assumptions!$B$7)</f>
        <v>1.0103974903967118E-2</v>
      </c>
    </row>
    <row r="72" spans="1:10" x14ac:dyDescent="0.2">
      <c r="A72" s="2">
        <v>64</v>
      </c>
      <c r="B72" s="14">
        <f>A72*Assumptions!$B$12</f>
        <v>0.64</v>
      </c>
      <c r="C72" s="15">
        <f>IF(A72&lt;=Assumptions!$B$13,IF(OR(A72=0,A72=Assumptions!$B$13),0.5,1),0)*Assumptions!$B$12</f>
        <v>0.01</v>
      </c>
      <c r="D72" s="12">
        <f>D71*(1-Assumptions!$B$12*(Assumptions!$B$5+Assumptions!$B$6))</f>
        <v>0.98098032020007442</v>
      </c>
      <c r="E72" s="12">
        <f>E71+Assumptions!$B$12*(D71*Assumptions!$B$5-E71*Assumptions!$B$7)</f>
        <v>1.2481488726171932E-2</v>
      </c>
      <c r="F72" s="12">
        <f t="shared" ref="F72:F135" si="3">1-D72-E72</f>
        <v>6.5381910737536495E-3</v>
      </c>
      <c r="G72" s="12">
        <f>EXP(-Assumptions!$B$8*B72)</f>
        <v>0.9685065820791976</v>
      </c>
      <c r="H72" s="12">
        <f t="shared" ref="H72:H135" si="4">G72*D72</f>
        <v>0.95008589700393087</v>
      </c>
      <c r="I72" s="12">
        <f t="shared" ref="I72:I135" si="5">G72*E72</f>
        <v>1.2088403985444815E-2</v>
      </c>
      <c r="J72" s="12">
        <f>G72*(D72*Assumptions!$B$6+E72*Assumptions!$B$7)</f>
        <v>1.0105279169311551E-2</v>
      </c>
    </row>
    <row r="73" spans="1:10" x14ac:dyDescent="0.2">
      <c r="A73" s="2">
        <v>65</v>
      </c>
      <c r="B73" s="14">
        <f>A73*Assumptions!$B$12</f>
        <v>0.65</v>
      </c>
      <c r="C73" s="15">
        <f>IF(A73&lt;=Assumptions!$B$13,IF(OR(A73=0,A73=Assumptions!$B$13),0.5,1),0)*Assumptions!$B$12</f>
        <v>0.01</v>
      </c>
      <c r="D73" s="12">
        <f>D72*(1-Assumptions!$B$12*(Assumptions!$B$5+Assumptions!$B$6))</f>
        <v>0.98068602610401445</v>
      </c>
      <c r="E73" s="12">
        <f>E72+Assumptions!$B$12*(D72*Assumptions!$B$5-E72*Assumptions!$B$7)</f>
        <v>1.2671444045848862E-2</v>
      </c>
      <c r="F73" s="12">
        <f t="shared" si="3"/>
        <v>6.6425298501366862E-3</v>
      </c>
      <c r="G73" s="12">
        <f>EXP(-Assumptions!$B$8*B73)</f>
        <v>0.96802244983130603</v>
      </c>
      <c r="H73" s="12">
        <f t="shared" si="4"/>
        <v>0.94932608950453623</v>
      </c>
      <c r="I73" s="12">
        <f t="shared" si="5"/>
        <v>1.2266242308162931E-2</v>
      </c>
      <c r="J73" s="12">
        <f>G73*(D73*Assumptions!$B$6+E73*Assumptions!$B$7)</f>
        <v>1.010657301045351E-2</v>
      </c>
    </row>
    <row r="74" spans="1:10" x14ac:dyDescent="0.2">
      <c r="A74" s="2">
        <v>66</v>
      </c>
      <c r="B74" s="14">
        <f>A74*Assumptions!$B$12</f>
        <v>0.66</v>
      </c>
      <c r="C74" s="15">
        <f>IF(A74&lt;=Assumptions!$B$13,IF(OR(A74=0,A74=Assumptions!$B$13),0.5,1),0)*Assumptions!$B$12</f>
        <v>0.01</v>
      </c>
      <c r="D74" s="12">
        <f>D73*(1-Assumptions!$B$12*(Assumptions!$B$5+Assumptions!$B$6))</f>
        <v>0.98039182029618333</v>
      </c>
      <c r="E74" s="12">
        <f>E73+Assumptions!$B$12*(D73*Assumptions!$B$5-E73*Assumptions!$B$7)</f>
        <v>1.2861245529046741E-2</v>
      </c>
      <c r="F74" s="12">
        <f t="shared" si="3"/>
        <v>6.7469341747699342E-3</v>
      </c>
      <c r="G74" s="12">
        <f>EXP(-Assumptions!$B$8*B74)</f>
        <v>0.96753855958903201</v>
      </c>
      <c r="H74" s="12">
        <f t="shared" si="4"/>
        <v>0.94856688964223834</v>
      </c>
      <c r="I74" s="12">
        <f t="shared" si="5"/>
        <v>1.2443750973694762E-2</v>
      </c>
      <c r="J74" s="12">
        <f>G74*(D74*Assumptions!$B$6+E74*Assumptions!$B$7)</f>
        <v>1.0107856445107121E-2</v>
      </c>
    </row>
    <row r="75" spans="1:10" x14ac:dyDescent="0.2">
      <c r="A75" s="2">
        <v>67</v>
      </c>
      <c r="B75" s="14">
        <f>A75*Assumptions!$B$12</f>
        <v>0.67</v>
      </c>
      <c r="C75" s="15">
        <f>IF(A75&lt;=Assumptions!$B$13,IF(OR(A75=0,A75=Assumptions!$B$13),0.5,1),0)*Assumptions!$B$12</f>
        <v>0.01</v>
      </c>
      <c r="D75" s="12">
        <f>D74*(1-Assumptions!$B$12*(Assumptions!$B$5+Assumptions!$B$6))</f>
        <v>0.98009770275009456</v>
      </c>
      <c r="E75" s="12">
        <f>E74+Assumptions!$B$12*(D74*Assumptions!$B$5-E74*Assumptions!$B$7)</f>
        <v>1.3050893270341453E-2</v>
      </c>
      <c r="F75" s="12">
        <f t="shared" si="3"/>
        <v>6.8514039795639897E-3</v>
      </c>
      <c r="G75" s="12">
        <f>EXP(-Assumptions!$B$8*B75)</f>
        <v>0.96705491123140286</v>
      </c>
      <c r="H75" s="12">
        <f t="shared" si="4"/>
        <v>0.94780829693109458</v>
      </c>
      <c r="I75" s="12">
        <f t="shared" si="5"/>
        <v>1.2620930433040568E-2</v>
      </c>
      <c r="J75" s="12">
        <f>G75*(D75*Assumptions!$B$6+E75*Assumptions!$B$7)</f>
        <v>1.0109129490962975E-2</v>
      </c>
    </row>
    <row r="76" spans="1:10" x14ac:dyDescent="0.2">
      <c r="A76" s="2">
        <v>68</v>
      </c>
      <c r="B76" s="14">
        <f>A76*Assumptions!$B$12</f>
        <v>0.68</v>
      </c>
      <c r="C76" s="15">
        <f>IF(A76&lt;=Assumptions!$B$13,IF(OR(A76=0,A76=Assumptions!$B$13),0.5,1),0)*Assumptions!$B$12</f>
        <v>0.01</v>
      </c>
      <c r="D76" s="12">
        <f>D75*(1-Assumptions!$B$12*(Assumptions!$B$5+Assumptions!$B$6))</f>
        <v>0.97980367343926955</v>
      </c>
      <c r="E76" s="12">
        <f>E75+Assumptions!$B$12*(D75*Assumptions!$B$5-E75*Assumptions!$B$7)</f>
        <v>1.3240387364256302E-2</v>
      </c>
      <c r="F76" s="12">
        <f t="shared" si="3"/>
        <v>6.9559391964741472E-3</v>
      </c>
      <c r="G76" s="12">
        <f>EXP(-Assumptions!$B$8*B76)</f>
        <v>0.96657150463750663</v>
      </c>
      <c r="H76" s="12">
        <f t="shared" si="4"/>
        <v>0.94705031088555092</v>
      </c>
      <c r="I76" s="12">
        <f t="shared" si="5"/>
        <v>1.2797781136652643E-2</v>
      </c>
      <c r="J76" s="12">
        <f>G76*(D76*Assumptions!$B$6+E76*Assumptions!$B$7)</f>
        <v>1.0110392165688141E-2</v>
      </c>
    </row>
    <row r="77" spans="1:10" x14ac:dyDescent="0.2">
      <c r="A77" s="2">
        <v>69</v>
      </c>
      <c r="B77" s="14">
        <f>A77*Assumptions!$B$12</f>
        <v>0.69000000000000006</v>
      </c>
      <c r="C77" s="15">
        <f>IF(A77&lt;=Assumptions!$B$13,IF(OR(A77=0,A77=Assumptions!$B$13),0.5,1),0)*Assumptions!$B$12</f>
        <v>0.01</v>
      </c>
      <c r="D77" s="12">
        <f>D76*(1-Assumptions!$B$12*(Assumptions!$B$5+Assumptions!$B$6))</f>
        <v>0.97950973233723782</v>
      </c>
      <c r="E77" s="12">
        <f>E76+Assumptions!$B$12*(D76*Assumptions!$B$5-E76*Assumptions!$B$7)</f>
        <v>1.3429727905262027E-2</v>
      </c>
      <c r="F77" s="12">
        <f t="shared" si="3"/>
        <v>7.0605397575001574E-3</v>
      </c>
      <c r="G77" s="12">
        <f>EXP(-Assumptions!$B$8*B77)</f>
        <v>0.96608833968649155</v>
      </c>
      <c r="H77" s="12">
        <f t="shared" si="4"/>
        <v>0.94629293102044187</v>
      </c>
      <c r="I77" s="12">
        <f t="shared" si="5"/>
        <v>1.2974303534435936E-2</v>
      </c>
      <c r="J77" s="12">
        <f>G77*(D77*Assumptions!$B$6+E77*Assumptions!$B$7)</f>
        <v>1.0111644486926214E-2</v>
      </c>
    </row>
    <row r="78" spans="1:10" x14ac:dyDescent="0.2">
      <c r="A78" s="2">
        <v>70</v>
      </c>
      <c r="B78" s="14">
        <f>A78*Assumptions!$B$12</f>
        <v>0.70000000000000007</v>
      </c>
      <c r="C78" s="15">
        <f>IF(A78&lt;=Assumptions!$B$13,IF(OR(A78=0,A78=Assumptions!$B$13),0.5,1),0)*Assumptions!$B$12</f>
        <v>0.01</v>
      </c>
      <c r="D78" s="12">
        <f>D77*(1-Assumptions!$B$12*(Assumptions!$B$5+Assumptions!$B$6))</f>
        <v>0.97921587941753663</v>
      </c>
      <c r="E78" s="12">
        <f>E77+Assumptions!$B$12*(D77*Assumptions!$B$5-E77*Assumptions!$B$7)</f>
        <v>1.3618914987776844E-2</v>
      </c>
      <c r="F78" s="12">
        <f t="shared" si="3"/>
        <v>7.1652055946865283E-3</v>
      </c>
      <c r="G78" s="12">
        <f>EXP(-Assumptions!$B$8*B78)</f>
        <v>0.96560541625756646</v>
      </c>
      <c r="H78" s="12">
        <f t="shared" si="4"/>
        <v>0.94553615685098946</v>
      </c>
      <c r="I78" s="12">
        <f t="shared" si="5"/>
        <v>1.315049807574867E-2</v>
      </c>
      <c r="J78" s="12">
        <f>G78*(D78*Assumptions!$B$6+E78*Assumptions!$B$7)</f>
        <v>1.0112886472297328E-2</v>
      </c>
    </row>
    <row r="79" spans="1:10" x14ac:dyDescent="0.2">
      <c r="A79" s="2">
        <v>71</v>
      </c>
      <c r="B79" s="14">
        <f>A79*Assumptions!$B$12</f>
        <v>0.71</v>
      </c>
      <c r="C79" s="15">
        <f>IF(A79&lt;=Assumptions!$B$13,IF(OR(A79=0,A79=Assumptions!$B$13),0.5,1),0)*Assumptions!$B$12</f>
        <v>0.01</v>
      </c>
      <c r="D79" s="12">
        <f>D78*(1-Assumptions!$B$12*(Assumptions!$B$5+Assumptions!$B$6))</f>
        <v>0.97892211465371137</v>
      </c>
      <c r="E79" s="12">
        <f>E78+Assumptions!$B$12*(D78*Assumptions!$B$5-E78*Assumptions!$B$7)</f>
        <v>1.3807948706166463E-2</v>
      </c>
      <c r="F79" s="12">
        <f t="shared" si="3"/>
        <v>7.2699366401221648E-3</v>
      </c>
      <c r="G79" s="12">
        <f>EXP(-Assumptions!$B$8*B79)</f>
        <v>0.9651227342300005</v>
      </c>
      <c r="H79" s="12">
        <f t="shared" si="4"/>
        <v>0.94477998789280393</v>
      </c>
      <c r="I79" s="12">
        <f t="shared" si="5"/>
        <v>1.3326365209402974E-2</v>
      </c>
      <c r="J79" s="12">
        <f>G79*(D79*Assumptions!$B$6+E79*Assumptions!$B$7)</f>
        <v>1.0114118139398189E-2</v>
      </c>
    </row>
    <row r="80" spans="1:10" x14ac:dyDescent="0.2">
      <c r="A80" s="2">
        <v>72</v>
      </c>
      <c r="B80" s="14">
        <f>A80*Assumptions!$B$12</f>
        <v>0.72</v>
      </c>
      <c r="C80" s="15">
        <f>IF(A80&lt;=Assumptions!$B$13,IF(OR(A80=0,A80=Assumptions!$B$13),0.5,1),0)*Assumptions!$B$12</f>
        <v>0.01</v>
      </c>
      <c r="D80" s="12">
        <f>D79*(1-Assumptions!$B$12*(Assumptions!$B$5+Assumptions!$B$6))</f>
        <v>0.97862843801931532</v>
      </c>
      <c r="E80" s="12">
        <f>E79+Assumptions!$B$12*(D79*Assumptions!$B$5-E79*Assumptions!$B$7)</f>
        <v>1.3996829154744121E-2</v>
      </c>
      <c r="F80" s="12">
        <f t="shared" si="3"/>
        <v>7.3747328259405626E-3</v>
      </c>
      <c r="G80" s="12">
        <f>EXP(-Assumptions!$B$8*B80)</f>
        <v>0.96464029348312308</v>
      </c>
      <c r="H80" s="12">
        <f t="shared" si="4"/>
        <v>0.94402442366188266</v>
      </c>
      <c r="I80" s="12">
        <f t="shared" si="5"/>
        <v>1.3501905383665502E-2</v>
      </c>
      <c r="J80" s="12">
        <f>G80*(D80*Assumptions!$B$6+E80*Assumptions!$B$7)</f>
        <v>1.0115339505802103E-2</v>
      </c>
    </row>
    <row r="81" spans="1:10" x14ac:dyDescent="0.2">
      <c r="A81" s="2">
        <v>73</v>
      </c>
      <c r="B81" s="14">
        <f>A81*Assumptions!$B$12</f>
        <v>0.73</v>
      </c>
      <c r="C81" s="15">
        <f>IF(A81&lt;=Assumptions!$B$13,IF(OR(A81=0,A81=Assumptions!$B$13),0.5,1),0)*Assumptions!$B$12</f>
        <v>0.01</v>
      </c>
      <c r="D81" s="12">
        <f>D80*(1-Assumptions!$B$12*(Assumptions!$B$5+Assumptions!$B$6))</f>
        <v>0.97833484948790961</v>
      </c>
      <c r="E81" s="12">
        <f>E80+Assumptions!$B$12*(D80*Assumptions!$B$5-E80*Assumptions!$B$7)</f>
        <v>1.4185556427770613E-2</v>
      </c>
      <c r="F81" s="12">
        <f t="shared" si="3"/>
        <v>7.4795940843197795E-3</v>
      </c>
      <c r="G81" s="12">
        <f>EXP(-Assumptions!$B$8*B81)</f>
        <v>0.96415809389632401</v>
      </c>
      <c r="H81" s="12">
        <f t="shared" si="4"/>
        <v>0.94326946367460995</v>
      </c>
      <c r="I81" s="12">
        <f t="shared" si="5"/>
        <v>1.3677119046258061E-2</v>
      </c>
      <c r="J81" s="12">
        <f>G81*(D81*Assumptions!$B$6+E81*Assumptions!$B$7)</f>
        <v>1.0116550589059005E-2</v>
      </c>
    </row>
    <row r="82" spans="1:10" x14ac:dyDescent="0.2">
      <c r="A82" s="2">
        <v>74</v>
      </c>
      <c r="B82" s="14">
        <f>A82*Assumptions!$B$12</f>
        <v>0.74</v>
      </c>
      <c r="C82" s="15">
        <f>IF(A82&lt;=Assumptions!$B$13,IF(OR(A82=0,A82=Assumptions!$B$13),0.5,1),0)*Assumptions!$B$12</f>
        <v>0.01</v>
      </c>
      <c r="D82" s="12">
        <f>D81*(1-Assumptions!$B$12*(Assumptions!$B$5+Assumptions!$B$6))</f>
        <v>0.97804134903306328</v>
      </c>
      <c r="E82" s="12">
        <f>E81+Assumptions!$B$12*(D81*Assumptions!$B$5-E81*Assumptions!$B$7)</f>
        <v>1.437413061945431E-2</v>
      </c>
      <c r="F82" s="12">
        <f t="shared" si="3"/>
        <v>7.5845203474824117E-3</v>
      </c>
      <c r="G82" s="12">
        <f>EXP(-Assumptions!$B$8*B82)</f>
        <v>0.9636761353490535</v>
      </c>
      <c r="H82" s="12">
        <f t="shared" si="4"/>
        <v>0.94251510744775713</v>
      </c>
      <c r="I82" s="12">
        <f t="shared" si="5"/>
        <v>1.3852006644358225E-2</v>
      </c>
      <c r="J82" s="12">
        <f>G82*(D82*Assumptions!$B$6+E82*Assumptions!$B$7)</f>
        <v>1.0117751406695484E-2</v>
      </c>
    </row>
    <row r="83" spans="1:10" x14ac:dyDescent="0.2">
      <c r="A83" s="2">
        <v>75</v>
      </c>
      <c r="B83" s="14">
        <f>A83*Assumptions!$B$12</f>
        <v>0.75</v>
      </c>
      <c r="C83" s="15">
        <f>IF(A83&lt;=Assumptions!$B$13,IF(OR(A83=0,A83=Assumptions!$B$13),0.5,1),0)*Assumptions!$B$12</f>
        <v>0.01</v>
      </c>
      <c r="D83" s="12">
        <f>D82*(1-Assumptions!$B$12*(Assumptions!$B$5+Assumptions!$B$6))</f>
        <v>0.97774793662835335</v>
      </c>
      <c r="E83" s="12">
        <f>E82+Assumptions!$B$12*(D82*Assumptions!$B$5-E82*Assumptions!$B$7)</f>
        <v>1.4562551823951195E-2</v>
      </c>
      <c r="F83" s="12">
        <f t="shared" si="3"/>
        <v>7.6895115476954511E-3</v>
      </c>
      <c r="G83" s="12">
        <f>EXP(-Assumptions!$B$8*B83)</f>
        <v>0.96319441772082182</v>
      </c>
      <c r="H83" s="12">
        <f t="shared" si="4"/>
        <v>0.94176135449848175</v>
      </c>
      <c r="I83" s="12">
        <f t="shared" si="5"/>
        <v>1.4026568624599963E-2</v>
      </c>
      <c r="J83" s="12">
        <f>G83*(D83*Assumptions!$B$6+E83*Assumptions!$B$7)</f>
        <v>1.0118941976214817E-2</v>
      </c>
    </row>
    <row r="84" spans="1:10" x14ac:dyDescent="0.2">
      <c r="A84" s="2">
        <v>76</v>
      </c>
      <c r="B84" s="14">
        <f>A84*Assumptions!$B$12</f>
        <v>0.76</v>
      </c>
      <c r="C84" s="15">
        <f>IF(A84&lt;=Assumptions!$B$13,IF(OR(A84=0,A84=Assumptions!$B$13),0.5,1),0)*Assumptions!$B$12</f>
        <v>0.01</v>
      </c>
      <c r="D84" s="12">
        <f>D83*(1-Assumptions!$B$12*(Assumptions!$B$5+Assumptions!$B$6))</f>
        <v>0.97745461224736485</v>
      </c>
      <c r="E84" s="12">
        <f>E83+Assumptions!$B$12*(D83*Assumptions!$B$5-E83*Assumptions!$B$7)</f>
        <v>1.4750820135364891E-2</v>
      </c>
      <c r="F84" s="12">
        <f t="shared" si="3"/>
        <v>7.794567617270258E-3</v>
      </c>
      <c r="G84" s="12">
        <f>EXP(-Assumptions!$B$8*B84)</f>
        <v>0.96271294089119952</v>
      </c>
      <c r="H84" s="12">
        <f t="shared" si="4"/>
        <v>0.94100820434432775</v>
      </c>
      <c r="I84" s="12">
        <f t="shared" si="5"/>
        <v>1.4200805433074256E-2</v>
      </c>
      <c r="J84" s="12">
        <f>G84*(D84*Assumptions!$B$6+E84*Assumptions!$B$7)</f>
        <v>1.0120122315096991E-2</v>
      </c>
    </row>
    <row r="85" spans="1:10" x14ac:dyDescent="0.2">
      <c r="A85" s="2">
        <v>77</v>
      </c>
      <c r="B85" s="14">
        <f>A85*Assumptions!$B$12</f>
        <v>0.77</v>
      </c>
      <c r="C85" s="15">
        <f>IF(A85&lt;=Assumptions!$B$13,IF(OR(A85=0,A85=Assumptions!$B$13),0.5,1),0)*Assumptions!$B$12</f>
        <v>0.01</v>
      </c>
      <c r="D85" s="12">
        <f>D84*(1-Assumptions!$B$12*(Assumptions!$B$5+Assumptions!$B$6))</f>
        <v>0.97716137586369067</v>
      </c>
      <c r="E85" s="12">
        <f>E84+Assumptions!$B$12*(D84*Assumptions!$B$5-E84*Assumptions!$B$7)</f>
        <v>1.4938935647746681E-2</v>
      </c>
      <c r="F85" s="12">
        <f t="shared" si="3"/>
        <v>7.8996884885626454E-3</v>
      </c>
      <c r="G85" s="12">
        <f>EXP(-Assumptions!$B$8*B85)</f>
        <v>0.96223170473981756</v>
      </c>
      <c r="H85" s="12">
        <f t="shared" si="4"/>
        <v>0.94025565650322473</v>
      </c>
      <c r="I85" s="12">
        <f t="shared" si="5"/>
        <v>1.437471751532972E-2</v>
      </c>
      <c r="J85" s="12">
        <f>G85*(D85*Assumptions!$B$6+E85*Assumptions!$B$7)</f>
        <v>1.0121292440798733E-2</v>
      </c>
    </row>
    <row r="86" spans="1:10" x14ac:dyDescent="0.2">
      <c r="A86" s="2">
        <v>78</v>
      </c>
      <c r="B86" s="14">
        <f>A86*Assumptions!$B$12</f>
        <v>0.78</v>
      </c>
      <c r="C86" s="15">
        <f>IF(A86&lt;=Assumptions!$B$13,IF(OR(A86=0,A86=Assumptions!$B$13),0.5,1),0)*Assumptions!$B$12</f>
        <v>0.01</v>
      </c>
      <c r="D86" s="12">
        <f>D85*(1-Assumptions!$B$12*(Assumptions!$B$5+Assumptions!$B$6))</f>
        <v>0.9768682274509316</v>
      </c>
      <c r="E86" s="12">
        <f>E85+Assumptions!$B$12*(D85*Assumptions!$B$5-E85*Assumptions!$B$7)</f>
        <v>1.5126898455095546E-2</v>
      </c>
      <c r="F86" s="12">
        <f t="shared" si="3"/>
        <v>8.0048740939728507E-3</v>
      </c>
      <c r="G86" s="12">
        <f>EXP(-Assumptions!$B$8*B86)</f>
        <v>0.96175070914636673</v>
      </c>
      <c r="H86" s="12">
        <f t="shared" si="4"/>
        <v>0.9395037104934878</v>
      </c>
      <c r="I86" s="12">
        <f t="shared" si="5"/>
        <v>1.454830531637322E-2</v>
      </c>
      <c r="J86" s="12">
        <f>G86*(D86*Assumptions!$B$6+E86*Assumptions!$B$7)</f>
        <v>1.012245237075354E-2</v>
      </c>
    </row>
    <row r="87" spans="1:10" x14ac:dyDescent="0.2">
      <c r="A87" s="2">
        <v>79</v>
      </c>
      <c r="B87" s="14">
        <f>A87*Assumptions!$B$12</f>
        <v>0.79</v>
      </c>
      <c r="C87" s="15">
        <f>IF(A87&lt;=Assumptions!$B$13,IF(OR(A87=0,A87=Assumptions!$B$13),0.5,1),0)*Assumptions!$B$12</f>
        <v>0.01</v>
      </c>
      <c r="D87" s="12">
        <f>D86*(1-Assumptions!$B$12*(Assumptions!$B$5+Assumptions!$B$6))</f>
        <v>0.97657516698269631</v>
      </c>
      <c r="E87" s="12">
        <f>E86+Assumptions!$B$12*(D86*Assumptions!$B$5-E86*Assumptions!$B$7)</f>
        <v>1.5314708651358184E-2</v>
      </c>
      <c r="F87" s="12">
        <f t="shared" si="3"/>
        <v>8.1101243659455081E-3</v>
      </c>
      <c r="G87" s="12">
        <f>EXP(-Assumptions!$B$8*B87)</f>
        <v>0.96126995399059822</v>
      </c>
      <c r="H87" s="12">
        <f t="shared" si="4"/>
        <v>0.93875236583381727</v>
      </c>
      <c r="I87" s="12">
        <f t="shared" si="5"/>
        <v>1.4721569280670498E-2</v>
      </c>
      <c r="J87" s="12">
        <f>G87*(D87*Assumptions!$B$6+E87*Assumptions!$B$7)</f>
        <v>1.0123602122371697E-2</v>
      </c>
    </row>
    <row r="88" spans="1:10" x14ac:dyDescent="0.2">
      <c r="A88" s="2">
        <v>80</v>
      </c>
      <c r="B88" s="14">
        <f>A88*Assumptions!$B$12</f>
        <v>0.8</v>
      </c>
      <c r="C88" s="15">
        <f>IF(A88&lt;=Assumptions!$B$13,IF(OR(A88=0,A88=Assumptions!$B$13),0.5,1),0)*Assumptions!$B$12</f>
        <v>0.01</v>
      </c>
      <c r="D88" s="12">
        <f>D87*(1-Assumptions!$B$12*(Assumptions!$B$5+Assumptions!$B$6))</f>
        <v>0.97628219443260156</v>
      </c>
      <c r="E88" s="12">
        <f>E87+Assumptions!$B$12*(D87*Assumptions!$B$5-E87*Assumptions!$B$7)</f>
        <v>1.5502366330429044E-2</v>
      </c>
      <c r="F88" s="12">
        <f t="shared" si="3"/>
        <v>8.2154392369693987E-3</v>
      </c>
      <c r="G88" s="12">
        <f>EXP(-Assumptions!$B$8*B88)</f>
        <v>0.96078943915232318</v>
      </c>
      <c r="H88" s="12">
        <f t="shared" si="4"/>
        <v>0.93800162204329862</v>
      </c>
      <c r="I88" s="12">
        <f t="shared" si="5"/>
        <v>1.4894509852146779E-2</v>
      </c>
      <c r="J88" s="12">
        <f>G88*(D88*Assumptions!$B$6+E88*Assumptions!$B$7)</f>
        <v>1.0124741713040324E-2</v>
      </c>
    </row>
    <row r="89" spans="1:10" x14ac:dyDescent="0.2">
      <c r="A89" s="2">
        <v>81</v>
      </c>
      <c r="B89" s="14">
        <f>A89*Assumptions!$B$12</f>
        <v>0.81</v>
      </c>
      <c r="C89" s="15">
        <f>IF(A89&lt;=Assumptions!$B$13,IF(OR(A89=0,A89=Assumptions!$B$13),0.5,1),0)*Assumptions!$B$12</f>
        <v>0.01</v>
      </c>
      <c r="D89" s="12">
        <f>D88*(1-Assumptions!$B$12*(Assumptions!$B$5+Assumptions!$B$6))</f>
        <v>0.97598930977427178</v>
      </c>
      <c r="E89" s="12">
        <f>E88+Assumptions!$B$12*(D88*Assumptions!$B$5-E88*Assumptions!$B$7)</f>
        <v>1.5689871586150348E-2</v>
      </c>
      <c r="F89" s="12">
        <f t="shared" si="3"/>
        <v>8.320818639577867E-3</v>
      </c>
      <c r="G89" s="12">
        <f>EXP(-Assumptions!$B$8*B89)</f>
        <v>0.96030916451141302</v>
      </c>
      <c r="H89" s="12">
        <f t="shared" si="4"/>
        <v>0.93725147864140157</v>
      </c>
      <c r="I89" s="12">
        <f t="shared" si="5"/>
        <v>1.5067127474187399E-2</v>
      </c>
      <c r="J89" s="12">
        <f>G89*(D89*Assumptions!$B$6+E89*Assumptions!$B$7)</f>
        <v>1.0125871160123387E-2</v>
      </c>
    </row>
    <row r="90" spans="1:10" x14ac:dyDescent="0.2">
      <c r="A90" s="2">
        <v>82</v>
      </c>
      <c r="B90" s="14">
        <f>A90*Assumptions!$B$12</f>
        <v>0.82000000000000006</v>
      </c>
      <c r="C90" s="15">
        <f>IF(A90&lt;=Assumptions!$B$13,IF(OR(A90=0,A90=Assumptions!$B$13),0.5,1),0)*Assumptions!$B$12</f>
        <v>0.01</v>
      </c>
      <c r="D90" s="12">
        <f>D89*(1-Assumptions!$B$12*(Assumptions!$B$5+Assumptions!$B$6))</f>
        <v>0.97569651298133953</v>
      </c>
      <c r="E90" s="12">
        <f>E89+Assumptions!$B$12*(D89*Assumptions!$B$5-E89*Assumptions!$B$7)</f>
        <v>1.5877224512312126E-2</v>
      </c>
      <c r="F90" s="12">
        <f t="shared" si="3"/>
        <v>8.426262506348349E-3</v>
      </c>
      <c r="G90" s="12">
        <f>EXP(-Assumptions!$B$8*B90)</f>
        <v>0.9598291299477989</v>
      </c>
      <c r="H90" s="12">
        <f t="shared" si="4"/>
        <v>0.93650193514798041</v>
      </c>
      <c r="I90" s="12">
        <f t="shared" si="5"/>
        <v>1.5239422589638413E-2</v>
      </c>
      <c r="J90" s="12">
        <f>G90*(D90*Assumptions!$B$6+E90*Assumptions!$B$7)</f>
        <v>1.0126990480961724E-2</v>
      </c>
    </row>
    <row r="91" spans="1:10" x14ac:dyDescent="0.2">
      <c r="A91" s="2">
        <v>83</v>
      </c>
      <c r="B91" s="14">
        <f>A91*Assumptions!$B$12</f>
        <v>0.83000000000000007</v>
      </c>
      <c r="C91" s="15">
        <f>IF(A91&lt;=Assumptions!$B$13,IF(OR(A91=0,A91=Assumptions!$B$13),0.5,1),0)*Assumptions!$B$12</f>
        <v>0.01</v>
      </c>
      <c r="D91" s="12">
        <f>D90*(1-Assumptions!$B$12*(Assumptions!$B$5+Assumptions!$B$6))</f>
        <v>0.9754038040274452</v>
      </c>
      <c r="E91" s="12">
        <f>E90+Assumptions!$B$12*(D90*Assumptions!$B$5-E90*Assumptions!$B$7)</f>
        <v>1.6064425202652239E-2</v>
      </c>
      <c r="F91" s="12">
        <f t="shared" si="3"/>
        <v>8.5317707699025629E-3</v>
      </c>
      <c r="G91" s="12">
        <f>EXP(-Assumptions!$B$8*B91)</f>
        <v>0.95934933534147226</v>
      </c>
      <c r="H91" s="12">
        <f t="shared" si="4"/>
        <v>0.93575299108327326</v>
      </c>
      <c r="I91" s="12">
        <f t="shared" si="5"/>
        <v>1.5411395640807221E-2</v>
      </c>
      <c r="J91" s="12">
        <f>G91*(D91*Assumptions!$B$6+E91*Assumptions!$B$7)</f>
        <v>1.0128099692873092E-2</v>
      </c>
    </row>
    <row r="92" spans="1:10" x14ac:dyDescent="0.2">
      <c r="A92" s="2">
        <v>84</v>
      </c>
      <c r="B92" s="14">
        <f>A92*Assumptions!$B$12</f>
        <v>0.84</v>
      </c>
      <c r="C92" s="15">
        <f>IF(A92&lt;=Assumptions!$B$13,IF(OR(A92=0,A92=Assumptions!$B$13),0.5,1),0)*Assumptions!$B$12</f>
        <v>0.01</v>
      </c>
      <c r="D92" s="12">
        <f>D91*(1-Assumptions!$B$12*(Assumptions!$B$5+Assumptions!$B$6))</f>
        <v>0.97511118288623699</v>
      </c>
      <c r="E92" s="12">
        <f>E91+Assumptions!$B$12*(D91*Assumptions!$B$5-E91*Assumptions!$B$7)</f>
        <v>1.62514737508564E-2</v>
      </c>
      <c r="F92" s="12">
        <f t="shared" si="3"/>
        <v>8.6373433629066063E-3</v>
      </c>
      <c r="G92" s="12">
        <f>EXP(-Assumptions!$B$8*B92)</f>
        <v>0.95886978057248451</v>
      </c>
      <c r="H92" s="12">
        <f t="shared" si="4"/>
        <v>0.93500464596790189</v>
      </c>
      <c r="I92" s="12">
        <f t="shared" si="5"/>
        <v>1.5583047069463169E-2</v>
      </c>
      <c r="J92" s="12">
        <f>G92*(D92*Assumptions!$B$6+E92*Assumptions!$B$7)</f>
        <v>1.0129198813152178E-2</v>
      </c>
    </row>
    <row r="93" spans="1:10" x14ac:dyDescent="0.2">
      <c r="A93" s="2">
        <v>85</v>
      </c>
      <c r="B93" s="14">
        <f>A93*Assumptions!$B$12</f>
        <v>0.85</v>
      </c>
      <c r="C93" s="15">
        <f>IF(A93&lt;=Assumptions!$B$13,IF(OR(A93=0,A93=Assumptions!$B$13),0.5,1),0)*Assumptions!$B$12</f>
        <v>0.01</v>
      </c>
      <c r="D93" s="12">
        <f>D92*(1-Assumptions!$B$12*(Assumptions!$B$5+Assumptions!$B$6))</f>
        <v>0.97481864953137121</v>
      </c>
      <c r="E93" s="12">
        <f>E92+Assumptions!$B$12*(D92*Assumptions!$B$5-E92*Assumptions!$B$7)</f>
        <v>1.6438370250558221E-2</v>
      </c>
      <c r="F93" s="12">
        <f t="shared" si="3"/>
        <v>8.7429802180705729E-3</v>
      </c>
      <c r="G93" s="12">
        <f>EXP(-Assumptions!$B$8*B93)</f>
        <v>0.95839046552094698</v>
      </c>
      <c r="H93" s="12">
        <f t="shared" si="4"/>
        <v>0.9342568993228717</v>
      </c>
      <c r="I93" s="12">
        <f t="shared" si="5"/>
        <v>1.5754377316838181E-2</v>
      </c>
      <c r="J93" s="12">
        <f>G93*(D93*Assumptions!$B$6+E93*Assumptions!$B$7)</f>
        <v>1.0130287859070625E-2</v>
      </c>
    </row>
    <row r="94" spans="1:10" x14ac:dyDescent="0.2">
      <c r="A94" s="2">
        <v>86</v>
      </c>
      <c r="B94" s="14">
        <f>A94*Assumptions!$B$12</f>
        <v>0.86</v>
      </c>
      <c r="C94" s="15">
        <f>IF(A94&lt;=Assumptions!$B$13,IF(OR(A94=0,A94=Assumptions!$B$13),0.5,1),0)*Assumptions!$B$12</f>
        <v>0.01</v>
      </c>
      <c r="D94" s="12">
        <f>D93*(1-Assumptions!$B$12*(Assumptions!$B$5+Assumptions!$B$6))</f>
        <v>0.97452620393651179</v>
      </c>
      <c r="E94" s="12">
        <f>E93+Assumptions!$B$12*(D93*Assumptions!$B$5-E93*Assumptions!$B$7)</f>
        <v>1.6625114795339214E-2</v>
      </c>
      <c r="F94" s="12">
        <f t="shared" si="3"/>
        <v>8.8486812681489932E-3</v>
      </c>
      <c r="G94" s="12">
        <f>EXP(-Assumptions!$B$8*B94)</f>
        <v>0.95791139006703063</v>
      </c>
      <c r="H94" s="12">
        <f t="shared" si="4"/>
        <v>0.93350975066957054</v>
      </c>
      <c r="I94" s="12">
        <f t="shared" si="5"/>
        <v>1.5925386823627343E-2</v>
      </c>
      <c r="J94" s="12">
        <f>G94*(D94*Assumptions!$B$6+E94*Assumptions!$B$7)</f>
        <v>1.0131366847877073E-2</v>
      </c>
    </row>
    <row r="95" spans="1:10" x14ac:dyDescent="0.2">
      <c r="A95" s="2">
        <v>87</v>
      </c>
      <c r="B95" s="14">
        <f>A95*Assumptions!$B$12</f>
        <v>0.87</v>
      </c>
      <c r="C95" s="15">
        <f>IF(A95&lt;=Assumptions!$B$13,IF(OR(A95=0,A95=Assumptions!$B$13),0.5,1),0)*Assumptions!$B$12</f>
        <v>0.01</v>
      </c>
      <c r="D95" s="12">
        <f>D94*(1-Assumptions!$B$12*(Assumptions!$B$5+Assumptions!$B$6))</f>
        <v>0.97423384607533092</v>
      </c>
      <c r="E95" s="12">
        <f>E94+Assumptions!$B$12*(D94*Assumptions!$B$5-E94*Assumptions!$B$7)</f>
        <v>1.6811707478728847E-2</v>
      </c>
      <c r="F95" s="12">
        <f t="shared" si="3"/>
        <v>8.9544464459402305E-3</v>
      </c>
      <c r="G95" s="12">
        <f>EXP(-Assumptions!$B$8*B95)</f>
        <v>0.95743255409096695</v>
      </c>
      <c r="H95" s="12">
        <f t="shared" si="4"/>
        <v>0.93276319952977005</v>
      </c>
      <c r="I95" s="12">
        <f t="shared" si="5"/>
        <v>1.6096076029989571E-2</v>
      </c>
      <c r="J95" s="12">
        <f>G95*(D95*Assumptions!$B$6+E95*Assumptions!$B$7)</f>
        <v>1.0132435796797179E-2</v>
      </c>
    </row>
    <row r="96" spans="1:10" x14ac:dyDescent="0.2">
      <c r="A96" s="2">
        <v>88</v>
      </c>
      <c r="B96" s="14">
        <f>A96*Assumptions!$B$12</f>
        <v>0.88</v>
      </c>
      <c r="C96" s="15">
        <f>IF(A96&lt;=Assumptions!$B$13,IF(OR(A96=0,A96=Assumptions!$B$13),0.5,1),0)*Assumptions!$B$12</f>
        <v>0.01</v>
      </c>
      <c r="D96" s="12">
        <f>D95*(1-Assumptions!$B$12*(Assumptions!$B$5+Assumptions!$B$6))</f>
        <v>0.97394157592150832</v>
      </c>
      <c r="E96" s="12">
        <f>E95+Assumptions!$B$12*(D95*Assumptions!$B$5-E95*Assumptions!$B$7)</f>
        <v>1.6998148394204549E-2</v>
      </c>
      <c r="F96" s="12">
        <f t="shared" si="3"/>
        <v>9.0602756842871335E-3</v>
      </c>
      <c r="G96" s="12">
        <f>EXP(-Assumptions!$B$8*B96)</f>
        <v>0.95695395747304668</v>
      </c>
      <c r="H96" s="12">
        <f t="shared" si="4"/>
        <v>0.93201724542562314</v>
      </c>
      <c r="I96" s="12">
        <f t="shared" si="5"/>
        <v>1.6266445375548156E-2</v>
      </c>
      <c r="J96" s="12">
        <f>G96*(D96*Assumptions!$B$6+E96*Assumptions!$B$7)</f>
        <v>1.0133494723033638E-2</v>
      </c>
    </row>
    <row r="97" spans="1:10" x14ac:dyDescent="0.2">
      <c r="A97" s="2">
        <v>89</v>
      </c>
      <c r="B97" s="14">
        <f>A97*Assumptions!$B$12</f>
        <v>0.89</v>
      </c>
      <c r="C97" s="15">
        <f>IF(A97&lt;=Assumptions!$B$13,IF(OR(A97=0,A97=Assumptions!$B$13),0.5,1),0)*Assumptions!$B$12</f>
        <v>0.01</v>
      </c>
      <c r="D97" s="12">
        <f>D96*(1-Assumptions!$B$12*(Assumptions!$B$5+Assumptions!$B$6))</f>
        <v>0.97364939344873191</v>
      </c>
      <c r="E97" s="12">
        <f>E96+Assumptions!$B$12*(D96*Assumptions!$B$5-E96*Assumptions!$B$7)</f>
        <v>1.7184437635191747E-2</v>
      </c>
      <c r="F97" s="12">
        <f t="shared" si="3"/>
        <v>9.1661689160763386E-3</v>
      </c>
      <c r="G97" s="12">
        <f>EXP(-Assumptions!$B$8*B97)</f>
        <v>0.95647560009362076</v>
      </c>
      <c r="H97" s="12">
        <f t="shared" si="4"/>
        <v>0.93127188787966575</v>
      </c>
      <c r="I97" s="12">
        <f t="shared" si="5"/>
        <v>1.6436495299391427E-2</v>
      </c>
      <c r="J97" s="12">
        <f>G97*(D97*Assumptions!$B$6+E97*Assumptions!$B$7)</f>
        <v>1.0134543643766229E-2</v>
      </c>
    </row>
    <row r="98" spans="1:10" x14ac:dyDescent="0.2">
      <c r="A98" s="2">
        <v>90</v>
      </c>
      <c r="B98" s="14">
        <f>A98*Assumptions!$B$12</f>
        <v>0.9</v>
      </c>
      <c r="C98" s="15">
        <f>IF(A98&lt;=Assumptions!$B$13,IF(OR(A98=0,A98=Assumptions!$B$13),0.5,1),0)*Assumptions!$B$12</f>
        <v>0.01</v>
      </c>
      <c r="D98" s="12">
        <f>D97*(1-Assumptions!$B$12*(Assumptions!$B$5+Assumptions!$B$6))</f>
        <v>0.97335729863069731</v>
      </c>
      <c r="E98" s="12">
        <f>E97+Assumptions!$B$12*(D97*Assumptions!$B$5-E97*Assumptions!$B$7)</f>
        <v>1.7370575295063896E-2</v>
      </c>
      <c r="F98" s="12">
        <f t="shared" si="3"/>
        <v>9.2721260742387943E-3</v>
      </c>
      <c r="G98" s="12">
        <f>EXP(-Assumptions!$B$8*B98)</f>
        <v>0.95599748183309985</v>
      </c>
      <c r="H98" s="12">
        <f t="shared" si="4"/>
        <v>0.93052712641481516</v>
      </c>
      <c r="I98" s="12">
        <f t="shared" si="5"/>
        <v>1.6606226240073341E-2</v>
      </c>
      <c r="J98" s="12">
        <f>G98*(D98*Assumptions!$B$6+E98*Assumptions!$B$7)</f>
        <v>1.013558257615182E-2</v>
      </c>
    </row>
    <row r="99" spans="1:10" x14ac:dyDescent="0.2">
      <c r="A99" s="2">
        <v>91</v>
      </c>
      <c r="B99" s="14">
        <f>A99*Assumptions!$B$12</f>
        <v>0.91</v>
      </c>
      <c r="C99" s="15">
        <f>IF(A99&lt;=Assumptions!$B$13,IF(OR(A99=0,A99=Assumptions!$B$13),0.5,1),0)*Assumptions!$B$12</f>
        <v>0.01</v>
      </c>
      <c r="D99" s="12">
        <f>D98*(1-Assumptions!$B$12*(Assumptions!$B$5+Assumptions!$B$6))</f>
        <v>0.97306529144110809</v>
      </c>
      <c r="E99" s="12">
        <f>E98+Assumptions!$B$12*(D98*Assumptions!$B$5-E98*Assumptions!$B$7)</f>
        <v>1.7556561467142504E-2</v>
      </c>
      <c r="F99" s="12">
        <f t="shared" si="3"/>
        <v>9.3781470917494031E-3</v>
      </c>
      <c r="G99" s="12">
        <f>EXP(-Assumptions!$B$8*B99)</f>
        <v>0.95551960257195445</v>
      </c>
      <c r="H99" s="12">
        <f t="shared" si="4"/>
        <v>0.9297829605543706</v>
      </c>
      <c r="I99" s="12">
        <f t="shared" si="5"/>
        <v>1.6775638635614095E-2</v>
      </c>
      <c r="J99" s="12">
        <f>G99*(D99*Assumptions!$B$6+E99*Assumptions!$B$7)</f>
        <v>1.0136611537324411E-2</v>
      </c>
    </row>
    <row r="100" spans="1:10" x14ac:dyDescent="0.2">
      <c r="A100" s="2">
        <v>92</v>
      </c>
      <c r="B100" s="14">
        <f>A100*Assumptions!$B$12</f>
        <v>0.92</v>
      </c>
      <c r="C100" s="15">
        <f>IF(A100&lt;=Assumptions!$B$13,IF(OR(A100=0,A100=Assumptions!$B$13),0.5,1),0)*Assumptions!$B$12</f>
        <v>0.01</v>
      </c>
      <c r="D100" s="12">
        <f>D99*(1-Assumptions!$B$12*(Assumptions!$B$5+Assumptions!$B$6))</f>
        <v>0.97277337185367574</v>
      </c>
      <c r="E100" s="12">
        <f>E99+Assumptions!$B$12*(D99*Assumptions!$B$5-E99*Assumptions!$B$7)</f>
        <v>1.7742396244697155E-2</v>
      </c>
      <c r="F100" s="12">
        <f t="shared" si="3"/>
        <v>9.4842319016271055E-3</v>
      </c>
      <c r="G100" s="12">
        <f>EXP(-Assumptions!$B$8*B100)</f>
        <v>0.95504196219071458</v>
      </c>
      <c r="H100" s="12">
        <f t="shared" si="4"/>
        <v>0.92903938982201206</v>
      </c>
      <c r="I100" s="12">
        <f t="shared" si="5"/>
        <v>1.6944732923500738E-2</v>
      </c>
      <c r="J100" s="12">
        <f>G100*(D100*Assumptions!$B$6+E100*Assumptions!$B$7)</f>
        <v>1.0137630544395159E-2</v>
      </c>
    </row>
    <row r="101" spans="1:10" x14ac:dyDescent="0.2">
      <c r="A101" s="2">
        <v>93</v>
      </c>
      <c r="B101" s="14">
        <f>A101*Assumptions!$B$12</f>
        <v>0.93</v>
      </c>
      <c r="C101" s="15">
        <f>IF(A101&lt;=Assumptions!$B$13,IF(OR(A101=0,A101=Assumptions!$B$13),0.5,1),0)*Assumptions!$B$12</f>
        <v>0.01</v>
      </c>
      <c r="D101" s="12">
        <f>D100*(1-Assumptions!$B$12*(Assumptions!$B$5+Assumptions!$B$6))</f>
        <v>0.97248153984211971</v>
      </c>
      <c r="E101" s="12">
        <f>E100+Assumptions!$B$12*(D100*Assumptions!$B$5-E100*Assumptions!$B$7)</f>
        <v>1.7928079720945542E-2</v>
      </c>
      <c r="F101" s="12">
        <f t="shared" si="3"/>
        <v>9.5903804369347444E-3</v>
      </c>
      <c r="G101" s="12">
        <f>EXP(-Assumptions!$B$8*B101)</f>
        <v>0.9545645605699703</v>
      </c>
      <c r="H101" s="12">
        <f t="shared" si="4"/>
        <v>0.92829641374180105</v>
      </c>
      <c r="I101" s="12">
        <f t="shared" si="5"/>
        <v>1.7113509540687778E-2</v>
      </c>
      <c r="J101" s="12">
        <f>G101*(D101*Assumptions!$B$6+E101*Assumptions!$B$7)</f>
        <v>1.0138639614452398E-2</v>
      </c>
    </row>
    <row r="102" spans="1:10" x14ac:dyDescent="0.2">
      <c r="A102" s="2">
        <v>94</v>
      </c>
      <c r="B102" s="14">
        <f>A102*Assumptions!$B$12</f>
        <v>0.94000000000000006</v>
      </c>
      <c r="C102" s="15">
        <f>IF(A102&lt;=Assumptions!$B$13,IF(OR(A102=0,A102=Assumptions!$B$13),0.5,1),0)*Assumptions!$B$12</f>
        <v>0.01</v>
      </c>
      <c r="D102" s="12">
        <f>D101*(1-Assumptions!$B$12*(Assumptions!$B$5+Assumptions!$B$6))</f>
        <v>0.97218979538016714</v>
      </c>
      <c r="E102" s="12">
        <f>E101+Assumptions!$B$12*(D101*Assumptions!$B$5-E101*Assumptions!$B$7)</f>
        <v>1.8113611989053494E-2</v>
      </c>
      <c r="F102" s="12">
        <f t="shared" si="3"/>
        <v>9.6965926307793632E-3</v>
      </c>
      <c r="G102" s="12">
        <f>EXP(-Assumptions!$B$8*B102)</f>
        <v>0.95408739759037109</v>
      </c>
      <c r="H102" s="12">
        <f t="shared" si="4"/>
        <v>0.92755403183817908</v>
      </c>
      <c r="I102" s="12">
        <f t="shared" si="5"/>
        <v>1.7281968923597794E-2</v>
      </c>
      <c r="J102" s="12">
        <f>G102*(D102*Assumptions!$B$6+E102*Assumptions!$B$7)</f>
        <v>1.0139638764561679E-2</v>
      </c>
    </row>
    <row r="103" spans="1:10" x14ac:dyDescent="0.2">
      <c r="A103" s="2">
        <v>95</v>
      </c>
      <c r="B103" s="14">
        <f>A103*Assumptions!$B$12</f>
        <v>0.95000000000000007</v>
      </c>
      <c r="C103" s="15">
        <f>IF(A103&lt;=Assumptions!$B$13,IF(OR(A103=0,A103=Assumptions!$B$13),0.5,1),0)*Assumptions!$B$12</f>
        <v>0.01</v>
      </c>
      <c r="D103" s="12">
        <f>D102*(1-Assumptions!$B$12*(Assumptions!$B$5+Assumptions!$B$6))</f>
        <v>0.97189813844155315</v>
      </c>
      <c r="E103" s="12">
        <f>E102+Assumptions!$B$12*(D102*Assumptions!$B$5-E102*Assumptions!$B$7)</f>
        <v>1.8298993142135001E-2</v>
      </c>
      <c r="F103" s="12">
        <f t="shared" si="3"/>
        <v>9.8028684163118489E-3</v>
      </c>
      <c r="G103" s="12">
        <f>EXP(-Assumptions!$B$8*B103)</f>
        <v>0.95361047313262626</v>
      </c>
      <c r="H103" s="12">
        <f t="shared" si="4"/>
        <v>0.92681224363596815</v>
      </c>
      <c r="I103" s="12">
        <f t="shared" si="5"/>
        <v>1.7450111508122042E-2</v>
      </c>
      <c r="J103" s="12">
        <f>G103*(D103*Assumptions!$B$6+E103*Assumptions!$B$7)</f>
        <v>1.0140628011765783E-2</v>
      </c>
    </row>
    <row r="104" spans="1:10" x14ac:dyDescent="0.2">
      <c r="A104" s="2">
        <v>96</v>
      </c>
      <c r="B104" s="14">
        <f>A104*Assumptions!$B$12</f>
        <v>0.96</v>
      </c>
      <c r="C104" s="15">
        <f>IF(A104&lt;=Assumptions!$B$13,IF(OR(A104=0,A104=Assumptions!$B$13),0.5,1),0)*Assumptions!$B$12</f>
        <v>0.01</v>
      </c>
      <c r="D104" s="12">
        <f>D103*(1-Assumptions!$B$12*(Assumptions!$B$5+Assumptions!$B$6))</f>
        <v>0.97160656900002074</v>
      </c>
      <c r="E104" s="12">
        <f>E103+Assumptions!$B$12*(D103*Assumptions!$B$5-E103*Assumptions!$B$7)</f>
        <v>1.8484223273252245E-2</v>
      </c>
      <c r="F104" s="12">
        <f t="shared" si="3"/>
        <v>9.9092077267270186E-3</v>
      </c>
      <c r="G104" s="12">
        <f>EXP(-Assumptions!$B$8*B104)</f>
        <v>0.95313378707750473</v>
      </c>
      <c r="H104" s="12">
        <f t="shared" si="4"/>
        <v>0.92607104866037071</v>
      </c>
      <c r="I104" s="12">
        <f t="shared" si="5"/>
        <v>1.7617937729621062E-2</v>
      </c>
      <c r="J104" s="12">
        <f>G104*(D104*Assumptions!$B$6+E104*Assumptions!$B$7)</f>
        <v>1.014160737308476E-2</v>
      </c>
    </row>
    <row r="105" spans="1:10" x14ac:dyDescent="0.2">
      <c r="A105" s="2">
        <v>97</v>
      </c>
      <c r="B105" s="14">
        <f>A105*Assumptions!$B$12</f>
        <v>0.97</v>
      </c>
      <c r="C105" s="15">
        <f>IF(A105&lt;=Assumptions!$B$13,IF(OR(A105=0,A105=Assumptions!$B$13),0.5,1),0)*Assumptions!$B$12</f>
        <v>0.01</v>
      </c>
      <c r="D105" s="12">
        <f>D104*(1-Assumptions!$B$12*(Assumptions!$B$5+Assumptions!$B$6))</f>
        <v>0.97131508702932079</v>
      </c>
      <c r="E105" s="12">
        <f>E104+Assumptions!$B$12*(D104*Assumptions!$B$5-E104*Assumptions!$B$7)</f>
        <v>1.8669302475415622E-2</v>
      </c>
      <c r="F105" s="12">
        <f t="shared" si="3"/>
        <v>1.0015610495263588E-2</v>
      </c>
      <c r="G105" s="12">
        <f>EXP(-Assumptions!$B$8*B105)</f>
        <v>0.95265733930583485</v>
      </c>
      <c r="H105" s="12">
        <f t="shared" si="4"/>
        <v>0.92533044643696816</v>
      </c>
      <c r="I105" s="12">
        <f t="shared" si="5"/>
        <v>1.7785448022925282E-2</v>
      </c>
      <c r="J105" s="12">
        <f>G105*(D105*Assumptions!$B$6+E105*Assumptions!$B$7)</f>
        <v>1.0142576865515946E-2</v>
      </c>
    </row>
    <row r="106" spans="1:10" x14ac:dyDescent="0.2">
      <c r="A106" s="2">
        <v>98</v>
      </c>
      <c r="B106" s="14">
        <f>A106*Assumptions!$B$12</f>
        <v>0.98</v>
      </c>
      <c r="C106" s="15">
        <f>IF(A106&lt;=Assumptions!$B$13,IF(OR(A106=0,A106=Assumptions!$B$13),0.5,1),0)*Assumptions!$B$12</f>
        <v>0.01</v>
      </c>
      <c r="D106" s="12">
        <f>D105*(1-Assumptions!$B$12*(Assumptions!$B$5+Assumptions!$B$6))</f>
        <v>0.97102369250321208</v>
      </c>
      <c r="E106" s="12">
        <f>E105+Assumptions!$B$12*(D105*Assumptions!$B$5-E105*Assumptions!$B$7)</f>
        <v>1.8854230841583778E-2</v>
      </c>
      <c r="F106" s="12">
        <f t="shared" si="3"/>
        <v>1.0122076655204145E-2</v>
      </c>
      <c r="G106" s="12">
        <f>EXP(-Assumptions!$B$8*B106)</f>
        <v>0.95218112969850488</v>
      </c>
      <c r="H106" s="12">
        <f t="shared" si="4"/>
        <v>0.92459043649172212</v>
      </c>
      <c r="I106" s="12">
        <f t="shared" si="5"/>
        <v>1.7952642822335635E-2</v>
      </c>
      <c r="J106" s="12">
        <f>G106*(D106*Assumptions!$B$6+E106*Assumptions!$B$7)</f>
        <v>1.0143536506034003E-2</v>
      </c>
    </row>
    <row r="107" spans="1:10" x14ac:dyDescent="0.2">
      <c r="A107" s="2">
        <v>99</v>
      </c>
      <c r="B107" s="14">
        <f>A107*Assumptions!$B$12</f>
        <v>0.99</v>
      </c>
      <c r="C107" s="15">
        <f>IF(A107&lt;=Assumptions!$B$13,IF(OR(A107=0,A107=Assumptions!$B$13),0.5,1),0)*Assumptions!$B$12</f>
        <v>0.01</v>
      </c>
      <c r="D107" s="12">
        <f>D106*(1-Assumptions!$B$12*(Assumptions!$B$5+Assumptions!$B$6))</f>
        <v>0.97073238539546114</v>
      </c>
      <c r="E107" s="12">
        <f>E106+Assumptions!$B$12*(D106*Assumptions!$B$5-E106*Assumptions!$B$7)</f>
        <v>1.903900846466363E-2</v>
      </c>
      <c r="F107" s="12">
        <f t="shared" si="3"/>
        <v>1.0228606139875231E-2</v>
      </c>
      <c r="G107" s="12">
        <f>EXP(-Assumptions!$B$8*B107)</f>
        <v>0.95170515813646217</v>
      </c>
      <c r="H107" s="12">
        <f t="shared" si="4"/>
        <v>0.9238510183509725</v>
      </c>
      <c r="I107" s="12">
        <f t="shared" si="5"/>
        <v>1.8119522561624142E-2</v>
      </c>
      <c r="J107" s="12">
        <f>G107*(D107*Assumptions!$B$6+E107*Assumptions!$B$7)</f>
        <v>1.0144486311590933E-2</v>
      </c>
    </row>
    <row r="108" spans="1:10" x14ac:dyDescent="0.2">
      <c r="A108" s="2">
        <v>100</v>
      </c>
      <c r="B108" s="14">
        <f>A108*Assumptions!$B$12</f>
        <v>1</v>
      </c>
      <c r="C108" s="15">
        <f>IF(A108&lt;=Assumptions!$B$13,IF(OR(A108=0,A108=Assumptions!$B$13),0.5,1),0)*Assumptions!$B$12</f>
        <v>0.01</v>
      </c>
      <c r="D108" s="12">
        <f>D107*(1-Assumptions!$B$12*(Assumptions!$B$5+Assumptions!$B$6))</f>
        <v>0.97044116567984251</v>
      </c>
      <c r="E108" s="12">
        <f>E107+Assumptions!$B$12*(D107*Assumptions!$B$5-E107*Assumptions!$B$7)</f>
        <v>1.9223635437510392E-2</v>
      </c>
      <c r="F108" s="12">
        <f t="shared" si="3"/>
        <v>1.0335198882647098E-2</v>
      </c>
      <c r="G108" s="12">
        <f>EXP(-Assumptions!$B$8*B108)</f>
        <v>0.95122942450071402</v>
      </c>
      <c r="H108" s="12">
        <f t="shared" si="4"/>
        <v>0.92311219154143864</v>
      </c>
      <c r="I108" s="12">
        <f t="shared" si="5"/>
        <v>1.8286087674034543E-2</v>
      </c>
      <c r="J108" s="12">
        <f>G108*(D108*Assumptions!$B$6+E108*Assumptions!$B$7)</f>
        <v>1.0145426299116115E-2</v>
      </c>
    </row>
    <row r="109" spans="1:10" x14ac:dyDescent="0.2">
      <c r="A109" s="2">
        <v>101</v>
      </c>
      <c r="B109" s="14">
        <f>A109*Assumptions!$B$12</f>
        <v>1.01</v>
      </c>
      <c r="C109" s="15">
        <f>IF(A109&lt;=Assumptions!$B$13,IF(OR(A109=0,A109=Assumptions!$B$13),0.5,1),0)*Assumptions!$B$12</f>
        <v>0.01</v>
      </c>
      <c r="D109" s="12">
        <f>D108*(1-Assumptions!$B$12*(Assumptions!$B$5+Assumptions!$B$6))</f>
        <v>0.97015003333013861</v>
      </c>
      <c r="E109" s="12">
        <f>E108+Assumptions!$B$12*(D108*Assumptions!$B$5-E108*Assumptions!$B$7)</f>
        <v>1.9408111852927606E-2</v>
      </c>
      <c r="F109" s="12">
        <f t="shared" si="3"/>
        <v>1.0441854816933788E-2</v>
      </c>
      <c r="G109" s="12">
        <f>EXP(-Assumptions!$B$8*B109)</f>
        <v>0.95075392867232689</v>
      </c>
      <c r="H109" s="12">
        <f t="shared" si="4"/>
        <v>0.92237395559021818</v>
      </c>
      <c r="I109" s="12">
        <f t="shared" si="5"/>
        <v>1.8452338592282874E-2</v>
      </c>
      <c r="J109" s="12">
        <f>G109*(D109*Assumptions!$B$6+E109*Assumptions!$B$7)</f>
        <v>1.0146356485516326E-2</v>
      </c>
    </row>
    <row r="110" spans="1:10" x14ac:dyDescent="0.2">
      <c r="A110" s="2">
        <v>102</v>
      </c>
      <c r="B110" s="14">
        <f>A110*Assumptions!$B$12</f>
        <v>1.02</v>
      </c>
      <c r="C110" s="15">
        <f>IF(A110&lt;=Assumptions!$B$13,IF(OR(A110=0,A110=Assumptions!$B$13),0.5,1),0)*Assumptions!$B$12</f>
        <v>0.01</v>
      </c>
      <c r="D110" s="12">
        <f>D109*(1-Assumptions!$B$12*(Assumptions!$B$5+Assumptions!$B$6))</f>
        <v>0.96985898832013961</v>
      </c>
      <c r="E110" s="12">
        <f>E109+Assumptions!$B$12*(D109*Assumptions!$B$5-E109*Assumptions!$B$7)</f>
        <v>1.9592437803667168E-2</v>
      </c>
      <c r="F110" s="12">
        <f t="shared" si="3"/>
        <v>1.0548573876193217E-2</v>
      </c>
      <c r="G110" s="12">
        <f>EXP(-Assumptions!$B$8*B110)</f>
        <v>0.95027867053242698</v>
      </c>
      <c r="H110" s="12">
        <f t="shared" si="4"/>
        <v>0.92163631002478685</v>
      </c>
      <c r="I110" s="12">
        <f t="shared" si="5"/>
        <v>1.8618275748558101E-2</v>
      </c>
      <c r="J110" s="12">
        <f>G110*(D110*Assumptions!$B$6+E110*Assumptions!$B$7)</f>
        <v>1.0147276887675775E-2</v>
      </c>
    </row>
    <row r="111" spans="1:10" x14ac:dyDescent="0.2">
      <c r="A111" s="2">
        <v>103</v>
      </c>
      <c r="B111" s="14">
        <f>A111*Assumptions!$B$12</f>
        <v>1.03</v>
      </c>
      <c r="C111" s="15">
        <f>IF(A111&lt;=Assumptions!$B$13,IF(OR(A111=0,A111=Assumptions!$B$13),0.5,1),0)*Assumptions!$B$12</f>
        <v>0.01</v>
      </c>
      <c r="D111" s="12">
        <f>D110*(1-Assumptions!$B$12*(Assumptions!$B$5+Assumptions!$B$6))</f>
        <v>0.96956803062364361</v>
      </c>
      <c r="E111" s="12">
        <f>E110+Assumptions!$B$12*(D110*Assumptions!$B$5-E110*Assumptions!$B$7)</f>
        <v>1.9776613382429361E-2</v>
      </c>
      <c r="F111" s="12">
        <f t="shared" si="3"/>
        <v>1.0655355993927033E-2</v>
      </c>
      <c r="G111" s="12">
        <f>EXP(-Assumptions!$B$8*B111)</f>
        <v>0.94980364996219957</v>
      </c>
      <c r="H111" s="12">
        <f t="shared" si="4"/>
        <v>0.92089925437299835</v>
      </c>
      <c r="I111" s="12">
        <f t="shared" si="5"/>
        <v>1.878389957452269E-2</v>
      </c>
      <c r="J111" s="12">
        <f>G111*(D111*Assumptions!$B$6+E111*Assumptions!$B$7)</f>
        <v>1.0148187522456118E-2</v>
      </c>
    </row>
    <row r="112" spans="1:10" x14ac:dyDescent="0.2">
      <c r="A112" s="2">
        <v>104</v>
      </c>
      <c r="B112" s="14">
        <f>A112*Assumptions!$B$12</f>
        <v>1.04</v>
      </c>
      <c r="C112" s="15">
        <f>IF(A112&lt;=Assumptions!$B$13,IF(OR(A112=0,A112=Assumptions!$B$13),0.5,1),0)*Assumptions!$B$12</f>
        <v>0.01</v>
      </c>
      <c r="D112" s="12">
        <f>D111*(1-Assumptions!$B$12*(Assumptions!$B$5+Assumptions!$B$6))</f>
        <v>0.96927716021445653</v>
      </c>
      <c r="E112" s="12">
        <f>E111+Assumptions!$B$12*(D111*Assumptions!$B$5-E111*Assumptions!$B$7)</f>
        <v>1.9960638681862874E-2</v>
      </c>
      <c r="F112" s="12">
        <f t="shared" si="3"/>
        <v>1.0762201103680591E-2</v>
      </c>
      <c r="G112" s="12">
        <f>EXP(-Assumptions!$B$8*B112)</f>
        <v>0.94932886684288953</v>
      </c>
      <c r="H112" s="12">
        <f t="shared" si="4"/>
        <v>0.92016278816308394</v>
      </c>
      <c r="I112" s="12">
        <f t="shared" si="5"/>
        <v>1.8949210501313232E-2</v>
      </c>
      <c r="J112" s="12">
        <f>G112*(D112*Assumptions!$B$6+E112*Assumptions!$B$7)</f>
        <v>1.01490884066965E-2</v>
      </c>
    </row>
    <row r="113" spans="1:10" x14ac:dyDescent="0.2">
      <c r="A113" s="2">
        <v>105</v>
      </c>
      <c r="B113" s="14">
        <f>A113*Assumptions!$B$12</f>
        <v>1.05</v>
      </c>
      <c r="C113" s="15">
        <f>IF(A113&lt;=Assumptions!$B$13,IF(OR(A113=0,A113=Assumptions!$B$13),0.5,1),0)*Assumptions!$B$12</f>
        <v>0.01</v>
      </c>
      <c r="D113" s="12">
        <f>D112*(1-Assumptions!$B$12*(Assumptions!$B$5+Assumptions!$B$6))</f>
        <v>0.96898637706639223</v>
      </c>
      <c r="E113" s="12">
        <f>E112+Assumptions!$B$12*(D112*Assumptions!$B$5-E112*Assumptions!$B$7)</f>
        <v>2.0144513794564833E-2</v>
      </c>
      <c r="F113" s="12">
        <f t="shared" si="3"/>
        <v>1.0869109139042932E-2</v>
      </c>
      <c r="G113" s="12">
        <f>EXP(-Assumptions!$B$8*B113)</f>
        <v>0.94885432105580125</v>
      </c>
      <c r="H113" s="12">
        <f t="shared" si="4"/>
        <v>0.91942691092365225</v>
      </c>
      <c r="I113" s="12">
        <f t="shared" si="5"/>
        <v>1.9114208959541037E-2</v>
      </c>
      <c r="J113" s="12">
        <f>G113*(D113*Assumptions!$B$6+E113*Assumptions!$B$7)</f>
        <v>1.0149979557213576E-2</v>
      </c>
    </row>
    <row r="114" spans="1:10" x14ac:dyDescent="0.2">
      <c r="A114" s="2">
        <v>106</v>
      </c>
      <c r="B114" s="14">
        <f>A114*Assumptions!$B$12</f>
        <v>1.06</v>
      </c>
      <c r="C114" s="15">
        <f>IF(A114&lt;=Assumptions!$B$13,IF(OR(A114=0,A114=Assumptions!$B$13),0.5,1),0)*Assumptions!$B$12</f>
        <v>0.01</v>
      </c>
      <c r="D114" s="12">
        <f>D113*(1-Assumptions!$B$12*(Assumptions!$B$5+Assumptions!$B$6))</f>
        <v>0.96869568115327231</v>
      </c>
      <c r="E114" s="12">
        <f>E113+Assumptions!$B$12*(D113*Assumptions!$B$5-E113*Assumptions!$B$7)</f>
        <v>2.032823881308083E-2</v>
      </c>
      <c r="F114" s="12">
        <f t="shared" si="3"/>
        <v>1.0976080033646855E-2</v>
      </c>
      <c r="G114" s="12">
        <f>EXP(-Assumptions!$B$8*B114)</f>
        <v>0.9483800124822982</v>
      </c>
      <c r="H114" s="12">
        <f t="shared" si="4"/>
        <v>0.91869162218368872</v>
      </c>
      <c r="I114" s="12">
        <f t="shared" si="5"/>
        <v>1.9278895379292737E-2</v>
      </c>
      <c r="J114" s="12">
        <f>G114*(D114*Assumptions!$B$6+E114*Assumptions!$B$7)</f>
        <v>1.0150860990801524E-2</v>
      </c>
    </row>
    <row r="115" spans="1:10" x14ac:dyDescent="0.2">
      <c r="A115" s="2">
        <v>107</v>
      </c>
      <c r="B115" s="14">
        <f>A115*Assumptions!$B$12</f>
        <v>1.07</v>
      </c>
      <c r="C115" s="15">
        <f>IF(A115&lt;=Assumptions!$B$13,IF(OR(A115=0,A115=Assumptions!$B$13),0.5,1),0)*Assumptions!$B$12</f>
        <v>0.01</v>
      </c>
      <c r="D115" s="12">
        <f>D114*(1-Assumptions!$B$12*(Assumptions!$B$5+Assumptions!$B$6))</f>
        <v>0.96840507244892637</v>
      </c>
      <c r="E115" s="12">
        <f>E114+Assumptions!$B$12*(D114*Assumptions!$B$5-E114*Assumptions!$B$7)</f>
        <v>2.0511813829904944E-2</v>
      </c>
      <c r="F115" s="12">
        <f t="shared" si="3"/>
        <v>1.1083113721168682E-2</v>
      </c>
      <c r="G115" s="12">
        <f>EXP(-Assumptions!$B$8*B115)</f>
        <v>0.9479059410038031</v>
      </c>
      <c r="H115" s="12">
        <f t="shared" si="4"/>
        <v>0.9179569214725557</v>
      </c>
      <c r="I115" s="12">
        <f t="shared" si="5"/>
        <v>1.9443270190130868E-2</v>
      </c>
      <c r="J115" s="12">
        <f>G115*(D115*Assumptions!$B$6+E115*Assumptions!$B$7)</f>
        <v>1.0151732724232098E-2</v>
      </c>
    </row>
    <row r="116" spans="1:10" x14ac:dyDescent="0.2">
      <c r="A116" s="2">
        <v>108</v>
      </c>
      <c r="B116" s="14">
        <f>A116*Assumptions!$B$12</f>
        <v>1.08</v>
      </c>
      <c r="C116" s="15">
        <f>IF(A116&lt;=Assumptions!$B$13,IF(OR(A116=0,A116=Assumptions!$B$13),0.5,1),0)*Assumptions!$B$12</f>
        <v>0.01</v>
      </c>
      <c r="D116" s="12">
        <f>D115*(1-Assumptions!$B$12*(Assumptions!$B$5+Assumptions!$B$6))</f>
        <v>0.96811455092719167</v>
      </c>
      <c r="E116" s="12">
        <f>E115+Assumptions!$B$12*(D115*Assumptions!$B$5-E115*Assumptions!$B$7)</f>
        <v>2.0695238937479776E-2</v>
      </c>
      <c r="F116" s="12">
        <f t="shared" si="3"/>
        <v>1.1190210135328549E-2</v>
      </c>
      <c r="G116" s="12">
        <f>EXP(-Assumptions!$B$8*B116)</f>
        <v>0.94743210650179832</v>
      </c>
      <c r="H116" s="12">
        <f t="shared" si="4"/>
        <v>0.9172228083199917</v>
      </c>
      <c r="I116" s="12">
        <f t="shared" si="5"/>
        <v>1.9607333821094503E-2</v>
      </c>
      <c r="J116" s="12">
        <f>G116*(D116*Assumptions!$B$6+E116*Assumptions!$B$7)</f>
        <v>1.0152594774254642E-2</v>
      </c>
    </row>
    <row r="117" spans="1:10" x14ac:dyDescent="0.2">
      <c r="A117" s="2">
        <v>109</v>
      </c>
      <c r="B117" s="14">
        <f>A117*Assumptions!$B$12</f>
        <v>1.0900000000000001</v>
      </c>
      <c r="C117" s="15">
        <f>IF(A117&lt;=Assumptions!$B$13,IF(OR(A117=0,A117=Assumptions!$B$13),0.5,1),0)*Assumptions!$B$12</f>
        <v>0.01</v>
      </c>
      <c r="D117" s="12">
        <f>D116*(1-Assumptions!$B$12*(Assumptions!$B$5+Assumptions!$B$6))</f>
        <v>0.96782411656191358</v>
      </c>
      <c r="E117" s="12">
        <f>E116+Assumptions!$B$12*(D116*Assumptions!$B$5-E116*Assumptions!$B$7)</f>
        <v>2.0878514228196473E-2</v>
      </c>
      <c r="F117" s="12">
        <f t="shared" si="3"/>
        <v>1.1297369209889944E-2</v>
      </c>
      <c r="G117" s="12">
        <f>EXP(-Assumptions!$B$8*B117)</f>
        <v>0.94695850885782495</v>
      </c>
      <c r="H117" s="12">
        <f t="shared" si="4"/>
        <v>0.91648928225611148</v>
      </c>
      <c r="I117" s="12">
        <f t="shared" si="5"/>
        <v>1.9771086700699814E-2</v>
      </c>
      <c r="J117" s="12">
        <f>G117*(D117*Assumptions!$B$6+E117*Assumptions!$B$7)</f>
        <v>1.0153447157596104E-2</v>
      </c>
    </row>
    <row r="118" spans="1:10" x14ac:dyDescent="0.2">
      <c r="A118" s="2">
        <v>110</v>
      </c>
      <c r="B118" s="14">
        <f>A118*Assumptions!$B$12</f>
        <v>1.1000000000000001</v>
      </c>
      <c r="C118" s="15">
        <f>IF(A118&lt;=Assumptions!$B$13,IF(OR(A118=0,A118=Assumptions!$B$13),0.5,1),0)*Assumptions!$B$12</f>
        <v>0.01</v>
      </c>
      <c r="D118" s="12">
        <f>D117*(1-Assumptions!$B$12*(Assumptions!$B$5+Assumptions!$B$6))</f>
        <v>0.96753376932694501</v>
      </c>
      <c r="E118" s="12">
        <f>E117+Assumptions!$B$12*(D117*Assumptions!$B$5-E117*Assumptions!$B$7)</f>
        <v>2.1061639794394758E-2</v>
      </c>
      <c r="F118" s="12">
        <f t="shared" si="3"/>
        <v>1.1404590878660227E-2</v>
      </c>
      <c r="G118" s="12">
        <f>EXP(-Assumptions!$B$8*B118)</f>
        <v>0.94648514795348382</v>
      </c>
      <c r="H118" s="12">
        <f t="shared" si="4"/>
        <v>0.91575634281140539</v>
      </c>
      <c r="I118" s="12">
        <f t="shared" si="5"/>
        <v>1.9934529256940704E-2</v>
      </c>
      <c r="J118" s="12">
        <f>G118*(D118*Assumptions!$B$6+E118*Assumptions!$B$7)</f>
        <v>1.0154289890961088E-2</v>
      </c>
    </row>
    <row r="119" spans="1:10" x14ac:dyDescent="0.2">
      <c r="A119" s="2">
        <v>111</v>
      </c>
      <c r="B119" s="14">
        <f>A119*Assumptions!$B$12</f>
        <v>1.1100000000000001</v>
      </c>
      <c r="C119" s="15">
        <f>IF(A119&lt;=Assumptions!$B$13,IF(OR(A119=0,A119=Assumptions!$B$13),0.5,1),0)*Assumptions!$B$12</f>
        <v>0.01</v>
      </c>
      <c r="D119" s="12">
        <f>D118*(1-Assumptions!$B$12*(Assumptions!$B$5+Assumptions!$B$6))</f>
        <v>0.96724350919614699</v>
      </c>
      <c r="E119" s="12">
        <f>E118+Assumptions!$B$12*(D118*Assumptions!$B$5-E118*Assumptions!$B$7)</f>
        <v>2.1244615728362951E-2</v>
      </c>
      <c r="F119" s="12">
        <f t="shared" si="3"/>
        <v>1.151187507549006E-2</v>
      </c>
      <c r="G119" s="12">
        <f>EXP(-Assumptions!$B$8*B119)</f>
        <v>0.94601202367043469</v>
      </c>
      <c r="H119" s="12">
        <f t="shared" si="4"/>
        <v>0.91502398951673969</v>
      </c>
      <c r="I119" s="12">
        <f t="shared" si="5"/>
        <v>2.0097661917289383E-2</v>
      </c>
      <c r="J119" s="12">
        <f>G119*(D119*Assumptions!$B$6+E119*Assumptions!$B$7)</f>
        <v>1.0155122991031865E-2</v>
      </c>
    </row>
    <row r="120" spans="1:10" x14ac:dyDescent="0.2">
      <c r="A120" s="2">
        <v>112</v>
      </c>
      <c r="B120" s="14">
        <f>A120*Assumptions!$B$12</f>
        <v>1.1200000000000001</v>
      </c>
      <c r="C120" s="15">
        <f>IF(A120&lt;=Assumptions!$B$13,IF(OR(A120=0,A120=Assumptions!$B$13),0.5,1),0)*Assumptions!$B$12</f>
        <v>0.01</v>
      </c>
      <c r="D120" s="12">
        <f>D119*(1-Assumptions!$B$12*(Assumptions!$B$5+Assumptions!$B$6))</f>
        <v>0.96695333614338819</v>
      </c>
      <c r="E120" s="12">
        <f>E119+Assumptions!$B$12*(D119*Assumptions!$B$5-E119*Assumptions!$B$7)</f>
        <v>2.1427442122337999E-2</v>
      </c>
      <c r="F120" s="12">
        <f t="shared" si="3"/>
        <v>1.1619221734273814E-2</v>
      </c>
      <c r="G120" s="12">
        <f>EXP(-Assumptions!$B$8*B120)</f>
        <v>0.94553913589039629</v>
      </c>
      <c r="H120" s="12">
        <f t="shared" si="4"/>
        <v>0.91429222190335513</v>
      </c>
      <c r="I120" s="12">
        <f t="shared" si="5"/>
        <v>2.0260485108696949E-2</v>
      </c>
      <c r="J120" s="12">
        <f>G120*(D120*Assumptions!$B$6+E120*Assumptions!$B$7)</f>
        <v>1.0155946474468399E-2</v>
      </c>
    </row>
    <row r="121" spans="1:10" x14ac:dyDescent="0.2">
      <c r="A121" s="2">
        <v>113</v>
      </c>
      <c r="B121" s="14">
        <f>A121*Assumptions!$B$12</f>
        <v>1.1300000000000001</v>
      </c>
      <c r="C121" s="15">
        <f>IF(A121&lt;=Assumptions!$B$13,IF(OR(A121=0,A121=Assumptions!$B$13),0.5,1),0)*Assumptions!$B$12</f>
        <v>0.01</v>
      </c>
      <c r="D121" s="12">
        <f>D120*(1-Assumptions!$B$12*(Assumptions!$B$5+Assumptions!$B$6))</f>
        <v>0.96666325014254517</v>
      </c>
      <c r="E121" s="12">
        <f>E120+Assumptions!$B$12*(D120*Assumptions!$B$5-E120*Assumptions!$B$7)</f>
        <v>2.1610119068505507E-2</v>
      </c>
      <c r="F121" s="12">
        <f t="shared" si="3"/>
        <v>1.1726630788949321E-2</v>
      </c>
      <c r="G121" s="12">
        <f>EXP(-Assumptions!$B$8*B121)</f>
        <v>0.94506648449514674</v>
      </c>
      <c r="H121" s="12">
        <f t="shared" si="4"/>
        <v>0.91356103950286782</v>
      </c>
      <c r="I121" s="12">
        <f t="shared" si="5"/>
        <v>2.0422999257594034E-2</v>
      </c>
      <c r="J121" s="12">
        <f>G121*(D121*Assumptions!$B$6+E121*Assumptions!$B$7)</f>
        <v>1.0156760357908379E-2</v>
      </c>
    </row>
    <row r="122" spans="1:10" x14ac:dyDescent="0.2">
      <c r="A122" s="2">
        <v>114</v>
      </c>
      <c r="B122" s="14">
        <f>A122*Assumptions!$B$12</f>
        <v>1.1400000000000001</v>
      </c>
      <c r="C122" s="15">
        <f>IF(A122&lt;=Assumptions!$B$13,IF(OR(A122=0,A122=Assumptions!$B$13),0.5,1),0)*Assumptions!$B$12</f>
        <v>0.01</v>
      </c>
      <c r="D122" s="12">
        <f>D121*(1-Assumptions!$B$12*(Assumptions!$B$5+Assumptions!$B$6))</f>
        <v>0.96637325116750239</v>
      </c>
      <c r="E122" s="12">
        <f>E121+Assumptions!$B$12*(D121*Assumptions!$B$5-E121*Assumptions!$B$7)</f>
        <v>2.1792646658999763E-2</v>
      </c>
      <c r="F122" s="12">
        <f t="shared" si="3"/>
        <v>1.1834102173497847E-2</v>
      </c>
      <c r="G122" s="12">
        <f>EXP(-Assumptions!$B$8*B122)</f>
        <v>0.94459406936652335</v>
      </c>
      <c r="H122" s="12">
        <f t="shared" si="4"/>
        <v>0.91283044184726847</v>
      </c>
      <c r="I122" s="12">
        <f t="shared" si="5"/>
        <v>2.0585204789891356E-2</v>
      </c>
      <c r="J122" s="12">
        <f>G122*(D122*Assumptions!$B$6+E122*Assumptions!$B$7)</f>
        <v>1.0157564657967254E-2</v>
      </c>
    </row>
    <row r="123" spans="1:10" x14ac:dyDescent="0.2">
      <c r="A123" s="2">
        <v>115</v>
      </c>
      <c r="B123" s="14">
        <f>A123*Assumptions!$B$12</f>
        <v>1.1500000000000001</v>
      </c>
      <c r="C123" s="15">
        <f>IF(A123&lt;=Assumptions!$B$13,IF(OR(A123=0,A123=Assumptions!$B$13),0.5,1),0)*Assumptions!$B$12</f>
        <v>0.01</v>
      </c>
      <c r="D123" s="12">
        <f>D122*(1-Assumptions!$B$12*(Assumptions!$B$5+Assumptions!$B$6))</f>
        <v>0.96608333919215217</v>
      </c>
      <c r="E123" s="12">
        <f>E122+Assumptions!$B$12*(D122*Assumptions!$B$5-E122*Assumptions!$B$7)</f>
        <v>2.1975024985903764E-2</v>
      </c>
      <c r="F123" s="12">
        <f t="shared" si="3"/>
        <v>1.1941635821944067E-2</v>
      </c>
      <c r="G123" s="12">
        <f>EXP(-Assumptions!$B$8*B123)</f>
        <v>0.94412189038642214</v>
      </c>
      <c r="H123" s="12">
        <f t="shared" si="4"/>
        <v>0.91210042846892181</v>
      </c>
      <c r="I123" s="12">
        <f t="shared" si="5"/>
        <v>2.074710213098032E-2</v>
      </c>
      <c r="J123" s="12">
        <f>G123*(D123*Assumptions!$B$6+E123*Assumptions!$B$7)</f>
        <v>1.0158359391238235E-2</v>
      </c>
    </row>
    <row r="124" spans="1:10" x14ac:dyDescent="0.2">
      <c r="A124" s="2">
        <v>116</v>
      </c>
      <c r="B124" s="14">
        <f>A124*Assumptions!$B$12</f>
        <v>1.1599999999999999</v>
      </c>
      <c r="C124" s="15">
        <f>IF(A124&lt;=Assumptions!$B$13,IF(OR(A124=0,A124=Assumptions!$B$13),0.5,1),0)*Assumptions!$B$12</f>
        <v>0.01</v>
      </c>
      <c r="D124" s="12">
        <f>D123*(1-Assumptions!$B$12*(Assumptions!$B$5+Assumptions!$B$6))</f>
        <v>0.96579351419039461</v>
      </c>
      <c r="E124" s="12">
        <f>E123+Assumptions!$B$12*(D123*Assumptions!$B$5-E123*Assumptions!$B$7)</f>
        <v>2.2157254141249243E-2</v>
      </c>
      <c r="F124" s="12">
        <f t="shared" si="3"/>
        <v>1.2049231668356149E-2</v>
      </c>
      <c r="G124" s="12">
        <f>EXP(-Assumptions!$B$8*B124)</f>
        <v>0.94364994743679853</v>
      </c>
      <c r="H124" s="12">
        <f t="shared" si="4"/>
        <v>0.91137099890056683</v>
      </c>
      <c r="I124" s="12">
        <f t="shared" si="5"/>
        <v>2.0908691705733635E-2</v>
      </c>
      <c r="J124" s="12">
        <f>G124*(D124*Assumptions!$B$6+E124*Assumptions!$B$7)</f>
        <v>1.015914457429235E-2</v>
      </c>
    </row>
    <row r="125" spans="1:10" x14ac:dyDescent="0.2">
      <c r="A125" s="2">
        <v>117</v>
      </c>
      <c r="B125" s="14">
        <f>A125*Assumptions!$B$12</f>
        <v>1.17</v>
      </c>
      <c r="C125" s="15">
        <f>IF(A125&lt;=Assumptions!$B$13,IF(OR(A125=0,A125=Assumptions!$B$13),0.5,1),0)*Assumptions!$B$12</f>
        <v>0.01</v>
      </c>
      <c r="D125" s="12">
        <f>D124*(1-Assumptions!$B$12*(Assumptions!$B$5+Assumptions!$B$6))</f>
        <v>0.96550377613613747</v>
      </c>
      <c r="E125" s="12">
        <f>E124+Assumptions!$B$12*(D124*Assumptions!$B$5-E124*Assumptions!$B$7)</f>
        <v>2.2339334217016699E-2</v>
      </c>
      <c r="F125" s="12">
        <f t="shared" si="3"/>
        <v>1.2156889646845831E-2</v>
      </c>
      <c r="G125" s="12">
        <f>EXP(-Assumptions!$B$8*B125)</f>
        <v>0.94317824039966658</v>
      </c>
      <c r="H125" s="12">
        <f t="shared" si="4"/>
        <v>0.91064215267531579</v>
      </c>
      <c r="I125" s="12">
        <f t="shared" si="5"/>
        <v>2.1069973938505872E-2</v>
      </c>
      <c r="J125" s="12">
        <f>G125*(D125*Assumptions!$B$6+E125*Assumptions!$B$7)</f>
        <v>1.0159920223678452E-2</v>
      </c>
    </row>
    <row r="126" spans="1:10" x14ac:dyDescent="0.2">
      <c r="A126" s="2">
        <v>118</v>
      </c>
      <c r="B126" s="14">
        <f>A126*Assumptions!$B$12</f>
        <v>1.18</v>
      </c>
      <c r="C126" s="15">
        <f>IF(A126&lt;=Assumptions!$B$13,IF(OR(A126=0,A126=Assumptions!$B$13),0.5,1),0)*Assumptions!$B$12</f>
        <v>0.01</v>
      </c>
      <c r="D126" s="12">
        <f>D125*(1-Assumptions!$B$12*(Assumptions!$B$5+Assumptions!$B$6))</f>
        <v>0.96521412500329662</v>
      </c>
      <c r="E126" s="12">
        <f>E125+Assumptions!$B$12*(D125*Assumptions!$B$5-E125*Assumptions!$B$7)</f>
        <v>2.2521265305135419E-2</v>
      </c>
      <c r="F126" s="12">
        <f t="shared" si="3"/>
        <v>1.2264609691567962E-2</v>
      </c>
      <c r="G126" s="12">
        <f>EXP(-Assumptions!$B$8*B126)</f>
        <v>0.94270676915709972</v>
      </c>
      <c r="H126" s="12">
        <f t="shared" si="4"/>
        <v>0.90991388932665473</v>
      </c>
      <c r="I126" s="12">
        <f t="shared" si="5"/>
        <v>2.1230949253134096E-2</v>
      </c>
      <c r="J126" s="12">
        <f>G126*(D126*Assumptions!$B$6+E126*Assumptions!$B$7)</f>
        <v>1.0160686355923253E-2</v>
      </c>
    </row>
    <row r="127" spans="1:10" x14ac:dyDescent="0.2">
      <c r="A127" s="2">
        <v>119</v>
      </c>
      <c r="B127" s="14">
        <f>A127*Assumptions!$B$12</f>
        <v>1.19</v>
      </c>
      <c r="C127" s="15">
        <f>IF(A127&lt;=Assumptions!$B$13,IF(OR(A127=0,A127=Assumptions!$B$13),0.5,1),0)*Assumptions!$B$12</f>
        <v>0.01</v>
      </c>
      <c r="D127" s="12">
        <f>D126*(1-Assumptions!$B$12*(Assumptions!$B$5+Assumptions!$B$6))</f>
        <v>0.96492456076579569</v>
      </c>
      <c r="E127" s="12">
        <f>E126+Assumptions!$B$12*(D126*Assumptions!$B$5-E126*Assumptions!$B$7)</f>
        <v>2.270304749748351E-2</v>
      </c>
      <c r="F127" s="12">
        <f t="shared" si="3"/>
        <v>1.2372391736720799E-2</v>
      </c>
      <c r="G127" s="12">
        <f>EXP(-Assumptions!$B$8*B127)</f>
        <v>0.94223553359123013</v>
      </c>
      <c r="H127" s="12">
        <f t="shared" si="4"/>
        <v>0.90918620838844288</v>
      </c>
      <c r="I127" s="12">
        <f t="shared" si="5"/>
        <v>2.1391618072938417E-2</v>
      </c>
      <c r="J127" s="12">
        <f>G127*(D127*Assumptions!$B$6+E127*Assumptions!$B$7)</f>
        <v>1.016144298753135E-2</v>
      </c>
    </row>
    <row r="128" spans="1:10" x14ac:dyDescent="0.2">
      <c r="A128" s="2">
        <v>120</v>
      </c>
      <c r="B128" s="14">
        <f>A128*Assumptions!$B$12</f>
        <v>1.2</v>
      </c>
      <c r="C128" s="15">
        <f>IF(A128&lt;=Assumptions!$B$13,IF(OR(A128=0,A128=Assumptions!$B$13),0.5,1),0)*Assumptions!$B$12</f>
        <v>0.01</v>
      </c>
      <c r="D128" s="12">
        <f>D127*(1-Assumptions!$B$12*(Assumptions!$B$5+Assumptions!$B$6))</f>
        <v>0.96463508339756598</v>
      </c>
      <c r="E128" s="12">
        <f>E127+Assumptions!$B$12*(D127*Assumptions!$B$5-E127*Assumptions!$B$7)</f>
        <v>2.2884680885887927E-2</v>
      </c>
      <c r="F128" s="12">
        <f t="shared" si="3"/>
        <v>1.2480235716546089E-2</v>
      </c>
      <c r="G128" s="12">
        <f>EXP(-Assumptions!$B$8*B128)</f>
        <v>0.94176453358424872</v>
      </c>
      <c r="H128" s="12">
        <f t="shared" si="4"/>
        <v>0.90845910939491159</v>
      </c>
      <c r="I128" s="12">
        <f t="shared" si="5"/>
        <v>2.1551980820722613E-2</v>
      </c>
      <c r="J128" s="12">
        <f>G128*(D128*Assumptions!$B$6+E128*Assumptions!$B$7)</f>
        <v>1.0162190134985247E-2</v>
      </c>
    </row>
    <row r="129" spans="1:10" x14ac:dyDescent="0.2">
      <c r="A129" s="2">
        <v>121</v>
      </c>
      <c r="B129" s="14">
        <f>A129*Assumptions!$B$12</f>
        <v>1.21</v>
      </c>
      <c r="C129" s="15">
        <f>IF(A129&lt;=Assumptions!$B$13,IF(OR(A129=0,A129=Assumptions!$B$13),0.5,1),0)*Assumptions!$B$12</f>
        <v>0.01</v>
      </c>
      <c r="D129" s="12">
        <f>D128*(1-Assumptions!$B$12*(Assumptions!$B$5+Assumptions!$B$6))</f>
        <v>0.96434569287254679</v>
      </c>
      <c r="E129" s="12">
        <f>E128+Assumptions!$B$12*(D128*Assumptions!$B$5-E128*Assumptions!$B$7)</f>
        <v>2.3066165562124496E-2</v>
      </c>
      <c r="F129" s="12">
        <f t="shared" si="3"/>
        <v>1.2588141565328715E-2</v>
      </c>
      <c r="G129" s="12">
        <f>EXP(-Assumptions!$B$8*B129)</f>
        <v>0.94129376901840567</v>
      </c>
      <c r="H129" s="12">
        <f t="shared" si="4"/>
        <v>0.90773259188066546</v>
      </c>
      <c r="I129" s="12">
        <f t="shared" si="5"/>
        <v>2.171203791877472E-2</v>
      </c>
      <c r="J129" s="12">
        <f>G129*(D129*Assumptions!$B$6+E129*Assumptions!$B$7)</f>
        <v>1.016292781474539E-2</v>
      </c>
    </row>
    <row r="130" spans="1:10" x14ac:dyDescent="0.2">
      <c r="A130" s="2">
        <v>122</v>
      </c>
      <c r="B130" s="14">
        <f>A130*Assumptions!$B$12</f>
        <v>1.22</v>
      </c>
      <c r="C130" s="15">
        <f>IF(A130&lt;=Assumptions!$B$13,IF(OR(A130=0,A130=Assumptions!$B$13),0.5,1),0)*Assumptions!$B$12</f>
        <v>0.01</v>
      </c>
      <c r="D130" s="12">
        <f>D129*(1-Assumptions!$B$12*(Assumptions!$B$5+Assumptions!$B$6))</f>
        <v>0.96405638916468506</v>
      </c>
      <c r="E130" s="12">
        <f>E129+Assumptions!$B$12*(D129*Assumptions!$B$5-E129*Assumptions!$B$7)</f>
        <v>2.3247501617917943E-2</v>
      </c>
      <c r="F130" s="12">
        <f t="shared" si="3"/>
        <v>1.2696109217397E-2</v>
      </c>
      <c r="G130" s="12">
        <f>EXP(-Assumptions!$B$8*B130)</f>
        <v>0.94082323977600968</v>
      </c>
      <c r="H130" s="12">
        <f t="shared" si="4"/>
        <v>0.90700665538068059</v>
      </c>
      <c r="I130" s="12">
        <f t="shared" si="5"/>
        <v>2.1871789788867585E-2</v>
      </c>
      <c r="J130" s="12">
        <f>G130*(D130*Assumptions!$B$6+E130*Assumptions!$B$7)</f>
        <v>1.0163656043250186E-2</v>
      </c>
    </row>
    <row r="131" spans="1:10" x14ac:dyDescent="0.2">
      <c r="A131" s="2">
        <v>123</v>
      </c>
      <c r="B131" s="14">
        <f>A131*Assumptions!$B$12</f>
        <v>1.23</v>
      </c>
      <c r="C131" s="15">
        <f>IF(A131&lt;=Assumptions!$B$13,IF(OR(A131=0,A131=Assumptions!$B$13),0.5,1),0)*Assumptions!$B$12</f>
        <v>0.01</v>
      </c>
      <c r="D131" s="12">
        <f>D130*(1-Assumptions!$B$12*(Assumptions!$B$5+Assumptions!$B$6))</f>
        <v>0.96376717224793573</v>
      </c>
      <c r="E131" s="12">
        <f>E130+Assumptions!$B$12*(D130*Assumptions!$B$5-E130*Assumptions!$B$7)</f>
        <v>2.3428689144941922E-2</v>
      </c>
      <c r="F131" s="12">
        <f t="shared" si="3"/>
        <v>1.2804138607122345E-2</v>
      </c>
      <c r="G131" s="12">
        <f>EXP(-Assumptions!$B$8*B131)</f>
        <v>0.94035294573942863</v>
      </c>
      <c r="H131" s="12">
        <f t="shared" si="4"/>
        <v>0.90628129943030566</v>
      </c>
      <c r="I131" s="12">
        <f t="shared" si="5"/>
        <v>2.2031236852259512E-2</v>
      </c>
      <c r="J131" s="12">
        <f>G131*(D131*Assumptions!$B$6+E131*Assumptions!$B$7)</f>
        <v>1.0164374836916033E-2</v>
      </c>
    </row>
    <row r="132" spans="1:10" x14ac:dyDescent="0.2">
      <c r="A132" s="2">
        <v>124</v>
      </c>
      <c r="B132" s="14">
        <f>A132*Assumptions!$B$12</f>
        <v>1.24</v>
      </c>
      <c r="C132" s="15">
        <f>IF(A132&lt;=Assumptions!$B$13,IF(OR(A132=0,A132=Assumptions!$B$13),0.5,1),0)*Assumptions!$B$12</f>
        <v>0.01</v>
      </c>
      <c r="D132" s="12">
        <f>D131*(1-Assumptions!$B$12*(Assumptions!$B$5+Assumptions!$B$6))</f>
        <v>0.96347804209626142</v>
      </c>
      <c r="E132" s="12">
        <f>E131+Assumptions!$B$12*(D131*Assumptions!$B$5-E131*Assumptions!$B$7)</f>
        <v>2.3609728234819039E-2</v>
      </c>
      <c r="F132" s="12">
        <f t="shared" si="3"/>
        <v>1.2912229668919539E-2</v>
      </c>
      <c r="G132" s="12">
        <f>EXP(-Assumptions!$B$8*B132)</f>
        <v>0.93988288679108889</v>
      </c>
      <c r="H132" s="12">
        <f t="shared" si="4"/>
        <v>0.9055565235652604</v>
      </c>
      <c r="I132" s="12">
        <f t="shared" si="5"/>
        <v>2.2190379529694798E-2</v>
      </c>
      <c r="J132" s="12">
        <f>G132*(D132*Assumptions!$B$6+E132*Assumptions!$B$7)</f>
        <v>1.0165084212137344E-2</v>
      </c>
    </row>
    <row r="133" spans="1:10" x14ac:dyDescent="0.2">
      <c r="A133" s="2">
        <v>125</v>
      </c>
      <c r="B133" s="14">
        <f>A133*Assumptions!$B$12</f>
        <v>1.25</v>
      </c>
      <c r="C133" s="15">
        <f>IF(A133&lt;=Assumptions!$B$13,IF(OR(A133=0,A133=Assumptions!$B$13),0.5,1),0)*Assumptions!$B$12</f>
        <v>0.01</v>
      </c>
      <c r="D133" s="12">
        <f>D132*(1-Assumptions!$B$12*(Assumptions!$B$5+Assumptions!$B$6))</f>
        <v>0.96318899868363261</v>
      </c>
      <c r="E133" s="12">
        <f>E132+Assumptions!$B$12*(D132*Assumptions!$B$5-E132*Assumptions!$B$7)</f>
        <v>2.3790618979120881E-2</v>
      </c>
      <c r="F133" s="12">
        <f t="shared" si="3"/>
        <v>1.3020382337246506E-2</v>
      </c>
      <c r="G133" s="12">
        <f>EXP(-Assumptions!$B$8*B133)</f>
        <v>0.93941306281347581</v>
      </c>
      <c r="H133" s="12">
        <f t="shared" si="4"/>
        <v>0.90483232732163621</v>
      </c>
      <c r="I133" s="12">
        <f t="shared" si="5"/>
        <v>2.2349218241404355E-2</v>
      </c>
      <c r="J133" s="12">
        <f>G133*(D133*Assumptions!$B$6+E133*Assumptions!$B$7)</f>
        <v>1.0165784185286578E-2</v>
      </c>
    </row>
    <row r="134" spans="1:10" x14ac:dyDescent="0.2">
      <c r="A134" s="2">
        <v>126</v>
      </c>
      <c r="B134" s="14">
        <f>A134*Assumptions!$B$12</f>
        <v>1.26</v>
      </c>
      <c r="C134" s="15">
        <f>IF(A134&lt;=Assumptions!$B$13,IF(OR(A134=0,A134=Assumptions!$B$13),0.5,1),0)*Assumptions!$B$12</f>
        <v>0.01</v>
      </c>
      <c r="D134" s="12">
        <f>D133*(1-Assumptions!$B$12*(Assumptions!$B$5+Assumptions!$B$6))</f>
        <v>0.96290004198402757</v>
      </c>
      <c r="E134" s="12">
        <f>E133+Assumptions!$B$12*(D133*Assumptions!$B$5-E133*Assumptions!$B$7)</f>
        <v>2.3971361469368048E-2</v>
      </c>
      <c r="F134" s="12">
        <f t="shared" si="3"/>
        <v>1.3128596546604386E-2</v>
      </c>
      <c r="G134" s="12">
        <f>EXP(-Assumptions!$B$8*B134)</f>
        <v>0.93894347368913322</v>
      </c>
      <c r="H134" s="12">
        <f t="shared" si="4"/>
        <v>0.90410871023589501</v>
      </c>
      <c r="I134" s="12">
        <f t="shared" si="5"/>
        <v>2.2507753407106281E-2</v>
      </c>
      <c r="J134" s="12">
        <f>G134*(D134*Assumptions!$B$6+E134*Assumptions!$B$7)</f>
        <v>1.0166474772714264E-2</v>
      </c>
    </row>
    <row r="135" spans="1:10" x14ac:dyDescent="0.2">
      <c r="A135" s="2">
        <v>127</v>
      </c>
      <c r="B135" s="14">
        <f>A135*Assumptions!$B$12</f>
        <v>1.27</v>
      </c>
      <c r="C135" s="15">
        <f>IF(A135&lt;=Assumptions!$B$13,IF(OR(A135=0,A135=Assumptions!$B$13),0.5,1),0)*Assumptions!$B$12</f>
        <v>0.01</v>
      </c>
      <c r="D135" s="12">
        <f>D134*(1-Assumptions!$B$12*(Assumptions!$B$5+Assumptions!$B$6))</f>
        <v>0.96261117197143242</v>
      </c>
      <c r="E135" s="12">
        <f>E134+Assumptions!$B$12*(D134*Assumptions!$B$5-E134*Assumptions!$B$7)</f>
        <v>2.415195579703017E-2</v>
      </c>
      <c r="F135" s="12">
        <f t="shared" si="3"/>
        <v>1.3236872231537408E-2</v>
      </c>
      <c r="G135" s="12">
        <f>EXP(-Assumptions!$B$8*B135)</f>
        <v>0.93847411930066404</v>
      </c>
      <c r="H135" s="12">
        <f t="shared" si="4"/>
        <v>0.90338567184487006</v>
      </c>
      <c r="I135" s="12">
        <f t="shared" si="5"/>
        <v>2.2665985446006457E-2</v>
      </c>
      <c r="J135" s="12">
        <f>G135*(D135*Assumptions!$B$6+E135*Assumptions!$B$7)</f>
        <v>1.0167155990749023E-2</v>
      </c>
    </row>
    <row r="136" spans="1:10" x14ac:dyDescent="0.2">
      <c r="A136" s="2">
        <v>128</v>
      </c>
      <c r="B136" s="14">
        <f>A136*Assumptions!$B$12</f>
        <v>1.28</v>
      </c>
      <c r="C136" s="15">
        <f>IF(A136&lt;=Assumptions!$B$13,IF(OR(A136=0,A136=Assumptions!$B$13),0.5,1),0)*Assumptions!$B$12</f>
        <v>0.01</v>
      </c>
      <c r="D136" s="12">
        <f>D135*(1-Assumptions!$B$12*(Assumptions!$B$5+Assumptions!$B$6))</f>
        <v>0.96232238861984098</v>
      </c>
      <c r="E136" s="12">
        <f>E135+Assumptions!$B$12*(D135*Assumptions!$B$5-E135*Assumptions!$B$7)</f>
        <v>2.433240205352594E-2</v>
      </c>
      <c r="F136" s="12">
        <f t="shared" ref="F136:F199" si="6">1-D136-E136</f>
        <v>1.3345209326633075E-2</v>
      </c>
      <c r="G136" s="12">
        <f>EXP(-Assumptions!$B$8*B136)</f>
        <v>0.93800499953072947</v>
      </c>
      <c r="H136" s="12">
        <f t="shared" ref="H136:H199" si="7">G136*D136</f>
        <v>0.90266321168576436</v>
      </c>
      <c r="I136" s="12">
        <f t="shared" ref="I136:I199" si="8">G136*E136</f>
        <v>2.2823914776799119E-2</v>
      </c>
      <c r="J136" s="12">
        <f>G136*(D136*Assumptions!$B$6+E136*Assumptions!$B$7)</f>
        <v>1.0167827855697599E-2</v>
      </c>
    </row>
    <row r="137" spans="1:10" x14ac:dyDescent="0.2">
      <c r="A137" s="2">
        <v>129</v>
      </c>
      <c r="B137" s="14">
        <f>A137*Assumptions!$B$12</f>
        <v>1.29</v>
      </c>
      <c r="C137" s="15">
        <f>IF(A137&lt;=Assumptions!$B$13,IF(OR(A137=0,A137=Assumptions!$B$13),0.5,1),0)*Assumptions!$B$12</f>
        <v>0.01</v>
      </c>
      <c r="D137" s="12">
        <f>D136*(1-Assumptions!$B$12*(Assumptions!$B$5+Assumptions!$B$6))</f>
        <v>0.96203369190325505</v>
      </c>
      <c r="E137" s="12">
        <f>E136+Assumptions!$B$12*(D136*Assumptions!$B$5-E136*Assumptions!$B$7)</f>
        <v>2.4512700330223146E-2</v>
      </c>
      <c r="F137" s="12">
        <f t="shared" si="6"/>
        <v>1.3453607766521804E-2</v>
      </c>
      <c r="G137" s="12">
        <f>EXP(-Assumptions!$B$8*B137)</f>
        <v>0.93753611426204975</v>
      </c>
      <c r="H137" s="12">
        <f t="shared" si="7"/>
        <v>0.90194132929615167</v>
      </c>
      <c r="I137" s="12">
        <f t="shared" si="8"/>
        <v>2.2981541817667473E-2</v>
      </c>
      <c r="J137" s="12">
        <f>G137*(D137*Assumptions!$B$6+E137*Assumptions!$B$7)</f>
        <v>1.016849038384489E-2</v>
      </c>
    </row>
    <row r="138" spans="1:10" x14ac:dyDescent="0.2">
      <c r="A138" s="2">
        <v>130</v>
      </c>
      <c r="B138" s="14">
        <f>A138*Assumptions!$B$12</f>
        <v>1.3</v>
      </c>
      <c r="C138" s="15">
        <f>IF(A138&lt;=Assumptions!$B$13,IF(OR(A138=0,A138=Assumptions!$B$13),0.5,1),0)*Assumptions!$B$12</f>
        <v>0.01</v>
      </c>
      <c r="D138" s="12">
        <f>D137*(1-Assumptions!$B$12*(Assumptions!$B$5+Assumptions!$B$6))</f>
        <v>0.96174508179568408</v>
      </c>
      <c r="E138" s="12">
        <f>E137+Assumptions!$B$12*(D137*Assumptions!$B$5-E137*Assumptions!$B$7)</f>
        <v>2.4692850718438686E-2</v>
      </c>
      <c r="F138" s="12">
        <f t="shared" si="6"/>
        <v>1.3562067485877238E-2</v>
      </c>
      <c r="G138" s="12">
        <f>EXP(-Assumptions!$B$8*B138)</f>
        <v>0.93706746337740343</v>
      </c>
      <c r="H138" s="12">
        <f t="shared" si="7"/>
        <v>0.90122002421397507</v>
      </c>
      <c r="I138" s="12">
        <f t="shared" si="8"/>
        <v>2.3138866986284232E-2</v>
      </c>
      <c r="J138" s="12">
        <f>G138*(D138*Assumptions!$B$6+E138*Assumptions!$B$7)</f>
        <v>1.0169143591453962E-2</v>
      </c>
    </row>
    <row r="139" spans="1:10" x14ac:dyDescent="0.2">
      <c r="A139" s="2">
        <v>131</v>
      </c>
      <c r="B139" s="14">
        <f>A139*Assumptions!$B$12</f>
        <v>1.31</v>
      </c>
      <c r="C139" s="15">
        <f>IF(A139&lt;=Assumptions!$B$13,IF(OR(A139=0,A139=Assumptions!$B$13),0.5,1),0)*Assumptions!$B$12</f>
        <v>0.01</v>
      </c>
      <c r="D139" s="12">
        <f>D138*(1-Assumptions!$B$12*(Assumptions!$B$5+Assumptions!$B$6))</f>
        <v>0.9614565582711454</v>
      </c>
      <c r="E139" s="12">
        <f>E138+Assumptions!$B$12*(D138*Assumptions!$B$5-E138*Assumptions!$B$7)</f>
        <v>2.4872853309438604E-2</v>
      </c>
      <c r="F139" s="12">
        <f t="shared" si="6"/>
        <v>1.3670588419415996E-2</v>
      </c>
      <c r="G139" s="12">
        <f>EXP(-Assumptions!$B$8*B139)</f>
        <v>0.93659904675962791</v>
      </c>
      <c r="H139" s="12">
        <f t="shared" si="7"/>
        <v>0.90049929597754741</v>
      </c>
      <c r="I139" s="12">
        <f t="shared" si="8"/>
        <v>2.3295890699812253E-2</v>
      </c>
      <c r="J139" s="12">
        <f>G139*(D139*Assumptions!$B$6+E139*Assumptions!$B$7)</f>
        <v>1.0169787494766087E-2</v>
      </c>
    </row>
    <row r="140" spans="1:10" x14ac:dyDescent="0.2">
      <c r="A140" s="2">
        <v>132</v>
      </c>
      <c r="B140" s="14">
        <f>A140*Assumptions!$B$12</f>
        <v>1.32</v>
      </c>
      <c r="C140" s="15">
        <f>IF(A140&lt;=Assumptions!$B$13,IF(OR(A140=0,A140=Assumptions!$B$13),0.5,1),0)*Assumptions!$B$12</f>
        <v>0.01</v>
      </c>
      <c r="D140" s="12">
        <f>D139*(1-Assumptions!$B$12*(Assumptions!$B$5+Assumptions!$B$6))</f>
        <v>0.96116812130366414</v>
      </c>
      <c r="E140" s="12">
        <f>E139+Assumptions!$B$12*(D139*Assumptions!$B$5-E139*Assumptions!$B$7)</f>
        <v>2.5052708194438115E-2</v>
      </c>
      <c r="F140" s="12">
        <f t="shared" si="6"/>
        <v>1.3779170501897749E-2</v>
      </c>
      <c r="G140" s="12">
        <f>EXP(-Assumptions!$B$8*B140)</f>
        <v>0.93613086429161885</v>
      </c>
      <c r="H140" s="12">
        <f t="shared" si="7"/>
        <v>0.8997791441255506</v>
      </c>
      <c r="I140" s="12">
        <f t="shared" si="8"/>
        <v>2.3452613374905073E-2</v>
      </c>
      <c r="J140" s="12">
        <f>G140*(D140*Assumptions!$B$6+E140*Assumptions!$B$7)</f>
        <v>1.017042211000076E-2</v>
      </c>
    </row>
    <row r="141" spans="1:10" x14ac:dyDescent="0.2">
      <c r="A141" s="2">
        <v>133</v>
      </c>
      <c r="B141" s="14">
        <f>A141*Assumptions!$B$12</f>
        <v>1.33</v>
      </c>
      <c r="C141" s="15">
        <f>IF(A141&lt;=Assumptions!$B$13,IF(OR(A141=0,A141=Assumptions!$B$13),0.5,1),0)*Assumptions!$B$12</f>
        <v>0.01</v>
      </c>
      <c r="D141" s="12">
        <f>D140*(1-Assumptions!$B$12*(Assumptions!$B$5+Assumptions!$B$6))</f>
        <v>0.96087977086727305</v>
      </c>
      <c r="E141" s="12">
        <f>E140+Assumptions!$B$12*(D140*Assumptions!$B$5-E140*Assumptions!$B$7)</f>
        <v>2.5232415464601629E-2</v>
      </c>
      <c r="F141" s="12">
        <f t="shared" si="6"/>
        <v>1.3887813668125318E-2</v>
      </c>
      <c r="G141" s="12">
        <f>EXP(-Assumptions!$B$8*B141)</f>
        <v>0.93566291585633077</v>
      </c>
      <c r="H141" s="12">
        <f t="shared" si="7"/>
        <v>0.8990595681970357</v>
      </c>
      <c r="I141" s="12">
        <f t="shared" si="8"/>
        <v>2.3609035427707533E-2</v>
      </c>
      <c r="J141" s="12">
        <f>G141*(D141*Assumptions!$B$6+E141*Assumptions!$B$7)</f>
        <v>1.0171047453355734E-2</v>
      </c>
    </row>
    <row r="142" spans="1:10" x14ac:dyDescent="0.2">
      <c r="A142" s="2">
        <v>134</v>
      </c>
      <c r="B142" s="14">
        <f>A142*Assumptions!$B$12</f>
        <v>1.34</v>
      </c>
      <c r="C142" s="15">
        <f>IF(A142&lt;=Assumptions!$B$13,IF(OR(A142=0,A142=Assumptions!$B$13),0.5,1),0)*Assumptions!$B$12</f>
        <v>0.01</v>
      </c>
      <c r="D142" s="12">
        <f>D141*(1-Assumptions!$B$12*(Assumptions!$B$5+Assumptions!$B$6))</f>
        <v>0.96059150693601292</v>
      </c>
      <c r="E142" s="12">
        <f>E141+Assumptions!$B$12*(D141*Assumptions!$B$5-E141*Assumptions!$B$7)</f>
        <v>2.5411975211042784E-2</v>
      </c>
      <c r="F142" s="12">
        <f t="shared" si="6"/>
        <v>1.3996517852944299E-2</v>
      </c>
      <c r="G142" s="12">
        <f>EXP(-Assumptions!$B$8*B142)</f>
        <v>0.93519520133677658</v>
      </c>
      <c r="H142" s="12">
        <f t="shared" si="7"/>
        <v>0.89834056773142223</v>
      </c>
      <c r="I142" s="12">
        <f t="shared" si="8"/>
        <v>2.3765157273856332E-2</v>
      </c>
      <c r="J142" s="12">
        <f>G142*(D142*Assumptions!$B$6+E142*Assumptions!$B$7)</f>
        <v>1.017166354100704E-2</v>
      </c>
    </row>
    <row r="143" spans="1:10" x14ac:dyDescent="0.2">
      <c r="A143" s="2">
        <v>135</v>
      </c>
      <c r="B143" s="14">
        <f>A143*Assumptions!$B$12</f>
        <v>1.35</v>
      </c>
      <c r="C143" s="15">
        <f>IF(A143&lt;=Assumptions!$B$13,IF(OR(A143=0,A143=Assumptions!$B$13),0.5,1),0)*Assumptions!$B$12</f>
        <v>0.01</v>
      </c>
      <c r="D143" s="12">
        <f>D142*(1-Assumptions!$B$12*(Assumptions!$B$5+Assumptions!$B$6))</f>
        <v>0.96030332948393216</v>
      </c>
      <c r="E143" s="12">
        <f>E142+Assumptions!$B$12*(D142*Assumptions!$B$5-E142*Assumptions!$B$7)</f>
        <v>2.5591387524824465E-2</v>
      </c>
      <c r="F143" s="12">
        <f t="shared" si="6"/>
        <v>1.4105282991243379E-2</v>
      </c>
      <c r="G143" s="12">
        <f>EXP(-Assumptions!$B$8*B143)</f>
        <v>0.93472772061602749</v>
      </c>
      <c r="H143" s="12">
        <f t="shared" si="7"/>
        <v>0.8976221422684979</v>
      </c>
      <c r="I143" s="12">
        <f t="shared" si="8"/>
        <v>2.3920979328480613E-2</v>
      </c>
      <c r="J143" s="12">
        <f>G143*(D143*Assumptions!$B$6+E143*Assumptions!$B$7)</f>
        <v>1.017227038910901E-2</v>
      </c>
    </row>
    <row r="144" spans="1:10" x14ac:dyDescent="0.2">
      <c r="A144" s="2">
        <v>136</v>
      </c>
      <c r="B144" s="14">
        <f>A144*Assumptions!$B$12</f>
        <v>1.36</v>
      </c>
      <c r="C144" s="15">
        <f>IF(A144&lt;=Assumptions!$B$13,IF(OR(A144=0,A144=Assumptions!$B$13),0.5,1),0)*Assumptions!$B$12</f>
        <v>0.01</v>
      </c>
      <c r="D144" s="12">
        <f>D143*(1-Assumptions!$B$12*(Assumptions!$B$5+Assumptions!$B$6))</f>
        <v>0.96001523848508696</v>
      </c>
      <c r="E144" s="12">
        <f>E143+Assumptions!$B$12*(D143*Assumptions!$B$5-E143*Assumptions!$B$7)</f>
        <v>2.577065249695884E-2</v>
      </c>
      <c r="F144" s="12">
        <f t="shared" si="6"/>
        <v>1.4214109017954196E-2</v>
      </c>
      <c r="G144" s="12">
        <f>EXP(-Assumptions!$B$8*B144)</f>
        <v>0.93426047357721353</v>
      </c>
      <c r="H144" s="12">
        <f t="shared" si="7"/>
        <v>0.89690429134841898</v>
      </c>
      <c r="I144" s="12">
        <f t="shared" si="8"/>
        <v>2.4076502006202566E-2</v>
      </c>
      <c r="J144" s="12">
        <f>G144*(D144*Assumptions!$B$6+E144*Assumptions!$B$7)</f>
        <v>1.017286801379432E-2</v>
      </c>
    </row>
    <row r="145" spans="1:10" x14ac:dyDescent="0.2">
      <c r="A145" s="2">
        <v>137</v>
      </c>
      <c r="B145" s="14">
        <f>A145*Assumptions!$B$12</f>
        <v>1.37</v>
      </c>
      <c r="C145" s="15">
        <f>IF(A145&lt;=Assumptions!$B$13,IF(OR(A145=0,A145=Assumptions!$B$13),0.5,1),0)*Assumptions!$B$12</f>
        <v>0.01</v>
      </c>
      <c r="D145" s="12">
        <f>D144*(1-Assumptions!$B$12*(Assumptions!$B$5+Assumptions!$B$6))</f>
        <v>0.95972723391354142</v>
      </c>
      <c r="E145" s="12">
        <f>E144+Assumptions!$B$12*(D144*Assumptions!$B$5-E144*Assumptions!$B$7)</f>
        <v>2.5949770218407379E-2</v>
      </c>
      <c r="F145" s="12">
        <f t="shared" si="6"/>
        <v>1.4322995868051198E-2</v>
      </c>
      <c r="G145" s="12">
        <f>EXP(-Assumptions!$B$8*B145)</f>
        <v>0.93379346010352282</v>
      </c>
      <c r="H145" s="12">
        <f t="shared" si="7"/>
        <v>0.8961870145117089</v>
      </c>
      <c r="I145" s="12">
        <f t="shared" si="8"/>
        <v>2.4231725721137975E-2</v>
      </c>
      <c r="J145" s="12">
        <f>G145*(D145*Assumptions!$B$6+E145*Assumptions!$B$7)</f>
        <v>1.0173456431173988E-2</v>
      </c>
    </row>
    <row r="146" spans="1:10" x14ac:dyDescent="0.2">
      <c r="A146" s="2">
        <v>138</v>
      </c>
      <c r="B146" s="14">
        <f>A146*Assumptions!$B$12</f>
        <v>1.3800000000000001</v>
      </c>
      <c r="C146" s="15">
        <f>IF(A146&lt;=Assumptions!$B$13,IF(OR(A146=0,A146=Assumptions!$B$13),0.5,1),0)*Assumptions!$B$12</f>
        <v>0.01</v>
      </c>
      <c r="D146" s="12">
        <f>D145*(1-Assumptions!$B$12*(Assumptions!$B$5+Assumptions!$B$6))</f>
        <v>0.95943931574336738</v>
      </c>
      <c r="E146" s="12">
        <f>E145+Assumptions!$B$12*(D145*Assumptions!$B$5-E145*Assumptions!$B$7)</f>
        <v>2.6128740780080883E-2</v>
      </c>
      <c r="F146" s="12">
        <f t="shared" si="6"/>
        <v>1.4431943476551735E-2</v>
      </c>
      <c r="G146" s="12">
        <f>EXP(-Assumptions!$B$8*B146)</f>
        <v>0.93332668007820196</v>
      </c>
      <c r="H146" s="12">
        <f t="shared" si="7"/>
        <v>0.8954703112992588</v>
      </c>
      <c r="I146" s="12">
        <f t="shared" si="8"/>
        <v>2.4386650886896819E-2</v>
      </c>
      <c r="J146" s="12">
        <f>G146*(D146*Assumptions!$B$6+E146*Assumptions!$B$7)</f>
        <v>1.0174035657337429E-2</v>
      </c>
    </row>
    <row r="147" spans="1:10" x14ac:dyDescent="0.2">
      <c r="A147" s="2">
        <v>139</v>
      </c>
      <c r="B147" s="14">
        <f>A147*Assumptions!$B$12</f>
        <v>1.3900000000000001</v>
      </c>
      <c r="C147" s="15">
        <f>IF(A147&lt;=Assumptions!$B$13,IF(OR(A147=0,A147=Assumptions!$B$13),0.5,1),0)*Assumptions!$B$12</f>
        <v>0.01</v>
      </c>
      <c r="D147" s="12">
        <f>D146*(1-Assumptions!$B$12*(Assumptions!$B$5+Assumptions!$B$6))</f>
        <v>0.95915148394864436</v>
      </c>
      <c r="E147" s="12">
        <f>E146+Assumptions!$B$12*(D146*Assumptions!$B$5-E146*Assumptions!$B$7)</f>
        <v>2.6307564272839517E-2</v>
      </c>
      <c r="F147" s="12">
        <f t="shared" si="6"/>
        <v>1.4540951778516126E-2</v>
      </c>
      <c r="G147" s="12">
        <f>EXP(-Assumptions!$B$8*B147)</f>
        <v>0.93286013338455598</v>
      </c>
      <c r="H147" s="12">
        <f t="shared" si="7"/>
        <v>0.8947541812523272</v>
      </c>
      <c r="I147" s="12">
        <f t="shared" si="8"/>
        <v>2.4541277916583851E-2</v>
      </c>
      <c r="J147" s="12">
        <f>G147*(D147*Assumptions!$B$6+E147*Assumptions!$B$7)</f>
        <v>1.0174605708352465E-2</v>
      </c>
    </row>
    <row r="148" spans="1:10" x14ac:dyDescent="0.2">
      <c r="A148" s="2">
        <v>140</v>
      </c>
      <c r="B148" s="14">
        <f>A148*Assumptions!$B$12</f>
        <v>1.4000000000000001</v>
      </c>
      <c r="C148" s="15">
        <f>IF(A148&lt;=Assumptions!$B$13,IF(OR(A148=0,A148=Assumptions!$B$13),0.5,1),0)*Assumptions!$B$12</f>
        <v>0.01</v>
      </c>
      <c r="D148" s="12">
        <f>D147*(1-Assumptions!$B$12*(Assumptions!$B$5+Assumptions!$B$6))</f>
        <v>0.95886373850345985</v>
      </c>
      <c r="E148" s="12">
        <f>E147+Assumptions!$B$12*(D147*Assumptions!$B$5-E147*Assumptions!$B$7)</f>
        <v>2.6486240787492826E-2</v>
      </c>
      <c r="F148" s="12">
        <f t="shared" si="6"/>
        <v>1.4650020709047324E-2</v>
      </c>
      <c r="G148" s="12">
        <f>EXP(-Assumptions!$B$8*B148)</f>
        <v>0.93239381990594827</v>
      </c>
      <c r="H148" s="12">
        <f t="shared" si="7"/>
        <v>0.89403862391253919</v>
      </c>
      <c r="I148" s="12">
        <f t="shared" si="8"/>
        <v>2.4695607222799166E-2</v>
      </c>
      <c r="J148" s="12">
        <f>G148*(D148*Assumptions!$B$6+E148*Assumptions!$B$7)</f>
        <v>1.0175166600265351E-2</v>
      </c>
    </row>
    <row r="149" spans="1:10" x14ac:dyDescent="0.2">
      <c r="A149" s="2">
        <v>141</v>
      </c>
      <c r="B149" s="14">
        <f>A149*Assumptions!$B$12</f>
        <v>1.41</v>
      </c>
      <c r="C149" s="15">
        <f>IF(A149&lt;=Assumptions!$B$13,IF(OR(A149=0,A149=Assumptions!$B$13),0.5,1),0)*Assumptions!$B$12</f>
        <v>0.01</v>
      </c>
      <c r="D149" s="12">
        <f>D148*(1-Assumptions!$B$12*(Assumptions!$B$5+Assumptions!$B$6))</f>
        <v>0.95857607938190881</v>
      </c>
      <c r="E149" s="12">
        <f>E148+Assumptions!$B$12*(D148*Assumptions!$B$5-E148*Assumptions!$B$7)</f>
        <v>2.6664770414799772E-2</v>
      </c>
      <c r="F149" s="12">
        <f t="shared" si="6"/>
        <v>1.4759150203291421E-2</v>
      </c>
      <c r="G149" s="12">
        <f>EXP(-Assumptions!$B$8*B149)</f>
        <v>0.93192773952580032</v>
      </c>
      <c r="H149" s="12">
        <f t="shared" si="7"/>
        <v>0.89332363882188637</v>
      </c>
      <c r="I149" s="12">
        <f t="shared" si="8"/>
        <v>2.4849639217638789E-2</v>
      </c>
      <c r="J149" s="12">
        <f>G149*(D149*Assumptions!$B$6+E149*Assumptions!$B$7)</f>
        <v>1.0175718349100804E-2</v>
      </c>
    </row>
    <row r="150" spans="1:10" x14ac:dyDescent="0.2">
      <c r="A150" s="2">
        <v>142</v>
      </c>
      <c r="B150" s="14">
        <f>A150*Assumptions!$B$12</f>
        <v>1.42</v>
      </c>
      <c r="C150" s="15">
        <f>IF(A150&lt;=Assumptions!$B$13,IF(OR(A150=0,A150=Assumptions!$B$13),0.5,1),0)*Assumptions!$B$12</f>
        <v>0.01</v>
      </c>
      <c r="D150" s="12">
        <f>D149*(1-Assumptions!$B$12*(Assumptions!$B$5+Assumptions!$B$6))</f>
        <v>0.95828850655809428</v>
      </c>
      <c r="E150" s="12">
        <f>E149+Assumptions!$B$12*(D149*Assumptions!$B$5-E149*Assumptions!$B$7)</f>
        <v>2.6843153245468755E-2</v>
      </c>
      <c r="F150" s="12">
        <f t="shared" si="6"/>
        <v>1.4868340196436968E-2</v>
      </c>
      <c r="G150" s="12">
        <f>EXP(-Assumptions!$B$8*B150)</f>
        <v>0.93146189212759212</v>
      </c>
      <c r="H150" s="12">
        <f t="shared" si="7"/>
        <v>0.89260922552272692</v>
      </c>
      <c r="I150" s="12">
        <f t="shared" si="8"/>
        <v>2.500337431269524E-2</v>
      </c>
      <c r="J150" s="12">
        <f>G150*(D150*Assumptions!$B$6+E150*Assumptions!$B$7)</f>
        <v>1.0176260970862031E-2</v>
      </c>
    </row>
    <row r="151" spans="1:10" x14ac:dyDescent="0.2">
      <c r="A151" s="2">
        <v>143</v>
      </c>
      <c r="B151" s="14">
        <f>A151*Assumptions!$B$12</f>
        <v>1.43</v>
      </c>
      <c r="C151" s="15">
        <f>IF(A151&lt;=Assumptions!$B$13,IF(OR(A151=0,A151=Assumptions!$B$13),0.5,1),0)*Assumptions!$B$12</f>
        <v>0.01</v>
      </c>
      <c r="D151" s="12">
        <f>D150*(1-Assumptions!$B$12*(Assumptions!$B$5+Assumptions!$B$6))</f>
        <v>0.95800102000612686</v>
      </c>
      <c r="E151" s="12">
        <f>E150+Assumptions!$B$12*(D150*Assumptions!$B$5-E150*Assumptions!$B$7)</f>
        <v>2.702138937015764E-2</v>
      </c>
      <c r="F151" s="12">
        <f t="shared" si="6"/>
        <v>1.4977590623715502E-2</v>
      </c>
      <c r="G151" s="12">
        <f>EXP(-Assumptions!$B$8*B151)</f>
        <v>0.93099627759486181</v>
      </c>
      <c r="H151" s="12">
        <f t="shared" si="7"/>
        <v>0.89189538355778486</v>
      </c>
      <c r="I151" s="12">
        <f t="shared" si="8"/>
        <v>2.5156812919058132E-2</v>
      </c>
      <c r="J151" s="12">
        <f>G151*(D151*Assumptions!$B$6+E151*Assumptions!$B$7)</f>
        <v>1.0176794481530756E-2</v>
      </c>
    </row>
    <row r="152" spans="1:10" x14ac:dyDescent="0.2">
      <c r="A152" s="2">
        <v>144</v>
      </c>
      <c r="B152" s="14">
        <f>A152*Assumptions!$B$12</f>
        <v>1.44</v>
      </c>
      <c r="C152" s="15">
        <f>IF(A152&lt;=Assumptions!$B$13,IF(OR(A152=0,A152=Assumptions!$B$13),0.5,1),0)*Assumptions!$B$12</f>
        <v>0.01</v>
      </c>
      <c r="D152" s="12">
        <f>D151*(1-Assumptions!$B$12*(Assumptions!$B$5+Assumptions!$B$6))</f>
        <v>0.95771361970012503</v>
      </c>
      <c r="E152" s="12">
        <f>E151+Assumptions!$B$12*(D151*Assumptions!$B$5-E151*Assumptions!$B$7)</f>
        <v>2.7199478879473788E-2</v>
      </c>
      <c r="F152" s="12">
        <f t="shared" si="6"/>
        <v>1.5086901420401182E-2</v>
      </c>
      <c r="G152" s="12">
        <f>EXP(-Assumptions!$B$8*B152)</f>
        <v>0.93053089581120574</v>
      </c>
      <c r="H152" s="12">
        <f t="shared" si="7"/>
        <v>0.89118211247014978</v>
      </c>
      <c r="I152" s="12">
        <f t="shared" si="8"/>
        <v>2.5309955447314715E-2</v>
      </c>
      <c r="J152" s="12">
        <f>G152*(D152*Assumptions!$B$6+E152*Assumptions!$B$7)</f>
        <v>1.0177318897067234E-2</v>
      </c>
    </row>
    <row r="153" spans="1:10" x14ac:dyDescent="0.2">
      <c r="A153" s="2">
        <v>145</v>
      </c>
      <c r="B153" s="14">
        <f>A153*Assumptions!$B$12</f>
        <v>1.45</v>
      </c>
      <c r="C153" s="15">
        <f>IF(A153&lt;=Assumptions!$B$13,IF(OR(A153=0,A153=Assumptions!$B$13),0.5,1),0)*Assumptions!$B$12</f>
        <v>0.01</v>
      </c>
      <c r="D153" s="12">
        <f>D152*(1-Assumptions!$B$12*(Assumptions!$B$5+Assumptions!$B$6))</f>
        <v>0.95742630561421505</v>
      </c>
      <c r="E153" s="12">
        <f>E152+Assumptions!$B$12*(D152*Assumptions!$B$5-E152*Assumptions!$B$7)</f>
        <v>2.7377421863974075E-2</v>
      </c>
      <c r="F153" s="12">
        <f t="shared" si="6"/>
        <v>1.5196272521810879E-2</v>
      </c>
      <c r="G153" s="12">
        <f>EXP(-Assumptions!$B$8*B153)</f>
        <v>0.93006574666027853</v>
      </c>
      <c r="H153" s="12">
        <f t="shared" si="7"/>
        <v>0.89046941180327688</v>
      </c>
      <c r="I153" s="12">
        <f t="shared" si="8"/>
        <v>2.5462802307550481E-2</v>
      </c>
      <c r="J153" s="12">
        <f>G153*(D153*Assumptions!$B$6+E153*Assumptions!$B$7)</f>
        <v>1.0177834233410295E-2</v>
      </c>
    </row>
    <row r="154" spans="1:10" x14ac:dyDescent="0.2">
      <c r="A154" s="2">
        <v>146</v>
      </c>
      <c r="B154" s="14">
        <f>A154*Assumptions!$B$12</f>
        <v>1.46</v>
      </c>
      <c r="C154" s="15">
        <f>IF(A154&lt;=Assumptions!$B$13,IF(OR(A154=0,A154=Assumptions!$B$13),0.5,1),0)*Assumptions!$B$12</f>
        <v>0.01</v>
      </c>
      <c r="D154" s="12">
        <f>D153*(1-Assumptions!$B$12*(Assumptions!$B$5+Assumptions!$B$6))</f>
        <v>0.95713907772253082</v>
      </c>
      <c r="E154" s="12">
        <f>E153+Assumptions!$B$12*(D153*Assumptions!$B$5-E153*Assumptions!$B$7)</f>
        <v>2.7555218414164931E-2</v>
      </c>
      <c r="F154" s="12">
        <f t="shared" si="6"/>
        <v>1.5305703863304251E-2</v>
      </c>
      <c r="G154" s="12">
        <f>EXP(-Assumptions!$B$8*B154)</f>
        <v>0.92960083002579275</v>
      </c>
      <c r="H154" s="12">
        <f t="shared" si="7"/>
        <v>0.8897572811009864</v>
      </c>
      <c r="I154" s="12">
        <f t="shared" si="8"/>
        <v>2.5615353909349728E-2</v>
      </c>
      <c r="J154" s="12">
        <f>G154*(D154*Assumptions!$B$6+E154*Assumptions!$B$7)</f>
        <v>1.0178340506477351E-2</v>
      </c>
    </row>
    <row r="155" spans="1:10" x14ac:dyDescent="0.2">
      <c r="A155" s="2">
        <v>147</v>
      </c>
      <c r="B155" s="14">
        <f>A155*Assumptions!$B$12</f>
        <v>1.47</v>
      </c>
      <c r="C155" s="15">
        <f>IF(A155&lt;=Assumptions!$B$13,IF(OR(A155=0,A155=Assumptions!$B$13),0.5,1),0)*Assumptions!$B$12</f>
        <v>0.01</v>
      </c>
      <c r="D155" s="12">
        <f>D154*(1-Assumptions!$B$12*(Assumptions!$B$5+Assumptions!$B$6))</f>
        <v>0.95685193599921414</v>
      </c>
      <c r="E155" s="12">
        <f>E154+Assumptions!$B$12*(D154*Assumptions!$B$5-E154*Assumptions!$B$7)</f>
        <v>2.7732868620502355E-2</v>
      </c>
      <c r="F155" s="12">
        <f t="shared" si="6"/>
        <v>1.5415195380283502E-2</v>
      </c>
      <c r="G155" s="12">
        <f>EXP(-Assumptions!$B$8*B155)</f>
        <v>0.92913614579151926</v>
      </c>
      <c r="H155" s="12">
        <f t="shared" si="7"/>
        <v>0.88904571990746328</v>
      </c>
      <c r="I155" s="12">
        <f t="shared" si="8"/>
        <v>2.5767610661796125E-2</v>
      </c>
      <c r="J155" s="12">
        <f>G155*(D155*Assumptions!$B$6+E155*Assumptions!$B$7)</f>
        <v>1.017883773216444E-2</v>
      </c>
    </row>
    <row r="156" spans="1:10" x14ac:dyDescent="0.2">
      <c r="A156" s="2">
        <v>148</v>
      </c>
      <c r="B156" s="14">
        <f>A156*Assumptions!$B$12</f>
        <v>1.48</v>
      </c>
      <c r="C156" s="15">
        <f>IF(A156&lt;=Assumptions!$B$13,IF(OR(A156=0,A156=Assumptions!$B$13),0.5,1),0)*Assumptions!$B$12</f>
        <v>0.01</v>
      </c>
      <c r="D156" s="12">
        <f>D155*(1-Assumptions!$B$12*(Assumptions!$B$5+Assumptions!$B$6))</f>
        <v>0.95656488041841436</v>
      </c>
      <c r="E156" s="12">
        <f>E155+Assumptions!$B$12*(D155*Assumptions!$B$5-E155*Assumptions!$B$7)</f>
        <v>2.7910372573391948E-2</v>
      </c>
      <c r="F156" s="12">
        <f t="shared" si="6"/>
        <v>1.5524747008193687E-2</v>
      </c>
      <c r="G156" s="12">
        <f>EXP(-Assumptions!$B$8*B156)</f>
        <v>0.92867169384128723</v>
      </c>
      <c r="H156" s="12">
        <f t="shared" si="7"/>
        <v>0.88833472776725719</v>
      </c>
      <c r="I156" s="12">
        <f t="shared" si="8"/>
        <v>2.5919572973473307E-2</v>
      </c>
      <c r="J156" s="12">
        <f>G156*(D156*Assumptions!$B$6+E156*Assumptions!$B$7)</f>
        <v>1.0179325926346239E-2</v>
      </c>
    </row>
    <row r="157" spans="1:10" x14ac:dyDescent="0.2">
      <c r="A157" s="2">
        <v>149</v>
      </c>
      <c r="B157" s="14">
        <f>A157*Assumptions!$B$12</f>
        <v>1.49</v>
      </c>
      <c r="C157" s="15">
        <f>IF(A157&lt;=Assumptions!$B$13,IF(OR(A157=0,A157=Assumptions!$B$13),0.5,1),0)*Assumptions!$B$12</f>
        <v>0.01</v>
      </c>
      <c r="D157" s="12">
        <f>D156*(1-Assumptions!$B$12*(Assumptions!$B$5+Assumptions!$B$6))</f>
        <v>0.95627791095428882</v>
      </c>
      <c r="E157" s="12">
        <f>E156+Assumptions!$B$12*(D156*Assumptions!$B$5-E156*Assumptions!$B$7)</f>
        <v>2.8087730363188936E-2</v>
      </c>
      <c r="F157" s="12">
        <f t="shared" si="6"/>
        <v>1.5634358682522241E-2</v>
      </c>
      <c r="G157" s="12">
        <f>EXP(-Assumptions!$B$8*B157)</f>
        <v>0.92820747405898341</v>
      </c>
      <c r="H157" s="12">
        <f t="shared" si="7"/>
        <v>0.88762430422528193</v>
      </c>
      <c r="I157" s="12">
        <f t="shared" si="8"/>
        <v>2.6071241252465415E-2</v>
      </c>
      <c r="J157" s="12">
        <f>G157*(D157*Assumptions!$B$6+E157*Assumptions!$B$7)</f>
        <v>1.0179805104876091E-2</v>
      </c>
    </row>
    <row r="158" spans="1:10" x14ac:dyDescent="0.2">
      <c r="A158" s="2">
        <v>150</v>
      </c>
      <c r="B158" s="14">
        <f>A158*Assumptions!$B$12</f>
        <v>1.5</v>
      </c>
      <c r="C158" s="15">
        <f>IF(A158&lt;=Assumptions!$B$13,IF(OR(A158=0,A158=Assumptions!$B$13),0.5,1),0)*Assumptions!$B$12</f>
        <v>0.01</v>
      </c>
      <c r="D158" s="12">
        <f>D157*(1-Assumptions!$B$12*(Assumptions!$B$5+Assumptions!$B$6))</f>
        <v>0.95599102758100252</v>
      </c>
      <c r="E158" s="12">
        <f>E157+Assumptions!$B$12*(D157*Assumptions!$B$5-E157*Assumptions!$B$7)</f>
        <v>2.82649420801982E-2</v>
      </c>
      <c r="F158" s="12">
        <f t="shared" si="6"/>
        <v>1.5744030338799283E-2</v>
      </c>
      <c r="G158" s="12">
        <f>EXP(-Assumptions!$B$8*B158)</f>
        <v>0.92774348632855286</v>
      </c>
      <c r="H158" s="12">
        <f t="shared" si="7"/>
        <v>0.88691444882681503</v>
      </c>
      <c r="I158" s="12">
        <f t="shared" si="8"/>
        <v>2.6222615906357698E-2</v>
      </c>
      <c r="J158" s="12">
        <f>G158*(D158*Assumptions!$B$6+E158*Assumptions!$B$7)</f>
        <v>1.0180275283586034E-2</v>
      </c>
    </row>
    <row r="159" spans="1:10" x14ac:dyDescent="0.2">
      <c r="A159" s="2">
        <v>151</v>
      </c>
      <c r="B159" s="14">
        <f>A159*Assumptions!$B$12</f>
        <v>1.51</v>
      </c>
      <c r="C159" s="15">
        <f>IF(A159&lt;=Assumptions!$B$13,IF(OR(A159=0,A159=Assumptions!$B$13),0.5,1),0)*Assumptions!$B$12</f>
        <v>0.01</v>
      </c>
      <c r="D159" s="12">
        <f>D158*(1-Assumptions!$B$12*(Assumptions!$B$5+Assumptions!$B$6))</f>
        <v>0.95570423027272822</v>
      </c>
      <c r="E159" s="12">
        <f>E158+Assumptions!$B$12*(D158*Assumptions!$B$5-E158*Assumptions!$B$7)</f>
        <v>2.8442007814674302E-2</v>
      </c>
      <c r="F159" s="12">
        <f t="shared" si="6"/>
        <v>1.5853761912597481E-2</v>
      </c>
      <c r="G159" s="12">
        <f>EXP(-Assumptions!$B$8*B159)</f>
        <v>0.92727973053399881</v>
      </c>
      <c r="H159" s="12">
        <f t="shared" si="7"/>
        <v>0.88620516111749814</v>
      </c>
      <c r="I159" s="12">
        <f t="shared" si="8"/>
        <v>2.6373697342237077E-2</v>
      </c>
      <c r="J159" s="12">
        <f>G159*(D159*Assumptions!$B$6+E159*Assumptions!$B$7)</f>
        <v>1.0180736478286836E-2</v>
      </c>
    </row>
    <row r="160" spans="1:10" x14ac:dyDescent="0.2">
      <c r="A160" s="2">
        <v>152</v>
      </c>
      <c r="B160" s="14">
        <f>A160*Assumptions!$B$12</f>
        <v>1.52</v>
      </c>
      <c r="C160" s="15">
        <f>IF(A160&lt;=Assumptions!$B$13,IF(OR(A160=0,A160=Assumptions!$B$13),0.5,1),0)*Assumptions!$B$12</f>
        <v>0.01</v>
      </c>
      <c r="D160" s="12">
        <f>D159*(1-Assumptions!$B$12*(Assumptions!$B$5+Assumptions!$B$6))</f>
        <v>0.95541751900364646</v>
      </c>
      <c r="E160" s="12">
        <f>E159+Assumptions!$B$12*(D159*Assumptions!$B$5-E159*Assumptions!$B$7)</f>
        <v>2.8618927656821509E-2</v>
      </c>
      <c r="F160" s="12">
        <f t="shared" si="6"/>
        <v>1.5963553339532026E-2</v>
      </c>
      <c r="G160" s="12">
        <f>EXP(-Assumptions!$B$8*B160)</f>
        <v>0.92681620655938224</v>
      </c>
      <c r="H160" s="12">
        <f t="shared" si="7"/>
        <v>0.8854964406433361</v>
      </c>
      <c r="I160" s="12">
        <f t="shared" si="8"/>
        <v>2.6524485966692702E-2</v>
      </c>
      <c r="J160" s="12">
        <f>G160*(D160*Assumptions!$B$6+E160*Assumptions!$B$7)</f>
        <v>1.0181188704767996E-2</v>
      </c>
    </row>
    <row r="161" spans="1:10" x14ac:dyDescent="0.2">
      <c r="A161" s="2">
        <v>153</v>
      </c>
      <c r="B161" s="14">
        <f>A161*Assumptions!$B$12</f>
        <v>1.53</v>
      </c>
      <c r="C161" s="15">
        <f>IF(A161&lt;=Assumptions!$B$13,IF(OR(A161=0,A161=Assumptions!$B$13),0.5,1),0)*Assumptions!$B$12</f>
        <v>0.01</v>
      </c>
      <c r="D161" s="12">
        <f>D160*(1-Assumptions!$B$12*(Assumptions!$B$5+Assumptions!$B$6))</f>
        <v>0.95513089374794535</v>
      </c>
      <c r="E161" s="12">
        <f>E160+Assumptions!$B$12*(D160*Assumptions!$B$5-E160*Assumptions!$B$7)</f>
        <v>2.8795701696793827E-2</v>
      </c>
      <c r="F161" s="12">
        <f t="shared" si="6"/>
        <v>1.6073404555260819E-2</v>
      </c>
      <c r="G161" s="12">
        <f>EXP(-Assumptions!$B$8*B161)</f>
        <v>0.92635291428882205</v>
      </c>
      <c r="H161" s="12">
        <f t="shared" si="7"/>
        <v>0.88478828695069645</v>
      </c>
      <c r="I161" s="12">
        <f t="shared" si="8"/>
        <v>2.6674982185816539E-2</v>
      </c>
      <c r="J161" s="12">
        <f>G161*(D161*Assumptions!$B$6+E161*Assumptions!$B$7)</f>
        <v>1.0181631978797791E-2</v>
      </c>
    </row>
    <row r="162" spans="1:10" x14ac:dyDescent="0.2">
      <c r="A162" s="2">
        <v>154</v>
      </c>
      <c r="B162" s="14">
        <f>A162*Assumptions!$B$12</f>
        <v>1.54</v>
      </c>
      <c r="C162" s="15">
        <f>IF(A162&lt;=Assumptions!$B$13,IF(OR(A162=0,A162=Assumptions!$B$13),0.5,1),0)*Assumptions!$B$12</f>
        <v>0.01</v>
      </c>
      <c r="D162" s="12">
        <f>D161*(1-Assumptions!$B$12*(Assumptions!$B$5+Assumptions!$B$6))</f>
        <v>0.95484435447982097</v>
      </c>
      <c r="E162" s="12">
        <f>E161+Assumptions!$B$12*(D161*Assumptions!$B$5-E161*Assumptions!$B$7)</f>
        <v>2.8972330024695021E-2</v>
      </c>
      <c r="F162" s="12">
        <f t="shared" si="6"/>
        <v>1.6183315495484012E-2</v>
      </c>
      <c r="G162" s="12">
        <f>EXP(-Assumptions!$B$8*B162)</f>
        <v>0.92588985360649534</v>
      </c>
      <c r="H162" s="12">
        <f t="shared" si="7"/>
        <v>0.88408069958630997</v>
      </c>
      <c r="I162" s="12">
        <f t="shared" si="8"/>
        <v>2.6825186405203944E-2</v>
      </c>
      <c r="J162" s="12">
        <f>G162*(D162*Assumptions!$B$6+E162*Assumptions!$B$7)</f>
        <v>1.0182066316123298E-2</v>
      </c>
    </row>
    <row r="163" spans="1:10" x14ac:dyDescent="0.2">
      <c r="A163" s="2">
        <v>155</v>
      </c>
      <c r="B163" s="14">
        <f>A163*Assumptions!$B$12</f>
        <v>1.55</v>
      </c>
      <c r="C163" s="15">
        <f>IF(A163&lt;=Assumptions!$B$13,IF(OR(A163=0,A163=Assumptions!$B$13),0.5,1),0)*Assumptions!$B$12</f>
        <v>0.01</v>
      </c>
      <c r="D163" s="12">
        <f>D162*(1-Assumptions!$B$12*(Assumptions!$B$5+Assumptions!$B$6))</f>
        <v>0.95455790117347705</v>
      </c>
      <c r="E163" s="12">
        <f>E162+Assumptions!$B$12*(D162*Assumptions!$B$5-E162*Assumptions!$B$7)</f>
        <v>2.9148812730578639E-2</v>
      </c>
      <c r="F163" s="12">
        <f t="shared" si="6"/>
        <v>1.6293286095944309E-2</v>
      </c>
      <c r="G163" s="12">
        <f>EXP(-Assumptions!$B$8*B163)</f>
        <v>0.92542702439663682</v>
      </c>
      <c r="H163" s="12">
        <f t="shared" si="7"/>
        <v>0.88337367809726974</v>
      </c>
      <c r="I163" s="12">
        <f t="shared" si="8"/>
        <v>2.6975099029954194E-2</v>
      </c>
      <c r="J163" s="12">
        <f>G163*(D163*Assumptions!$B$6+E163*Assumptions!$B$7)</f>
        <v>1.0182491732470407E-2</v>
      </c>
    </row>
    <row r="164" spans="1:10" x14ac:dyDescent="0.2">
      <c r="A164" s="2">
        <v>156</v>
      </c>
      <c r="B164" s="14">
        <f>A164*Assumptions!$B$12</f>
        <v>1.56</v>
      </c>
      <c r="C164" s="15">
        <f>IF(A164&lt;=Assumptions!$B$13,IF(OR(A164=0,A164=Assumptions!$B$13),0.5,1),0)*Assumptions!$B$12</f>
        <v>0.01</v>
      </c>
      <c r="D164" s="12">
        <f>D163*(1-Assumptions!$B$12*(Assumptions!$B$5+Assumptions!$B$6))</f>
        <v>0.95427153380312502</v>
      </c>
      <c r="E164" s="12">
        <f>E163+Assumptions!$B$12*(D163*Assumptions!$B$5-E163*Assumptions!$B$7)</f>
        <v>2.9325149904448046E-2</v>
      </c>
      <c r="F164" s="12">
        <f t="shared" si="6"/>
        <v>1.6403316292426938E-2</v>
      </c>
      <c r="G164" s="12">
        <f>EXP(-Assumptions!$B$8*B164)</f>
        <v>0.92496442654353928</v>
      </c>
      <c r="H164" s="12">
        <f t="shared" si="7"/>
        <v>0.88266722203103121</v>
      </c>
      <c r="I164" s="12">
        <f t="shared" si="8"/>
        <v>2.7124720464671112E-2</v>
      </c>
      <c r="J164" s="12">
        <f>G164*(D164*Assumptions!$B$6+E164*Assumptions!$B$7)</f>
        <v>1.0182908243543867E-2</v>
      </c>
    </row>
    <row r="165" spans="1:10" x14ac:dyDescent="0.2">
      <c r="A165" s="2">
        <v>157</v>
      </c>
      <c r="B165" s="14">
        <f>A165*Assumptions!$B$12</f>
        <v>1.57</v>
      </c>
      <c r="C165" s="15">
        <f>IF(A165&lt;=Assumptions!$B$13,IF(OR(A165=0,A165=Assumptions!$B$13),0.5,1),0)*Assumptions!$B$12</f>
        <v>0.01</v>
      </c>
      <c r="D165" s="12">
        <f>D164*(1-Assumptions!$B$12*(Assumptions!$B$5+Assumptions!$B$6))</f>
        <v>0.95398525234298415</v>
      </c>
      <c r="E165" s="12">
        <f>E164+Assumptions!$B$12*(D164*Assumptions!$B$5-E164*Assumptions!$B$7)</f>
        <v>2.9501341636256447E-2</v>
      </c>
      <c r="F165" s="12">
        <f t="shared" si="6"/>
        <v>1.6513406020759406E-2</v>
      </c>
      <c r="G165" s="12">
        <f>EXP(-Assumptions!$B$8*B165)</f>
        <v>0.9245020599315531</v>
      </c>
      <c r="H165" s="12">
        <f t="shared" si="7"/>
        <v>0.88196133093541129</v>
      </c>
      <c r="I165" s="12">
        <f t="shared" si="8"/>
        <v>2.7274051113463579E-2</v>
      </c>
      <c r="J165" s="12">
        <f>G165*(D165*Assumptions!$B$6+E165*Assumptions!$B$7)</f>
        <v>1.0183315865027291E-2</v>
      </c>
    </row>
    <row r="166" spans="1:10" x14ac:dyDescent="0.2">
      <c r="A166" s="2">
        <v>158</v>
      </c>
      <c r="B166" s="14">
        <f>A166*Assumptions!$B$12</f>
        <v>1.58</v>
      </c>
      <c r="C166" s="15">
        <f>IF(A166&lt;=Assumptions!$B$13,IF(OR(A166=0,A166=Assumptions!$B$13),0.5,1),0)*Assumptions!$B$12</f>
        <v>0.01</v>
      </c>
      <c r="D166" s="12">
        <f>D165*(1-Assumptions!$B$12*(Assumptions!$B$5+Assumptions!$B$6))</f>
        <v>0.95369905676728128</v>
      </c>
      <c r="E166" s="12">
        <f>E165+Assumptions!$B$12*(D165*Assumptions!$B$5-E165*Assumptions!$B$7)</f>
        <v>2.9677388015906917E-2</v>
      </c>
      <c r="F166" s="12">
        <f t="shared" si="6"/>
        <v>1.6623555216811799E-2</v>
      </c>
      <c r="G166" s="12">
        <f>EXP(-Assumptions!$B$8*B166)</f>
        <v>0.92403992444508676</v>
      </c>
      <c r="H166" s="12">
        <f t="shared" si="7"/>
        <v>0.88125600435858908</v>
      </c>
      <c r="I166" s="12">
        <f t="shared" si="8"/>
        <v>2.7423091379946151E-2</v>
      </c>
      <c r="J166" s="12">
        <f>G166*(D166*Assumptions!$B$6+E166*Assumptions!$B$7)</f>
        <v>1.0183714612583199E-2</v>
      </c>
    </row>
    <row r="167" spans="1:10" x14ac:dyDescent="0.2">
      <c r="A167" s="2">
        <v>159</v>
      </c>
      <c r="B167" s="14">
        <f>A167*Assumptions!$B$12</f>
        <v>1.59</v>
      </c>
      <c r="C167" s="15">
        <f>IF(A167&lt;=Assumptions!$B$13,IF(OR(A167=0,A167=Assumptions!$B$13),0.5,1),0)*Assumptions!$B$12</f>
        <v>0.01</v>
      </c>
      <c r="D167" s="12">
        <f>D166*(1-Assumptions!$B$12*(Assumptions!$B$5+Assumptions!$B$6))</f>
        <v>0.95341294705025115</v>
      </c>
      <c r="E167" s="12">
        <f>E166+Assumptions!$B$12*(D166*Assumptions!$B$5-E166*Assumptions!$B$7)</f>
        <v>2.9853289133252421E-2</v>
      </c>
      <c r="F167" s="12">
        <f t="shared" si="6"/>
        <v>1.6733763816496432E-2</v>
      </c>
      <c r="G167" s="12">
        <f>EXP(-Assumptions!$B$8*B167)</f>
        <v>0.92357801996860633</v>
      </c>
      <c r="H167" s="12">
        <f t="shared" si="7"/>
        <v>0.88055124184910472</v>
      </c>
      <c r="I167" s="12">
        <f t="shared" si="8"/>
        <v>2.7571841667239583E-2</v>
      </c>
      <c r="J167" s="12">
        <f>G167*(D167*Assumptions!$B$6+E167*Assumptions!$B$7)</f>
        <v>1.0184104501853026E-2</v>
      </c>
    </row>
    <row r="168" spans="1:10" x14ac:dyDescent="0.2">
      <c r="A168" s="2">
        <v>160</v>
      </c>
      <c r="B168" s="14">
        <f>A168*Assumptions!$B$12</f>
        <v>1.6</v>
      </c>
      <c r="C168" s="15">
        <f>IF(A168&lt;=Assumptions!$B$13,IF(OR(A168=0,A168=Assumptions!$B$13),0.5,1),0)*Assumptions!$B$12</f>
        <v>0.01</v>
      </c>
      <c r="D168" s="12">
        <f>D167*(1-Assumptions!$B$12*(Assumptions!$B$5+Assumptions!$B$6))</f>
        <v>0.95312692316613612</v>
      </c>
      <c r="E168" s="12">
        <f>E167+Assumptions!$B$12*(D167*Assumptions!$B$5-E167*Assumptions!$B$7)</f>
        <v>3.0029045078095846E-2</v>
      </c>
      <c r="F168" s="12">
        <f t="shared" si="6"/>
        <v>1.6844031755768034E-2</v>
      </c>
      <c r="G168" s="12">
        <f>EXP(-Assumptions!$B$8*B168)</f>
        <v>0.92311634638663576</v>
      </c>
      <c r="H168" s="12">
        <f t="shared" si="7"/>
        <v>0.87984704295585925</v>
      </c>
      <c r="I168" s="12">
        <f t="shared" si="8"/>
        <v>2.7720302377971424E-2</v>
      </c>
      <c r="J168" s="12">
        <f>G168*(D168*Assumptions!$B$6+E168*Assumptions!$B$7)</f>
        <v>1.0184485548457165E-2</v>
      </c>
    </row>
    <row r="169" spans="1:10" x14ac:dyDescent="0.2">
      <c r="A169" s="2">
        <v>161</v>
      </c>
      <c r="B169" s="14">
        <f>A169*Assumptions!$B$12</f>
        <v>1.61</v>
      </c>
      <c r="C169" s="15">
        <f>IF(A169&lt;=Assumptions!$B$13,IF(OR(A169=0,A169=Assumptions!$B$13),0.5,1),0)*Assumptions!$B$12</f>
        <v>0.01</v>
      </c>
      <c r="D169" s="12">
        <f>D168*(1-Assumptions!$B$12*(Assumptions!$B$5+Assumptions!$B$6))</f>
        <v>0.95284098508918635</v>
      </c>
      <c r="E169" s="12">
        <f>E168+Assumptions!$B$12*(D168*Assumptions!$B$5-E168*Assumptions!$B$7)</f>
        <v>3.0204655940190027E-2</v>
      </c>
      <c r="F169" s="12">
        <f t="shared" si="6"/>
        <v>1.6954358970623619E-2</v>
      </c>
      <c r="G169" s="12">
        <f>EXP(-Assumptions!$B$8*B169)</f>
        <v>0.92265490358375657</v>
      </c>
      <c r="H169" s="12">
        <f t="shared" si="7"/>
        <v>0.8791434072281149</v>
      </c>
      <c r="I169" s="12">
        <f t="shared" si="8"/>
        <v>2.7868473914276569E-2</v>
      </c>
      <c r="J169" s="12">
        <f>G169*(D169*Assumptions!$B$6+E169*Assumptions!$B$7)</f>
        <v>1.0184857767994979E-2</v>
      </c>
    </row>
    <row r="170" spans="1:10" x14ac:dyDescent="0.2">
      <c r="A170" s="2">
        <v>162</v>
      </c>
      <c r="B170" s="14">
        <f>A170*Assumptions!$B$12</f>
        <v>1.62</v>
      </c>
      <c r="C170" s="15">
        <f>IF(A170&lt;=Assumptions!$B$13,IF(OR(A170=0,A170=Assumptions!$B$13),0.5,1),0)*Assumptions!$B$12</f>
        <v>0.01</v>
      </c>
      <c r="D170" s="12">
        <f>D169*(1-Assumptions!$B$12*(Assumptions!$B$5+Assumptions!$B$6))</f>
        <v>0.95255513279365966</v>
      </c>
      <c r="E170" s="12">
        <f>E169+Assumptions!$B$12*(D169*Assumptions!$B$5-E169*Assumptions!$B$7)</f>
        <v>3.038012180923777E-2</v>
      </c>
      <c r="F170" s="12">
        <f t="shared" si="6"/>
        <v>1.7064745397102565E-2</v>
      </c>
      <c r="G170" s="12">
        <f>EXP(-Assumptions!$B$8*B170)</f>
        <v>0.92219369144460805</v>
      </c>
      <c r="H170" s="12">
        <f t="shared" si="7"/>
        <v>0.87844033421549383</v>
      </c>
      <c r="I170" s="12">
        <f t="shared" si="8"/>
        <v>2.8016356677797824E-2</v>
      </c>
      <c r="J170" s="12">
        <f>G170*(D170*Assumptions!$B$6+E170*Assumptions!$B$7)</f>
        <v>1.0185221176044831E-2</v>
      </c>
    </row>
    <row r="171" spans="1:10" x14ac:dyDescent="0.2">
      <c r="A171" s="2">
        <v>163</v>
      </c>
      <c r="B171" s="14">
        <f>A171*Assumptions!$B$12</f>
        <v>1.6300000000000001</v>
      </c>
      <c r="C171" s="15">
        <f>IF(A171&lt;=Assumptions!$B$13,IF(OR(A171=0,A171=Assumptions!$B$13),0.5,1),0)*Assumptions!$B$12</f>
        <v>0.01</v>
      </c>
      <c r="D171" s="12">
        <f>D170*(1-Assumptions!$B$12*(Assumptions!$B$5+Assumptions!$B$6))</f>
        <v>0.95226936625382164</v>
      </c>
      <c r="E171" s="12">
        <f>E170+Assumptions!$B$12*(D170*Assumptions!$B$5-E170*Assumptions!$B$7)</f>
        <v>3.0555442774891882E-2</v>
      </c>
      <c r="F171" s="12">
        <f t="shared" si="6"/>
        <v>1.7175190971286482E-2</v>
      </c>
      <c r="G171" s="12">
        <f>EXP(-Assumptions!$B$8*B171)</f>
        <v>0.92173270985388722</v>
      </c>
      <c r="H171" s="12">
        <f t="shared" si="7"/>
        <v>0.87773782346797879</v>
      </c>
      <c r="I171" s="12">
        <f t="shared" si="8"/>
        <v>2.8163951069686475E-2</v>
      </c>
      <c r="J171" s="12">
        <f>G171*(D171*Assumptions!$B$6+E171*Assumptions!$B$7)</f>
        <v>1.0185575788164111E-2</v>
      </c>
    </row>
    <row r="172" spans="1:10" x14ac:dyDescent="0.2">
      <c r="A172" s="2">
        <v>164</v>
      </c>
      <c r="B172" s="14">
        <f>A172*Assumptions!$B$12</f>
        <v>1.6400000000000001</v>
      </c>
      <c r="C172" s="15">
        <f>IF(A172&lt;=Assumptions!$B$13,IF(OR(A172=0,A172=Assumptions!$B$13),0.5,1),0)*Assumptions!$B$12</f>
        <v>0.01</v>
      </c>
      <c r="D172" s="12">
        <f>D171*(1-Assumptions!$B$12*(Assumptions!$B$5+Assumptions!$B$6))</f>
        <v>0.95198368544394552</v>
      </c>
      <c r="E172" s="12">
        <f>E171+Assumptions!$B$12*(D171*Assumptions!$B$5-E171*Assumptions!$B$7)</f>
        <v>3.0730618926755202E-2</v>
      </c>
      <c r="F172" s="12">
        <f t="shared" si="6"/>
        <v>1.7285695629299283E-2</v>
      </c>
      <c r="G172" s="12">
        <f>EXP(-Assumptions!$B$8*B172)</f>
        <v>0.92127195869634859</v>
      </c>
      <c r="H172" s="12">
        <f t="shared" si="7"/>
        <v>0.87703587453591225</v>
      </c>
      <c r="I172" s="12">
        <f t="shared" si="8"/>
        <v>2.8311257490602846E-2</v>
      </c>
      <c r="J172" s="12">
        <f>G172*(D172*Assumptions!$B$6+E172*Assumptions!$B$7)</f>
        <v>1.0185921619889265E-2</v>
      </c>
    </row>
    <row r="173" spans="1:10" x14ac:dyDescent="0.2">
      <c r="A173" s="2">
        <v>165</v>
      </c>
      <c r="B173" s="14">
        <f>A173*Assumptions!$B$12</f>
        <v>1.6500000000000001</v>
      </c>
      <c r="C173" s="15">
        <f>IF(A173&lt;=Assumptions!$B$13,IF(OR(A173=0,A173=Assumptions!$B$13),0.5,1),0)*Assumptions!$B$12</f>
        <v>0.01</v>
      </c>
      <c r="D173" s="12">
        <f>D172*(1-Assumptions!$B$12*(Assumptions!$B$5+Assumptions!$B$6))</f>
        <v>0.95169809033831232</v>
      </c>
      <c r="E173" s="12">
        <f>E172+Assumptions!$B$12*(D172*Assumptions!$B$5-E172*Assumptions!$B$7)</f>
        <v>3.0905650354380611E-2</v>
      </c>
      <c r="F173" s="12">
        <f t="shared" si="6"/>
        <v>1.7396259307307069E-2</v>
      </c>
      <c r="G173" s="12">
        <f>EXP(-Assumptions!$B$8*B173)</f>
        <v>0.92081143785680453</v>
      </c>
      <c r="H173" s="12">
        <f t="shared" si="7"/>
        <v>0.87633448696999638</v>
      </c>
      <c r="I173" s="12">
        <f t="shared" si="8"/>
        <v>2.8458276340716872E-2</v>
      </c>
      <c r="J173" s="12">
        <f>G173*(D173*Assumptions!$B$6+E173*Assumptions!$B$7)</f>
        <v>1.0186258686735807E-2</v>
      </c>
    </row>
    <row r="174" spans="1:10" x14ac:dyDescent="0.2">
      <c r="A174" s="2">
        <v>166</v>
      </c>
      <c r="B174" s="14">
        <f>A174*Assumptions!$B$12</f>
        <v>1.6600000000000001</v>
      </c>
      <c r="C174" s="15">
        <f>IF(A174&lt;=Assumptions!$B$13,IF(OR(A174=0,A174=Assumptions!$B$13),0.5,1),0)*Assumptions!$B$12</f>
        <v>0.01</v>
      </c>
      <c r="D174" s="12">
        <f>D173*(1-Assumptions!$B$12*(Assumptions!$B$5+Assumptions!$B$6))</f>
        <v>0.95141258091121084</v>
      </c>
      <c r="E174" s="12">
        <f>E173+Assumptions!$B$12*(D173*Assumptions!$B$5-E173*Assumptions!$B$7)</f>
        <v>3.1080537147271083E-2</v>
      </c>
      <c r="F174" s="12">
        <f t="shared" si="6"/>
        <v>1.7506881941518081E-2</v>
      </c>
      <c r="G174" s="12">
        <f>EXP(-Assumptions!$B$8*B174)</f>
        <v>0.92035114722012468</v>
      </c>
      <c r="H174" s="12">
        <f t="shared" si="7"/>
        <v>0.87563366032129264</v>
      </c>
      <c r="I174" s="12">
        <f t="shared" si="8"/>
        <v>2.8605008019708642E-2</v>
      </c>
      <c r="J174" s="12">
        <f>G174*(D174*Assumptions!$B$6+E174*Assumptions!$B$7)</f>
        <v>1.0186587004198359E-2</v>
      </c>
    </row>
    <row r="175" spans="1:10" x14ac:dyDescent="0.2">
      <c r="A175" s="2">
        <v>167</v>
      </c>
      <c r="B175" s="14">
        <f>A175*Assumptions!$B$12</f>
        <v>1.67</v>
      </c>
      <c r="C175" s="15">
        <f>IF(A175&lt;=Assumptions!$B$13,IF(OR(A175=0,A175=Assumptions!$B$13),0.5,1),0)*Assumptions!$B$12</f>
        <v>0.01</v>
      </c>
      <c r="D175" s="12">
        <f>D174*(1-Assumptions!$B$12*(Assumptions!$B$5+Assumptions!$B$6))</f>
        <v>0.95112715713693752</v>
      </c>
      <c r="E175" s="12">
        <f>E174+Assumptions!$B$12*(D174*Assumptions!$B$5-E174*Assumptions!$B$7)</f>
        <v>3.1255279394879688E-2</v>
      </c>
      <c r="F175" s="12">
        <f t="shared" si="6"/>
        <v>1.7617563468182794E-2</v>
      </c>
      <c r="G175" s="12">
        <f>EXP(-Assumptions!$B$8*B175)</f>
        <v>0.91989108667123642</v>
      </c>
      <c r="H175" s="12">
        <f t="shared" si="7"/>
        <v>0.87493339414122129</v>
      </c>
      <c r="I175" s="12">
        <f t="shared" si="8"/>
        <v>2.8751452926768981E-2</v>
      </c>
      <c r="J175" s="12">
        <f>G175*(D175*Assumptions!$B$6+E175*Assumptions!$B$7)</f>
        <v>1.0186906587750663E-2</v>
      </c>
    </row>
    <row r="176" spans="1:10" x14ac:dyDescent="0.2">
      <c r="A176" s="2">
        <v>168</v>
      </c>
      <c r="B176" s="14">
        <f>A176*Assumptions!$B$12</f>
        <v>1.68</v>
      </c>
      <c r="C176" s="15">
        <f>IF(A176&lt;=Assumptions!$B$13,IF(OR(A176=0,A176=Assumptions!$B$13),0.5,1),0)*Assumptions!$B$12</f>
        <v>0.01</v>
      </c>
      <c r="D176" s="12">
        <f>D175*(1-Assumptions!$B$12*(Assumptions!$B$5+Assumptions!$B$6))</f>
        <v>0.95084181898979647</v>
      </c>
      <c r="E176" s="12">
        <f>E175+Assumptions!$B$12*(D175*Assumptions!$B$5-E175*Assumptions!$B$7)</f>
        <v>3.1429877186609639E-2</v>
      </c>
      <c r="F176" s="12">
        <f t="shared" si="6"/>
        <v>1.7728303823593888E-2</v>
      </c>
      <c r="G176" s="12">
        <f>EXP(-Assumptions!$B$8*B176)</f>
        <v>0.91943125609512466</v>
      </c>
      <c r="H176" s="12">
        <f t="shared" si="7"/>
        <v>0.87423368798156176</v>
      </c>
      <c r="I176" s="12">
        <f t="shared" si="8"/>
        <v>2.8897611460600003E-2</v>
      </c>
      <c r="J176" s="12">
        <f>G176*(D176*Assumptions!$B$6+E176*Assumptions!$B$7)</f>
        <v>1.0187217452845617E-2</v>
      </c>
    </row>
    <row r="177" spans="1:10" x14ac:dyDescent="0.2">
      <c r="A177" s="2">
        <v>169</v>
      </c>
      <c r="B177" s="14">
        <f>A177*Assumptions!$B$12</f>
        <v>1.69</v>
      </c>
      <c r="C177" s="15">
        <f>IF(A177&lt;=Assumptions!$B$13,IF(OR(A177=0,A177=Assumptions!$B$13),0.5,1),0)*Assumptions!$B$12</f>
        <v>0.01</v>
      </c>
      <c r="D177" s="12">
        <f>D176*(1-Assumptions!$B$12*(Assumptions!$B$5+Assumptions!$B$6))</f>
        <v>0.95055656644409958</v>
      </c>
      <c r="E177" s="12">
        <f>E176+Assumptions!$B$12*(D176*Assumptions!$B$5-E176*Assumptions!$B$7)</f>
        <v>3.1604330611814294E-2</v>
      </c>
      <c r="F177" s="12">
        <f t="shared" si="6"/>
        <v>1.7839102944086124E-2</v>
      </c>
      <c r="G177" s="12">
        <f>EXP(-Assumptions!$B$8*B177)</f>
        <v>0.91897165537683168</v>
      </c>
      <c r="H177" s="12">
        <f t="shared" si="7"/>
        <v>0.87353454139445152</v>
      </c>
      <c r="I177" s="12">
        <f t="shared" si="8"/>
        <v>2.9043484019415658E-2</v>
      </c>
      <c r="J177" s="12">
        <f>G177*(D177*Assumptions!$B$6+E177*Assumptions!$B$7)</f>
        <v>1.0187519614915297E-2</v>
      </c>
    </row>
    <row r="178" spans="1:10" x14ac:dyDescent="0.2">
      <c r="A178" s="2">
        <v>170</v>
      </c>
      <c r="B178" s="14">
        <f>A178*Assumptions!$B$12</f>
        <v>1.7</v>
      </c>
      <c r="C178" s="15">
        <f>IF(A178&lt;=Assumptions!$B$13,IF(OR(A178=0,A178=Assumptions!$B$13),0.5,1),0)*Assumptions!$B$12</f>
        <v>0.01</v>
      </c>
      <c r="D178" s="12">
        <f>D177*(1-Assumptions!$B$12*(Assumptions!$B$5+Assumptions!$B$6))</f>
        <v>0.95027139947416639</v>
      </c>
      <c r="E178" s="12">
        <f>E177+Assumptions!$B$12*(D177*Assumptions!$B$5-E177*Assumptions!$B$7)</f>
        <v>3.1778639759797209E-2</v>
      </c>
      <c r="F178" s="12">
        <f t="shared" si="6"/>
        <v>1.7949960766036402E-2</v>
      </c>
      <c r="G178" s="12">
        <f>EXP(-Assumptions!$B$8*B178)</f>
        <v>0.91851228440145738</v>
      </c>
      <c r="H178" s="12">
        <f t="shared" si="7"/>
        <v>0.87283595393238644</v>
      </c>
      <c r="I178" s="12">
        <f t="shared" si="8"/>
        <v>2.9189071000942316E-2</v>
      </c>
      <c r="J178" s="12">
        <f>G178*(D178*Assumptions!$B$6+E178*Assumptions!$B$7)</f>
        <v>1.018781308937098E-2</v>
      </c>
    </row>
    <row r="179" spans="1:10" x14ac:dyDescent="0.2">
      <c r="A179" s="2">
        <v>171</v>
      </c>
      <c r="B179" s="14">
        <f>A179*Assumptions!$B$12</f>
        <v>1.71</v>
      </c>
      <c r="C179" s="15">
        <f>IF(A179&lt;=Assumptions!$B$13,IF(OR(A179=0,A179=Assumptions!$B$13),0.5,1),0)*Assumptions!$B$12</f>
        <v>0.01</v>
      </c>
      <c r="D179" s="12">
        <f>D178*(1-Assumptions!$B$12*(Assumptions!$B$5+Assumptions!$B$6))</f>
        <v>0.94998631805432421</v>
      </c>
      <c r="E179" s="12">
        <f>E178+Assumptions!$B$12*(D178*Assumptions!$B$5-E178*Assumptions!$B$7)</f>
        <v>3.1952804719812142E-2</v>
      </c>
      <c r="F179" s="12">
        <f t="shared" si="6"/>
        <v>1.806087722586365E-2</v>
      </c>
      <c r="G179" s="12">
        <f>EXP(-Assumptions!$B$8*B179)</f>
        <v>0.91805314305415886</v>
      </c>
      <c r="H179" s="12">
        <f t="shared" si="7"/>
        <v>0.87213792514822019</v>
      </c>
      <c r="I179" s="12">
        <f t="shared" si="8"/>
        <v>2.9334372802419299E-2</v>
      </c>
      <c r="J179" s="12">
        <f>G179*(D179*Assumptions!$B$6+E179*Assumptions!$B$7)</f>
        <v>1.0188097891603168E-2</v>
      </c>
    </row>
    <row r="180" spans="1:10" x14ac:dyDescent="0.2">
      <c r="A180" s="2">
        <v>172</v>
      </c>
      <c r="B180" s="14">
        <f>A180*Assumptions!$B$12</f>
        <v>1.72</v>
      </c>
      <c r="C180" s="15">
        <f>IF(A180&lt;=Assumptions!$B$13,IF(OR(A180=0,A180=Assumptions!$B$13),0.5,1),0)*Assumptions!$B$12</f>
        <v>0.01</v>
      </c>
      <c r="D180" s="12">
        <f>D179*(1-Assumptions!$B$12*(Assumptions!$B$5+Assumptions!$B$6))</f>
        <v>0.9497013221589079</v>
      </c>
      <c r="E180" s="12">
        <f>E179+Assumptions!$B$12*(D179*Assumptions!$B$5-E179*Assumptions!$B$7)</f>
        <v>3.2126825581063098E-2</v>
      </c>
      <c r="F180" s="12">
        <f t="shared" si="6"/>
        <v>1.8171852260029001E-2</v>
      </c>
      <c r="G180" s="12">
        <f>EXP(-Assumptions!$B$8*B180)</f>
        <v>0.91759423122015094</v>
      </c>
      <c r="H180" s="12">
        <f t="shared" si="7"/>
        <v>0.87144045459516395</v>
      </c>
      <c r="I180" s="12">
        <f t="shared" si="8"/>
        <v>2.9479389820599472E-2</v>
      </c>
      <c r="J180" s="12">
        <f>G180*(D180*Assumptions!$B$6+E180*Assumptions!$B$7)</f>
        <v>1.0188374036981614E-2</v>
      </c>
    </row>
    <row r="181" spans="1:10" x14ac:dyDescent="0.2">
      <c r="A181" s="2">
        <v>173</v>
      </c>
      <c r="B181" s="14">
        <f>A181*Assumptions!$B$12</f>
        <v>1.73</v>
      </c>
      <c r="C181" s="15">
        <f>IF(A181&lt;=Assumptions!$B$13,IF(OR(A181=0,A181=Assumptions!$B$13),0.5,1),0)*Assumptions!$B$12</f>
        <v>0.01</v>
      </c>
      <c r="D181" s="12">
        <f>D180*(1-Assumptions!$B$12*(Assumptions!$B$5+Assumptions!$B$6))</f>
        <v>0.94941641176226022</v>
      </c>
      <c r="E181" s="12">
        <f>E180+Assumptions!$B$12*(D180*Assumptions!$B$5-E180*Assumptions!$B$7)</f>
        <v>3.2300702432704345E-2</v>
      </c>
      <c r="F181" s="12">
        <f t="shared" si="6"/>
        <v>1.828288580503544E-2</v>
      </c>
      <c r="G181" s="12">
        <f>EXP(-Assumptions!$B$8*B181)</f>
        <v>0.9171355487847056</v>
      </c>
      <c r="H181" s="12">
        <f t="shared" si="7"/>
        <v>0.87074354182678659</v>
      </c>
      <c r="I181" s="12">
        <f t="shared" si="8"/>
        <v>2.9624122451749776E-2</v>
      </c>
      <c r="J181" s="12">
        <f>G181*(D181*Assumptions!$B$6+E181*Assumptions!$B$7)</f>
        <v>1.0188641540855354E-2</v>
      </c>
    </row>
    <row r="182" spans="1:10" x14ac:dyDescent="0.2">
      <c r="A182" s="2">
        <v>174</v>
      </c>
      <c r="B182" s="14">
        <f>A182*Assumptions!$B$12</f>
        <v>1.74</v>
      </c>
      <c r="C182" s="15">
        <f>IF(A182&lt;=Assumptions!$B$13,IF(OR(A182=0,A182=Assumptions!$B$13),0.5,1),0)*Assumptions!$B$12</f>
        <v>0.01</v>
      </c>
      <c r="D182" s="12">
        <f>D181*(1-Assumptions!$B$12*(Assumptions!$B$5+Assumptions!$B$6))</f>
        <v>0.94913158683873156</v>
      </c>
      <c r="E182" s="12">
        <f>E181+Assumptions!$B$12*(D181*Assumptions!$B$5-E181*Assumptions!$B$7)</f>
        <v>3.2474435363840447E-2</v>
      </c>
      <c r="F182" s="12">
        <f t="shared" si="6"/>
        <v>1.8393977797427997E-2</v>
      </c>
      <c r="G182" s="12">
        <f>EXP(-Assumptions!$B$8*B182)</f>
        <v>0.91667709563315225</v>
      </c>
      <c r="H182" s="12">
        <f t="shared" si="7"/>
        <v>0.87004718639701351</v>
      </c>
      <c r="I182" s="12">
        <f t="shared" si="8"/>
        <v>2.9768571091651791E-2</v>
      </c>
      <c r="J182" s="12">
        <f>G182*(D182*Assumptions!$B$6+E182*Assumptions!$B$7)</f>
        <v>1.0188900418552724E-2</v>
      </c>
    </row>
    <row r="183" spans="1:10" x14ac:dyDescent="0.2">
      <c r="A183" s="2">
        <v>175</v>
      </c>
      <c r="B183" s="14">
        <f>A183*Assumptions!$B$12</f>
        <v>1.75</v>
      </c>
      <c r="C183" s="15">
        <f>IF(A183&lt;=Assumptions!$B$13,IF(OR(A183=0,A183=Assumptions!$B$13),0.5,1),0)*Assumptions!$B$12</f>
        <v>0.01</v>
      </c>
      <c r="D183" s="12">
        <f>D182*(1-Assumptions!$B$12*(Assumptions!$B$5+Assumptions!$B$6))</f>
        <v>0.94884684736267999</v>
      </c>
      <c r="E183" s="12">
        <f>E182+Assumptions!$B$12*(D182*Assumptions!$B$5-E182*Assumptions!$B$7)</f>
        <v>3.2648024463526271E-2</v>
      </c>
      <c r="F183" s="12">
        <f t="shared" si="6"/>
        <v>1.8505128173793739E-2</v>
      </c>
      <c r="G183" s="12">
        <f>EXP(-Assumptions!$B$8*B183)</f>
        <v>0.91621887165087756</v>
      </c>
      <c r="H183" s="12">
        <f t="shared" si="7"/>
        <v>0.86935138786012711</v>
      </c>
      <c r="I183" s="12">
        <f t="shared" si="8"/>
        <v>2.9912736135602289E-2</v>
      </c>
      <c r="J183" s="12">
        <f>G183*(D183*Assumptions!$B$6+E183*Assumptions!$B$7)</f>
        <v>1.0189150685381386E-2</v>
      </c>
    </row>
    <row r="184" spans="1:10" x14ac:dyDescent="0.2">
      <c r="A184" s="2">
        <v>176</v>
      </c>
      <c r="B184" s="14">
        <f>A184*Assumptions!$B$12</f>
        <v>1.76</v>
      </c>
      <c r="C184" s="15">
        <f>IF(A184&lt;=Assumptions!$B$13,IF(OR(A184=0,A184=Assumptions!$B$13),0.5,1),0)*Assumptions!$B$12</f>
        <v>0.01</v>
      </c>
      <c r="D184" s="12">
        <f>D183*(1-Assumptions!$B$12*(Assumptions!$B$5+Assumptions!$B$6))</f>
        <v>0.94856219330847125</v>
      </c>
      <c r="E184" s="12">
        <f>E183+Assumptions!$B$12*(D183*Assumptions!$B$5-E183*Assumptions!$B$7)</f>
        <v>3.2821469820767044E-2</v>
      </c>
      <c r="F184" s="12">
        <f t="shared" si="6"/>
        <v>1.861633687076171E-2</v>
      </c>
      <c r="G184" s="12">
        <f>EXP(-Assumptions!$B$8*B184)</f>
        <v>0.91576087672332562</v>
      </c>
      <c r="H184" s="12">
        <f t="shared" si="7"/>
        <v>0.86865614577076633</v>
      </c>
      <c r="I184" s="12">
        <f t="shared" si="8"/>
        <v>3.0056617978413802E-2</v>
      </c>
      <c r="J184" s="12">
        <f>G184*(D184*Assumptions!$B$6+E184*Assumptions!$B$7)</f>
        <v>1.0189392356628354E-2</v>
      </c>
    </row>
    <row r="185" spans="1:10" x14ac:dyDescent="0.2">
      <c r="A185" s="2">
        <v>177</v>
      </c>
      <c r="B185" s="14">
        <f>A185*Assumptions!$B$12</f>
        <v>1.77</v>
      </c>
      <c r="C185" s="15">
        <f>IF(A185&lt;=Assumptions!$B$13,IF(OR(A185=0,A185=Assumptions!$B$13),0.5,1),0)*Assumptions!$B$12</f>
        <v>0.01</v>
      </c>
      <c r="D185" s="12">
        <f>D184*(1-Assumptions!$B$12*(Assumptions!$B$5+Assumptions!$B$6))</f>
        <v>0.94827762465047871</v>
      </c>
      <c r="E185" s="12">
        <f>E184+Assumptions!$B$12*(D184*Assumptions!$B$5-E184*Assumptions!$B$7)</f>
        <v>3.2994771524518351E-2</v>
      </c>
      <c r="F185" s="12">
        <f t="shared" si="6"/>
        <v>1.8727603825002936E-2</v>
      </c>
      <c r="G185" s="12">
        <f>EXP(-Assumptions!$B$8*B185)</f>
        <v>0.91530311073599757</v>
      </c>
      <c r="H185" s="12">
        <f t="shared" si="7"/>
        <v>0.86796145968392591</v>
      </c>
      <c r="I185" s="12">
        <f t="shared" si="8"/>
        <v>3.0200217014415161E-2</v>
      </c>
      <c r="J185" s="12">
        <f>G185*(D185*Assumptions!$B$6+E185*Assumptions!$B$7)</f>
        <v>1.0189625447560016E-2</v>
      </c>
    </row>
    <row r="186" spans="1:10" x14ac:dyDescent="0.2">
      <c r="A186" s="2">
        <v>178</v>
      </c>
      <c r="B186" s="14">
        <f>A186*Assumptions!$B$12</f>
        <v>1.78</v>
      </c>
      <c r="C186" s="15">
        <f>IF(A186&lt;=Assumptions!$B$13,IF(OR(A186=0,A186=Assumptions!$B$13),0.5,1),0)*Assumptions!$B$12</f>
        <v>0.01</v>
      </c>
      <c r="D186" s="12">
        <f>D185*(1-Assumptions!$B$12*(Assumptions!$B$5+Assumptions!$B$6))</f>
        <v>0.94799314136308355</v>
      </c>
      <c r="E186" s="12">
        <f>E185+Assumptions!$B$12*(D185*Assumptions!$B$5-E185*Assumptions!$B$7)</f>
        <v>3.3167929663686188E-2</v>
      </c>
      <c r="F186" s="12">
        <f t="shared" si="6"/>
        <v>1.8838928973230265E-2</v>
      </c>
      <c r="G186" s="12">
        <f>EXP(-Assumptions!$B$8*B186)</f>
        <v>0.91484557357445195</v>
      </c>
      <c r="H186" s="12">
        <f t="shared" si="7"/>
        <v>0.86726732915495663</v>
      </c>
      <c r="I186" s="12">
        <f t="shared" si="8"/>
        <v>3.0343533637452069E-2</v>
      </c>
      <c r="J186" s="12">
        <f>G186*(D186*Assumptions!$B$6+E186*Assumptions!$B$7)</f>
        <v>1.018984997342217E-2</v>
      </c>
    </row>
    <row r="187" spans="1:10" x14ac:dyDescent="0.2">
      <c r="A187" s="2">
        <v>179</v>
      </c>
      <c r="B187" s="14">
        <f>A187*Assumptions!$B$12</f>
        <v>1.79</v>
      </c>
      <c r="C187" s="15">
        <f>IF(A187&lt;=Assumptions!$B$13,IF(OR(A187=0,A187=Assumptions!$B$13),0.5,1),0)*Assumptions!$B$12</f>
        <v>0.01</v>
      </c>
      <c r="D187" s="12">
        <f>D186*(1-Assumptions!$B$12*(Assumptions!$B$5+Assumptions!$B$6))</f>
        <v>0.94770874342067468</v>
      </c>
      <c r="E187" s="12">
        <f>E186+Assumptions!$B$12*(D186*Assumptions!$B$5-E186*Assumptions!$B$7)</f>
        <v>3.3340944327126962E-2</v>
      </c>
      <c r="F187" s="12">
        <f t="shared" si="6"/>
        <v>1.8950312252198356E-2</v>
      </c>
      <c r="G187" s="12">
        <f>EXP(-Assumptions!$B$8*B187)</f>
        <v>0.9143882651243046</v>
      </c>
      <c r="H187" s="12">
        <f t="shared" si="7"/>
        <v>0.86657375373956547</v>
      </c>
      <c r="I187" s="12">
        <f t="shared" si="8"/>
        <v>3.0486568240887649E-2</v>
      </c>
      <c r="J187" s="12">
        <f>G187*(D187*Assumptions!$B$6+E187*Assumptions!$B$7)</f>
        <v>1.0190065949440039E-2</v>
      </c>
    </row>
    <row r="188" spans="1:10" x14ac:dyDescent="0.2">
      <c r="A188" s="2">
        <v>180</v>
      </c>
      <c r="B188" s="14">
        <f>A188*Assumptions!$B$12</f>
        <v>1.8</v>
      </c>
      <c r="C188" s="15">
        <f>IF(A188&lt;=Assumptions!$B$13,IF(OR(A188=0,A188=Assumptions!$B$13),0.5,1),0)*Assumptions!$B$12</f>
        <v>0.01</v>
      </c>
      <c r="D188" s="12">
        <f>D187*(1-Assumptions!$B$12*(Assumptions!$B$5+Assumptions!$B$6))</f>
        <v>0.94742443079764849</v>
      </c>
      <c r="E188" s="12">
        <f>E187+Assumptions!$B$12*(D187*Assumptions!$B$5-E187*Assumptions!$B$7)</f>
        <v>3.351381560364753E-2</v>
      </c>
      <c r="F188" s="12">
        <f t="shared" si="6"/>
        <v>1.9061753598703983E-2</v>
      </c>
      <c r="G188" s="12">
        <f>EXP(-Assumptions!$B$8*B188)</f>
        <v>0.91393118527122819</v>
      </c>
      <c r="H188" s="12">
        <f t="shared" si="7"/>
        <v>0.86588073299381363</v>
      </c>
      <c r="I188" s="12">
        <f t="shared" si="8"/>
        <v>3.0629321217602968E-2</v>
      </c>
      <c r="J188" s="12">
        <f>G188*(D188*Assumptions!$B$6+E188*Assumptions!$B$7)</f>
        <v>1.0190273390818285E-2</v>
      </c>
    </row>
    <row r="189" spans="1:10" x14ac:dyDescent="0.2">
      <c r="A189" s="2">
        <v>181</v>
      </c>
      <c r="B189" s="14">
        <f>A189*Assumptions!$B$12</f>
        <v>1.81</v>
      </c>
      <c r="C189" s="15">
        <f>IF(A189&lt;=Assumptions!$B$13,IF(OR(A189=0,A189=Assumptions!$B$13),0.5,1),0)*Assumptions!$B$12</f>
        <v>0.01</v>
      </c>
      <c r="D189" s="12">
        <f>D188*(1-Assumptions!$B$12*(Assumptions!$B$5+Assumptions!$B$6))</f>
        <v>0.94714020346840921</v>
      </c>
      <c r="E189" s="12">
        <f>E188+Assumptions!$B$12*(D188*Assumptions!$B$5-E188*Assumptions!$B$7)</f>
        <v>3.3686543582005235E-2</v>
      </c>
      <c r="F189" s="12">
        <f t="shared" si="6"/>
        <v>1.9173252949585551E-2</v>
      </c>
      <c r="G189" s="12">
        <f>EXP(-Assumptions!$B$8*B189)</f>
        <v>0.9134743339009529</v>
      </c>
      <c r="H189" s="12">
        <f t="shared" si="7"/>
        <v>0.86518826647411806</v>
      </c>
      <c r="I189" s="12">
        <f t="shared" si="8"/>
        <v>3.0771792959997653E-2</v>
      </c>
      <c r="J189" s="12">
        <f>G189*(D189*Assumptions!$B$6+E189*Assumptions!$B$7)</f>
        <v>1.0190472312741065E-2</v>
      </c>
    </row>
    <row r="190" spans="1:10" x14ac:dyDescent="0.2">
      <c r="A190" s="2">
        <v>182</v>
      </c>
      <c r="B190" s="14">
        <f>A190*Assumptions!$B$12</f>
        <v>1.82</v>
      </c>
      <c r="C190" s="15">
        <f>IF(A190&lt;=Assumptions!$B$13,IF(OR(A190=0,A190=Assumptions!$B$13),0.5,1),0)*Assumptions!$B$12</f>
        <v>0.01</v>
      </c>
      <c r="D190" s="12">
        <f>D189*(1-Assumptions!$B$12*(Assumptions!$B$5+Assumptions!$B$6))</f>
        <v>0.94685606140736878</v>
      </c>
      <c r="E190" s="12">
        <f>E189+Assumptions!$B$12*(D189*Assumptions!$B$5-E189*Assumptions!$B$7)</f>
        <v>3.3859128350907916E-2</v>
      </c>
      <c r="F190" s="12">
        <f t="shared" si="6"/>
        <v>1.9284810241723307E-2</v>
      </c>
      <c r="G190" s="12">
        <f>EXP(-Assumptions!$B$8*B190)</f>
        <v>0.91301771089926576</v>
      </c>
      <c r="H190" s="12">
        <f t="shared" si="7"/>
        <v>0.86449635373725042</v>
      </c>
      <c r="I190" s="12">
        <f t="shared" si="8"/>
        <v>3.0913983859990377E-2</v>
      </c>
      <c r="J190" s="12">
        <f>G190*(D190*Assumptions!$B$6+E190*Assumptions!$B$7)</f>
        <v>1.0190662730372025E-2</v>
      </c>
    </row>
    <row r="191" spans="1:10" x14ac:dyDescent="0.2">
      <c r="A191" s="2">
        <v>183</v>
      </c>
      <c r="B191" s="14">
        <f>A191*Assumptions!$B$12</f>
        <v>1.83</v>
      </c>
      <c r="C191" s="15">
        <f>IF(A191&lt;=Assumptions!$B$13,IF(OR(A191=0,A191=Assumptions!$B$13),0.5,1),0)*Assumptions!$B$12</f>
        <v>0.01</v>
      </c>
      <c r="D191" s="12">
        <f>D190*(1-Assumptions!$B$12*(Assumptions!$B$5+Assumptions!$B$6))</f>
        <v>0.94657200458894664</v>
      </c>
      <c r="E191" s="12">
        <f>E190+Assumptions!$B$12*(D190*Assumptions!$B$5-E190*Assumptions!$B$7)</f>
        <v>3.4031569999013939E-2</v>
      </c>
      <c r="F191" s="12">
        <f t="shared" si="6"/>
        <v>1.9396425412039425E-2</v>
      </c>
      <c r="G191" s="12">
        <f>EXP(-Assumptions!$B$8*B191)</f>
        <v>0.91256131615201119</v>
      </c>
      <c r="H191" s="12">
        <f t="shared" si="7"/>
        <v>0.86380499434033675</v>
      </c>
      <c r="I191" s="12">
        <f t="shared" si="8"/>
        <v>3.1055894309019456E-2</v>
      </c>
      <c r="J191" s="12">
        <f>G191*(D191*Assumptions!$B$6+E191*Assumptions!$B$7)</f>
        <v>1.019084465885434E-2</v>
      </c>
    </row>
    <row r="192" spans="1:10" x14ac:dyDescent="0.2">
      <c r="A192" s="2">
        <v>184</v>
      </c>
      <c r="B192" s="14">
        <f>A192*Assumptions!$B$12</f>
        <v>1.84</v>
      </c>
      <c r="C192" s="15">
        <f>IF(A192&lt;=Assumptions!$B$13,IF(OR(A192=0,A192=Assumptions!$B$13),0.5,1),0)*Assumptions!$B$12</f>
        <v>0.01</v>
      </c>
      <c r="D192" s="12">
        <f>D191*(1-Assumptions!$B$12*(Assumptions!$B$5+Assumptions!$B$6))</f>
        <v>0.94628803298757003</v>
      </c>
      <c r="E192" s="12">
        <f>E191+Assumptions!$B$12*(D191*Assumptions!$B$5-E191*Assumptions!$B$7)</f>
        <v>3.4203868614932222E-2</v>
      </c>
      <c r="F192" s="12">
        <f t="shared" si="6"/>
        <v>1.9508098397497751E-2</v>
      </c>
      <c r="G192" s="12">
        <f>EXP(-Assumptions!$B$8*B192)</f>
        <v>0.91210514954509037</v>
      </c>
      <c r="H192" s="12">
        <f t="shared" si="7"/>
        <v>0.86311418784085692</v>
      </c>
      <c r="I192" s="12">
        <f t="shared" si="8"/>
        <v>3.1197524698043377E-2</v>
      </c>
      <c r="J192" s="12">
        <f>G192*(D192*Assumptions!$B$6+E192*Assumptions!$B$7)</f>
        <v>1.0191018113310739E-2</v>
      </c>
    </row>
    <row r="193" spans="1:10" x14ac:dyDescent="0.2">
      <c r="A193" s="2">
        <v>185</v>
      </c>
      <c r="B193" s="14">
        <f>A193*Assumptions!$B$12</f>
        <v>1.85</v>
      </c>
      <c r="C193" s="15">
        <f>IF(A193&lt;=Assumptions!$B$13,IF(OR(A193=0,A193=Assumptions!$B$13),0.5,1),0)*Assumptions!$B$12</f>
        <v>0.01</v>
      </c>
      <c r="D193" s="12">
        <f>D192*(1-Assumptions!$B$12*(Assumptions!$B$5+Assumptions!$B$6))</f>
        <v>0.94600414657767373</v>
      </c>
      <c r="E193" s="12">
        <f>E192+Assumptions!$B$12*(D192*Assumptions!$B$5-E192*Assumptions!$B$7)</f>
        <v>3.4376024287222272E-2</v>
      </c>
      <c r="F193" s="12">
        <f t="shared" si="6"/>
        <v>1.9619829135103996E-2</v>
      </c>
      <c r="G193" s="12">
        <f>EXP(-Assumptions!$B$8*B193)</f>
        <v>0.91164921096446172</v>
      </c>
      <c r="H193" s="12">
        <f t="shared" si="7"/>
        <v>0.86242393379664528</v>
      </c>
      <c r="I193" s="12">
        <f t="shared" si="8"/>
        <v>3.1338875417541358E-2</v>
      </c>
      <c r="J193" s="12">
        <f>G193*(D193*Assumptions!$B$6+E193*Assumptions!$B$7)</f>
        <v>1.0191183108843519E-2</v>
      </c>
    </row>
    <row r="194" spans="1:10" x14ac:dyDescent="0.2">
      <c r="A194" s="2">
        <v>186</v>
      </c>
      <c r="B194" s="14">
        <f>A194*Assumptions!$B$12</f>
        <v>1.86</v>
      </c>
      <c r="C194" s="15">
        <f>IF(A194&lt;=Assumptions!$B$13,IF(OR(A194=0,A194=Assumptions!$B$13),0.5,1),0)*Assumptions!$B$12</f>
        <v>0.01</v>
      </c>
      <c r="D194" s="12">
        <f>D193*(1-Assumptions!$B$12*(Assumptions!$B$5+Assumptions!$B$6))</f>
        <v>0.94572034533370042</v>
      </c>
      <c r="E194" s="12">
        <f>E193+Assumptions!$B$12*(D193*Assumptions!$B$5-E193*Assumptions!$B$7)</f>
        <v>3.4548037104394198E-2</v>
      </c>
      <c r="F194" s="12">
        <f t="shared" si="6"/>
        <v>1.9731617561905383E-2</v>
      </c>
      <c r="G194" s="12">
        <f>EXP(-Assumptions!$B$8*B194)</f>
        <v>0.91119350029614055</v>
      </c>
      <c r="H194" s="12">
        <f t="shared" si="7"/>
        <v>0.86173423176588926</v>
      </c>
      <c r="I194" s="12">
        <f t="shared" si="8"/>
        <v>3.1479946857513888E-2</v>
      </c>
      <c r="J194" s="12">
        <f>G194*(D194*Assumptions!$B$6+E194*Assumptions!$B$7)</f>
        <v>1.0191339660534588E-2</v>
      </c>
    </row>
    <row r="195" spans="1:10" x14ac:dyDescent="0.2">
      <c r="A195" s="2">
        <v>187</v>
      </c>
      <c r="B195" s="14">
        <f>A195*Assumptions!$B$12</f>
        <v>1.87</v>
      </c>
      <c r="C195" s="15">
        <f>IF(A195&lt;=Assumptions!$B$13,IF(OR(A195=0,A195=Assumptions!$B$13),0.5,1),0)*Assumptions!$B$12</f>
        <v>0.01</v>
      </c>
      <c r="D195" s="12">
        <f>D194*(1-Assumptions!$B$12*(Assumptions!$B$5+Assumptions!$B$6))</f>
        <v>0.9454366292301003</v>
      </c>
      <c r="E195" s="12">
        <f>E194+Assumptions!$B$12*(D194*Assumptions!$B$5-E194*Assumptions!$B$7)</f>
        <v>3.471990715490874E-2</v>
      </c>
      <c r="F195" s="12">
        <f t="shared" si="6"/>
        <v>1.984346361499096E-2</v>
      </c>
      <c r="G195" s="12">
        <f>EXP(-Assumptions!$B$8*B195)</f>
        <v>0.9107380174261992</v>
      </c>
      <c r="H195" s="12">
        <f t="shared" si="7"/>
        <v>0.86104508130713009</v>
      </c>
      <c r="I195" s="12">
        <f t="shared" si="8"/>
        <v>3.1620739407483292E-2</v>
      </c>
      <c r="J195" s="12">
        <f>G195*(D195*Assumptions!$B$6+E195*Assumptions!$B$7)</f>
        <v>1.0191487783445466E-2</v>
      </c>
    </row>
    <row r="196" spans="1:10" x14ac:dyDescent="0.2">
      <c r="A196" s="2">
        <v>188</v>
      </c>
      <c r="B196" s="14">
        <f>A196*Assumptions!$B$12</f>
        <v>1.8800000000000001</v>
      </c>
      <c r="C196" s="15">
        <f>IF(A196&lt;=Assumptions!$B$13,IF(OR(A196=0,A196=Assumptions!$B$13),0.5,1),0)*Assumptions!$B$12</f>
        <v>0.01</v>
      </c>
      <c r="D196" s="12">
        <f>D195*(1-Assumptions!$B$12*(Assumptions!$B$5+Assumptions!$B$6))</f>
        <v>0.94515299824133125</v>
      </c>
      <c r="E196" s="12">
        <f>E195+Assumptions!$B$12*(D195*Assumptions!$B$5-E195*Assumptions!$B$7)</f>
        <v>3.4891634527177307E-2</v>
      </c>
      <c r="F196" s="12">
        <f t="shared" si="6"/>
        <v>1.9955367231491439E-2</v>
      </c>
      <c r="G196" s="12">
        <f>EXP(-Assumptions!$B$8*B196)</f>
        <v>0.91028276224076687</v>
      </c>
      <c r="H196" s="12">
        <f t="shared" si="7"/>
        <v>0.86035648197926173</v>
      </c>
      <c r="I196" s="12">
        <f t="shared" si="8"/>
        <v>3.1761253456494269E-2</v>
      </c>
      <c r="J196" s="12">
        <f>G196*(D196*Assumptions!$B$6+E196*Assumptions!$B$7)</f>
        <v>1.0191627492617331E-2</v>
      </c>
    </row>
    <row r="197" spans="1:10" x14ac:dyDescent="0.2">
      <c r="A197" s="2">
        <v>189</v>
      </c>
      <c r="B197" s="14">
        <f>A197*Assumptions!$B$12</f>
        <v>1.8900000000000001</v>
      </c>
      <c r="C197" s="15">
        <f>IF(A197&lt;=Assumptions!$B$13,IF(OR(A197=0,A197=Assumptions!$B$13),0.5,1),0)*Assumptions!$B$12</f>
        <v>0.01</v>
      </c>
      <c r="D197" s="12">
        <f>D196*(1-Assumptions!$B$12*(Assumptions!$B$5+Assumptions!$B$6))</f>
        <v>0.94486945234185893</v>
      </c>
      <c r="E197" s="12">
        <f>E196+Assumptions!$B$12*(D196*Assumptions!$B$5-E196*Assumptions!$B$7)</f>
        <v>3.5063219309561987E-2</v>
      </c>
      <c r="F197" s="12">
        <f t="shared" si="6"/>
        <v>2.0067328348579085E-2</v>
      </c>
      <c r="G197" s="12">
        <f>EXP(-Assumptions!$B$8*B197)</f>
        <v>0.90982773462602995</v>
      </c>
      <c r="H197" s="12">
        <f t="shared" si="7"/>
        <v>0.85966843334153109</v>
      </c>
      <c r="I197" s="12">
        <f t="shared" si="8"/>
        <v>3.1901489393114456E-2</v>
      </c>
      <c r="J197" s="12">
        <f>G197*(D197*Assumptions!$B$6+E197*Assumptions!$B$7)</f>
        <v>1.0191758803071035E-2</v>
      </c>
    </row>
    <row r="198" spans="1:10" x14ac:dyDescent="0.2">
      <c r="A198" s="2">
        <v>190</v>
      </c>
      <c r="B198" s="14">
        <f>A198*Assumptions!$B$12</f>
        <v>1.9000000000000001</v>
      </c>
      <c r="C198" s="15">
        <f>IF(A198&lt;=Assumptions!$B$13,IF(OR(A198=0,A198=Assumptions!$B$13),0.5,1),0)*Assumptions!$B$12</f>
        <v>0.01</v>
      </c>
      <c r="D198" s="12">
        <f>D197*(1-Assumptions!$B$12*(Assumptions!$B$5+Assumptions!$B$6))</f>
        <v>0.94458599150615641</v>
      </c>
      <c r="E198" s="12">
        <f>E197+Assumptions!$B$12*(D197*Assumptions!$B$5-E197*Assumptions!$B$7)</f>
        <v>3.5234661590375575E-2</v>
      </c>
      <c r="F198" s="12">
        <f t="shared" si="6"/>
        <v>2.0179346903468016E-2</v>
      </c>
      <c r="G198" s="12">
        <f>EXP(-Assumptions!$B$8*B198)</f>
        <v>0.90937293446823142</v>
      </c>
      <c r="H198" s="12">
        <f t="shared" si="7"/>
        <v>0.85898093495353733</v>
      </c>
      <c r="I198" s="12">
        <f t="shared" si="8"/>
        <v>3.2041447605434918E-2</v>
      </c>
      <c r="J198" s="12">
        <f>G198*(D198*Assumptions!$B$6+E198*Assumptions!$B$7)</f>
        <v>1.0191881729807119E-2</v>
      </c>
    </row>
    <row r="199" spans="1:10" x14ac:dyDescent="0.2">
      <c r="A199" s="2">
        <v>191</v>
      </c>
      <c r="B199" s="14">
        <f>A199*Assumptions!$B$12</f>
        <v>1.9100000000000001</v>
      </c>
      <c r="C199" s="15">
        <f>IF(A199&lt;=Assumptions!$B$13,IF(OR(A199=0,A199=Assumptions!$B$13),0.5,1),0)*Assumptions!$B$12</f>
        <v>0.01</v>
      </c>
      <c r="D199" s="12">
        <f>D198*(1-Assumptions!$B$12*(Assumptions!$B$5+Assumptions!$B$6))</f>
        <v>0.94430261570870455</v>
      </c>
      <c r="E199" s="12">
        <f>E198+Assumptions!$B$12*(D198*Assumptions!$B$5-E198*Assumptions!$B$7)</f>
        <v>3.5405961457881621E-2</v>
      </c>
      <c r="F199" s="12">
        <f t="shared" si="6"/>
        <v>2.0291422833413827E-2</v>
      </c>
      <c r="G199" s="12">
        <f>EXP(-Assumptions!$B$8*B199)</f>
        <v>0.90891836165367124</v>
      </c>
      <c r="H199" s="12">
        <f t="shared" si="7"/>
        <v>0.85829398637523202</v>
      </c>
      <c r="I199" s="12">
        <f t="shared" si="8"/>
        <v>3.2181128481070791E-2</v>
      </c>
      <c r="J199" s="12">
        <f>G199*(D199*Assumptions!$B$6+E199*Assumptions!$B$7)</f>
        <v>1.0191996287805861E-2</v>
      </c>
    </row>
    <row r="200" spans="1:10" x14ac:dyDescent="0.2">
      <c r="A200" s="2">
        <v>192</v>
      </c>
      <c r="B200" s="14">
        <f>A200*Assumptions!$B$12</f>
        <v>1.92</v>
      </c>
      <c r="C200" s="15">
        <f>IF(A200&lt;=Assumptions!$B$13,IF(OR(A200=0,A200=Assumptions!$B$13),0.5,1),0)*Assumptions!$B$12</f>
        <v>0.01</v>
      </c>
      <c r="D200" s="12">
        <f>D199*(1-Assumptions!$B$12*(Assumptions!$B$5+Assumptions!$B$6))</f>
        <v>0.94401932492399199</v>
      </c>
      <c r="E200" s="12">
        <f>E199+Assumptions!$B$12*(D199*Assumptions!$B$5-E199*Assumptions!$B$7)</f>
        <v>3.5577119000294422E-2</v>
      </c>
      <c r="F200" s="12">
        <f t="shared" ref="F200:F263" si="9">1-D200-E200</f>
        <v>2.0403556075713591E-2</v>
      </c>
      <c r="G200" s="12">
        <f>EXP(-Assumptions!$B$8*B200)</f>
        <v>0.90846401606870619</v>
      </c>
      <c r="H200" s="12">
        <f t="shared" ref="H200:H263" si="10">G200*D200</f>
        <v>0.85760758716691865</v>
      </c>
      <c r="I200" s="12">
        <f t="shared" ref="I200:I263" si="11">G200*E200</f>
        <v>3.2320532407161741E-2</v>
      </c>
      <c r="J200" s="12">
        <f>G200*(D200*Assumptions!$B$6+E200*Assumptions!$B$7)</f>
        <v>1.0192102492027273E-2</v>
      </c>
    </row>
    <row r="201" spans="1:10" x14ac:dyDescent="0.2">
      <c r="A201" s="2">
        <v>193</v>
      </c>
      <c r="B201" s="14">
        <f>A201*Assumptions!$B$12</f>
        <v>1.93</v>
      </c>
      <c r="C201" s="15">
        <f>IF(A201&lt;=Assumptions!$B$13,IF(OR(A201=0,A201=Assumptions!$B$13),0.5,1),0)*Assumptions!$B$12</f>
        <v>0.01</v>
      </c>
      <c r="D201" s="12">
        <f>D200*(1-Assumptions!$B$12*(Assumptions!$B$5+Assumptions!$B$6))</f>
        <v>0.94373611912651478</v>
      </c>
      <c r="E201" s="12">
        <f>E200+Assumptions!$B$12*(D200*Assumptions!$B$5-E200*Assumptions!$B$7)</f>
        <v>3.574813430577907E-2</v>
      </c>
      <c r="F201" s="12">
        <f t="shared" si="9"/>
        <v>2.0515746567706147E-2</v>
      </c>
      <c r="G201" s="12">
        <f>EXP(-Assumptions!$B$8*B201)</f>
        <v>0.90800989759974982</v>
      </c>
      <c r="H201" s="12">
        <f t="shared" si="10"/>
        <v>0.85692173688925199</v>
      </c>
      <c r="I201" s="12">
        <f t="shared" si="11"/>
        <v>3.2459659770372559E-2</v>
      </c>
      <c r="J201" s="12">
        <f>G201*(D201*Assumptions!$B$6+E201*Assumptions!$B$7)</f>
        <v>1.0192200357411148E-2</v>
      </c>
    </row>
    <row r="202" spans="1:10" x14ac:dyDescent="0.2">
      <c r="A202" s="2">
        <v>194</v>
      </c>
      <c r="B202" s="14">
        <f>A202*Assumptions!$B$12</f>
        <v>1.94</v>
      </c>
      <c r="C202" s="15">
        <f>IF(A202&lt;=Assumptions!$B$13,IF(OR(A202=0,A202=Assumptions!$B$13),0.5,1),0)*Assumptions!$B$12</f>
        <v>0.01</v>
      </c>
      <c r="D202" s="12">
        <f>D201*(1-Assumptions!$B$12*(Assumptions!$B$5+Assumptions!$B$6))</f>
        <v>0.94345299829077689</v>
      </c>
      <c r="E202" s="12">
        <f>E201+Assumptions!$B$12*(D201*Assumptions!$B$5-E201*Assumptions!$B$7)</f>
        <v>3.5919007462451483E-2</v>
      </c>
      <c r="F202" s="12">
        <f t="shared" si="9"/>
        <v>2.0627994246771628E-2</v>
      </c>
      <c r="G202" s="12">
        <f>EXP(-Assumptions!$B$8*B202)</f>
        <v>0.9075560061332727</v>
      </c>
      <c r="H202" s="12">
        <f t="shared" si="10"/>
        <v>0.85623643510323888</v>
      </c>
      <c r="I202" s="12">
        <f t="shared" si="11"/>
        <v>3.2598510956893686E-2</v>
      </c>
      <c r="J202" s="12">
        <f>G202*(D202*Assumptions!$B$6+E202*Assumptions!$B$7)</f>
        <v>1.0192289898877074E-2</v>
      </c>
    </row>
    <row r="203" spans="1:10" x14ac:dyDescent="0.2">
      <c r="A203" s="2">
        <v>195</v>
      </c>
      <c r="B203" s="14">
        <f>A203*Assumptions!$B$12</f>
        <v>1.95</v>
      </c>
      <c r="C203" s="15">
        <f>IF(A203&lt;=Assumptions!$B$13,IF(OR(A203=0,A203=Assumptions!$B$13),0.5,1),0)*Assumptions!$B$12</f>
        <v>0.01</v>
      </c>
      <c r="D203" s="12">
        <f>D202*(1-Assumptions!$B$12*(Assumptions!$B$5+Assumptions!$B$6))</f>
        <v>0.9431699623912897</v>
      </c>
      <c r="E203" s="12">
        <f>E202+Assumptions!$B$12*(D202*Assumptions!$B$5-E202*Assumptions!$B$7)</f>
        <v>3.6089738558378409E-2</v>
      </c>
      <c r="F203" s="12">
        <f t="shared" si="9"/>
        <v>2.0740299050331895E-2</v>
      </c>
      <c r="G203" s="12">
        <f>EXP(-Assumptions!$B$8*B203)</f>
        <v>0.90710234155580172</v>
      </c>
      <c r="H203" s="12">
        <f t="shared" si="10"/>
        <v>0.85555168137023629</v>
      </c>
      <c r="I203" s="12">
        <f t="shared" si="11"/>
        <v>3.2737086352441762E-2</v>
      </c>
      <c r="J203" s="12">
        <f>G203*(D203*Assumptions!$B$6+E203*Assumptions!$B$7)</f>
        <v>1.0192371131324452E-2</v>
      </c>
    </row>
    <row r="204" spans="1:10" x14ac:dyDescent="0.2">
      <c r="A204" s="2">
        <v>196</v>
      </c>
      <c r="B204" s="14">
        <f>A204*Assumptions!$B$12</f>
        <v>1.96</v>
      </c>
      <c r="C204" s="15">
        <f>IF(A204&lt;=Assumptions!$B$13,IF(OR(A204=0,A204=Assumptions!$B$13),0.5,1),0)*Assumptions!$B$12</f>
        <v>0.01</v>
      </c>
      <c r="D204" s="12">
        <f>D203*(1-Assumptions!$B$12*(Assumptions!$B$5+Assumptions!$B$6))</f>
        <v>0.94288701140257236</v>
      </c>
      <c r="E204" s="12">
        <f>E203+Assumptions!$B$12*(D203*Assumptions!$B$5-E203*Assumptions!$B$7)</f>
        <v>3.6260327681577477E-2</v>
      </c>
      <c r="F204" s="12">
        <f t="shared" si="9"/>
        <v>2.0852660915850162E-2</v>
      </c>
      <c r="G204" s="12">
        <f>EXP(-Assumptions!$B$8*B204)</f>
        <v>0.90664890375392093</v>
      </c>
      <c r="H204" s="12">
        <f t="shared" si="10"/>
        <v>0.85486747525195295</v>
      </c>
      <c r="I204" s="12">
        <f t="shared" si="11"/>
        <v>3.2875386342260171E-2</v>
      </c>
      <c r="J204" s="12">
        <f>G204*(D204*Assumptions!$B$6+E204*Assumptions!$B$7)</f>
        <v>1.0192444069632538E-2</v>
      </c>
    </row>
    <row r="205" spans="1:10" x14ac:dyDescent="0.2">
      <c r="A205" s="2">
        <v>197</v>
      </c>
      <c r="B205" s="14">
        <f>A205*Assumptions!$B$12</f>
        <v>1.97</v>
      </c>
      <c r="C205" s="15">
        <f>IF(A205&lt;=Assumptions!$B$13,IF(OR(A205=0,A205=Assumptions!$B$13),0.5,1),0)*Assumptions!$B$12</f>
        <v>0.01</v>
      </c>
      <c r="D205" s="12">
        <f>D204*(1-Assumptions!$B$12*(Assumptions!$B$5+Assumptions!$B$6))</f>
        <v>0.9426041452991516</v>
      </c>
      <c r="E205" s="12">
        <f>E204+Assumptions!$B$12*(D204*Assumptions!$B$5-E204*Assumptions!$B$7)</f>
        <v>3.64307749200172E-2</v>
      </c>
      <c r="F205" s="12">
        <f t="shared" si="9"/>
        <v>2.0965079780831203E-2</v>
      </c>
      <c r="G205" s="12">
        <f>EXP(-Assumptions!$B$8*B205)</f>
        <v>0.9061956926142708</v>
      </c>
      <c r="H205" s="12">
        <f t="shared" si="10"/>
        <v>0.85418381631044737</v>
      </c>
      <c r="I205" s="12">
        <f t="shared" si="11"/>
        <v>3.3013411311119595E-2</v>
      </c>
      <c r="J205" s="12">
        <f>G205*(D205*Assumptions!$B$6+E205*Assumptions!$B$7)</f>
        <v>1.0192508728660453E-2</v>
      </c>
    </row>
    <row r="206" spans="1:10" x14ac:dyDescent="0.2">
      <c r="A206" s="2">
        <v>198</v>
      </c>
      <c r="B206" s="14">
        <f>A206*Assumptions!$B$12</f>
        <v>1.98</v>
      </c>
      <c r="C206" s="15">
        <f>IF(A206&lt;=Assumptions!$B$13,IF(OR(A206=0,A206=Assumptions!$B$13),0.5,1),0)*Assumptions!$B$12</f>
        <v>0.01</v>
      </c>
      <c r="D206" s="12">
        <f>D205*(1-Assumptions!$B$12*(Assumptions!$B$5+Assumptions!$B$6))</f>
        <v>0.94232136405556188</v>
      </c>
      <c r="E206" s="12">
        <f>E205+Assumptions!$B$12*(D205*Assumptions!$B$5-E205*Assumptions!$B$7)</f>
        <v>3.6601080361617022E-2</v>
      </c>
      <c r="F206" s="12">
        <f t="shared" si="9"/>
        <v>2.1077555582821095E-2</v>
      </c>
      <c r="G206" s="12">
        <f>EXP(-Assumptions!$B$8*B206)</f>
        <v>0.9057427080235485</v>
      </c>
      <c r="H206" s="12">
        <f t="shared" si="10"/>
        <v>0.85350070410812873</v>
      </c>
      <c r="I206" s="12">
        <f t="shared" si="11"/>
        <v>3.3151161643318522E-2</v>
      </c>
      <c r="J206" s="12">
        <f>G206*(D206*Assumptions!$B$6+E206*Assumptions!$B$7)</f>
        <v>1.0192565123247213E-2</v>
      </c>
    </row>
    <row r="207" spans="1:10" x14ac:dyDescent="0.2">
      <c r="A207" s="2">
        <v>199</v>
      </c>
      <c r="B207" s="14">
        <f>A207*Assumptions!$B$12</f>
        <v>1.99</v>
      </c>
      <c r="C207" s="15">
        <f>IF(A207&lt;=Assumptions!$B$13,IF(OR(A207=0,A207=Assumptions!$B$13),0.5,1),0)*Assumptions!$B$12</f>
        <v>0.01</v>
      </c>
      <c r="D207" s="12">
        <f>D206*(1-Assumptions!$B$12*(Assumptions!$B$5+Assumptions!$B$6))</f>
        <v>0.94203866764634525</v>
      </c>
      <c r="E207" s="12">
        <f>E206+Assumptions!$B$12*(D206*Assumptions!$B$5-E206*Assumptions!$B$7)</f>
        <v>3.6771244094247327E-2</v>
      </c>
      <c r="F207" s="12">
        <f t="shared" si="9"/>
        <v>2.1190088259407422E-2</v>
      </c>
      <c r="G207" s="12">
        <f>EXP(-Assumptions!$B$8*B207)</f>
        <v>0.90528994986850797</v>
      </c>
      <c r="H207" s="12">
        <f t="shared" si="10"/>
        <v>0.85281813820775598</v>
      </c>
      <c r="I207" s="12">
        <f t="shared" si="11"/>
        <v>3.3288637722683832E-2</v>
      </c>
      <c r="J207" s="12">
        <f>G207*(D207*Assumptions!$B$6+E207*Assumptions!$B$7)</f>
        <v>1.0192613268211751E-2</v>
      </c>
    </row>
    <row r="208" spans="1:10" x14ac:dyDescent="0.2">
      <c r="A208" s="2">
        <v>200</v>
      </c>
      <c r="B208" s="14">
        <f>A208*Assumptions!$B$12</f>
        <v>2</v>
      </c>
      <c r="C208" s="15">
        <f>IF(A208&lt;=Assumptions!$B$13,IF(OR(A208=0,A208=Assumptions!$B$13),0.5,1),0)*Assumptions!$B$12</f>
        <v>0.01</v>
      </c>
      <c r="D208" s="12">
        <f>D207*(1-Assumptions!$B$12*(Assumptions!$B$5+Assumptions!$B$6))</f>
        <v>0.94175605604605139</v>
      </c>
      <c r="E208" s="12">
        <f>E207+Assumptions!$B$12*(D207*Assumptions!$B$5-E207*Assumptions!$B$7)</f>
        <v>3.6941266205729476E-2</v>
      </c>
      <c r="F208" s="12">
        <f t="shared" si="9"/>
        <v>2.1302677748219132E-2</v>
      </c>
      <c r="G208" s="12">
        <f>EXP(-Assumptions!$B$8*B208)</f>
        <v>0.90483741803595952</v>
      </c>
      <c r="H208" s="12">
        <f t="shared" si="10"/>
        <v>0.85213611817243751</v>
      </c>
      <c r="I208" s="12">
        <f t="shared" si="11"/>
        <v>3.3425839932571304E-2</v>
      </c>
      <c r="J208" s="12">
        <f>G208*(D208*Assumptions!$B$6+E208*Assumptions!$B$7)</f>
        <v>1.0192653178352943E-2</v>
      </c>
    </row>
    <row r="209" spans="1:10" x14ac:dyDescent="0.2">
      <c r="A209" s="2">
        <v>201</v>
      </c>
      <c r="B209" s="14">
        <f>A209*Assumptions!$B$12</f>
        <v>2.0100000000000002</v>
      </c>
      <c r="C209" s="15">
        <f>IF(A209&lt;=Assumptions!$B$13,IF(OR(A209=0,A209=Assumptions!$B$13),0.5,1),0)*Assumptions!$B$12</f>
        <v>0.01</v>
      </c>
      <c r="D209" s="12">
        <f>D208*(1-Assumptions!$B$12*(Assumptions!$B$5+Assumptions!$B$6))</f>
        <v>0.94147352922923766</v>
      </c>
      <c r="E209" s="12">
        <f>E208+Assumptions!$B$12*(D208*Assumptions!$B$5-E208*Assumptions!$B$7)</f>
        <v>3.711114678383582E-2</v>
      </c>
      <c r="F209" s="12">
        <f t="shared" si="9"/>
        <v>2.141532398692652E-2</v>
      </c>
      <c r="G209" s="12">
        <f>EXP(-Assumptions!$B$8*B209)</f>
        <v>0.90438511241277042</v>
      </c>
      <c r="H209" s="12">
        <f t="shared" si="10"/>
        <v>0.85145464356563183</v>
      </c>
      <c r="I209" s="12">
        <f t="shared" si="11"/>
        <v>3.3562768655866181E-2</v>
      </c>
      <c r="J209" s="12">
        <f>G209*(D209*Assumptions!$B$6+E209*Assumptions!$B$7)</f>
        <v>1.0192684868449627E-2</v>
      </c>
    </row>
    <row r="210" spans="1:10" x14ac:dyDescent="0.2">
      <c r="A210" s="2">
        <v>202</v>
      </c>
      <c r="B210" s="14">
        <f>A210*Assumptions!$B$12</f>
        <v>2.02</v>
      </c>
      <c r="C210" s="15">
        <f>IF(A210&lt;=Assumptions!$B$13,IF(OR(A210=0,A210=Assumptions!$B$13),0.5,1),0)*Assumptions!$B$12</f>
        <v>0.01</v>
      </c>
      <c r="D210" s="12">
        <f>D209*(1-Assumptions!$B$12*(Assumptions!$B$5+Assumptions!$B$6))</f>
        <v>0.94119108717046895</v>
      </c>
      <c r="E210" s="12">
        <f>E209+Assumptions!$B$12*(D209*Assumptions!$B$5-E209*Assumptions!$B$7)</f>
        <v>3.7280885916289752E-2</v>
      </c>
      <c r="F210" s="12">
        <f t="shared" si="9"/>
        <v>2.1528026913241294E-2</v>
      </c>
      <c r="G210" s="12">
        <f>EXP(-Assumptions!$B$8*B210)</f>
        <v>0.90393303288586413</v>
      </c>
      <c r="H210" s="12">
        <f t="shared" si="10"/>
        <v>0.85077371395114576</v>
      </c>
      <c r="I210" s="12">
        <f t="shared" si="11"/>
        <v>3.3699424274983694E-2</v>
      </c>
      <c r="J210" s="12">
        <f>G210*(D210*Assumptions!$B$6+E210*Assumptions!$B$7)</f>
        <v>1.0192708353260643E-2</v>
      </c>
    </row>
    <row r="211" spans="1:10" x14ac:dyDescent="0.2">
      <c r="A211" s="2">
        <v>203</v>
      </c>
      <c r="B211" s="14">
        <f>A211*Assumptions!$B$12</f>
        <v>2.0300000000000002</v>
      </c>
      <c r="C211" s="15">
        <f>IF(A211&lt;=Assumptions!$B$13,IF(OR(A211=0,A211=Assumptions!$B$13),0.5,1),0)*Assumptions!$B$12</f>
        <v>0.01</v>
      </c>
      <c r="D211" s="12">
        <f>D210*(1-Assumptions!$B$12*(Assumptions!$B$5+Assumptions!$B$6))</f>
        <v>0.94090872984431784</v>
      </c>
      <c r="E211" s="12">
        <f>E210+Assumptions!$B$12*(D210*Assumptions!$B$5-E210*Assumptions!$B$7)</f>
        <v>3.7450483690765701E-2</v>
      </c>
      <c r="F211" s="12">
        <f t="shared" si="9"/>
        <v>2.1640786464916462E-2</v>
      </c>
      <c r="G211" s="12">
        <f>EXP(-Assumptions!$B$8*B211)</f>
        <v>0.90348117934222072</v>
      </c>
      <c r="H211" s="12">
        <f t="shared" si="10"/>
        <v>0.85009332889313527</v>
      </c>
      <c r="I211" s="12">
        <f t="shared" si="11"/>
        <v>3.3835807171869597E-2</v>
      </c>
      <c r="J211" s="12">
        <f>G211*(D211*Assumptions!$B$6+E211*Assumptions!$B$7)</f>
        <v>1.0192723647524833E-2</v>
      </c>
    </row>
    <row r="212" spans="1:10" x14ac:dyDescent="0.2">
      <c r="A212" s="2">
        <v>204</v>
      </c>
      <c r="B212" s="14">
        <f>A212*Assumptions!$B$12</f>
        <v>2.04</v>
      </c>
      <c r="C212" s="15">
        <f>IF(A212&lt;=Assumptions!$B$13,IF(OR(A212=0,A212=Assumptions!$B$13),0.5,1),0)*Assumptions!$B$12</f>
        <v>0.01</v>
      </c>
      <c r="D212" s="12">
        <f>D211*(1-Assumptions!$B$12*(Assumptions!$B$5+Assumptions!$B$6))</f>
        <v>0.94062645722536453</v>
      </c>
      <c r="E212" s="12">
        <f>E211+Assumptions!$B$12*(D211*Assumptions!$B$5-E211*Assumptions!$B$7)</f>
        <v>3.7619940194889179E-2</v>
      </c>
      <c r="F212" s="12">
        <f t="shared" si="9"/>
        <v>2.175360257974629E-2</v>
      </c>
      <c r="G212" s="12">
        <f>EXP(-Assumptions!$B$8*B212)</f>
        <v>0.90302955166887677</v>
      </c>
      <c r="H212" s="12">
        <f t="shared" si="10"/>
        <v>0.84941348795610483</v>
      </c>
      <c r="I212" s="12">
        <f t="shared" si="11"/>
        <v>3.3971917728000733E-2</v>
      </c>
      <c r="J212" s="12">
        <f>G212*(D212*Assumptions!$B$6+E212*Assumptions!$B$7)</f>
        <v>1.0192730765961085E-2</v>
      </c>
    </row>
    <row r="213" spans="1:10" x14ac:dyDescent="0.2">
      <c r="A213" s="2">
        <v>205</v>
      </c>
      <c r="B213" s="14">
        <f>A213*Assumptions!$B$12</f>
        <v>2.0499999999999998</v>
      </c>
      <c r="C213" s="15">
        <f>IF(A213&lt;=Assumptions!$B$13,IF(OR(A213=0,A213=Assumptions!$B$13),0.5,1),0)*Assumptions!$B$12</f>
        <v>0.01</v>
      </c>
      <c r="D213" s="12">
        <f>D212*(1-Assumptions!$B$12*(Assumptions!$B$5+Assumptions!$B$6))</f>
        <v>0.94034426928819692</v>
      </c>
      <c r="E213" s="12">
        <f>E212+Assumptions!$B$12*(D212*Assumptions!$B$5-E212*Assumptions!$B$7)</f>
        <v>3.7789255516236804E-2</v>
      </c>
      <c r="F213" s="12">
        <f t="shared" si="9"/>
        <v>2.1866475195566275E-2</v>
      </c>
      <c r="G213" s="12">
        <f>EXP(-Assumptions!$B$8*B213)</f>
        <v>0.90257814975292561</v>
      </c>
      <c r="H213" s="12">
        <f t="shared" si="10"/>
        <v>0.84873419070490763</v>
      </c>
      <c r="I213" s="12">
        <f t="shared" si="11"/>
        <v>3.4107756324385549E-2</v>
      </c>
      <c r="J213" s="12">
        <f>G213*(D213*Assumptions!$B$6+E213*Assumptions!$B$7)</f>
        <v>1.0192729723268354E-2</v>
      </c>
    </row>
    <row r="214" spans="1:10" x14ac:dyDescent="0.2">
      <c r="A214" s="2">
        <v>206</v>
      </c>
      <c r="B214" s="14">
        <f>A214*Assumptions!$B$12</f>
        <v>2.06</v>
      </c>
      <c r="C214" s="15">
        <f>IF(A214&lt;=Assumptions!$B$13,IF(OR(A214=0,A214=Assumptions!$B$13),0.5,1),0)*Assumptions!$B$12</f>
        <v>0.01</v>
      </c>
      <c r="D214" s="12">
        <f>D213*(1-Assumptions!$B$12*(Assumptions!$B$5+Assumptions!$B$6))</f>
        <v>0.94006216600741044</v>
      </c>
      <c r="E214" s="12">
        <f>E213+Assumptions!$B$12*(D213*Assumptions!$B$5-E213*Assumptions!$B$7)</f>
        <v>3.7958429742336326E-2</v>
      </c>
      <c r="F214" s="12">
        <f t="shared" si="9"/>
        <v>2.1979404250253236E-2</v>
      </c>
      <c r="G214" s="12">
        <f>EXP(-Assumptions!$B$8*B214)</f>
        <v>0.90212697348151649</v>
      </c>
      <c r="H214" s="12">
        <f t="shared" si="10"/>
        <v>0.84805543670474415</v>
      </c>
      <c r="I214" s="12">
        <f t="shared" si="11"/>
        <v>3.4243323341564651E-2</v>
      </c>
      <c r="J214" s="12">
        <f>G214*(D214*Assumptions!$B$6+E214*Assumptions!$B$7)</f>
        <v>1.0192720534125673E-2</v>
      </c>
    </row>
    <row r="215" spans="1:10" x14ac:dyDescent="0.2">
      <c r="A215" s="2">
        <v>207</v>
      </c>
      <c r="B215" s="14">
        <f>A215*Assumptions!$B$12</f>
        <v>2.0699999999999998</v>
      </c>
      <c r="C215" s="15">
        <f>IF(A215&lt;=Assumptions!$B$13,IF(OR(A215=0,A215=Assumptions!$B$13),0.5,1),0)*Assumptions!$B$12</f>
        <v>0.01</v>
      </c>
      <c r="D215" s="12">
        <f>D214*(1-Assumptions!$B$12*(Assumptions!$B$5+Assumptions!$B$6))</f>
        <v>0.93978014735760829</v>
      </c>
      <c r="E215" s="12">
        <f>E214+Assumptions!$B$12*(D214*Assumptions!$B$5-E214*Assumptions!$B$7)</f>
        <v>3.8127462960666637E-2</v>
      </c>
      <c r="F215" s="12">
        <f t="shared" si="9"/>
        <v>2.2092389681725076E-2</v>
      </c>
      <c r="G215" s="12">
        <f>EXP(-Assumptions!$B$8*B215)</f>
        <v>0.90167602274185543</v>
      </c>
      <c r="H215" s="12">
        <f t="shared" si="10"/>
        <v>0.84737722552116301</v>
      </c>
      <c r="I215" s="12">
        <f t="shared" si="11"/>
        <v>3.4378619159611302E-2</v>
      </c>
      <c r="J215" s="12">
        <f>G215*(D215*Assumptions!$B$6+E215*Assumptions!$B$7)</f>
        <v>1.0192703213192196E-2</v>
      </c>
    </row>
    <row r="216" spans="1:10" x14ac:dyDescent="0.2">
      <c r="A216" s="2">
        <v>208</v>
      </c>
      <c r="B216" s="14">
        <f>A216*Assumptions!$B$12</f>
        <v>2.08</v>
      </c>
      <c r="C216" s="15">
        <f>IF(A216&lt;=Assumptions!$B$13,IF(OR(A216=0,A216=Assumptions!$B$13),0.5,1),0)*Assumptions!$B$12</f>
        <v>0.01</v>
      </c>
      <c r="D216" s="12">
        <f>D215*(1-Assumptions!$B$12*(Assumptions!$B$5+Assumptions!$B$6))</f>
        <v>0.939498213313401</v>
      </c>
      <c r="E216" s="12">
        <f>E215+Assumptions!$B$12*(D215*Assumptions!$B$5-E215*Assumptions!$B$7)</f>
        <v>3.8296355258657828E-2</v>
      </c>
      <c r="F216" s="12">
        <f t="shared" si="9"/>
        <v>2.2205431427941173E-2</v>
      </c>
      <c r="G216" s="12">
        <f>EXP(-Assumptions!$B$8*B216)</f>
        <v>0.90122529742120472</v>
      </c>
      <c r="H216" s="12">
        <f t="shared" si="10"/>
        <v>0.84669955672006025</v>
      </c>
      <c r="I216" s="12">
        <f t="shared" si="11"/>
        <v>3.4513644158132017E-2</v>
      </c>
      <c r="J216" s="12">
        <f>G216*(D216*Assumptions!$B$6+E216*Assumptions!$B$7)</f>
        <v>1.0192677775107203E-2</v>
      </c>
    </row>
    <row r="217" spans="1:10" x14ac:dyDescent="0.2">
      <c r="A217" s="2">
        <v>209</v>
      </c>
      <c r="B217" s="14">
        <f>A217*Assumptions!$B$12</f>
        <v>2.09</v>
      </c>
      <c r="C217" s="15">
        <f>IF(A217&lt;=Assumptions!$B$13,IF(OR(A217=0,A217=Assumptions!$B$13),0.5,1),0)*Assumptions!$B$12</f>
        <v>0.01</v>
      </c>
      <c r="D217" s="12">
        <f>D216*(1-Assumptions!$B$12*(Assumptions!$B$5+Assumptions!$B$6))</f>
        <v>0.93921636384940699</v>
      </c>
      <c r="E217" s="12">
        <f>E216+Assumptions!$B$12*(D216*Assumptions!$B$5-E216*Assumptions!$B$7)</f>
        <v>3.8465106723691182E-2</v>
      </c>
      <c r="F217" s="12">
        <f t="shared" si="9"/>
        <v>2.231852942690183E-2</v>
      </c>
      <c r="G217" s="12">
        <f>EXP(-Assumptions!$B$8*B217)</f>
        <v>0.90077479740688315</v>
      </c>
      <c r="H217" s="12">
        <f t="shared" si="10"/>
        <v>0.84602242986767906</v>
      </c>
      <c r="I217" s="12">
        <f t="shared" si="11"/>
        <v>3.4648398716267063E-2</v>
      </c>
      <c r="J217" s="12">
        <f>G217*(D217*Assumptions!$B$6+E217*Assumptions!$B$7)</f>
        <v>1.0192644234490145E-2</v>
      </c>
    </row>
    <row r="218" spans="1:10" x14ac:dyDescent="0.2">
      <c r="A218" s="2">
        <v>210</v>
      </c>
      <c r="B218" s="14">
        <f>A218*Assumptions!$B$12</f>
        <v>2.1</v>
      </c>
      <c r="C218" s="15">
        <f>IF(A218&lt;=Assumptions!$B$13,IF(OR(A218=0,A218=Assumptions!$B$13),0.5,1),0)*Assumptions!$B$12</f>
        <v>0.01</v>
      </c>
      <c r="D218" s="12">
        <f>D217*(1-Assumptions!$B$12*(Assumptions!$B$5+Assumptions!$B$6))</f>
        <v>0.93893459894025222</v>
      </c>
      <c r="E218" s="12">
        <f>E217+Assumptions!$B$12*(D217*Assumptions!$B$5-E217*Assumptions!$B$7)</f>
        <v>3.8633717443099215E-2</v>
      </c>
      <c r="F218" s="12">
        <f t="shared" si="9"/>
        <v>2.2431683616648566E-2</v>
      </c>
      <c r="G218" s="12">
        <f>EXP(-Assumptions!$B$8*B218)</f>
        <v>0.90032452258626561</v>
      </c>
      <c r="H218" s="12">
        <f t="shared" si="10"/>
        <v>0.84534584453060935</v>
      </c>
      <c r="I218" s="12">
        <f t="shared" si="11"/>
        <v>3.4782883212690983E-2</v>
      </c>
      <c r="J218" s="12">
        <f>G218*(D218*Assumptions!$B$6+E218*Assumptions!$B$7)</f>
        <v>1.0192602605940643E-2</v>
      </c>
    </row>
    <row r="219" spans="1:10" x14ac:dyDescent="0.2">
      <c r="A219" s="2">
        <v>211</v>
      </c>
      <c r="B219" s="14">
        <f>A219*Assumptions!$B$12</f>
        <v>2.11</v>
      </c>
      <c r="C219" s="15">
        <f>IF(A219&lt;=Assumptions!$B$13,IF(OR(A219=0,A219=Assumptions!$B$13),0.5,1),0)*Assumptions!$B$12</f>
        <v>0.01</v>
      </c>
      <c r="D219" s="12">
        <f>D218*(1-Assumptions!$B$12*(Assumptions!$B$5+Assumptions!$B$6))</f>
        <v>0.9386529185605702</v>
      </c>
      <c r="E219" s="12">
        <f>E218+Assumptions!$B$12*(D218*Assumptions!$B$5-E218*Assumptions!$B$7)</f>
        <v>3.8802187504165718E-2</v>
      </c>
      <c r="F219" s="12">
        <f t="shared" si="9"/>
        <v>2.2544893935264078E-2</v>
      </c>
      <c r="G219" s="12">
        <f>EXP(-Assumptions!$B$8*B219)</f>
        <v>0.89987447284678335</v>
      </c>
      <c r="H219" s="12">
        <f t="shared" si="10"/>
        <v>0.84466980027578775</v>
      </c>
      <c r="I219" s="12">
        <f t="shared" si="11"/>
        <v>3.4917098025613172E-2</v>
      </c>
      <c r="J219" s="12">
        <f>G219*(D219*Assumptions!$B$6+E219*Assumptions!$B$7)</f>
        <v>1.0192552904038537E-2</v>
      </c>
    </row>
    <row r="220" spans="1:10" x14ac:dyDescent="0.2">
      <c r="A220" s="2">
        <v>212</v>
      </c>
      <c r="B220" s="14">
        <f>A220*Assumptions!$B$12</f>
        <v>2.12</v>
      </c>
      <c r="C220" s="15">
        <f>IF(A220&lt;=Assumptions!$B$13,IF(OR(A220=0,A220=Assumptions!$B$13),0.5,1),0)*Assumptions!$B$12</f>
        <v>0.01</v>
      </c>
      <c r="D220" s="12">
        <f>D219*(1-Assumptions!$B$12*(Assumptions!$B$5+Assumptions!$B$6))</f>
        <v>0.93837132268500212</v>
      </c>
      <c r="E220" s="12">
        <f>E219+Assumptions!$B$12*(D219*Assumptions!$B$5-E219*Assumptions!$B$7)</f>
        <v>3.8970516994125751E-2</v>
      </c>
      <c r="F220" s="12">
        <f t="shared" si="9"/>
        <v>2.2658160320872131E-2</v>
      </c>
      <c r="G220" s="12">
        <f>EXP(-Assumptions!$B$8*B220)</f>
        <v>0.89942464807592404</v>
      </c>
      <c r="H220" s="12">
        <f t="shared" si="10"/>
        <v>0.84399429667049741</v>
      </c>
      <c r="I220" s="12">
        <f t="shared" si="11"/>
        <v>3.5051043532778367E-2</v>
      </c>
      <c r="J220" s="12">
        <f>G220*(D220*Assumptions!$B$6+E220*Assumptions!$B$7)</f>
        <v>1.0192495143343893E-2</v>
      </c>
    </row>
    <row r="221" spans="1:10" x14ac:dyDescent="0.2">
      <c r="A221" s="2">
        <v>213</v>
      </c>
      <c r="B221" s="14">
        <f>A221*Assumptions!$B$12</f>
        <v>2.13</v>
      </c>
      <c r="C221" s="15">
        <f>IF(A221&lt;=Assumptions!$B$13,IF(OR(A221=0,A221=Assumptions!$B$13),0.5,1),0)*Assumptions!$B$12</f>
        <v>0.01</v>
      </c>
      <c r="D221" s="12">
        <f>D220*(1-Assumptions!$B$12*(Assumptions!$B$5+Assumptions!$B$6))</f>
        <v>0.93808981128819668</v>
      </c>
      <c r="E221" s="12">
        <f>E220+Assumptions!$B$12*(D220*Assumptions!$B$5-E220*Assumptions!$B$7)</f>
        <v>3.9138706000165689E-2</v>
      </c>
      <c r="F221" s="12">
        <f t="shared" si="9"/>
        <v>2.2771482711637626E-2</v>
      </c>
      <c r="G221" s="12">
        <f>EXP(-Assumptions!$B$8*B221)</f>
        <v>0.89897504816123142</v>
      </c>
      <c r="H221" s="12">
        <f t="shared" si="10"/>
        <v>0.84331933328236708</v>
      </c>
      <c r="I221" s="12">
        <f t="shared" si="11"/>
        <v>3.5184720111467227E-2</v>
      </c>
      <c r="J221" s="12">
        <f>G221*(D221*Assumptions!$B$6+E221*Assumptions!$B$7)</f>
        <v>1.0192429338397032E-2</v>
      </c>
    </row>
    <row r="222" spans="1:10" x14ac:dyDescent="0.2">
      <c r="A222" s="2">
        <v>214</v>
      </c>
      <c r="B222" s="14">
        <f>A222*Assumptions!$B$12</f>
        <v>2.14</v>
      </c>
      <c r="C222" s="15">
        <f>IF(A222&lt;=Assumptions!$B$13,IF(OR(A222=0,A222=Assumptions!$B$13),0.5,1),0)*Assumptions!$B$12</f>
        <v>0.01</v>
      </c>
      <c r="D222" s="12">
        <f>D221*(1-Assumptions!$B$12*(Assumptions!$B$5+Assumptions!$B$6))</f>
        <v>0.93780838434481029</v>
      </c>
      <c r="E222" s="12">
        <f>E221+Assumptions!$B$12*(D221*Assumptions!$B$5-E221*Assumptions!$B$7)</f>
        <v>3.9306754609423247E-2</v>
      </c>
      <c r="F222" s="12">
        <f t="shared" si="9"/>
        <v>2.2884861045766466E-2</v>
      </c>
      <c r="G222" s="12">
        <f>EXP(-Assumptions!$B$8*B222)</f>
        <v>0.8985256729903055</v>
      </c>
      <c r="H222" s="12">
        <f t="shared" si="10"/>
        <v>0.84264490967937178</v>
      </c>
      <c r="I222" s="12">
        <f t="shared" si="11"/>
        <v>3.5318128138496815E-2</v>
      </c>
      <c r="J222" s="12">
        <f>G222*(D222*Assumptions!$B$6+E222*Assumptions!$B$7)</f>
        <v>1.0192355503718558E-2</v>
      </c>
    </row>
    <row r="223" spans="1:10" x14ac:dyDescent="0.2">
      <c r="A223" s="2">
        <v>215</v>
      </c>
      <c r="B223" s="14">
        <f>A223*Assumptions!$B$12</f>
        <v>2.15</v>
      </c>
      <c r="C223" s="15">
        <f>IF(A223&lt;=Assumptions!$B$13,IF(OR(A223=0,A223=Assumptions!$B$13),0.5,1),0)*Assumptions!$B$12</f>
        <v>0.01</v>
      </c>
      <c r="D223" s="12">
        <f>D222*(1-Assumptions!$B$12*(Assumptions!$B$5+Assumptions!$B$6))</f>
        <v>0.93752704182950686</v>
      </c>
      <c r="E223" s="12">
        <f>E222+Assumptions!$B$12*(D222*Assumptions!$B$5-E222*Assumptions!$B$7)</f>
        <v>3.9474662908987497E-2</v>
      </c>
      <c r="F223" s="12">
        <f t="shared" si="9"/>
        <v>2.2998295261505645E-2</v>
      </c>
      <c r="G223" s="12">
        <f>EXP(-Assumptions!$B$8*B223)</f>
        <v>0.89807652245080261</v>
      </c>
      <c r="H223" s="12">
        <f t="shared" si="10"/>
        <v>0.84197102542983171</v>
      </c>
      <c r="I223" s="12">
        <f t="shared" si="11"/>
        <v>3.5451267990221177E-2</v>
      </c>
      <c r="J223" s="12">
        <f>G223*(D223*Assumptions!$B$6+E223*Assumptions!$B$7)</f>
        <v>1.0192273653809375E-2</v>
      </c>
    </row>
    <row r="224" spans="1:10" x14ac:dyDescent="0.2">
      <c r="A224" s="2">
        <v>216</v>
      </c>
      <c r="B224" s="14">
        <f>A224*Assumptions!$B$12</f>
        <v>2.16</v>
      </c>
      <c r="C224" s="15">
        <f>IF(A224&lt;=Assumptions!$B$13,IF(OR(A224=0,A224=Assumptions!$B$13),0.5,1),0)*Assumptions!$B$12</f>
        <v>0.01</v>
      </c>
      <c r="D224" s="12">
        <f>D223*(1-Assumptions!$B$12*(Assumptions!$B$5+Assumptions!$B$6))</f>
        <v>0.93724578371695799</v>
      </c>
      <c r="E224" s="12">
        <f>E223+Assumptions!$B$12*(D223*Assumptions!$B$5-E223*Assumptions!$B$7)</f>
        <v>3.9642430985898904E-2</v>
      </c>
      <c r="F224" s="12">
        <f t="shared" si="9"/>
        <v>2.3111785297143105E-2</v>
      </c>
      <c r="G224" s="12">
        <f>EXP(-Assumptions!$B$8*B224)</f>
        <v>0.89762759643043488</v>
      </c>
      <c r="H224" s="12">
        <f t="shared" si="10"/>
        <v>0.84129768010241224</v>
      </c>
      <c r="I224" s="12">
        <f t="shared" si="11"/>
        <v>3.5584140042531825E-2</v>
      </c>
      <c r="J224" s="12">
        <f>G224*(D224*Assumptions!$B$6+E224*Assumptions!$B$7)</f>
        <v>1.0192183803150715E-2</v>
      </c>
    </row>
    <row r="225" spans="1:10" x14ac:dyDescent="0.2">
      <c r="A225" s="2">
        <v>217</v>
      </c>
      <c r="B225" s="14">
        <f>A225*Assumptions!$B$12</f>
        <v>2.17</v>
      </c>
      <c r="C225" s="15">
        <f>IF(A225&lt;=Assumptions!$B$13,IF(OR(A225=0,A225=Assumptions!$B$13),0.5,1),0)*Assumptions!$B$12</f>
        <v>0.01</v>
      </c>
      <c r="D225" s="12">
        <f>D224*(1-Assumptions!$B$12*(Assumptions!$B$5+Assumptions!$B$6))</f>
        <v>0.93696460998184294</v>
      </c>
      <c r="E225" s="12">
        <f>E224+Assumptions!$B$12*(D224*Assumptions!$B$5-E224*Assumptions!$B$7)</f>
        <v>3.9810058927149346E-2</v>
      </c>
      <c r="F225" s="12">
        <f t="shared" si="9"/>
        <v>2.322533109100771E-2</v>
      </c>
      <c r="G225" s="12">
        <f>EXP(-Assumptions!$B$8*B225)</f>
        <v>0.897178894816971</v>
      </c>
      <c r="H225" s="12">
        <f t="shared" si="10"/>
        <v>0.84062487326612412</v>
      </c>
      <c r="I225" s="12">
        <f t="shared" si="11"/>
        <v>3.5716744670858343E-2</v>
      </c>
      <c r="J225" s="12">
        <f>G225*(D225*Assumptions!$B$6+E225*Assumptions!$B$7)</f>
        <v>1.019208596620416E-2</v>
      </c>
    </row>
    <row r="226" spans="1:10" x14ac:dyDescent="0.2">
      <c r="A226" s="2">
        <v>218</v>
      </c>
      <c r="B226" s="14">
        <f>A226*Assumptions!$B$12</f>
        <v>2.1800000000000002</v>
      </c>
      <c r="C226" s="15">
        <f>IF(A226&lt;=Assumptions!$B$13,IF(OR(A226=0,A226=Assumptions!$B$13),0.5,1),0)*Assumptions!$B$12</f>
        <v>0.01</v>
      </c>
      <c r="D226" s="12">
        <f>D225*(1-Assumptions!$B$12*(Assumptions!$B$5+Assumptions!$B$6))</f>
        <v>0.93668352059884841</v>
      </c>
      <c r="E226" s="12">
        <f>E225+Assumptions!$B$12*(D225*Assumptions!$B$5-E225*Assumptions!$B$7)</f>
        <v>3.9977546819682137E-2</v>
      </c>
      <c r="F226" s="12">
        <f t="shared" si="9"/>
        <v>2.3338932581469456E-2</v>
      </c>
      <c r="G226" s="12">
        <f>EXP(-Assumptions!$B$8*B226)</f>
        <v>0.89673041749823545</v>
      </c>
      <c r="H226" s="12">
        <f t="shared" si="10"/>
        <v>0.83995260449032239</v>
      </c>
      <c r="I226" s="12">
        <f t="shared" si="11"/>
        <v>3.5849082250168821E-2</v>
      </c>
      <c r="J226" s="12">
        <f>G226*(D226*Assumptions!$B$6+E226*Assumptions!$B$7)</f>
        <v>1.0191980157411663E-2</v>
      </c>
    </row>
    <row r="227" spans="1:10" x14ac:dyDescent="0.2">
      <c r="A227" s="2">
        <v>219</v>
      </c>
      <c r="B227" s="14">
        <f>A227*Assumptions!$B$12</f>
        <v>2.19</v>
      </c>
      <c r="C227" s="15">
        <f>IF(A227&lt;=Assumptions!$B$13,IF(OR(A227=0,A227=Assumptions!$B$13),0.5,1),0)*Assumptions!$B$12</f>
        <v>0.01</v>
      </c>
      <c r="D227" s="12">
        <f>D226*(1-Assumptions!$B$12*(Assumptions!$B$5+Assumptions!$B$6))</f>
        <v>0.93640251554266873</v>
      </c>
      <c r="E227" s="12">
        <f>E226+Assumptions!$B$12*(D226*Assumptions!$B$5-E226*Assumptions!$B$7)</f>
        <v>4.0144894750392068E-2</v>
      </c>
      <c r="F227" s="12">
        <f t="shared" si="9"/>
        <v>2.3452589706939198E-2</v>
      </c>
      <c r="G227" s="12">
        <f>EXP(-Assumptions!$B$8*B227)</f>
        <v>0.89628216436210895</v>
      </c>
      <c r="H227" s="12">
        <f t="shared" si="10"/>
        <v>0.83928087334470647</v>
      </c>
      <c r="I227" s="12">
        <f t="shared" si="11"/>
        <v>3.5981153154970469E-2</v>
      </c>
      <c r="J227" s="12">
        <f>G227*(D227*Assumptions!$B$6+E227*Assumptions!$B$7)</f>
        <v>1.0191866391195587E-2</v>
      </c>
    </row>
    <row r="228" spans="1:10" x14ac:dyDescent="0.2">
      <c r="A228" s="2">
        <v>220</v>
      </c>
      <c r="B228" s="14">
        <f>A228*Assumptions!$B$12</f>
        <v>2.2000000000000002</v>
      </c>
      <c r="C228" s="15">
        <f>IF(A228&lt;=Assumptions!$B$13,IF(OR(A228=0,A228=Assumptions!$B$13),0.5,1),0)*Assumptions!$B$12</f>
        <v>0.01</v>
      </c>
      <c r="D228" s="12">
        <f>D227*(1-Assumptions!$B$12*(Assumptions!$B$5+Assumptions!$B$6))</f>
        <v>0.93612159478800594</v>
      </c>
      <c r="E228" s="12">
        <f>E227+Assumptions!$B$12*(D227*Assumptions!$B$5-E227*Assumptions!$B$7)</f>
        <v>4.0312102806125405E-2</v>
      </c>
      <c r="F228" s="12">
        <f t="shared" si="9"/>
        <v>2.3566302405868655E-2</v>
      </c>
      <c r="G228" s="12">
        <f>EXP(-Assumptions!$B$8*B228)</f>
        <v>0.89583413529652822</v>
      </c>
      <c r="H228" s="12">
        <f t="shared" si="10"/>
        <v>0.8386096793993203</v>
      </c>
      <c r="I228" s="12">
        <f t="shared" si="11"/>
        <v>3.6112957759310102E-2</v>
      </c>
      <c r="J228" s="12">
        <f>G228*(D228*Assumptions!$B$6+E228*Assumptions!$B$7)</f>
        <v>1.0191744681958709E-2</v>
      </c>
    </row>
    <row r="229" spans="1:10" x14ac:dyDescent="0.2">
      <c r="A229" s="2">
        <v>221</v>
      </c>
      <c r="B229" s="14">
        <f>A229*Assumptions!$B$12</f>
        <v>2.21</v>
      </c>
      <c r="C229" s="15">
        <f>IF(A229&lt;=Assumptions!$B$13,IF(OR(A229=0,A229=Assumptions!$B$13),0.5,1),0)*Assumptions!$B$12</f>
        <v>0.01</v>
      </c>
      <c r="D229" s="12">
        <f>D228*(1-Assumptions!$B$12*(Assumptions!$B$5+Assumptions!$B$6))</f>
        <v>0.93584075830956959</v>
      </c>
      <c r="E229" s="12">
        <f>E228+Assumptions!$B$12*(D228*Assumptions!$B$5-E228*Assumptions!$B$7)</f>
        <v>4.0479171073679945E-2</v>
      </c>
      <c r="F229" s="12">
        <f t="shared" si="9"/>
        <v>2.3680070616750468E-2</v>
      </c>
      <c r="G229" s="12">
        <f>EXP(-Assumptions!$B$8*B229)</f>
        <v>0.89538633018948599</v>
      </c>
      <c r="H229" s="12">
        <f t="shared" si="10"/>
        <v>0.83793902222455119</v>
      </c>
      <c r="I229" s="12">
        <f t="shared" si="11"/>
        <v>3.624449643677468E-2</v>
      </c>
      <c r="J229" s="12">
        <f>G229*(D229*Assumptions!$B$6+E229*Assumptions!$B$7)</f>
        <v>1.0191615044084246E-2</v>
      </c>
    </row>
    <row r="230" spans="1:10" x14ac:dyDescent="0.2">
      <c r="A230" s="2">
        <v>222</v>
      </c>
      <c r="B230" s="14">
        <f>A230*Assumptions!$B$12</f>
        <v>2.2200000000000002</v>
      </c>
      <c r="C230" s="15">
        <f>IF(A230&lt;=Assumptions!$B$13,IF(OR(A230=0,A230=Assumptions!$B$13),0.5,1),0)*Assumptions!$B$12</f>
        <v>0.01</v>
      </c>
      <c r="D230" s="12">
        <f>D229*(1-Assumptions!$B$12*(Assumptions!$B$5+Assumptions!$B$6))</f>
        <v>0.93556000608207679</v>
      </c>
      <c r="E230" s="12">
        <f>E229+Assumptions!$B$12*(D229*Assumptions!$B$5-E229*Assumptions!$B$7)</f>
        <v>4.0646099639805019E-2</v>
      </c>
      <c r="F230" s="12">
        <f t="shared" si="9"/>
        <v>2.3793894278118191E-2</v>
      </c>
      <c r="G230" s="12">
        <f>EXP(-Assumptions!$B$8*B230)</f>
        <v>0.89493874892903102</v>
      </c>
      <c r="H230" s="12">
        <f t="shared" si="10"/>
        <v>0.83726890139113042</v>
      </c>
      <c r="I230" s="12">
        <f t="shared" si="11"/>
        <v>3.6375769560491843E-2</v>
      </c>
      <c r="J230" s="12">
        <f>G230*(D230*Assumptions!$B$6+E230*Assumptions!$B$7)</f>
        <v>1.0191477491935899E-2</v>
      </c>
    </row>
    <row r="231" spans="1:10" x14ac:dyDescent="0.2">
      <c r="A231" s="2">
        <v>223</v>
      </c>
      <c r="B231" s="14">
        <f>A231*Assumptions!$B$12</f>
        <v>2.23</v>
      </c>
      <c r="C231" s="15">
        <f>IF(A231&lt;=Assumptions!$B$13,IF(OR(A231=0,A231=Assumptions!$B$13),0.5,1),0)*Assumptions!$B$12</f>
        <v>0.01</v>
      </c>
      <c r="D231" s="12">
        <f>D230*(1-Assumptions!$B$12*(Assumptions!$B$5+Assumptions!$B$6))</f>
        <v>0.93527933808025221</v>
      </c>
      <c r="E231" s="12">
        <f>E230+Assumptions!$B$12*(D230*Assumptions!$B$5-E230*Assumptions!$B$7)</f>
        <v>4.0812888591201531E-2</v>
      </c>
      <c r="F231" s="12">
        <f t="shared" si="9"/>
        <v>2.390777332854626E-2</v>
      </c>
      <c r="G231" s="12">
        <f>EXP(-Assumptions!$B$8*B231)</f>
        <v>0.89449139140326783</v>
      </c>
      <c r="H231" s="12">
        <f t="shared" si="10"/>
        <v>0.83659931647013219</v>
      </c>
      <c r="I231" s="12">
        <f t="shared" si="11"/>
        <v>3.650677750313041E-2</v>
      </c>
      <c r="J231" s="12">
        <f>G231*(D231*Assumptions!$B$6+E231*Assumptions!$B$7)</f>
        <v>1.0191332039857842E-2</v>
      </c>
    </row>
    <row r="232" spans="1:10" x14ac:dyDescent="0.2">
      <c r="A232" s="2">
        <v>224</v>
      </c>
      <c r="B232" s="14">
        <f>A232*Assumptions!$B$12</f>
        <v>2.2400000000000002</v>
      </c>
      <c r="C232" s="15">
        <f>IF(A232&lt;=Assumptions!$B$13,IF(OR(A232=0,A232=Assumptions!$B$13),0.5,1),0)*Assumptions!$B$12</f>
        <v>0.01</v>
      </c>
      <c r="D232" s="12">
        <f>D231*(1-Assumptions!$B$12*(Assumptions!$B$5+Assumptions!$B$6))</f>
        <v>0.93499875427882817</v>
      </c>
      <c r="E232" s="12">
        <f>E231+Assumptions!$B$12*(D231*Assumptions!$B$5-E231*Assumptions!$B$7)</f>
        <v>4.0979538014521984E-2</v>
      </c>
      <c r="F232" s="12">
        <f t="shared" si="9"/>
        <v>2.4021707706649846E-2</v>
      </c>
      <c r="G232" s="12">
        <f>EXP(-Assumptions!$B$8*B232)</f>
        <v>0.89404425750035721</v>
      </c>
      <c r="H232" s="12">
        <f t="shared" si="10"/>
        <v>0.83593026703297391</v>
      </c>
      <c r="I232" s="12">
        <f t="shared" si="11"/>
        <v>3.6637520636900969E-2</v>
      </c>
      <c r="J232" s="12">
        <f>G232*(D232*Assumptions!$B$6+E232*Assumptions!$B$7)</f>
        <v>1.0191178702174787E-2</v>
      </c>
    </row>
    <row r="233" spans="1:10" x14ac:dyDescent="0.2">
      <c r="A233" s="2">
        <v>225</v>
      </c>
      <c r="B233" s="14">
        <f>A233*Assumptions!$B$12</f>
        <v>2.25</v>
      </c>
      <c r="C233" s="15">
        <f>IF(A233&lt;=Assumptions!$B$13,IF(OR(A233=0,A233=Assumptions!$B$13),0.5,1),0)*Assumptions!$B$12</f>
        <v>0.01</v>
      </c>
      <c r="D233" s="12">
        <f>D232*(1-Assumptions!$B$12*(Assumptions!$B$5+Assumptions!$B$6))</f>
        <v>0.93471825465254454</v>
      </c>
      <c r="E233" s="12">
        <f>E232+Assumptions!$B$12*(D232*Assumptions!$B$5-E232*Assumptions!$B$7)</f>
        <v>4.1146047996370491E-2</v>
      </c>
      <c r="F233" s="12">
        <f t="shared" si="9"/>
        <v>2.4135697351084964E-2</v>
      </c>
      <c r="G233" s="12">
        <f>EXP(-Assumptions!$B$8*B233)</f>
        <v>0.89359734710851568</v>
      </c>
      <c r="H233" s="12">
        <f t="shared" si="10"/>
        <v>0.83526175265141578</v>
      </c>
      <c r="I233" s="12">
        <f t="shared" si="11"/>
        <v>3.6767999333556331E-2</v>
      </c>
      <c r="J233" s="12">
        <f>G233*(D233*Assumptions!$B$6+E233*Assumptions!$B$7)</f>
        <v>1.0191017493191974E-2</v>
      </c>
    </row>
    <row r="234" spans="1:10" x14ac:dyDescent="0.2">
      <c r="A234" s="2">
        <v>226</v>
      </c>
      <c r="B234" s="14">
        <f>A234*Assumptions!$B$12</f>
        <v>2.2600000000000002</v>
      </c>
      <c r="C234" s="15">
        <f>IF(A234&lt;=Assumptions!$B$13,IF(OR(A234=0,A234=Assumptions!$B$13),0.5,1),0)*Assumptions!$B$12</f>
        <v>0.01</v>
      </c>
      <c r="D234" s="12">
        <f>D233*(1-Assumptions!$B$12*(Assumptions!$B$5+Assumptions!$B$6))</f>
        <v>0.93443783917614887</v>
      </c>
      <c r="E234" s="12">
        <f>E233+Assumptions!$B$12*(D233*Assumptions!$B$5-E233*Assumptions!$B$7)</f>
        <v>4.1312418623302816E-2</v>
      </c>
      <c r="F234" s="12">
        <f t="shared" si="9"/>
        <v>2.4249742200548319E-2</v>
      </c>
      <c r="G234" s="12">
        <f>EXP(-Assumptions!$B$8*B234)</f>
        <v>0.89315066011601552</v>
      </c>
      <c r="H234" s="12">
        <f t="shared" si="10"/>
        <v>0.83459377289756054</v>
      </c>
      <c r="I234" s="12">
        <f t="shared" si="11"/>
        <v>3.6898213964392086E-2</v>
      </c>
      <c r="J234" s="12">
        <f>G234*(D234*Assumptions!$B$6+E234*Assumptions!$B$7)</f>
        <v>1.0190848427195209E-2</v>
      </c>
    </row>
    <row r="235" spans="1:10" x14ac:dyDescent="0.2">
      <c r="A235" s="2">
        <v>227</v>
      </c>
      <c r="B235" s="14">
        <f>A235*Assumptions!$B$12</f>
        <v>2.27</v>
      </c>
      <c r="C235" s="15">
        <f>IF(A235&lt;=Assumptions!$B$13,IF(OR(A235=0,A235=Assumptions!$B$13),0.5,1),0)*Assumptions!$B$12</f>
        <v>0.01</v>
      </c>
      <c r="D235" s="12">
        <f>D234*(1-Assumptions!$B$12*(Assumptions!$B$5+Assumptions!$B$6))</f>
        <v>0.93415750782439611</v>
      </c>
      <c r="E235" s="12">
        <f>E234+Assumptions!$B$12*(D234*Assumptions!$B$5-E234*Assumptions!$B$7)</f>
        <v>4.1478649981826397E-2</v>
      </c>
      <c r="F235" s="12">
        <f t="shared" si="9"/>
        <v>2.4363842193777498E-2</v>
      </c>
      <c r="G235" s="12">
        <f>EXP(-Assumptions!$B$8*B235)</f>
        <v>0.89270419641118504</v>
      </c>
      <c r="H235" s="12">
        <f t="shared" si="10"/>
        <v>0.83392632734385286</v>
      </c>
      <c r="I235" s="12">
        <f t="shared" si="11"/>
        <v>3.702816490024715E-2</v>
      </c>
      <c r="J235" s="12">
        <f>G235*(D235*Assumptions!$B$6+E235*Assumptions!$B$7)</f>
        <v>1.0190671518450886E-2</v>
      </c>
    </row>
    <row r="236" spans="1:10" x14ac:dyDescent="0.2">
      <c r="A236" s="2">
        <v>228</v>
      </c>
      <c r="B236" s="14">
        <f>A236*Assumptions!$B$12</f>
        <v>2.2800000000000002</v>
      </c>
      <c r="C236" s="15">
        <f>IF(A236&lt;=Assumptions!$B$13,IF(OR(A236=0,A236=Assumptions!$B$13),0.5,1),0)*Assumptions!$B$12</f>
        <v>0.01</v>
      </c>
      <c r="D236" s="12">
        <f>D235*(1-Assumptions!$B$12*(Assumptions!$B$5+Assumptions!$B$6))</f>
        <v>0.93387726057204878</v>
      </c>
      <c r="E236" s="12">
        <f>E235+Assumptions!$B$12*(D235*Assumptions!$B$5-E235*Assumptions!$B$7)</f>
        <v>4.1644742158400361E-2</v>
      </c>
      <c r="F236" s="12">
        <f t="shared" si="9"/>
        <v>2.4477997269550855E-2</v>
      </c>
      <c r="G236" s="12">
        <f>EXP(-Assumptions!$B$8*B236)</f>
        <v>0.8922579558824083</v>
      </c>
      <c r="H236" s="12">
        <f t="shared" si="10"/>
        <v>0.83325941556307948</v>
      </c>
      <c r="I236" s="12">
        <f t="shared" si="11"/>
        <v>3.7157852511504261E-2</v>
      </c>
      <c r="J236" s="12">
        <f>G236*(D236*Assumptions!$B$6+E236*Assumptions!$B$7)</f>
        <v>1.0190486781206008E-2</v>
      </c>
    </row>
    <row r="237" spans="1:10" x14ac:dyDescent="0.2">
      <c r="A237" s="2">
        <v>229</v>
      </c>
      <c r="B237" s="14">
        <f>A237*Assumptions!$B$12</f>
        <v>2.29</v>
      </c>
      <c r="C237" s="15">
        <f>IF(A237&lt;=Assumptions!$B$13,IF(OR(A237=0,A237=Assumptions!$B$13),0.5,1),0)*Assumptions!$B$12</f>
        <v>0.01</v>
      </c>
      <c r="D237" s="12">
        <f>D236*(1-Assumptions!$B$12*(Assumptions!$B$5+Assumptions!$B$6))</f>
        <v>0.9335970973938772</v>
      </c>
      <c r="E237" s="12">
        <f>E236+Assumptions!$B$12*(D236*Assumptions!$B$5-E236*Assumptions!$B$7)</f>
        <v>4.181069523943557E-2</v>
      </c>
      <c r="F237" s="12">
        <f t="shared" si="9"/>
        <v>2.4592207366687234E-2</v>
      </c>
      <c r="G237" s="12">
        <f>EXP(-Assumptions!$B$8*B237)</f>
        <v>0.89181193841812523</v>
      </c>
      <c r="H237" s="12">
        <f t="shared" si="10"/>
        <v>0.83259303712836885</v>
      </c>
      <c r="I237" s="12">
        <f t="shared" si="11"/>
        <v>3.7287277168090514E-2</v>
      </c>
      <c r="J237" s="12">
        <f>G237*(D237*Assumptions!$B$6+E237*Assumptions!$B$7)</f>
        <v>1.0190294229688215E-2</v>
      </c>
    </row>
    <row r="238" spans="1:10" x14ac:dyDescent="0.2">
      <c r="A238" s="2">
        <v>230</v>
      </c>
      <c r="B238" s="14">
        <f>A238*Assumptions!$B$12</f>
        <v>2.3000000000000003</v>
      </c>
      <c r="C238" s="15">
        <f>IF(A238&lt;=Assumptions!$B$13,IF(OR(A238=0,A238=Assumptions!$B$13),0.5,1),0)*Assumptions!$B$12</f>
        <v>0.01</v>
      </c>
      <c r="D238" s="12">
        <f>D237*(1-Assumptions!$B$12*(Assumptions!$B$5+Assumptions!$B$6))</f>
        <v>0.93331701826465907</v>
      </c>
      <c r="E238" s="12">
        <f>E237+Assumptions!$B$12*(D237*Assumptions!$B$5-E237*Assumptions!$B$7)</f>
        <v>4.1976509311294631E-2</v>
      </c>
      <c r="F238" s="12">
        <f t="shared" si="9"/>
        <v>2.4706472424046298E-2</v>
      </c>
      <c r="G238" s="12">
        <f>EXP(-Assumptions!$B$8*B238)</f>
        <v>0.89136614390683133</v>
      </c>
      <c r="H238" s="12">
        <f t="shared" si="10"/>
        <v>0.83192719161319084</v>
      </c>
      <c r="I238" s="12">
        <f t="shared" si="11"/>
        <v>3.7416439239477899E-2</v>
      </c>
      <c r="J238" s="12">
        <f>G238*(D238*Assumptions!$B$6+E238*Assumptions!$B$7)</f>
        <v>1.0190093878105802E-2</v>
      </c>
    </row>
    <row r="239" spans="1:10" x14ac:dyDescent="0.2">
      <c r="A239" s="2">
        <v>231</v>
      </c>
      <c r="B239" s="14">
        <f>A239*Assumptions!$B$12</f>
        <v>2.31</v>
      </c>
      <c r="C239" s="15">
        <f>IF(A239&lt;=Assumptions!$B$13,IF(OR(A239=0,A239=Assumptions!$B$13),0.5,1),0)*Assumptions!$B$12</f>
        <v>0.01</v>
      </c>
      <c r="D239" s="12">
        <f>D238*(1-Assumptions!$B$12*(Assumptions!$B$5+Assumptions!$B$6))</f>
        <v>0.93303702315917969</v>
      </c>
      <c r="E239" s="12">
        <f>E238+Assumptions!$B$12*(D238*Assumptions!$B$5-E238*Assumptions!$B$7)</f>
        <v>4.2142184460291915E-2</v>
      </c>
      <c r="F239" s="12">
        <f t="shared" si="9"/>
        <v>2.4820792380528395E-2</v>
      </c>
      <c r="G239" s="12">
        <f>EXP(-Assumptions!$B$8*B239)</f>
        <v>0.8909205722370781</v>
      </c>
      <c r="H239" s="12">
        <f t="shared" si="10"/>
        <v>0.83126187859135625</v>
      </c>
      <c r="I239" s="12">
        <f t="shared" si="11"/>
        <v>3.7545339094683772E-2</v>
      </c>
      <c r="J239" s="12">
        <f>G239*(D239*Assumptions!$B$6+E239*Assumptions!$B$7)</f>
        <v>1.0189885740647751E-2</v>
      </c>
    </row>
    <row r="240" spans="1:10" x14ac:dyDescent="0.2">
      <c r="A240" s="2">
        <v>232</v>
      </c>
      <c r="B240" s="14">
        <f>A240*Assumptions!$B$12</f>
        <v>2.3199999999999998</v>
      </c>
      <c r="C240" s="15">
        <f>IF(A240&lt;=Assumptions!$B$13,IF(OR(A240=0,A240=Assumptions!$B$13),0.5,1),0)*Assumptions!$B$12</f>
        <v>0.01</v>
      </c>
      <c r="D240" s="12">
        <f>D239*(1-Assumptions!$B$12*(Assumptions!$B$5+Assumptions!$B$6))</f>
        <v>0.932757112052232</v>
      </c>
      <c r="E240" s="12">
        <f>E239+Assumptions!$B$12*(D239*Assumptions!$B$5-E239*Assumptions!$B$7)</f>
        <v>4.2307720772693604E-2</v>
      </c>
      <c r="F240" s="12">
        <f t="shared" si="9"/>
        <v>2.4935167175074401E-2</v>
      </c>
      <c r="G240" s="12">
        <f>EXP(-Assumptions!$B$8*B240)</f>
        <v>0.89047522329747264</v>
      </c>
      <c r="H240" s="12">
        <f t="shared" si="10"/>
        <v>0.83059709763701695</v>
      </c>
      <c r="I240" s="12">
        <f t="shared" si="11"/>
        <v>3.767397710227146E-2</v>
      </c>
      <c r="J240" s="12">
        <f>G240*(D240*Assumptions!$B$6+E240*Assumptions!$B$7)</f>
        <v>1.0189669831483743E-2</v>
      </c>
    </row>
    <row r="241" spans="1:10" x14ac:dyDescent="0.2">
      <c r="A241" s="2">
        <v>233</v>
      </c>
      <c r="B241" s="14">
        <f>A241*Assumptions!$B$12</f>
        <v>2.33</v>
      </c>
      <c r="C241" s="15">
        <f>IF(A241&lt;=Assumptions!$B$13,IF(OR(A241=0,A241=Assumptions!$B$13),0.5,1),0)*Assumptions!$B$12</f>
        <v>0.01</v>
      </c>
      <c r="D241" s="12">
        <f>D240*(1-Assumptions!$B$12*(Assumptions!$B$5+Assumptions!$B$6))</f>
        <v>0.93247728491861637</v>
      </c>
      <c r="E241" s="12">
        <f>E240+Assumptions!$B$12*(D240*Assumptions!$B$5-E240*Assumptions!$B$7)</f>
        <v>4.2473118334717702E-2</v>
      </c>
      <c r="F241" s="12">
        <f t="shared" si="9"/>
        <v>2.5049596746665931E-2</v>
      </c>
      <c r="G241" s="12">
        <f>EXP(-Assumptions!$B$8*B241)</f>
        <v>0.89003009697667756</v>
      </c>
      <c r="H241" s="12">
        <f t="shared" si="10"/>
        <v>0.82993284832466507</v>
      </c>
      <c r="I241" s="12">
        <f t="shared" si="11"/>
        <v>3.7802353630350699E-2</v>
      </c>
      <c r="J241" s="12">
        <f>G241*(D241*Assumptions!$B$6+E241*Assumptions!$B$7)</f>
        <v>1.0189446164764186E-2</v>
      </c>
    </row>
    <row r="242" spans="1:10" x14ac:dyDescent="0.2">
      <c r="A242" s="2">
        <v>234</v>
      </c>
      <c r="B242" s="14">
        <f>A242*Assumptions!$B$12</f>
        <v>2.34</v>
      </c>
      <c r="C242" s="15">
        <f>IF(A242&lt;=Assumptions!$B$13,IF(OR(A242=0,A242=Assumptions!$B$13),0.5,1),0)*Assumptions!$B$12</f>
        <v>0.01</v>
      </c>
      <c r="D242" s="12">
        <f>D241*(1-Assumptions!$B$12*(Assumptions!$B$5+Assumptions!$B$6))</f>
        <v>0.93219754173314084</v>
      </c>
      <c r="E242" s="12">
        <f>E241+Assumptions!$B$12*(D241*Assumptions!$B$5-E241*Assumptions!$B$7)</f>
        <v>4.2638377232534067E-2</v>
      </c>
      <c r="F242" s="12">
        <f t="shared" si="9"/>
        <v>2.5164081034325089E-2</v>
      </c>
      <c r="G242" s="12">
        <f>EXP(-Assumptions!$B$8*B242)</f>
        <v>0.88958519316341134</v>
      </c>
      <c r="H242" s="12">
        <f t="shared" si="10"/>
        <v>0.82926913022913329</v>
      </c>
      <c r="I242" s="12">
        <f t="shared" si="11"/>
        <v>3.7930469046578215E-2</v>
      </c>
      <c r="J242" s="12">
        <f>G242*(D242*Assumptions!$B$6+E242*Assumptions!$B$7)</f>
        <v>1.0189214754620245E-2</v>
      </c>
    </row>
    <row r="243" spans="1:10" x14ac:dyDescent="0.2">
      <c r="A243" s="2">
        <v>235</v>
      </c>
      <c r="B243" s="14">
        <f>A243*Assumptions!$B$12</f>
        <v>2.35</v>
      </c>
      <c r="C243" s="15">
        <f>IF(A243&lt;=Assumptions!$B$13,IF(OR(A243=0,A243=Assumptions!$B$13),0.5,1),0)*Assumptions!$B$12</f>
        <v>0.01</v>
      </c>
      <c r="D243" s="12">
        <f>D242*(1-Assumptions!$B$12*(Assumptions!$B$5+Assumptions!$B$6))</f>
        <v>0.93191788247062091</v>
      </c>
      <c r="E243" s="12">
        <f>E242+Assumptions!$B$12*(D242*Assumptions!$B$5-E242*Assumptions!$B$7)</f>
        <v>4.2803497552264425E-2</v>
      </c>
      <c r="F243" s="12">
        <f t="shared" si="9"/>
        <v>2.5278619977114669E-2</v>
      </c>
      <c r="G243" s="12">
        <f>EXP(-Assumptions!$B$8*B243)</f>
        <v>0.88914051174644804</v>
      </c>
      <c r="H243" s="12">
        <f t="shared" si="10"/>
        <v>0.82860594292559409</v>
      </c>
      <c r="I243" s="12">
        <f t="shared" si="11"/>
        <v>3.8058323718158225E-2</v>
      </c>
      <c r="J243" s="12">
        <f>G243*(D243*Assumptions!$B$6+E243*Assumptions!$B$7)</f>
        <v>1.0188975615163852E-2</v>
      </c>
    </row>
    <row r="244" spans="1:10" x14ac:dyDescent="0.2">
      <c r="A244" s="2">
        <v>236</v>
      </c>
      <c r="B244" s="14">
        <f>A244*Assumptions!$B$12</f>
        <v>2.36</v>
      </c>
      <c r="C244" s="15">
        <f>IF(A244&lt;=Assumptions!$B$13,IF(OR(A244=0,A244=Assumptions!$B$13),0.5,1),0)*Assumptions!$B$12</f>
        <v>0.01</v>
      </c>
      <c r="D244" s="12">
        <f>D243*(1-Assumptions!$B$12*(Assumptions!$B$5+Assumptions!$B$6))</f>
        <v>0.9316383071058798</v>
      </c>
      <c r="E244" s="12">
        <f>E243+Assumptions!$B$12*(D243*Assumptions!$B$5-E243*Assumptions!$B$7)</f>
        <v>4.2968479379982417E-2</v>
      </c>
      <c r="F244" s="12">
        <f t="shared" si="9"/>
        <v>2.5393213514137779E-2</v>
      </c>
      <c r="G244" s="12">
        <f>EXP(-Assumptions!$B$8*B244)</f>
        <v>0.88869605261461737</v>
      </c>
      <c r="H244" s="12">
        <f t="shared" si="10"/>
        <v>0.82794328598956002</v>
      </c>
      <c r="I244" s="12">
        <f t="shared" si="11"/>
        <v>3.8185918011842956E-2</v>
      </c>
      <c r="J244" s="12">
        <f>G244*(D244*Assumptions!$B$6+E244*Assumptions!$B$7)</f>
        <v>1.0188728760487748E-2</v>
      </c>
    </row>
    <row r="245" spans="1:10" x14ac:dyDescent="0.2">
      <c r="A245" s="2">
        <v>237</v>
      </c>
      <c r="B245" s="14">
        <f>A245*Assumptions!$B$12</f>
        <v>2.37</v>
      </c>
      <c r="C245" s="15">
        <f>IF(A245&lt;=Assumptions!$B$13,IF(OR(A245=0,A245=Assumptions!$B$13),0.5,1),0)*Assumptions!$B$12</f>
        <v>0.01</v>
      </c>
      <c r="D245" s="12">
        <f>D244*(1-Assumptions!$B$12*(Assumptions!$B$5+Assumptions!$B$6))</f>
        <v>0.93135881561374811</v>
      </c>
      <c r="E245" s="12">
        <f>E244+Assumptions!$B$12*(D244*Assumptions!$B$5-E244*Assumptions!$B$7)</f>
        <v>4.31333228017136E-2</v>
      </c>
      <c r="F245" s="12">
        <f t="shared" si="9"/>
        <v>2.5507861584538286E-2</v>
      </c>
      <c r="G245" s="12">
        <f>EXP(-Assumptions!$B$8*B245)</f>
        <v>0.88825181565680444</v>
      </c>
      <c r="H245" s="12">
        <f t="shared" si="10"/>
        <v>0.8272811589968827</v>
      </c>
      <c r="I245" s="12">
        <f t="shared" si="11"/>
        <v>3.8313252293933148E-2</v>
      </c>
      <c r="J245" s="12">
        <f>G245*(D245*Assumptions!$B$6+E245*Assumptions!$B$7)</f>
        <v>1.0188474204665485E-2</v>
      </c>
    </row>
    <row r="246" spans="1:10" x14ac:dyDescent="0.2">
      <c r="A246" s="2">
        <v>238</v>
      </c>
      <c r="B246" s="14">
        <f>A246*Assumptions!$B$12</f>
        <v>2.38</v>
      </c>
      <c r="C246" s="15">
        <f>IF(A246&lt;=Assumptions!$B$13,IF(OR(A246=0,A246=Assumptions!$B$13),0.5,1),0)*Assumptions!$B$12</f>
        <v>0.01</v>
      </c>
      <c r="D246" s="12">
        <f>D245*(1-Assumptions!$B$12*(Assumptions!$B$5+Assumptions!$B$6))</f>
        <v>0.93107940796906397</v>
      </c>
      <c r="E246" s="12">
        <f>E245+Assumptions!$B$12*(D245*Assumptions!$B$5-E245*Assumptions!$B$7)</f>
        <v>4.3298027903435496E-2</v>
      </c>
      <c r="F246" s="12">
        <f t="shared" si="9"/>
        <v>2.5622564127500538E-2</v>
      </c>
      <c r="G246" s="12">
        <f>EXP(-Assumptions!$B$8*B246)</f>
        <v>0.88780780076195009</v>
      </c>
      <c r="H246" s="12">
        <f t="shared" si="10"/>
        <v>0.82661956152375315</v>
      </c>
      <c r="I246" s="12">
        <f t="shared" si="11"/>
        <v>3.8440326930278615E-2</v>
      </c>
      <c r="J246" s="12">
        <f>G246*(D246*Assumptions!$B$6+E246*Assumptions!$B$7)</f>
        <v>1.0188211961751462E-2</v>
      </c>
    </row>
    <row r="247" spans="1:10" x14ac:dyDescent="0.2">
      <c r="A247" s="2">
        <v>239</v>
      </c>
      <c r="B247" s="14">
        <f>A247*Assumptions!$B$12</f>
        <v>2.39</v>
      </c>
      <c r="C247" s="15">
        <f>IF(A247&lt;=Assumptions!$B$13,IF(OR(A247=0,A247=Assumptions!$B$13),0.5,1),0)*Assumptions!$B$12</f>
        <v>0.01</v>
      </c>
      <c r="D247" s="12">
        <f>D246*(1-Assumptions!$B$12*(Assumptions!$B$5+Assumptions!$B$6))</f>
        <v>0.93080008414667326</v>
      </c>
      <c r="E247" s="12">
        <f>E246+Assumptions!$B$12*(D246*Assumptions!$B$5-E246*Assumptions!$B$7)</f>
        <v>4.3462594771077591E-2</v>
      </c>
      <c r="F247" s="12">
        <f t="shared" si="9"/>
        <v>2.5737321082249152E-2</v>
      </c>
      <c r="G247" s="12">
        <f>EXP(-Assumptions!$B$8*B247)</f>
        <v>0.88736400781905045</v>
      </c>
      <c r="H247" s="12">
        <f t="shared" si="10"/>
        <v>0.82595849314670133</v>
      </c>
      <c r="I247" s="12">
        <f t="shared" si="11"/>
        <v>3.8567142286278715E-2</v>
      </c>
      <c r="J247" s="12">
        <f>G247*(D247*Assumptions!$B$6+E247*Assumptions!$B$7)</f>
        <v>1.0187942045780952E-2</v>
      </c>
    </row>
    <row r="248" spans="1:10" x14ac:dyDescent="0.2">
      <c r="A248" s="2">
        <v>240</v>
      </c>
      <c r="B248" s="14">
        <f>A248*Assumptions!$B$12</f>
        <v>2.4</v>
      </c>
      <c r="C248" s="15">
        <f>IF(A248&lt;=Assumptions!$B$13,IF(OR(A248=0,A248=Assumptions!$B$13),0.5,1),0)*Assumptions!$B$12</f>
        <v>0.01</v>
      </c>
      <c r="D248" s="12">
        <f>D247*(1-Assumptions!$B$12*(Assumptions!$B$5+Assumptions!$B$6))</f>
        <v>0.93052084412142932</v>
      </c>
      <c r="E248" s="12">
        <f>E247+Assumptions!$B$12*(D247*Assumptions!$B$5-E247*Assumptions!$B$7)</f>
        <v>4.3627023490521388E-2</v>
      </c>
      <c r="F248" s="12">
        <f t="shared" si="9"/>
        <v>2.5852132388049287E-2</v>
      </c>
      <c r="G248" s="12">
        <f>EXP(-Assumptions!$B$8*B248)</f>
        <v>0.88692043671715748</v>
      </c>
      <c r="H248" s="12">
        <f t="shared" si="10"/>
        <v>0.82529795344259615</v>
      </c>
      <c r="I248" s="12">
        <f t="shared" si="11"/>
        <v>3.8693698726882921E-2</v>
      </c>
      <c r="J248" s="12">
        <f>G248*(D248*Assumptions!$B$6+E248*Assumptions!$B$7)</f>
        <v>1.0187664470770106E-2</v>
      </c>
    </row>
    <row r="249" spans="1:10" x14ac:dyDescent="0.2">
      <c r="A249" s="2">
        <v>241</v>
      </c>
      <c r="B249" s="14">
        <f>A249*Assumptions!$B$12</f>
        <v>2.41</v>
      </c>
      <c r="C249" s="15">
        <f>IF(A249&lt;=Assumptions!$B$13,IF(OR(A249=0,A249=Assumptions!$B$13),0.5,1),0)*Assumptions!$B$12</f>
        <v>0.01</v>
      </c>
      <c r="D249" s="12">
        <f>D248*(1-Assumptions!$B$12*(Assumptions!$B$5+Assumptions!$B$6))</f>
        <v>0.93024168786819295</v>
      </c>
      <c r="E249" s="12">
        <f>E248+Assumptions!$B$12*(D248*Assumptions!$B$5-E248*Assumptions!$B$7)</f>
        <v>4.3791314147600416E-2</v>
      </c>
      <c r="F249" s="12">
        <f t="shared" si="9"/>
        <v>2.5966997984206638E-2</v>
      </c>
      <c r="G249" s="12">
        <f>EXP(-Assumptions!$B$8*B249)</f>
        <v>0.88647708734537833</v>
      </c>
      <c r="H249" s="12">
        <f t="shared" si="10"/>
        <v>0.82463794198864426</v>
      </c>
      <c r="I249" s="12">
        <f t="shared" si="11"/>
        <v>3.8819996616591274E-2</v>
      </c>
      <c r="J249" s="12">
        <f>G249*(D249*Assumptions!$B$6+E249*Assumptions!$B$7)</f>
        <v>1.0187379250716007E-2</v>
      </c>
    </row>
    <row r="250" spans="1:10" x14ac:dyDescent="0.2">
      <c r="A250" s="2">
        <v>242</v>
      </c>
      <c r="B250" s="14">
        <f>A250*Assumptions!$B$12</f>
        <v>2.42</v>
      </c>
      <c r="C250" s="15">
        <f>IF(A250&lt;=Assumptions!$B$13,IF(OR(A250=0,A250=Assumptions!$B$13),0.5,1),0)*Assumptions!$B$12</f>
        <v>0.01</v>
      </c>
      <c r="D250" s="12">
        <f>D249*(1-Assumptions!$B$12*(Assumptions!$B$5+Assumptions!$B$6))</f>
        <v>0.92996261536183256</v>
      </c>
      <c r="E250" s="12">
        <f>E249+Assumptions!$B$12*(D249*Assumptions!$B$5-E249*Assumptions!$B$7)</f>
        <v>4.3955466828100254E-2</v>
      </c>
      <c r="F250" s="12">
        <f t="shared" si="9"/>
        <v>2.608191781006719E-2</v>
      </c>
      <c r="G250" s="12">
        <f>EXP(-Assumptions!$B$8*B250)</f>
        <v>0.88603395959287556</v>
      </c>
      <c r="H250" s="12">
        <f t="shared" si="10"/>
        <v>0.82397845836239081</v>
      </c>
      <c r="I250" s="12">
        <f t="shared" si="11"/>
        <v>3.8946036319454966E-2</v>
      </c>
      <c r="J250" s="12">
        <f>G250*(D250*Assumptions!$B$6+E250*Assumptions!$B$7)</f>
        <v>1.0187086399596658E-2</v>
      </c>
    </row>
    <row r="251" spans="1:10" x14ac:dyDescent="0.2">
      <c r="A251" s="2">
        <v>243</v>
      </c>
      <c r="B251" s="14">
        <f>A251*Assumptions!$B$12</f>
        <v>2.4300000000000002</v>
      </c>
      <c r="C251" s="15">
        <f>IF(A251&lt;=Assumptions!$B$13,IF(OR(A251=0,A251=Assumptions!$B$13),0.5,1),0)*Assumptions!$B$12</f>
        <v>0.01</v>
      </c>
      <c r="D251" s="12">
        <f>D250*(1-Assumptions!$B$12*(Assumptions!$B$5+Assumptions!$B$6))</f>
        <v>0.92968362657722403</v>
      </c>
      <c r="E251" s="12">
        <f>E250+Assumptions!$B$12*(D250*Assumptions!$B$5-E250*Assumptions!$B$7)</f>
        <v>4.4119481617758569E-2</v>
      </c>
      <c r="F251" s="12">
        <f t="shared" si="9"/>
        <v>2.61968918050174E-2</v>
      </c>
      <c r="G251" s="12">
        <f>EXP(-Assumptions!$B$8*B251)</f>
        <v>0.88559105334886734</v>
      </c>
      <c r="H251" s="12">
        <f t="shared" si="10"/>
        <v>0.8233195021417189</v>
      </c>
      <c r="I251" s="12">
        <f t="shared" si="11"/>
        <v>3.9071818199076798E-2</v>
      </c>
      <c r="J251" s="12">
        <f>G251*(D251*Assumptions!$B$6+E251*Assumptions!$B$7)</f>
        <v>1.0186785931371027E-2</v>
      </c>
    </row>
    <row r="252" spans="1:10" x14ac:dyDescent="0.2">
      <c r="A252" s="2">
        <v>244</v>
      </c>
      <c r="B252" s="14">
        <f>A252*Assumptions!$B$12</f>
        <v>2.44</v>
      </c>
      <c r="C252" s="15">
        <f>IF(A252&lt;=Assumptions!$B$13,IF(OR(A252=0,A252=Assumptions!$B$13),0.5,1),0)*Assumptions!$B$12</f>
        <v>0.01</v>
      </c>
      <c r="D252" s="12">
        <f>D251*(1-Assumptions!$B$12*(Assumptions!$B$5+Assumptions!$B$6))</f>
        <v>0.92940472148925091</v>
      </c>
      <c r="E252" s="12">
        <f>E251+Assumptions!$B$12*(D251*Assumptions!$B$5-E251*Assumptions!$B$7)</f>
        <v>4.4283358602265135E-2</v>
      </c>
      <c r="F252" s="12">
        <f t="shared" si="9"/>
        <v>2.6311919908483958E-2</v>
      </c>
      <c r="G252" s="12">
        <f>EXP(-Assumptions!$B$8*B252)</f>
        <v>0.88514836850262713</v>
      </c>
      <c r="H252" s="12">
        <f t="shared" si="10"/>
        <v>0.82266107290484902</v>
      </c>
      <c r="I252" s="12">
        <f t="shared" si="11"/>
        <v>3.9197342618611762E-2</v>
      </c>
      <c r="J252" s="12">
        <f>G252*(D252*Assumptions!$B$6+E252*Assumptions!$B$7)</f>
        <v>1.0186477859979079E-2</v>
      </c>
    </row>
    <row r="253" spans="1:10" x14ac:dyDescent="0.2">
      <c r="A253" s="2">
        <v>245</v>
      </c>
      <c r="B253" s="14">
        <f>A253*Assumptions!$B$12</f>
        <v>2.4500000000000002</v>
      </c>
      <c r="C253" s="15">
        <f>IF(A253&lt;=Assumptions!$B$13,IF(OR(A253=0,A253=Assumptions!$B$13),0.5,1),0)*Assumptions!$B$12</f>
        <v>0.01</v>
      </c>
      <c r="D253" s="12">
        <f>D252*(1-Assumptions!$B$12*(Assumptions!$B$5+Assumptions!$B$6))</f>
        <v>0.92912590007280416</v>
      </c>
      <c r="E253" s="12">
        <f>E252+Assumptions!$B$12*(D252*Assumptions!$B$5-E252*Assumptions!$B$7)</f>
        <v>4.4447097867261851E-2</v>
      </c>
      <c r="F253" s="12">
        <f t="shared" si="9"/>
        <v>2.6427002059933993E-2</v>
      </c>
      <c r="G253" s="12">
        <f>EXP(-Assumptions!$B$8*B253)</f>
        <v>0.88470590494348356</v>
      </c>
      <c r="H253" s="12">
        <f t="shared" si="10"/>
        <v>0.82200317023033886</v>
      </c>
      <c r="I253" s="12">
        <f t="shared" si="11"/>
        <v>3.9322609940767472E-2</v>
      </c>
      <c r="J253" s="12">
        <f>G253*(D253*Assumptions!$B$6+E253*Assumptions!$B$7)</f>
        <v>1.0186162199341764E-2</v>
      </c>
    </row>
    <row r="254" spans="1:10" x14ac:dyDescent="0.2">
      <c r="A254" s="2">
        <v>246</v>
      </c>
      <c r="B254" s="14">
        <f>A254*Assumptions!$B$12</f>
        <v>2.46</v>
      </c>
      <c r="C254" s="15">
        <f>IF(A254&lt;=Assumptions!$B$13,IF(OR(A254=0,A254=Assumptions!$B$13),0.5,1),0)*Assumptions!$B$12</f>
        <v>0.01</v>
      </c>
      <c r="D254" s="12">
        <f>D253*(1-Assumptions!$B$12*(Assumptions!$B$5+Assumptions!$B$6))</f>
        <v>0.9288471623027823</v>
      </c>
      <c r="E254" s="12">
        <f>E253+Assumptions!$B$12*(D253*Assumptions!$B$5-E253*Assumptions!$B$7)</f>
        <v>4.461069949834278E-2</v>
      </c>
      <c r="F254" s="12">
        <f t="shared" si="9"/>
        <v>2.6542138198874916E-2</v>
      </c>
      <c r="G254" s="12">
        <f>EXP(-Assumptions!$B$8*B254)</f>
        <v>0.8842636625608209</v>
      </c>
      <c r="H254" s="12">
        <f t="shared" si="10"/>
        <v>0.82134579369708349</v>
      </c>
      <c r="I254" s="12">
        <f t="shared" si="11"/>
        <v>3.9447620527804761E-2</v>
      </c>
      <c r="J254" s="12">
        <f>G254*(D254*Assumptions!$B$6+E254*Assumptions!$B$7)</f>
        <v>1.0185838963361074E-2</v>
      </c>
    </row>
    <row r="255" spans="1:10" x14ac:dyDescent="0.2">
      <c r="A255" s="2">
        <v>247</v>
      </c>
      <c r="B255" s="14">
        <f>A255*Assumptions!$B$12</f>
        <v>2.4700000000000002</v>
      </c>
      <c r="C255" s="15">
        <f>IF(A255&lt;=Assumptions!$B$13,IF(OR(A255=0,A255=Assumptions!$B$13),0.5,1),0)*Assumptions!$B$12</f>
        <v>0.01</v>
      </c>
      <c r="D255" s="12">
        <f>D254*(1-Assumptions!$B$12*(Assumptions!$B$5+Assumptions!$B$6))</f>
        <v>0.92856850815409153</v>
      </c>
      <c r="E255" s="12">
        <f>E254+Assumptions!$B$12*(D254*Assumptions!$B$5-E254*Assumptions!$B$7)</f>
        <v>4.4774163581054169E-2</v>
      </c>
      <c r="F255" s="12">
        <f t="shared" si="9"/>
        <v>2.6657328264854299E-2</v>
      </c>
      <c r="G255" s="12">
        <f>EXP(-Assumptions!$B$8*B255)</f>
        <v>0.88382164124407836</v>
      </c>
      <c r="H255" s="12">
        <f t="shared" si="10"/>
        <v>0.82068894288431449</v>
      </c>
      <c r="I255" s="12">
        <f t="shared" si="11"/>
        <v>3.9572374741538137E-2</v>
      </c>
      <c r="J255" s="12">
        <f>G255*(D255*Assumptions!$B$6+E255*Assumptions!$B$7)</f>
        <v>1.0185508165920053E-2</v>
      </c>
    </row>
    <row r="256" spans="1:10" x14ac:dyDescent="0.2">
      <c r="A256" s="2">
        <v>248</v>
      </c>
      <c r="B256" s="14">
        <f>A256*Assumptions!$B$12</f>
        <v>2.48</v>
      </c>
      <c r="C256" s="15">
        <f>IF(A256&lt;=Assumptions!$B$13,IF(OR(A256=0,A256=Assumptions!$B$13),0.5,1),0)*Assumptions!$B$12</f>
        <v>0.01</v>
      </c>
      <c r="D256" s="12">
        <f>D255*(1-Assumptions!$B$12*(Assumptions!$B$5+Assumptions!$B$6))</f>
        <v>0.92828993760164535</v>
      </c>
      <c r="E256" s="12">
        <f>E255+Assumptions!$B$12*(D255*Assumptions!$B$5-E255*Assumptions!$B$7)</f>
        <v>4.4937490200894457E-2</v>
      </c>
      <c r="F256" s="12">
        <f t="shared" si="9"/>
        <v>2.6772572197460189E-2</v>
      </c>
      <c r="G256" s="12">
        <f>EXP(-Assumptions!$B$8*B256)</f>
        <v>0.8833798408827509</v>
      </c>
      <c r="H256" s="12">
        <f t="shared" si="10"/>
        <v>0.82003261737160027</v>
      </c>
      <c r="I256" s="12">
        <f t="shared" si="11"/>
        <v>3.9696872943336327E-2</v>
      </c>
      <c r="J256" s="12">
        <f>G256*(D256*Assumptions!$B$6+E256*Assumptions!$B$7)</f>
        <v>1.0185169820882817E-2</v>
      </c>
    </row>
    <row r="257" spans="1:10" x14ac:dyDescent="0.2">
      <c r="A257" s="2">
        <v>249</v>
      </c>
      <c r="B257" s="14">
        <f>A257*Assumptions!$B$12</f>
        <v>2.4900000000000002</v>
      </c>
      <c r="C257" s="15">
        <f>IF(A257&lt;=Assumptions!$B$13,IF(OR(A257=0,A257=Assumptions!$B$13),0.5,1),0)*Assumptions!$B$12</f>
        <v>0.01</v>
      </c>
      <c r="D257" s="12">
        <f>D256*(1-Assumptions!$B$12*(Assumptions!$B$5+Assumptions!$B$6))</f>
        <v>0.92801145062036494</v>
      </c>
      <c r="E257" s="12">
        <f>E256+Assumptions!$B$12*(D256*Assumptions!$B$5-E256*Assumptions!$B$7)</f>
        <v>4.5100679443314341E-2</v>
      </c>
      <c r="F257" s="12">
        <f t="shared" si="9"/>
        <v>2.6887869936320717E-2</v>
      </c>
      <c r="G257" s="12">
        <f>EXP(-Assumptions!$B$8*B257)</f>
        <v>0.8829382613663882</v>
      </c>
      <c r="H257" s="12">
        <f t="shared" si="10"/>
        <v>0.81937681673884488</v>
      </c>
      <c r="I257" s="12">
        <f t="shared" si="11"/>
        <v>3.9821115494122768E-2</v>
      </c>
      <c r="J257" s="12">
        <f>G257*(D257*Assumptions!$B$6+E257*Assumptions!$B$7)</f>
        <v>1.0184823942094587E-2</v>
      </c>
    </row>
    <row r="258" spans="1:10" x14ac:dyDescent="0.2">
      <c r="A258" s="2">
        <v>250</v>
      </c>
      <c r="B258" s="14">
        <f>A258*Assumptions!$B$12</f>
        <v>2.5</v>
      </c>
      <c r="C258" s="15">
        <f>IF(A258&lt;=Assumptions!$B$13,IF(OR(A258=0,A258=Assumptions!$B$13),0.5,1),0)*Assumptions!$B$12</f>
        <v>0.01</v>
      </c>
      <c r="D258" s="12">
        <f>D257*(1-Assumptions!$B$12*(Assumptions!$B$5+Assumptions!$B$6))</f>
        <v>0.92773304718517891</v>
      </c>
      <c r="E258" s="12">
        <f>E257+Assumptions!$B$12*(D257*Assumptions!$B$5-E257*Assumptions!$B$7)</f>
        <v>4.5263731393716755E-2</v>
      </c>
      <c r="F258" s="12">
        <f t="shared" si="9"/>
        <v>2.700322142110434E-2</v>
      </c>
      <c r="G258" s="12">
        <f>EXP(-Assumptions!$B$8*B258)</f>
        <v>0.88249690258459546</v>
      </c>
      <c r="H258" s="12">
        <f t="shared" si="10"/>
        <v>0.81872154056628876</v>
      </c>
      <c r="I258" s="12">
        <f t="shared" si="11"/>
        <v>3.9945102754376148E-2</v>
      </c>
      <c r="J258" s="12">
        <f>G258*(D258*Assumptions!$B$6+E258*Assumptions!$B$7)</f>
        <v>1.0184470543381695E-2</v>
      </c>
    </row>
    <row r="259" spans="1:10" x14ac:dyDescent="0.2">
      <c r="A259" s="2">
        <v>251</v>
      </c>
      <c r="B259" s="14">
        <f>A259*Assumptions!$B$12</f>
        <v>2.5100000000000002</v>
      </c>
      <c r="C259" s="15">
        <f>IF(A259&lt;=Assumptions!$B$13,IF(OR(A259=0,A259=Assumptions!$B$13),0.5,1),0)*Assumptions!$B$12</f>
        <v>0.01</v>
      </c>
      <c r="D259" s="12">
        <f>D258*(1-Assumptions!$B$12*(Assumptions!$B$5+Assumptions!$B$6))</f>
        <v>0.9274547272710234</v>
      </c>
      <c r="E259" s="12">
        <f>E258+Assumptions!$B$12*(D258*Assumptions!$B$5-E258*Assumptions!$B$7)</f>
        <v>4.5426646137456936E-2</v>
      </c>
      <c r="F259" s="12">
        <f t="shared" si="9"/>
        <v>2.7118626591519659E-2</v>
      </c>
      <c r="G259" s="12">
        <f>EXP(-Assumptions!$B$8*B259)</f>
        <v>0.88205576442703282</v>
      </c>
      <c r="H259" s="12">
        <f t="shared" si="10"/>
        <v>0.81806678843450775</v>
      </c>
      <c r="I259" s="12">
        <f t="shared" si="11"/>
        <v>4.0068835084130894E-2</v>
      </c>
      <c r="J259" s="12">
        <f>G259*(D259*Assumptions!$B$6+E259*Assumptions!$B$7)</f>
        <v>1.0184109638551623E-2</v>
      </c>
    </row>
    <row r="260" spans="1:10" x14ac:dyDescent="0.2">
      <c r="A260" s="2">
        <v>252</v>
      </c>
      <c r="B260" s="14">
        <f>A260*Assumptions!$B$12</f>
        <v>2.52</v>
      </c>
      <c r="C260" s="15">
        <f>IF(A260&lt;=Assumptions!$B$13,IF(OR(A260=0,A260=Assumptions!$B$13),0.5,1),0)*Assumptions!$B$12</f>
        <v>0.01</v>
      </c>
      <c r="D260" s="12">
        <f>D259*(1-Assumptions!$B$12*(Assumptions!$B$5+Assumptions!$B$6))</f>
        <v>0.92717649085284215</v>
      </c>
      <c r="E260" s="12">
        <f>E259+Assumptions!$B$12*(D259*Assumptions!$B$5-E259*Assumptions!$B$7)</f>
        <v>4.5589423759842415E-2</v>
      </c>
      <c r="F260" s="12">
        <f t="shared" si="9"/>
        <v>2.7234085387315435E-2</v>
      </c>
      <c r="G260" s="12">
        <f>EXP(-Assumptions!$B$8*B260)</f>
        <v>0.88161484678341606</v>
      </c>
      <c r="H260" s="12">
        <f t="shared" si="10"/>
        <v>0.81741255992441375</v>
      </c>
      <c r="I260" s="12">
        <f t="shared" si="11"/>
        <v>4.0192312842977695E-2</v>
      </c>
      <c r="J260" s="12">
        <f>G260*(D260*Assumptions!$B$6+E260*Assumptions!$B$7)</f>
        <v>1.0183741241393022E-2</v>
      </c>
    </row>
    <row r="261" spans="1:10" x14ac:dyDescent="0.2">
      <c r="A261" s="2">
        <v>253</v>
      </c>
      <c r="B261" s="14">
        <f>A261*Assumptions!$B$12</f>
        <v>2.5300000000000002</v>
      </c>
      <c r="C261" s="15">
        <f>IF(A261&lt;=Assumptions!$B$13,IF(OR(A261=0,A261=Assumptions!$B$13),0.5,1),0)*Assumptions!$B$12</f>
        <v>0.01</v>
      </c>
      <c r="D261" s="12">
        <f>D260*(1-Assumptions!$B$12*(Assumptions!$B$5+Assumptions!$B$6))</f>
        <v>0.92689833790558629</v>
      </c>
      <c r="E261" s="12">
        <f>E260+Assumptions!$B$12*(D260*Assumptions!$B$5-E260*Assumptions!$B$7)</f>
        <v>4.5752064346133062E-2</v>
      </c>
      <c r="F261" s="12">
        <f t="shared" si="9"/>
        <v>2.7349597748280649E-2</v>
      </c>
      <c r="G261" s="12">
        <f>EXP(-Assumptions!$B$8*B261)</f>
        <v>0.88117414954351547</v>
      </c>
      <c r="H261" s="12">
        <f t="shared" si="10"/>
        <v>0.81675885461725306</v>
      </c>
      <c r="I261" s="12">
        <f t="shared" si="11"/>
        <v>4.0315536390063994E-2</v>
      </c>
      <c r="J261" s="12">
        <f>G261*(D261*Assumptions!$B$6+E261*Assumptions!$B$7)</f>
        <v>1.0183365365675729E-2</v>
      </c>
    </row>
    <row r="262" spans="1:10" x14ac:dyDescent="0.2">
      <c r="A262" s="2">
        <v>254</v>
      </c>
      <c r="B262" s="14">
        <f>A262*Assumptions!$B$12</f>
        <v>2.54</v>
      </c>
      <c r="C262" s="15">
        <f>IF(A262&lt;=Assumptions!$B$13,IF(OR(A262=0,A262=Assumptions!$B$13),0.5,1),0)*Assumptions!$B$12</f>
        <v>0.01</v>
      </c>
      <c r="D262" s="12">
        <f>D261*(1-Assumptions!$B$12*(Assumptions!$B$5+Assumptions!$B$6))</f>
        <v>0.92662026840421463</v>
      </c>
      <c r="E262" s="12">
        <f>E261+Assumptions!$B$12*(D261*Assumptions!$B$5-E261*Assumptions!$B$7)</f>
        <v>4.5914567981541116E-2</v>
      </c>
      <c r="F262" s="12">
        <f t="shared" si="9"/>
        <v>2.7465163614244253E-2</v>
      </c>
      <c r="G262" s="12">
        <f>EXP(-Assumptions!$B$8*B262)</f>
        <v>0.88073367259715696</v>
      </c>
      <c r="H262" s="12">
        <f t="shared" si="10"/>
        <v>0.81610567209460727</v>
      </c>
      <c r="I262" s="12">
        <f t="shared" si="11"/>
        <v>4.0438506084094536E-2</v>
      </c>
      <c r="J262" s="12">
        <f>G262*(D262*Assumptions!$B$6+E262*Assumptions!$B$7)</f>
        <v>1.0182982025150802E-2</v>
      </c>
    </row>
    <row r="263" spans="1:10" x14ac:dyDescent="0.2">
      <c r="A263" s="2">
        <v>255</v>
      </c>
      <c r="B263" s="14">
        <f>A263*Assumptions!$B$12</f>
        <v>2.5500000000000003</v>
      </c>
      <c r="C263" s="15">
        <f>IF(A263&lt;=Assumptions!$B$13,IF(OR(A263=0,A263=Assumptions!$B$13),0.5,1),0)*Assumptions!$B$12</f>
        <v>0.01</v>
      </c>
      <c r="D263" s="12">
        <f>D262*(1-Assumptions!$B$12*(Assumptions!$B$5+Assumptions!$B$6))</f>
        <v>0.92634228232369342</v>
      </c>
      <c r="E263" s="12">
        <f>E262+Assumptions!$B$12*(D262*Assumptions!$B$5-E262*Assumptions!$B$7)</f>
        <v>4.6076934751231188E-2</v>
      </c>
      <c r="F263" s="12">
        <f t="shared" si="9"/>
        <v>2.7580782925075389E-2</v>
      </c>
      <c r="G263" s="12">
        <f>EXP(-Assumptions!$B$8*B263)</f>
        <v>0.88029341583422105</v>
      </c>
      <c r="H263" s="12">
        <f t="shared" si="10"/>
        <v>0.81545301193839248</v>
      </c>
      <c r="I263" s="12">
        <f t="shared" si="11"/>
        <v>4.0561222283331824E-2</v>
      </c>
      <c r="J263" s="12">
        <f>G263*(D263*Assumptions!$B$6+E263*Assumptions!$B$7)</f>
        <v>1.0182591233550515E-2</v>
      </c>
    </row>
    <row r="264" spans="1:10" x14ac:dyDescent="0.2">
      <c r="A264" s="2">
        <v>256</v>
      </c>
      <c r="B264" s="14">
        <f>A264*Assumptions!$B$12</f>
        <v>2.56</v>
      </c>
      <c r="C264" s="15">
        <f>IF(A264&lt;=Assumptions!$B$13,IF(OR(A264=0,A264=Assumptions!$B$13),0.5,1),0)*Assumptions!$B$12</f>
        <v>0.01</v>
      </c>
      <c r="D264" s="12">
        <f>D263*(1-Assumptions!$B$12*(Assumptions!$B$5+Assumptions!$B$6))</f>
        <v>0.92606437963899635</v>
      </c>
      <c r="E264" s="12">
        <f>E263+Assumptions!$B$12*(D263*Assumptions!$B$5-E263*Assumptions!$B$7)</f>
        <v>4.6239164740320311E-2</v>
      </c>
      <c r="F264" s="12">
        <f t="shared" ref="F264:F327" si="12">1-D264-E264</f>
        <v>2.769645562068334E-2</v>
      </c>
      <c r="G264" s="12">
        <f>EXP(-Assumptions!$B$8*B264)</f>
        <v>0.87985337914464379</v>
      </c>
      <c r="H264" s="12">
        <f t="shared" ref="H264:H327" si="13">G264*D264</f>
        <v>0.81480087373085919</v>
      </c>
      <c r="I264" s="12">
        <f t="shared" ref="I264:I327" si="14">G264*E264</f>
        <v>4.0683685345596694E-2</v>
      </c>
      <c r="J264" s="12">
        <f>G264*(D264*Assumptions!$B$6+E264*Assumptions!$B$7)</f>
        <v>1.0182193004588426E-2</v>
      </c>
    </row>
    <row r="265" spans="1:10" x14ac:dyDescent="0.2">
      <c r="A265" s="2">
        <v>257</v>
      </c>
      <c r="B265" s="14">
        <f>A265*Assumptions!$B$12</f>
        <v>2.57</v>
      </c>
      <c r="C265" s="15">
        <f>IF(A265&lt;=Assumptions!$B$13,IF(OR(A265=0,A265=Assumptions!$B$13),0.5,1),0)*Assumptions!$B$12</f>
        <v>0.01</v>
      </c>
      <c r="D265" s="12">
        <f>D264*(1-Assumptions!$B$12*(Assumptions!$B$5+Assumptions!$B$6))</f>
        <v>0.92578656032510465</v>
      </c>
      <c r="E265" s="12">
        <f>E264+Assumptions!$B$12*(D264*Assumptions!$B$5-E264*Assumptions!$B$7)</f>
        <v>4.640125803387795E-2</v>
      </c>
      <c r="F265" s="12">
        <f t="shared" si="12"/>
        <v>2.7812181641017404E-2</v>
      </c>
      <c r="G265" s="12">
        <f>EXP(-Assumptions!$B$8*B265)</f>
        <v>0.87941356241841595</v>
      </c>
      <c r="H265" s="12">
        <f t="shared" si="13"/>
        <v>0.81414925705459207</v>
      </c>
      <c r="I265" s="12">
        <f t="shared" si="14"/>
        <v>4.0805895628268751E-2</v>
      </c>
      <c r="J265" s="12">
        <f>G265*(D265*Assumptions!$B$6+E265*Assumptions!$B$7)</f>
        <v>1.0181787351959359E-2</v>
      </c>
    </row>
    <row r="266" spans="1:10" x14ac:dyDescent="0.2">
      <c r="A266" s="2">
        <v>258</v>
      </c>
      <c r="B266" s="14">
        <f>A266*Assumptions!$B$12</f>
        <v>2.58</v>
      </c>
      <c r="C266" s="15">
        <f>IF(A266&lt;=Assumptions!$B$13,IF(OR(A266=0,A266=Assumptions!$B$13),0.5,1),0)*Assumptions!$B$12</f>
        <v>0.01</v>
      </c>
      <c r="D266" s="12">
        <f>D265*(1-Assumptions!$B$12*(Assumptions!$B$5+Assumptions!$B$6))</f>
        <v>0.9255088243570071</v>
      </c>
      <c r="E266" s="12">
        <f>E265+Assumptions!$B$12*(D265*Assumptions!$B$5-E265*Assumptions!$B$7)</f>
        <v>4.6563214716926031E-2</v>
      </c>
      <c r="F266" s="12">
        <f t="shared" si="12"/>
        <v>2.7927960926066871E-2</v>
      </c>
      <c r="G266" s="12">
        <f>EXP(-Assumptions!$B$8*B266)</f>
        <v>0.87897396554558316</v>
      </c>
      <c r="H266" s="12">
        <f t="shared" si="13"/>
        <v>0.81349816149250909</v>
      </c>
      <c r="I266" s="12">
        <f t="shared" si="14"/>
        <v>4.0927853488286932E-2</v>
      </c>
      <c r="J266" s="12">
        <f>G266*(D266*Assumptions!$B$6+E266*Assumptions!$B$7)</f>
        <v>1.018137428933944E-2</v>
      </c>
    </row>
    <row r="267" spans="1:10" x14ac:dyDescent="0.2">
      <c r="A267" s="2">
        <v>259</v>
      </c>
      <c r="B267" s="14">
        <f>A267*Assumptions!$B$12</f>
        <v>2.59</v>
      </c>
      <c r="C267" s="15">
        <f>IF(A267&lt;=Assumptions!$B$13,IF(OR(A267=0,A267=Assumptions!$B$13),0.5,1),0)*Assumptions!$B$12</f>
        <v>0.01</v>
      </c>
      <c r="D267" s="12">
        <f>D266*(1-Assumptions!$B$12*(Assumptions!$B$5+Assumptions!$B$6))</f>
        <v>0.92523117170970004</v>
      </c>
      <c r="E267" s="12">
        <f>E266+Assumptions!$B$12*(D266*Assumptions!$B$5-E266*Assumptions!$B$7)</f>
        <v>4.6725034874438971E-2</v>
      </c>
      <c r="F267" s="12">
        <f t="shared" si="12"/>
        <v>2.8043793415860989E-2</v>
      </c>
      <c r="G267" s="12">
        <f>EXP(-Assumptions!$B$8*B267)</f>
        <v>0.87853458841624643</v>
      </c>
      <c r="H267" s="12">
        <f t="shared" si="13"/>
        <v>0.81284758662786272</v>
      </c>
      <c r="I267" s="12">
        <f t="shared" si="14"/>
        <v>4.1049559282150004E-2</v>
      </c>
      <c r="J267" s="12">
        <f>G267*(D267*Assumptions!$B$6+E267*Assumptions!$B$7)</f>
        <v>1.0180953830386127E-2</v>
      </c>
    </row>
    <row r="268" spans="1:10" x14ac:dyDescent="0.2">
      <c r="A268" s="2">
        <v>260</v>
      </c>
      <c r="B268" s="14">
        <f>A268*Assumptions!$B$12</f>
        <v>2.6</v>
      </c>
      <c r="C268" s="15">
        <f>IF(A268&lt;=Assumptions!$B$13,IF(OR(A268=0,A268=Assumptions!$B$13),0.5,1),0)*Assumptions!$B$12</f>
        <v>0.01</v>
      </c>
      <c r="D268" s="12">
        <f>D267*(1-Assumptions!$B$12*(Assumptions!$B$5+Assumptions!$B$6))</f>
        <v>0.92495360235818713</v>
      </c>
      <c r="E268" s="12">
        <f>E267+Assumptions!$B$12*(D267*Assumptions!$B$5-E267*Assumptions!$B$7)</f>
        <v>4.688671859134369E-2</v>
      </c>
      <c r="F268" s="12">
        <f t="shared" si="12"/>
        <v>2.8159679050469177E-2</v>
      </c>
      <c r="G268" s="12">
        <f>EXP(-Assumptions!$B$8*B268)</f>
        <v>0.8780954309205613</v>
      </c>
      <c r="H268" s="12">
        <f t="shared" si="13"/>
        <v>0.81219753204423784</v>
      </c>
      <c r="I268" s="12">
        <f t="shared" si="14"/>
        <v>4.1171013365917032E-2</v>
      </c>
      <c r="J268" s="12">
        <f>G268*(D268*Assumptions!$B$6+E268*Assumptions!$B$7)</f>
        <v>1.0180525988738231E-2</v>
      </c>
    </row>
    <row r="269" spans="1:10" x14ac:dyDescent="0.2">
      <c r="A269" s="2">
        <v>261</v>
      </c>
      <c r="B269" s="14">
        <f>A269*Assumptions!$B$12</f>
        <v>2.61</v>
      </c>
      <c r="C269" s="15">
        <f>IF(A269&lt;=Assumptions!$B$13,IF(OR(A269=0,A269=Assumptions!$B$13),0.5,1),0)*Assumptions!$B$12</f>
        <v>0.01</v>
      </c>
      <c r="D269" s="12">
        <f>D268*(1-Assumptions!$B$12*(Assumptions!$B$5+Assumptions!$B$6))</f>
        <v>0.9246761162774797</v>
      </c>
      <c r="E269" s="12">
        <f>E268+Assumptions!$B$12*(D268*Assumptions!$B$5-E268*Assumptions!$B$7)</f>
        <v>4.7048265952519652E-2</v>
      </c>
      <c r="F269" s="12">
        <f t="shared" si="12"/>
        <v>2.8275617770000649E-2</v>
      </c>
      <c r="G269" s="12">
        <f>EXP(-Assumptions!$B$8*B269)</f>
        <v>0.87765649294873849</v>
      </c>
      <c r="H269" s="12">
        <f t="shared" si="13"/>
        <v>0.81154799732555272</v>
      </c>
      <c r="I269" s="12">
        <f t="shared" si="14"/>
        <v>4.1292216095207938E-2</v>
      </c>
      <c r="J269" s="12">
        <f>G269*(D269*Assumptions!$B$6+E269*Assumptions!$B$7)</f>
        <v>1.0180090778015925E-2</v>
      </c>
    </row>
    <row r="270" spans="1:10" x14ac:dyDescent="0.2">
      <c r="A270" s="2">
        <v>262</v>
      </c>
      <c r="B270" s="14">
        <f>A270*Assumptions!$B$12</f>
        <v>2.62</v>
      </c>
      <c r="C270" s="15">
        <f>IF(A270&lt;=Assumptions!$B$13,IF(OR(A270=0,A270=Assumptions!$B$13),0.5,1),0)*Assumptions!$B$12</f>
        <v>0.01</v>
      </c>
      <c r="D270" s="12">
        <f>D269*(1-Assumptions!$B$12*(Assumptions!$B$5+Assumptions!$B$6))</f>
        <v>0.9243987134425965</v>
      </c>
      <c r="E270" s="12">
        <f>E269+Assumptions!$B$12*(D269*Assumptions!$B$5-E269*Assumptions!$B$7)</f>
        <v>4.7209677042798888E-2</v>
      </c>
      <c r="F270" s="12">
        <f t="shared" si="12"/>
        <v>2.8391609514604614E-2</v>
      </c>
      <c r="G270" s="12">
        <f>EXP(-Assumptions!$B$8*B270)</f>
        <v>0.87721777439104354</v>
      </c>
      <c r="H270" s="12">
        <f t="shared" si="13"/>
        <v>0.81089898205605848</v>
      </c>
      <c r="I270" s="12">
        <f t="shared" si="14"/>
        <v>4.1413167825203982E-2</v>
      </c>
      <c r="J270" s="12">
        <f>G270*(D270*Assumptions!$B$6+E270*Assumptions!$B$7)</f>
        <v>1.0179648211820786E-2</v>
      </c>
    </row>
    <row r="271" spans="1:10" x14ac:dyDescent="0.2">
      <c r="A271" s="2">
        <v>263</v>
      </c>
      <c r="B271" s="14">
        <f>A271*Assumptions!$B$12</f>
        <v>2.63</v>
      </c>
      <c r="C271" s="15">
        <f>IF(A271&lt;=Assumptions!$B$13,IF(OR(A271=0,A271=Assumptions!$B$13),0.5,1),0)*Assumptions!$B$12</f>
        <v>0.01</v>
      </c>
      <c r="D271" s="12">
        <f>D270*(1-Assumptions!$B$12*(Assumptions!$B$5+Assumptions!$B$6))</f>
        <v>0.92412139382856373</v>
      </c>
      <c r="E271" s="12">
        <f>E270+Assumptions!$B$12*(D270*Assumptions!$B$5-E270*Assumptions!$B$7)</f>
        <v>4.7370951946966007E-2</v>
      </c>
      <c r="F271" s="12">
        <f t="shared" si="12"/>
        <v>2.8507654224470262E-2</v>
      </c>
      <c r="G271" s="12">
        <f>EXP(-Assumptions!$B$8*B271)</f>
        <v>0.87677927513779674</v>
      </c>
      <c r="H271" s="12">
        <f t="shared" si="13"/>
        <v>0.81025048582033854</v>
      </c>
      <c r="I271" s="12">
        <f t="shared" si="14"/>
        <v>4.153386891064826E-2</v>
      </c>
      <c r="J271" s="12">
        <f>G271*(D271*Assumptions!$B$6+E271*Assumptions!$B$7)</f>
        <v>1.0179198303735799E-2</v>
      </c>
    </row>
    <row r="272" spans="1:10" x14ac:dyDescent="0.2">
      <c r="A272" s="2">
        <v>264</v>
      </c>
      <c r="B272" s="14">
        <f>A272*Assumptions!$B$12</f>
        <v>2.64</v>
      </c>
      <c r="C272" s="15">
        <f>IF(A272&lt;=Assumptions!$B$13,IF(OR(A272=0,A272=Assumptions!$B$13),0.5,1),0)*Assumptions!$B$12</f>
        <v>0.01</v>
      </c>
      <c r="D272" s="12">
        <f>D271*(1-Assumptions!$B$12*(Assumptions!$B$5+Assumptions!$B$6))</f>
        <v>0.92384415741041515</v>
      </c>
      <c r="E272" s="12">
        <f>E271+Assumptions!$B$12*(D271*Assumptions!$B$5-E271*Assumptions!$B$7)</f>
        <v>4.7532090749758234E-2</v>
      </c>
      <c r="F272" s="12">
        <f t="shared" si="12"/>
        <v>2.8623751839826621E-2</v>
      </c>
      <c r="G272" s="12">
        <f>EXP(-Assumptions!$B$8*B272)</f>
        <v>0.87634099507937324</v>
      </c>
      <c r="H272" s="12">
        <f t="shared" si="13"/>
        <v>0.80960250820330837</v>
      </c>
      <c r="I272" s="12">
        <f t="shared" si="14"/>
        <v>4.1654319705846203E-2</v>
      </c>
      <c r="J272" s="12">
        <f>G272*(D272*Assumptions!$B$6+E272*Assumptions!$B$7)</f>
        <v>1.0178741067325393E-2</v>
      </c>
    </row>
    <row r="273" spans="1:10" x14ac:dyDescent="0.2">
      <c r="A273" s="2">
        <v>265</v>
      </c>
      <c r="B273" s="14">
        <f>A273*Assumptions!$B$12</f>
        <v>2.65</v>
      </c>
      <c r="C273" s="15">
        <f>IF(A273&lt;=Assumptions!$B$13,IF(OR(A273=0,A273=Assumptions!$B$13),0.5,1),0)*Assumptions!$B$12</f>
        <v>0.01</v>
      </c>
      <c r="D273" s="12">
        <f>D272*(1-Assumptions!$B$12*(Assumptions!$B$5+Assumptions!$B$6))</f>
        <v>0.92356700416319204</v>
      </c>
      <c r="E273" s="12">
        <f>E272+Assumptions!$B$12*(D272*Assumptions!$B$5-E272*Assumptions!$B$7)</f>
        <v>4.7693093535865434E-2</v>
      </c>
      <c r="F273" s="12">
        <f t="shared" si="12"/>
        <v>2.8739902300942526E-2</v>
      </c>
      <c r="G273" s="12">
        <f>EXP(-Assumptions!$B$8*B273)</f>
        <v>0.87590293410620312</v>
      </c>
      <c r="H273" s="12">
        <f t="shared" si="13"/>
        <v>0.80895504879021585</v>
      </c>
      <c r="I273" s="12">
        <f t="shared" si="14"/>
        <v>4.1774520564666122E-2</v>
      </c>
      <c r="J273" s="12">
        <f>G273*(D273*Assumptions!$B$6+E273*Assumptions!$B$7)</f>
        <v>1.0178276516135464E-2</v>
      </c>
    </row>
    <row r="274" spans="1:10" x14ac:dyDescent="0.2">
      <c r="A274" s="2">
        <v>266</v>
      </c>
      <c r="B274" s="14">
        <f>A274*Assumptions!$B$12</f>
        <v>2.66</v>
      </c>
      <c r="C274" s="15">
        <f>IF(A274&lt;=Assumptions!$B$13,IF(OR(A274=0,A274=Assumptions!$B$13),0.5,1),0)*Assumptions!$B$12</f>
        <v>0.01</v>
      </c>
      <c r="D274" s="12">
        <f>D273*(1-Assumptions!$B$12*(Assumptions!$B$5+Assumptions!$B$6))</f>
        <v>0.92328993406194315</v>
      </c>
      <c r="E274" s="12">
        <f>E273+Assumptions!$B$12*(D273*Assumptions!$B$5-E273*Assumptions!$B$7)</f>
        <v>4.7853960389930138E-2</v>
      </c>
      <c r="F274" s="12">
        <f t="shared" si="12"/>
        <v>2.8856105548126711E-2</v>
      </c>
      <c r="G274" s="12">
        <f>EXP(-Assumptions!$B$8*B274)</f>
        <v>0.8754650921087711</v>
      </c>
      <c r="H274" s="12">
        <f t="shared" si="13"/>
        <v>0.80830810716664026</v>
      </c>
      <c r="I274" s="12">
        <f t="shared" si="14"/>
        <v>4.1894471840539675E-2</v>
      </c>
      <c r="J274" s="12">
        <f>G274*(D274*Assumptions!$B$6+E274*Assumptions!$B$7)</f>
        <v>1.0177804663693387E-2</v>
      </c>
    </row>
    <row r="275" spans="1:10" x14ac:dyDescent="0.2">
      <c r="A275" s="2">
        <v>267</v>
      </c>
      <c r="B275" s="14">
        <f>A275*Assumptions!$B$12</f>
        <v>2.67</v>
      </c>
      <c r="C275" s="15">
        <f>IF(A275&lt;=Assumptions!$B$13,IF(OR(A275=0,A275=Assumptions!$B$13),0.5,1),0)*Assumptions!$B$12</f>
        <v>0.01</v>
      </c>
      <c r="D275" s="12">
        <f>D274*(1-Assumptions!$B$12*(Assumptions!$B$5+Assumptions!$B$6))</f>
        <v>0.92301294708172454</v>
      </c>
      <c r="E275" s="12">
        <f>E274+Assumptions!$B$12*(D274*Assumptions!$B$5-E274*Assumptions!$B$7)</f>
        <v>4.8014691396547564E-2</v>
      </c>
      <c r="F275" s="12">
        <f t="shared" si="12"/>
        <v>2.8972361521727892E-2</v>
      </c>
      <c r="G275" s="12">
        <f>EXP(-Assumptions!$B$8*B275)</f>
        <v>0.87502746897761663</v>
      </c>
      <c r="H275" s="12">
        <f t="shared" si="13"/>
        <v>0.80766168291849227</v>
      </c>
      <c r="I275" s="12">
        <f t="shared" si="14"/>
        <v>4.2014173886462357E-2</v>
      </c>
      <c r="J275" s="12">
        <f>G275*(D275*Assumptions!$B$6+E275*Assumptions!$B$7)</f>
        <v>1.017732552350804E-2</v>
      </c>
    </row>
    <row r="276" spans="1:10" x14ac:dyDescent="0.2">
      <c r="A276" s="2">
        <v>268</v>
      </c>
      <c r="B276" s="14">
        <f>A276*Assumptions!$B$12</f>
        <v>2.68</v>
      </c>
      <c r="C276" s="15">
        <f>IF(A276&lt;=Assumptions!$B$13,IF(OR(A276=0,A276=Assumptions!$B$13),0.5,1),0)*Assumptions!$B$12</f>
        <v>0.01</v>
      </c>
      <c r="D276" s="12">
        <f>D275*(1-Assumptions!$B$12*(Assumptions!$B$5+Assumptions!$B$6))</f>
        <v>0.92273604319760005</v>
      </c>
      <c r="E276" s="12">
        <f>E275+Assumptions!$B$12*(D275*Assumptions!$B$5-E275*Assumptions!$B$7)</f>
        <v>4.8175286640265637E-2</v>
      </c>
      <c r="F276" s="12">
        <f t="shared" si="12"/>
        <v>2.908867016213431E-2</v>
      </c>
      <c r="G276" s="12">
        <f>EXP(-Assumptions!$B$8*B276)</f>
        <v>0.87459006460333399</v>
      </c>
      <c r="H276" s="12">
        <f t="shared" si="13"/>
        <v>0.80701577563201377</v>
      </c>
      <c r="I276" s="12">
        <f t="shared" si="14"/>
        <v>4.2133627054994058E-2</v>
      </c>
      <c r="J276" s="12">
        <f>G276*(D276*Assumptions!$B$6+E276*Assumptions!$B$7)</f>
        <v>1.0176839109069842E-2</v>
      </c>
    </row>
    <row r="277" spans="1:10" x14ac:dyDescent="0.2">
      <c r="A277" s="2">
        <v>269</v>
      </c>
      <c r="B277" s="14">
        <f>A277*Assumptions!$B$12</f>
        <v>2.69</v>
      </c>
      <c r="C277" s="15">
        <f>IF(A277&lt;=Assumptions!$B$13,IF(OR(A277=0,A277=Assumptions!$B$13),0.5,1),0)*Assumptions!$B$12</f>
        <v>0.01</v>
      </c>
      <c r="D277" s="12">
        <f>D276*(1-Assumptions!$B$12*(Assumptions!$B$5+Assumptions!$B$6))</f>
        <v>0.92245922238464084</v>
      </c>
      <c r="E277" s="12">
        <f>E276+Assumptions!$B$12*(D276*Assumptions!$B$5-E276*Assumptions!$B$7)</f>
        <v>4.8335746205585027E-2</v>
      </c>
      <c r="F277" s="12">
        <f t="shared" si="12"/>
        <v>2.9205031409774131E-2</v>
      </c>
      <c r="G277" s="12">
        <f>EXP(-Assumptions!$B$8*B277)</f>
        <v>0.87415287887657211</v>
      </c>
      <c r="H277" s="12">
        <f t="shared" si="13"/>
        <v>0.80637038489377788</v>
      </c>
      <c r="I277" s="12">
        <f t="shared" si="14"/>
        <v>4.2252831698259496E-2</v>
      </c>
      <c r="J277" s="12">
        <f>G277*(D277*Assumptions!$B$6+E277*Assumptions!$B$7)</f>
        <v>1.0176345433850754E-2</v>
      </c>
    </row>
    <row r="278" spans="1:10" x14ac:dyDescent="0.2">
      <c r="A278" s="2">
        <v>270</v>
      </c>
      <c r="B278" s="14">
        <f>A278*Assumptions!$B$12</f>
        <v>2.7</v>
      </c>
      <c r="C278" s="15">
        <f>IF(A278&lt;=Assumptions!$B$13,IF(OR(A278=0,A278=Assumptions!$B$13),0.5,1),0)*Assumptions!$B$12</f>
        <v>0.01</v>
      </c>
      <c r="D278" s="12">
        <f>D277*(1-Assumptions!$B$12*(Assumptions!$B$5+Assumptions!$B$6))</f>
        <v>0.92218248461792551</v>
      </c>
      <c r="E278" s="12">
        <f>E277+Assumptions!$B$12*(D277*Assumptions!$B$5-E277*Assumptions!$B$7)</f>
        <v>4.8496070176959165E-2</v>
      </c>
      <c r="F278" s="12">
        <f t="shared" si="12"/>
        <v>2.9321445205115322E-2</v>
      </c>
      <c r="G278" s="12">
        <f>EXP(-Assumptions!$B$8*B278)</f>
        <v>0.87371591168803442</v>
      </c>
      <c r="H278" s="12">
        <f t="shared" si="13"/>
        <v>0.80572551029068762</v>
      </c>
      <c r="I278" s="12">
        <f t="shared" si="14"/>
        <v>4.2371788167948773E-2</v>
      </c>
      <c r="J278" s="12">
        <f>G278*(D278*Assumptions!$B$6+E278*Assumptions!$B$7)</f>
        <v>1.0175844511304315E-2</v>
      </c>
    </row>
    <row r="279" spans="1:10" x14ac:dyDescent="0.2">
      <c r="A279" s="2">
        <v>271</v>
      </c>
      <c r="B279" s="14">
        <f>A279*Assumptions!$B$12</f>
        <v>2.71</v>
      </c>
      <c r="C279" s="15">
        <f>IF(A279&lt;=Assumptions!$B$13,IF(OR(A279=0,A279=Assumptions!$B$13),0.5,1),0)*Assumptions!$B$12</f>
        <v>0.01</v>
      </c>
      <c r="D279" s="12">
        <f>D278*(1-Assumptions!$B$12*(Assumptions!$B$5+Assumptions!$B$6))</f>
        <v>0.92190582987254022</v>
      </c>
      <c r="E279" s="12">
        <f>E278+Assumptions!$B$12*(D278*Assumptions!$B$5-E278*Assumptions!$B$7)</f>
        <v>4.8656258638794268E-2</v>
      </c>
      <c r="F279" s="12">
        <f t="shared" si="12"/>
        <v>2.9437911488665515E-2</v>
      </c>
      <c r="G279" s="12">
        <f>EXP(-Assumptions!$B$8*B279)</f>
        <v>0.87327916292847918</v>
      </c>
      <c r="H279" s="12">
        <f t="shared" si="13"/>
        <v>0.80508115140997683</v>
      </c>
      <c r="I279" s="12">
        <f t="shared" si="14"/>
        <v>4.2490496815317844E-2</v>
      </c>
      <c r="J279" s="12">
        <f>G279*(D279*Assumptions!$B$6+E279*Assumptions!$B$7)</f>
        <v>1.0175336354865661E-2</v>
      </c>
    </row>
    <row r="280" spans="1:10" x14ac:dyDescent="0.2">
      <c r="A280" s="2">
        <v>272</v>
      </c>
      <c r="B280" s="14">
        <f>A280*Assumptions!$B$12</f>
        <v>2.72</v>
      </c>
      <c r="C280" s="15">
        <f>IF(A280&lt;=Assumptions!$B$13,IF(OR(A280=0,A280=Assumptions!$B$13),0.5,1),0)*Assumptions!$B$12</f>
        <v>0.01</v>
      </c>
      <c r="D280" s="12">
        <f>D279*(1-Assumptions!$B$12*(Assumptions!$B$5+Assumptions!$B$6))</f>
        <v>0.92162925812357843</v>
      </c>
      <c r="E280" s="12">
        <f>E279+Assumptions!$B$12*(D279*Assumptions!$B$5-E279*Assumptions!$B$7)</f>
        <v>4.8816311675449378E-2</v>
      </c>
      <c r="F280" s="12">
        <f t="shared" si="12"/>
        <v>2.955443020097219E-2</v>
      </c>
      <c r="G280" s="12">
        <f>EXP(-Assumptions!$B$8*B280)</f>
        <v>0.87284263248871929</v>
      </c>
      <c r="H280" s="12">
        <f t="shared" si="13"/>
        <v>0.80443730783920953</v>
      </c>
      <c r="I280" s="12">
        <f t="shared" si="14"/>
        <v>4.2608957991189036E-2</v>
      </c>
      <c r="J280" s="12">
        <f>G280*(D280*Assumptions!$B$6+E280*Assumptions!$B$7)</f>
        <v>1.0174820977951547E-2</v>
      </c>
    </row>
    <row r="281" spans="1:10" x14ac:dyDescent="0.2">
      <c r="A281" s="2">
        <v>273</v>
      </c>
      <c r="B281" s="14">
        <f>A281*Assumptions!$B$12</f>
        <v>2.73</v>
      </c>
      <c r="C281" s="15">
        <f>IF(A281&lt;=Assumptions!$B$13,IF(OR(A281=0,A281=Assumptions!$B$13),0.5,1),0)*Assumptions!$B$12</f>
        <v>0.01</v>
      </c>
      <c r="D281" s="12">
        <f>D280*(1-Assumptions!$B$12*(Assumptions!$B$5+Assumptions!$B$6))</f>
        <v>0.92135276934614141</v>
      </c>
      <c r="E281" s="12">
        <f>E280+Assumptions!$B$12*(D280*Assumptions!$B$5-E280*Assumptions!$B$7)</f>
        <v>4.8976229371236371E-2</v>
      </c>
      <c r="F281" s="12">
        <f t="shared" si="12"/>
        <v>2.967100128262222E-2</v>
      </c>
      <c r="G281" s="12">
        <f>EXP(-Assumptions!$B$8*B281)</f>
        <v>0.87240632025962206</v>
      </c>
      <c r="H281" s="12">
        <f t="shared" si="13"/>
        <v>0.80379397916627948</v>
      </c>
      <c r="I281" s="12">
        <f t="shared" si="14"/>
        <v>4.2727172045951549E-2</v>
      </c>
      <c r="J281" s="12">
        <f>G281*(D281*Assumptions!$B$6+E281*Assumptions!$B$7)</f>
        <v>1.0174298393960373E-2</v>
      </c>
    </row>
    <row r="282" spans="1:10" x14ac:dyDescent="0.2">
      <c r="A282" s="2">
        <v>274</v>
      </c>
      <c r="B282" s="14">
        <f>A282*Assumptions!$B$12</f>
        <v>2.74</v>
      </c>
      <c r="C282" s="15">
        <f>IF(A282&lt;=Assumptions!$B$13,IF(OR(A282=0,A282=Assumptions!$B$13),0.5,1),0)*Assumptions!$B$12</f>
        <v>0.01</v>
      </c>
      <c r="D282" s="12">
        <f>D281*(1-Assumptions!$B$12*(Assumptions!$B$5+Assumptions!$B$6))</f>
        <v>0.92107636351533761</v>
      </c>
      <c r="E282" s="12">
        <f>E281+Assumptions!$B$12*(D281*Assumptions!$B$5-E281*Assumptions!$B$7)</f>
        <v>4.9136011810419981E-2</v>
      </c>
      <c r="F282" s="12">
        <f t="shared" si="12"/>
        <v>2.9787624674242404E-2</v>
      </c>
      <c r="G282" s="12">
        <f>EXP(-Assumptions!$B$8*B282)</f>
        <v>0.87197022613210939</v>
      </c>
      <c r="H282" s="12">
        <f t="shared" si="13"/>
        <v>0.80315116497940997</v>
      </c>
      <c r="I282" s="12">
        <f t="shared" si="14"/>
        <v>4.284513932956191E-2</v>
      </c>
      <c r="J282" s="12">
        <f>G282*(D282*Assumptions!$B$6+E282*Assumptions!$B$7)</f>
        <v>1.0173768616272194E-2</v>
      </c>
    </row>
    <row r="283" spans="1:10" x14ac:dyDescent="0.2">
      <c r="A283" s="2">
        <v>275</v>
      </c>
      <c r="B283" s="14">
        <f>A283*Assumptions!$B$12</f>
        <v>2.75</v>
      </c>
      <c r="C283" s="15">
        <f>IF(A283&lt;=Assumptions!$B$13,IF(OR(A283=0,A283=Assumptions!$B$13),0.5,1),0)*Assumptions!$B$12</f>
        <v>0.01</v>
      </c>
      <c r="D283" s="12">
        <f>D282*(1-Assumptions!$B$12*(Assumptions!$B$5+Assumptions!$B$6))</f>
        <v>0.92080004060628307</v>
      </c>
      <c r="E283" s="12">
        <f>E282+Assumptions!$B$12*(D282*Assumptions!$B$5-E282*Assumptions!$B$7)</f>
        <v>4.9295659077217842E-2</v>
      </c>
      <c r="F283" s="12">
        <f t="shared" si="12"/>
        <v>2.9904300316499093E-2</v>
      </c>
      <c r="G283" s="12">
        <f>EXP(-Assumptions!$B$8*B283)</f>
        <v>0.87153434999715784</v>
      </c>
      <c r="H283" s="12">
        <f t="shared" si="13"/>
        <v>0.80250886486715345</v>
      </c>
      <c r="I283" s="12">
        <f t="shared" si="14"/>
        <v>4.2962860191544543E-2</v>
      </c>
      <c r="J283" s="12">
        <f>G283*(D283*Assumptions!$B$6+E283*Assumptions!$B$7)</f>
        <v>1.0173231658248761E-2</v>
      </c>
    </row>
    <row r="284" spans="1:10" x14ac:dyDescent="0.2">
      <c r="A284" s="2">
        <v>276</v>
      </c>
      <c r="B284" s="14">
        <f>A284*Assumptions!$B$12</f>
        <v>2.7600000000000002</v>
      </c>
      <c r="C284" s="15">
        <f>IF(A284&lt;=Assumptions!$B$13,IF(OR(A284=0,A284=Assumptions!$B$13),0.5,1),0)*Assumptions!$B$12</f>
        <v>0.01</v>
      </c>
      <c r="D284" s="12">
        <f>D283*(1-Assumptions!$B$12*(Assumptions!$B$5+Assumptions!$B$6))</f>
        <v>0.92052380059410122</v>
      </c>
      <c r="E284" s="12">
        <f>E283+Assumptions!$B$12*(D283*Assumptions!$B$5-E283*Assumptions!$B$7)</f>
        <v>4.9455171255800491E-2</v>
      </c>
      <c r="F284" s="12">
        <f t="shared" si="12"/>
        <v>3.0021028150098293E-2</v>
      </c>
      <c r="G284" s="12">
        <f>EXP(-Assumptions!$B$8*B284)</f>
        <v>0.87109869174579835</v>
      </c>
      <c r="H284" s="12">
        <f t="shared" si="13"/>
        <v>0.80186707841839178</v>
      </c>
      <c r="I284" s="12">
        <f t="shared" si="14"/>
        <v>4.3080334980992216E-2</v>
      </c>
      <c r="J284" s="12">
        <f>G284*(D284*Assumptions!$B$6+E284*Assumptions!$B$7)</f>
        <v>1.0172687533233528E-2</v>
      </c>
    </row>
    <row r="285" spans="1:10" x14ac:dyDescent="0.2">
      <c r="A285" s="2">
        <v>277</v>
      </c>
      <c r="B285" s="14">
        <f>A285*Assumptions!$B$12</f>
        <v>2.77</v>
      </c>
      <c r="C285" s="15">
        <f>IF(A285&lt;=Assumptions!$B$13,IF(OR(A285=0,A285=Assumptions!$B$13),0.5,1),0)*Assumptions!$B$12</f>
        <v>0.01</v>
      </c>
      <c r="D285" s="12">
        <f>D284*(1-Assumptions!$B$12*(Assumptions!$B$5+Assumptions!$B$6))</f>
        <v>0.92024764345392307</v>
      </c>
      <c r="E285" s="12">
        <f>E284+Assumptions!$B$12*(D284*Assumptions!$B$5-E284*Assumptions!$B$7)</f>
        <v>4.9614548430291408E-2</v>
      </c>
      <c r="F285" s="12">
        <f t="shared" si="12"/>
        <v>3.0137808115785522E-2</v>
      </c>
      <c r="G285" s="12">
        <f>EXP(-Assumptions!$B$8*B285)</f>
        <v>0.87066325126911626</v>
      </c>
      <c r="H285" s="12">
        <f t="shared" si="13"/>
        <v>0.80122580522233511</v>
      </c>
      <c r="I285" s="12">
        <f t="shared" si="14"/>
        <v>4.3197564046566543E-2</v>
      </c>
      <c r="J285" s="12">
        <f>G285*(D285*Assumptions!$B$6+E285*Assumptions!$B$7)</f>
        <v>1.0172136254551678E-2</v>
      </c>
    </row>
    <row r="286" spans="1:10" x14ac:dyDescent="0.2">
      <c r="A286" s="2">
        <v>278</v>
      </c>
      <c r="B286" s="14">
        <f>A286*Assumptions!$B$12</f>
        <v>2.7800000000000002</v>
      </c>
      <c r="C286" s="15">
        <f>IF(A286&lt;=Assumptions!$B$13,IF(OR(A286=0,A286=Assumptions!$B$13),0.5,1),0)*Assumptions!$B$12</f>
        <v>0.01</v>
      </c>
      <c r="D286" s="12">
        <f>D285*(1-Assumptions!$B$12*(Assumptions!$B$5+Assumptions!$B$6))</f>
        <v>0.91997156916088696</v>
      </c>
      <c r="E286" s="12">
        <f>E285+Assumptions!$B$12*(D285*Assumptions!$B$5-E285*Assumptions!$B$7)</f>
        <v>4.9773790684767047E-2</v>
      </c>
      <c r="F286" s="12">
        <f t="shared" si="12"/>
        <v>3.0254640154345994E-2</v>
      </c>
      <c r="G286" s="12">
        <f>EXP(-Assumptions!$B$8*B286)</f>
        <v>0.87022802845825153</v>
      </c>
      <c r="H286" s="12">
        <f t="shared" si="13"/>
        <v>0.80058504486852267</v>
      </c>
      <c r="I286" s="12">
        <f t="shared" si="14"/>
        <v>4.331454773649851E-2</v>
      </c>
      <c r="J286" s="12">
        <f>G286*(D286*Assumptions!$B$6+E286*Assumptions!$B$7)</f>
        <v>1.0171577835510152E-2</v>
      </c>
    </row>
    <row r="287" spans="1:10" x14ac:dyDescent="0.2">
      <c r="A287" s="2">
        <v>279</v>
      </c>
      <c r="B287" s="14">
        <f>A287*Assumptions!$B$12</f>
        <v>2.79</v>
      </c>
      <c r="C287" s="15">
        <f>IF(A287&lt;=Assumptions!$B$13,IF(OR(A287=0,A287=Assumptions!$B$13),0.5,1),0)*Assumptions!$B$12</f>
        <v>0.01</v>
      </c>
      <c r="D287" s="12">
        <f>D286*(1-Assumptions!$B$12*(Assumptions!$B$5+Assumptions!$B$6))</f>
        <v>0.91969557769013877</v>
      </c>
      <c r="E287" s="12">
        <f>E286+Assumptions!$B$12*(D286*Assumptions!$B$5-E286*Assumptions!$B$7)</f>
        <v>4.9932898103256844E-2</v>
      </c>
      <c r="F287" s="12">
        <f t="shared" si="12"/>
        <v>3.037152420660439E-2</v>
      </c>
      <c r="G287" s="12">
        <f>EXP(-Assumptions!$B$8*B287)</f>
        <v>0.86979302320439855</v>
      </c>
      <c r="H287" s="12">
        <f t="shared" si="13"/>
        <v>0.79994479694682163</v>
      </c>
      <c r="I287" s="12">
        <f t="shared" si="14"/>
        <v>4.3431286398588946E-2</v>
      </c>
      <c r="J287" s="12">
        <f>G287*(D287*Assumptions!$B$6+E287*Assumptions!$B$7)</f>
        <v>1.0171012289397664E-2</v>
      </c>
    </row>
    <row r="288" spans="1:10" x14ac:dyDescent="0.2">
      <c r="A288" s="2">
        <v>280</v>
      </c>
      <c r="B288" s="14">
        <f>A288*Assumptions!$B$12</f>
        <v>2.8000000000000003</v>
      </c>
      <c r="C288" s="15">
        <f>IF(A288&lt;=Assumptions!$B$13,IF(OR(A288=0,A288=Assumptions!$B$13),0.5,1),0)*Assumptions!$B$12</f>
        <v>0.01</v>
      </c>
      <c r="D288" s="12">
        <f>D287*(1-Assumptions!$B$12*(Assumptions!$B$5+Assumptions!$B$6))</f>
        <v>0.91941966901683181</v>
      </c>
      <c r="E288" s="12">
        <f>E287+Assumptions!$B$12*(D287*Assumptions!$B$5-E287*Assumptions!$B$7)</f>
        <v>5.0091870769743245E-2</v>
      </c>
      <c r="F288" s="12">
        <f t="shared" si="12"/>
        <v>3.0488460213424946E-2</v>
      </c>
      <c r="G288" s="12">
        <f>EXP(-Assumptions!$B$8*B288)</f>
        <v>0.86935823539880586</v>
      </c>
      <c r="H288" s="12">
        <f t="shared" si="13"/>
        <v>0.79930506104742705</v>
      </c>
      <c r="I288" s="12">
        <f t="shared" si="14"/>
        <v>4.3547780380209011E-2</v>
      </c>
      <c r="J288" s="12">
        <f>G288*(D288*Assumptions!$B$6+E288*Assumptions!$B$7)</f>
        <v>1.0170439629484721E-2</v>
      </c>
    </row>
    <row r="289" spans="1:10" x14ac:dyDescent="0.2">
      <c r="A289" s="2">
        <v>281</v>
      </c>
      <c r="B289" s="14">
        <f>A289*Assumptions!$B$12</f>
        <v>2.81</v>
      </c>
      <c r="C289" s="15">
        <f>IF(A289&lt;=Assumptions!$B$13,IF(OR(A289=0,A289=Assumptions!$B$13),0.5,1),0)*Assumptions!$B$12</f>
        <v>0.01</v>
      </c>
      <c r="D289" s="12">
        <f>D288*(1-Assumptions!$B$12*(Assumptions!$B$5+Assumptions!$B$6))</f>
        <v>0.91914384311612674</v>
      </c>
      <c r="E289" s="12">
        <f>E288+Assumptions!$B$12*(D288*Assumptions!$B$5-E288*Assumptions!$B$7)</f>
        <v>5.0250708768161741E-2</v>
      </c>
      <c r="F289" s="12">
        <f t="shared" si="12"/>
        <v>3.0605448115711524E-2</v>
      </c>
      <c r="G289" s="12">
        <f>EXP(-Assumptions!$B$8*B289)</f>
        <v>0.86892366493277651</v>
      </c>
      <c r="H289" s="12">
        <f t="shared" si="13"/>
        <v>0.79866583676086178</v>
      </c>
      <c r="I289" s="12">
        <f t="shared" si="14"/>
        <v>4.3664030028300709E-2</v>
      </c>
      <c r="J289" s="12">
        <f>G289*(D289*Assumptions!$B$6+E289*Assumptions!$B$7)</f>
        <v>1.0169859869023655E-2</v>
      </c>
    </row>
    <row r="290" spans="1:10" x14ac:dyDescent="0.2">
      <c r="A290" s="2">
        <v>282</v>
      </c>
      <c r="B290" s="14">
        <f>A290*Assumptions!$B$12</f>
        <v>2.82</v>
      </c>
      <c r="C290" s="15">
        <f>IF(A290&lt;=Assumptions!$B$13,IF(OR(A290=0,A290=Assumptions!$B$13),0.5,1),0)*Assumptions!$B$12</f>
        <v>0.01</v>
      </c>
      <c r="D290" s="12">
        <f>D289*(1-Assumptions!$B$12*(Assumptions!$B$5+Assumptions!$B$6))</f>
        <v>0.91886809996319196</v>
      </c>
      <c r="E290" s="12">
        <f>E289+Assumptions!$B$12*(D289*Assumptions!$B$5-E289*Assumptions!$B$7)</f>
        <v>5.0409412182400887E-2</v>
      </c>
      <c r="F290" s="12">
        <f t="shared" si="12"/>
        <v>3.0722487854407149E-2</v>
      </c>
      <c r="G290" s="12">
        <f>EXP(-Assumptions!$B$8*B290)</f>
        <v>0.86848931169766785</v>
      </c>
      <c r="H290" s="12">
        <f t="shared" si="13"/>
        <v>0.79802712367797646</v>
      </c>
      <c r="I290" s="12">
        <f t="shared" si="14"/>
        <v>4.3780035689377376E-2</v>
      </c>
      <c r="J290" s="12">
        <f>G290*(D290*Assumptions!$B$6+E290*Assumptions!$B$7)</f>
        <v>1.0169273021248634E-2</v>
      </c>
    </row>
    <row r="291" spans="1:10" x14ac:dyDescent="0.2">
      <c r="A291" s="2">
        <v>283</v>
      </c>
      <c r="B291" s="14">
        <f>A291*Assumptions!$B$12</f>
        <v>2.83</v>
      </c>
      <c r="C291" s="15">
        <f>IF(A291&lt;=Assumptions!$B$13,IF(OR(A291=0,A291=Assumptions!$B$13),0.5,1),0)*Assumptions!$B$12</f>
        <v>0.01</v>
      </c>
      <c r="D291" s="12">
        <f>D290*(1-Assumptions!$B$12*(Assumptions!$B$5+Assumptions!$B$6))</f>
        <v>0.91859243953320302</v>
      </c>
      <c r="E291" s="12">
        <f>E290+Assumptions!$B$12*(D290*Assumptions!$B$5-E290*Assumptions!$B$7)</f>
        <v>5.0567981096302325E-2</v>
      </c>
      <c r="F291" s="12">
        <f t="shared" si="12"/>
        <v>3.0839579370494655E-2</v>
      </c>
      <c r="G291" s="12">
        <f>EXP(-Assumptions!$B$8*B291)</f>
        <v>0.86805517558489176</v>
      </c>
      <c r="H291" s="12">
        <f t="shared" si="13"/>
        <v>0.79738892138994866</v>
      </c>
      <c r="I291" s="12">
        <f t="shared" si="14"/>
        <v>4.3895797709524204E-2</v>
      </c>
      <c r="J291" s="12">
        <f>G291*(D291*Assumptions!$B$6+E291*Assumptions!$B$7)</f>
        <v>1.0168679099375697E-2</v>
      </c>
    </row>
    <row r="292" spans="1:10" x14ac:dyDescent="0.2">
      <c r="A292" s="2">
        <v>284</v>
      </c>
      <c r="B292" s="14">
        <f>A292*Assumptions!$B$12</f>
        <v>2.84</v>
      </c>
      <c r="C292" s="15">
        <f>IF(A292&lt;=Assumptions!$B$13,IF(OR(A292=0,A292=Assumptions!$B$13),0.5,1),0)*Assumptions!$B$12</f>
        <v>0.01</v>
      </c>
      <c r="D292" s="12">
        <f>D291*(1-Assumptions!$B$12*(Assumptions!$B$5+Assumptions!$B$6))</f>
        <v>0.91831686180134309</v>
      </c>
      <c r="E292" s="12">
        <f>E291+Assumptions!$B$12*(D291*Assumptions!$B$5-E291*Assumptions!$B$7)</f>
        <v>5.0726415593660812E-2</v>
      </c>
      <c r="F292" s="12">
        <f t="shared" si="12"/>
        <v>3.0956722604996101E-2</v>
      </c>
      <c r="G292" s="12">
        <f>EXP(-Assumptions!$B$8*B292)</f>
        <v>0.86762125648591404</v>
      </c>
      <c r="H292" s="12">
        <f t="shared" si="13"/>
        <v>0.79675122948828281</v>
      </c>
      <c r="I292" s="12">
        <f t="shared" si="14"/>
        <v>4.4011316434398658E-2</v>
      </c>
      <c r="J292" s="12">
        <f>G292*(D292*Assumptions!$B$6+E292*Assumptions!$B$7)</f>
        <v>1.0168078116602759E-2</v>
      </c>
    </row>
    <row r="293" spans="1:10" x14ac:dyDescent="0.2">
      <c r="A293" s="2">
        <v>285</v>
      </c>
      <c r="B293" s="14">
        <f>A293*Assumptions!$B$12</f>
        <v>2.85</v>
      </c>
      <c r="C293" s="15">
        <f>IF(A293&lt;=Assumptions!$B$13,IF(OR(A293=0,A293=Assumptions!$B$13),0.5,1),0)*Assumptions!$B$12</f>
        <v>0.01</v>
      </c>
      <c r="D293" s="12">
        <f>D292*(1-Assumptions!$B$12*(Assumptions!$B$5+Assumptions!$B$6))</f>
        <v>0.91804136674280268</v>
      </c>
      <c r="E293" s="12">
        <f>E292+Assumptions!$B$12*(D292*Assumptions!$B$5-E292*Assumptions!$B$7)</f>
        <v>5.0884715758224251E-2</v>
      </c>
      <c r="F293" s="12">
        <f t="shared" si="12"/>
        <v>3.1073917498973071E-2</v>
      </c>
      <c r="G293" s="12">
        <f>EXP(-Assumptions!$B$8*B293)</f>
        <v>0.86718755429225491</v>
      </c>
      <c r="H293" s="12">
        <f t="shared" si="13"/>
        <v>0.79611404756481008</v>
      </c>
      <c r="I293" s="12">
        <f t="shared" si="14"/>
        <v>4.4126592209231055E-2</v>
      </c>
      <c r="J293" s="12">
        <f>G293*(D293*Assumptions!$B$6+E293*Assumptions!$B$7)</f>
        <v>1.0167470086109654E-2</v>
      </c>
    </row>
    <row r="294" spans="1:10" x14ac:dyDescent="0.2">
      <c r="A294" s="2">
        <v>286</v>
      </c>
      <c r="B294" s="14">
        <f>A294*Assumptions!$B$12</f>
        <v>2.86</v>
      </c>
      <c r="C294" s="15">
        <f>IF(A294&lt;=Assumptions!$B$13,IF(OR(A294=0,A294=Assumptions!$B$13),0.5,1),0)*Assumptions!$B$12</f>
        <v>0.01</v>
      </c>
      <c r="D294" s="12">
        <f>D293*(1-Assumptions!$B$12*(Assumptions!$B$5+Assumptions!$B$6))</f>
        <v>0.91776595433277985</v>
      </c>
      <c r="E294" s="12">
        <f>E293+Assumptions!$B$12*(D293*Assumptions!$B$5-E293*Assumptions!$B$7)</f>
        <v>5.1042881673693696E-2</v>
      </c>
      <c r="F294" s="12">
        <f t="shared" si="12"/>
        <v>3.119116399352645E-2</v>
      </c>
      <c r="G294" s="12">
        <f>EXP(-Assumptions!$B$8*B294)</f>
        <v>0.866754068895489</v>
      </c>
      <c r="H294" s="12">
        <f t="shared" si="13"/>
        <v>0.79547737521168849</v>
      </c>
      <c r="I294" s="12">
        <f t="shared" si="14"/>
        <v>4.4241625378824999E-2</v>
      </c>
      <c r="J294" s="12">
        <f>G294*(D294*Assumptions!$B$6+E294*Assumptions!$B$7)</f>
        <v>1.0166855021058135E-2</v>
      </c>
    </row>
    <row r="295" spans="1:10" x14ac:dyDescent="0.2">
      <c r="A295" s="2">
        <v>287</v>
      </c>
      <c r="B295" s="14">
        <f>A295*Assumptions!$B$12</f>
        <v>2.87</v>
      </c>
      <c r="C295" s="15">
        <f>IF(A295&lt;=Assumptions!$B$13,IF(OR(A295=0,A295=Assumptions!$B$13),0.5,1),0)*Assumptions!$B$12</f>
        <v>0.01</v>
      </c>
      <c r="D295" s="12">
        <f>D294*(1-Assumptions!$B$12*(Assumptions!$B$5+Assumptions!$B$6))</f>
        <v>0.91749062454648</v>
      </c>
      <c r="E295" s="12">
        <f>E294+Assumptions!$B$12*(D294*Assumptions!$B$5-E294*Assumptions!$B$7)</f>
        <v>5.1200913423723404E-2</v>
      </c>
      <c r="F295" s="12">
        <f t="shared" si="12"/>
        <v>3.1308462029796591E-2</v>
      </c>
      <c r="G295" s="12">
        <f>EXP(-Assumptions!$B$8*B295)</f>
        <v>0.86632080018724467</v>
      </c>
      <c r="H295" s="12">
        <f t="shared" si="13"/>
        <v>0.79484121202140146</v>
      </c>
      <c r="I295" s="12">
        <f t="shared" si="14"/>
        <v>4.4356416287557897E-2</v>
      </c>
      <c r="J295" s="12">
        <f>G295*(D295*Assumptions!$B$6+E295*Assumptions!$B$7)</f>
        <v>1.016623293459191E-2</v>
      </c>
    </row>
    <row r="296" spans="1:10" x14ac:dyDescent="0.2">
      <c r="A296" s="2">
        <v>288</v>
      </c>
      <c r="B296" s="14">
        <f>A296*Assumptions!$B$12</f>
        <v>2.88</v>
      </c>
      <c r="C296" s="15">
        <f>IF(A296&lt;=Assumptions!$B$13,IF(OR(A296=0,A296=Assumptions!$B$13),0.5,1),0)*Assumptions!$B$12</f>
        <v>0.01</v>
      </c>
      <c r="D296" s="12">
        <f>D295*(1-Assumptions!$B$12*(Assumptions!$B$5+Assumptions!$B$6))</f>
        <v>0.91721537735911607</v>
      </c>
      <c r="E296" s="12">
        <f>E295+Assumptions!$B$12*(D295*Assumptions!$B$5-E295*Assumptions!$B$7)</f>
        <v>5.1358811091920836E-2</v>
      </c>
      <c r="F296" s="12">
        <f t="shared" si="12"/>
        <v>3.1425811548963095E-2</v>
      </c>
      <c r="G296" s="12">
        <f>EXP(-Assumptions!$B$8*B296)</f>
        <v>0.86588774805920499</v>
      </c>
      <c r="H296" s="12">
        <f t="shared" si="13"/>
        <v>0.79420555758675893</v>
      </c>
      <c r="I296" s="12">
        <f t="shared" si="14"/>
        <v>4.447096527938145E-2</v>
      </c>
      <c r="J296" s="12">
        <f>G296*(D296*Assumptions!$B$6+E296*Assumptions!$B$7)</f>
        <v>1.0165603839836663E-2</v>
      </c>
    </row>
    <row r="297" spans="1:10" x14ac:dyDescent="0.2">
      <c r="A297" s="2">
        <v>289</v>
      </c>
      <c r="B297" s="14">
        <f>A297*Assumptions!$B$12</f>
        <v>2.89</v>
      </c>
      <c r="C297" s="15">
        <f>IF(A297&lt;=Assumptions!$B$13,IF(OR(A297=0,A297=Assumptions!$B$13),0.5,1),0)*Assumptions!$B$12</f>
        <v>0.01</v>
      </c>
      <c r="D297" s="12">
        <f>D296*(1-Assumptions!$B$12*(Assumptions!$B$5+Assumptions!$B$6))</f>
        <v>0.91694021274590831</v>
      </c>
      <c r="E297" s="12">
        <f>E296+Assumptions!$B$12*(D296*Assumptions!$B$5-E296*Assumptions!$B$7)</f>
        <v>5.1516574761846699E-2</v>
      </c>
      <c r="F297" s="12">
        <f t="shared" si="12"/>
        <v>3.1543212492244989E-2</v>
      </c>
      <c r="G297" s="12">
        <f>EXP(-Assumptions!$B$8*B297)</f>
        <v>0.86545491240310679</v>
      </c>
      <c r="H297" s="12">
        <f t="shared" si="13"/>
        <v>0.79357041150089613</v>
      </c>
      <c r="I297" s="12">
        <f t="shared" si="14"/>
        <v>4.4585272697822136E-2</v>
      </c>
      <c r="J297" s="12">
        <f>G297*(D297*Assumptions!$B$6+E297*Assumptions!$B$7)</f>
        <v>1.0164967749900068E-2</v>
      </c>
    </row>
    <row r="298" spans="1:10" x14ac:dyDescent="0.2">
      <c r="A298" s="2">
        <v>290</v>
      </c>
      <c r="B298" s="14">
        <f>A298*Assumptions!$B$12</f>
        <v>2.9</v>
      </c>
      <c r="C298" s="15">
        <f>IF(A298&lt;=Assumptions!$B$13,IF(OR(A298=0,A298=Assumptions!$B$13),0.5,1),0)*Assumptions!$B$12</f>
        <v>0.01</v>
      </c>
      <c r="D298" s="12">
        <f>D297*(1-Assumptions!$B$12*(Assumptions!$B$5+Assumptions!$B$6))</f>
        <v>0.91666513068208455</v>
      </c>
      <c r="E298" s="12">
        <f>E297+Assumptions!$B$12*(D297*Assumptions!$B$5-E297*Assumptions!$B$7)</f>
        <v>5.167420451701496E-2</v>
      </c>
      <c r="F298" s="12">
        <f t="shared" si="12"/>
        <v>3.166066480090049E-2</v>
      </c>
      <c r="G298" s="12">
        <f>EXP(-Assumptions!$B$8*B298)</f>
        <v>0.8650222931107413</v>
      </c>
      <c r="H298" s="12">
        <f t="shared" si="13"/>
        <v>0.79293577335727417</v>
      </c>
      <c r="I298" s="12">
        <f t="shared" si="14"/>
        <v>4.469933888598171E-2</v>
      </c>
      <c r="J298" s="12">
        <f>G298*(D298*Assumptions!$B$6+E298*Assumptions!$B$7)</f>
        <v>1.0164324677871829E-2</v>
      </c>
    </row>
    <row r="299" spans="1:10" x14ac:dyDescent="0.2">
      <c r="A299" s="2">
        <v>291</v>
      </c>
      <c r="B299" s="14">
        <f>A299*Assumptions!$B$12</f>
        <v>2.91</v>
      </c>
      <c r="C299" s="15">
        <f>IF(A299&lt;=Assumptions!$B$13,IF(OR(A299=0,A299=Assumptions!$B$13),0.5,1),0)*Assumptions!$B$12</f>
        <v>0.01</v>
      </c>
      <c r="D299" s="12">
        <f>D298*(1-Assumptions!$B$12*(Assumptions!$B$5+Assumptions!$B$6))</f>
        <v>0.91639013114287993</v>
      </c>
      <c r="E299" s="12">
        <f>E298+Assumptions!$B$12*(D298*Assumptions!$B$5-E298*Assumptions!$B$7)</f>
        <v>5.1831700440892872E-2</v>
      </c>
      <c r="F299" s="12">
        <f t="shared" si="12"/>
        <v>3.1778168416227201E-2</v>
      </c>
      <c r="G299" s="12">
        <f>EXP(-Assumptions!$B$8*B299)</f>
        <v>0.86458989007395348</v>
      </c>
      <c r="H299" s="12">
        <f t="shared" si="13"/>
        <v>0.7923016427496784</v>
      </c>
      <c r="I299" s="12">
        <f t="shared" si="14"/>
        <v>4.4813164186537656E-2</v>
      </c>
      <c r="J299" s="12">
        <f>G299*(D299*Assumptions!$B$6+E299*Assumptions!$B$7)</f>
        <v>1.0163674636823668E-2</v>
      </c>
    </row>
    <row r="300" spans="1:10" x14ac:dyDescent="0.2">
      <c r="A300" s="2">
        <v>292</v>
      </c>
      <c r="B300" s="14">
        <f>A300*Assumptions!$B$12</f>
        <v>2.92</v>
      </c>
      <c r="C300" s="15">
        <f>IF(A300&lt;=Assumptions!$B$13,IF(OR(A300=0,A300=Assumptions!$B$13),0.5,1),0)*Assumptions!$B$12</f>
        <v>0.01</v>
      </c>
      <c r="D300" s="12">
        <f>D299*(1-Assumptions!$B$12*(Assumptions!$B$5+Assumptions!$B$6))</f>
        <v>0.91611521410353713</v>
      </c>
      <c r="E300" s="12">
        <f>E299+Assumptions!$B$12*(D299*Assumptions!$B$5-E299*Assumptions!$B$7)</f>
        <v>5.1989062616901005E-2</v>
      </c>
      <c r="F300" s="12">
        <f t="shared" si="12"/>
        <v>3.1895723279561861E-2</v>
      </c>
      <c r="G300" s="12">
        <f>EXP(-Assumptions!$B$8*B300)</f>
        <v>0.8641577031846428</v>
      </c>
      <c r="H300" s="12">
        <f t="shared" si="13"/>
        <v>0.79166801927221997</v>
      </c>
      <c r="I300" s="12">
        <f t="shared" si="14"/>
        <v>4.4926748941743748E-2</v>
      </c>
      <c r="J300" s="12">
        <f>G300*(D300*Assumptions!$B$6+E300*Assumptions!$B$7)</f>
        <v>1.0163017639809386E-2</v>
      </c>
    </row>
    <row r="301" spans="1:10" x14ac:dyDescent="0.2">
      <c r="A301" s="2">
        <v>293</v>
      </c>
      <c r="B301" s="14">
        <f>A301*Assumptions!$B$12</f>
        <v>2.93</v>
      </c>
      <c r="C301" s="15">
        <f>IF(A301&lt;=Assumptions!$B$13,IF(OR(A301=0,A301=Assumptions!$B$13),0.5,1),0)*Assumptions!$B$12</f>
        <v>0.01</v>
      </c>
      <c r="D301" s="12">
        <f>D300*(1-Assumptions!$B$12*(Assumptions!$B$5+Assumptions!$B$6))</f>
        <v>0.91584037953930608</v>
      </c>
      <c r="E301" s="12">
        <f>E300+Assumptions!$B$12*(D300*Assumptions!$B$5-E300*Assumptions!$B$7)</f>
        <v>5.2146291128413264E-2</v>
      </c>
      <c r="F301" s="12">
        <f t="shared" si="12"/>
        <v>3.2013329332280654E-2</v>
      </c>
      <c r="G301" s="12">
        <f>EXP(-Assumptions!$B$8*B301)</f>
        <v>0.86372573233476224</v>
      </c>
      <c r="H301" s="12">
        <f t="shared" si="13"/>
        <v>0.79103490251933373</v>
      </c>
      <c r="I301" s="12">
        <f t="shared" si="14"/>
        <v>4.5040093493430459E-2</v>
      </c>
      <c r="J301" s="12">
        <f>G301*(D301*Assumptions!$B$6+E301*Assumptions!$B$7)</f>
        <v>1.0162353699864861E-2</v>
      </c>
    </row>
    <row r="302" spans="1:10" x14ac:dyDescent="0.2">
      <c r="A302" s="2">
        <v>294</v>
      </c>
      <c r="B302" s="14">
        <f>A302*Assumptions!$B$12</f>
        <v>2.94</v>
      </c>
      <c r="C302" s="15">
        <f>IF(A302&lt;=Assumptions!$B$13,IF(OR(A302=0,A302=Assumptions!$B$13),0.5,1),0)*Assumptions!$B$12</f>
        <v>0.01</v>
      </c>
      <c r="D302" s="12">
        <f>D301*(1-Assumptions!$B$12*(Assumptions!$B$5+Assumptions!$B$6))</f>
        <v>0.91556562742544434</v>
      </c>
      <c r="E302" s="12">
        <f>E301+Assumptions!$B$12*(D301*Assumptions!$B$5-E301*Assumptions!$B$7)</f>
        <v>5.2303386058756916E-2</v>
      </c>
      <c r="F302" s="12">
        <f t="shared" si="12"/>
        <v>3.2130986515798744E-2</v>
      </c>
      <c r="G302" s="12">
        <f>EXP(-Assumptions!$B$8*B302)</f>
        <v>0.86329397741631941</v>
      </c>
      <c r="H302" s="12">
        <f t="shared" si="13"/>
        <v>0.79040229208577983</v>
      </c>
      <c r="I302" s="12">
        <f t="shared" si="14"/>
        <v>4.5153198183005526E-2</v>
      </c>
      <c r="J302" s="12">
        <f>G302*(D302*Assumptions!$B$6+E302*Assumptions!$B$7)</f>
        <v>1.0161682830008074E-2</v>
      </c>
    </row>
    <row r="303" spans="1:10" x14ac:dyDescent="0.2">
      <c r="A303" s="2">
        <v>295</v>
      </c>
      <c r="B303" s="14">
        <f>A303*Assumptions!$B$12</f>
        <v>2.95</v>
      </c>
      <c r="C303" s="15">
        <f>IF(A303&lt;=Assumptions!$B$13,IF(OR(A303=0,A303=Assumptions!$B$13),0.5,1),0)*Assumptions!$B$12</f>
        <v>0.01</v>
      </c>
      <c r="D303" s="12">
        <f>D302*(1-Assumptions!$B$12*(Assumptions!$B$5+Assumptions!$B$6))</f>
        <v>0.91529095773721669</v>
      </c>
      <c r="E303" s="12">
        <f>E302+Assumptions!$B$12*(D302*Assumptions!$B$5-E302*Assumptions!$B$7)</f>
        <v>5.2460347491212624E-2</v>
      </c>
      <c r="F303" s="12">
        <f t="shared" si="12"/>
        <v>3.2248694771570684E-2</v>
      </c>
      <c r="G303" s="12">
        <f>EXP(-Assumptions!$B$8*B303)</f>
        <v>0.86286243832137532</v>
      </c>
      <c r="H303" s="12">
        <f t="shared" si="13"/>
        <v>0.78977018756664163</v>
      </c>
      <c r="I303" s="12">
        <f t="shared" si="14"/>
        <v>4.5266063351454368E-2</v>
      </c>
      <c r="J303" s="12">
        <f>G303*(D303*Assumptions!$B$6+E303*Assumptions!$B$7)</f>
        <v>1.0161005043239135E-2</v>
      </c>
    </row>
    <row r="304" spans="1:10" x14ac:dyDescent="0.2">
      <c r="A304" s="2">
        <v>296</v>
      </c>
      <c r="B304" s="14">
        <f>A304*Assumptions!$B$12</f>
        <v>2.96</v>
      </c>
      <c r="C304" s="15">
        <f>IF(A304&lt;=Assumptions!$B$13,IF(OR(A304=0,A304=Assumptions!$B$13),0.5,1),0)*Assumptions!$B$12</f>
        <v>0.01</v>
      </c>
      <c r="D304" s="12">
        <f>D303*(1-Assumptions!$B$12*(Assumptions!$B$5+Assumptions!$B$6))</f>
        <v>0.91501637044989559</v>
      </c>
      <c r="E304" s="12">
        <f>E303+Assumptions!$B$12*(D303*Assumptions!$B$5-E303*Assumptions!$B$7)</f>
        <v>5.2617175509014458E-2</v>
      </c>
      <c r="F304" s="12">
        <f t="shared" si="12"/>
        <v>3.2366454041089954E-2</v>
      </c>
      <c r="G304" s="12">
        <f>EXP(-Assumptions!$B$8*B304)</f>
        <v>0.8624311149420455</v>
      </c>
      <c r="H304" s="12">
        <f t="shared" si="13"/>
        <v>0.78913858855732721</v>
      </c>
      <c r="I304" s="12">
        <f t="shared" si="14"/>
        <v>4.5378689339340632E-2</v>
      </c>
      <c r="J304" s="12">
        <f>G304*(D304*Assumptions!$B$6+E304*Assumptions!$B$7)</f>
        <v>1.0160320352540303E-2</v>
      </c>
    </row>
    <row r="305" spans="1:10" x14ac:dyDescent="0.2">
      <c r="A305" s="2">
        <v>297</v>
      </c>
      <c r="B305" s="14">
        <f>A305*Assumptions!$B$12</f>
        <v>2.97</v>
      </c>
      <c r="C305" s="15">
        <f>IF(A305&lt;=Assumptions!$B$13,IF(OR(A305=0,A305=Assumptions!$B$13),0.5,1),0)*Assumptions!$B$12</f>
        <v>0.01</v>
      </c>
      <c r="D305" s="12">
        <f>D304*(1-Assumptions!$B$12*(Assumptions!$B$5+Assumptions!$B$6))</f>
        <v>0.91474186553876069</v>
      </c>
      <c r="E305" s="12">
        <f>E304+Assumptions!$B$12*(D304*Assumptions!$B$5-E304*Assumptions!$B$7)</f>
        <v>5.2773870195349931E-2</v>
      </c>
      <c r="F305" s="12">
        <f t="shared" si="12"/>
        <v>3.2484264265889379E-2</v>
      </c>
      <c r="G305" s="12">
        <f>EXP(-Assumptions!$B$8*B305)</f>
        <v>0.86200000717049874</v>
      </c>
      <c r="H305" s="12">
        <f t="shared" si="13"/>
        <v>0.78850749465356706</v>
      </c>
      <c r="I305" s="12">
        <f t="shared" si="14"/>
        <v>4.5491076486806607E-2</v>
      </c>
      <c r="J305" s="12">
        <f>G305*(D305*Assumptions!$B$6+E305*Assumptions!$B$7)</f>
        <v>1.0159628770876002E-2</v>
      </c>
    </row>
    <row r="306" spans="1:10" x14ac:dyDescent="0.2">
      <c r="A306" s="2">
        <v>298</v>
      </c>
      <c r="B306" s="14">
        <f>A306*Assumptions!$B$12</f>
        <v>2.98</v>
      </c>
      <c r="C306" s="15">
        <f>IF(A306&lt;=Assumptions!$B$13,IF(OR(A306=0,A306=Assumptions!$B$13),0.5,1),0)*Assumptions!$B$12</f>
        <v>0.01</v>
      </c>
      <c r="D306" s="12">
        <f>D305*(1-Assumptions!$B$12*(Assumptions!$B$5+Assumptions!$B$6))</f>
        <v>0.9144674429790991</v>
      </c>
      <c r="E306" s="12">
        <f>E305+Assumptions!$B$12*(D305*Assumptions!$B$5-E305*Assumptions!$B$7)</f>
        <v>5.293043163336001E-2</v>
      </c>
      <c r="F306" s="12">
        <f t="shared" si="12"/>
        <v>3.2602125387540891E-2</v>
      </c>
      <c r="G306" s="12">
        <f>EXP(-Assumptions!$B$8*B306)</f>
        <v>0.86156911489895827</v>
      </c>
      <c r="H306" s="12">
        <f t="shared" si="13"/>
        <v>0.78787690545141598</v>
      </c>
      <c r="I306" s="12">
        <f t="shared" si="14"/>
        <v>4.5603225133573809E-2</v>
      </c>
      <c r="J306" s="12">
        <f>G306*(D306*Assumptions!$B$6+E306*Assumptions!$B$7)</f>
        <v>1.0158930311192851E-2</v>
      </c>
    </row>
    <row r="307" spans="1:10" x14ac:dyDescent="0.2">
      <c r="A307" s="2">
        <v>299</v>
      </c>
      <c r="B307" s="14">
        <f>A307*Assumptions!$B$12</f>
        <v>2.99</v>
      </c>
      <c r="C307" s="15">
        <f>IF(A307&lt;=Assumptions!$B$13,IF(OR(A307=0,A307=Assumptions!$B$13),0.5,1),0)*Assumptions!$B$12</f>
        <v>0.01</v>
      </c>
      <c r="D307" s="12">
        <f>D306*(1-Assumptions!$B$12*(Assumptions!$B$5+Assumptions!$B$6))</f>
        <v>0.91419310274620535</v>
      </c>
      <c r="E307" s="12">
        <f>E306+Assumptions!$B$12*(D306*Assumptions!$B$5-E306*Assumptions!$B$7)</f>
        <v>5.308685990613915E-2</v>
      </c>
      <c r="F307" s="12">
        <f t="shared" si="12"/>
        <v>3.2720037347655495E-2</v>
      </c>
      <c r="G307" s="12">
        <f>EXP(-Assumptions!$B$8*B307)</f>
        <v>0.86113843801970102</v>
      </c>
      <c r="H307" s="12">
        <f t="shared" si="13"/>
        <v>0.78724682054725137</v>
      </c>
      <c r="I307" s="12">
        <f t="shared" si="14"/>
        <v>4.5715135618943359E-2</v>
      </c>
      <c r="J307" s="12">
        <f>G307*(D307*Assumptions!$B$6+E307*Assumptions!$B$7)</f>
        <v>1.0158224986419681E-2</v>
      </c>
    </row>
    <row r="308" spans="1:10" x14ac:dyDescent="0.2">
      <c r="A308" s="2">
        <v>300</v>
      </c>
      <c r="B308" s="14">
        <f>A308*Assumptions!$B$12</f>
        <v>3</v>
      </c>
      <c r="C308" s="15">
        <f>IF(A308&lt;=Assumptions!$B$13,IF(OR(A308=0,A308=Assumptions!$B$13),0.5,1),0)*Assumptions!$B$12</f>
        <v>0.01</v>
      </c>
      <c r="D308" s="12">
        <f>D307*(1-Assumptions!$B$12*(Assumptions!$B$5+Assumptions!$B$6))</f>
        <v>0.91391884481538155</v>
      </c>
      <c r="E308" s="12">
        <f>E307+Assumptions!$B$12*(D307*Assumptions!$B$5-E307*Assumptions!$B$7)</f>
        <v>5.3243155096735321E-2</v>
      </c>
      <c r="F308" s="12">
        <f t="shared" si="12"/>
        <v>3.283800008788313E-2</v>
      </c>
      <c r="G308" s="12">
        <f>EXP(-Assumptions!$B$8*B308)</f>
        <v>0.86070797642505781</v>
      </c>
      <c r="H308" s="12">
        <f t="shared" si="13"/>
        <v>0.78661723953777352</v>
      </c>
      <c r="I308" s="12">
        <f t="shared" si="14"/>
        <v>4.5826808281796562E-2</v>
      </c>
      <c r="J308" s="12">
        <f>G308*(D308*Assumptions!$B$6+E308*Assumptions!$B$7)</f>
        <v>1.0157512809467563E-2</v>
      </c>
    </row>
    <row r="309" spans="1:10" x14ac:dyDescent="0.2">
      <c r="A309" s="2">
        <v>301</v>
      </c>
      <c r="B309" s="14">
        <f>A309*Assumptions!$B$12</f>
        <v>3.0100000000000002</v>
      </c>
      <c r="C309" s="15">
        <f>IF(A309&lt;=Assumptions!$B$13,IF(OR(A309=0,A309=Assumptions!$B$13),0.5,1),0)*Assumptions!$B$12</f>
        <v>0.01</v>
      </c>
      <c r="D309" s="12">
        <f>D308*(1-Assumptions!$B$12*(Assumptions!$B$5+Assumptions!$B$6))</f>
        <v>0.91364466916193698</v>
      </c>
      <c r="E309" s="12">
        <f>E308+Assumptions!$B$12*(D308*Assumptions!$B$5-E308*Assumptions!$B$7)</f>
        <v>5.3399317288150033E-2</v>
      </c>
      <c r="F309" s="12">
        <f t="shared" si="12"/>
        <v>3.2956013549912982E-2</v>
      </c>
      <c r="G309" s="12">
        <f>EXP(-Assumptions!$B$8*B309)</f>
        <v>0.86027773000741314</v>
      </c>
      <c r="H309" s="12">
        <f t="shared" si="13"/>
        <v>0.7859881620200051</v>
      </c>
      <c r="I309" s="12">
        <f t="shared" si="14"/>
        <v>4.5938243460595322E-2</v>
      </c>
      <c r="J309" s="12">
        <f>G309*(D309*Assumptions!$B$6+E309*Assumptions!$B$7)</f>
        <v>1.0156793793229818E-2</v>
      </c>
    </row>
    <row r="310" spans="1:10" x14ac:dyDescent="0.2">
      <c r="A310" s="2">
        <v>302</v>
      </c>
      <c r="B310" s="14">
        <f>A310*Assumptions!$B$12</f>
        <v>3.02</v>
      </c>
      <c r="C310" s="15">
        <f>IF(A310&lt;=Assumptions!$B$13,IF(OR(A310=0,A310=Assumptions!$B$13),0.5,1),0)*Assumptions!$B$12</f>
        <v>0.01</v>
      </c>
      <c r="D310" s="12">
        <f>D309*(1-Assumptions!$B$12*(Assumptions!$B$5+Assumptions!$B$6))</f>
        <v>0.91337057576118841</v>
      </c>
      <c r="E310" s="12">
        <f>E309+Assumptions!$B$12*(D309*Assumptions!$B$5-E309*Assumptions!$B$7)</f>
        <v>5.3555346563338345E-2</v>
      </c>
      <c r="F310" s="12">
        <f t="shared" si="12"/>
        <v>3.3074077675473247E-2</v>
      </c>
      <c r="G310" s="12">
        <f>EXP(-Assumptions!$B$8*B310)</f>
        <v>0.85984769865920552</v>
      </c>
      <c r="H310" s="12">
        <f t="shared" si="13"/>
        <v>0.78535958759129132</v>
      </c>
      <c r="I310" s="12">
        <f t="shared" si="14"/>
        <v>4.6049441493382665E-2</v>
      </c>
      <c r="J310" s="12">
        <f>G310*(D310*Assumptions!$B$6+E310*Assumptions!$B$7)</f>
        <v>1.0156067950582047E-2</v>
      </c>
    </row>
    <row r="311" spans="1:10" x14ac:dyDescent="0.2">
      <c r="A311" s="2">
        <v>303</v>
      </c>
      <c r="B311" s="14">
        <f>A311*Assumptions!$B$12</f>
        <v>3.0300000000000002</v>
      </c>
      <c r="C311" s="15">
        <f>IF(A311&lt;=Assumptions!$B$13,IF(OR(A311=0,A311=Assumptions!$B$13),0.5,1),0)*Assumptions!$B$12</f>
        <v>0.01</v>
      </c>
      <c r="D311" s="12">
        <f>D310*(1-Assumptions!$B$12*(Assumptions!$B$5+Assumptions!$B$6))</f>
        <v>0.91309656458846011</v>
      </c>
      <c r="E311" s="12">
        <f>E310+Assumptions!$B$12*(D310*Assumptions!$B$5-E310*Assumptions!$B$7)</f>
        <v>5.3711243005208915E-2</v>
      </c>
      <c r="F311" s="12">
        <f t="shared" si="12"/>
        <v>3.3192192406330971E-2</v>
      </c>
      <c r="G311" s="12">
        <f>EXP(-Assumptions!$B$8*B311)</f>
        <v>0.85941788227292693</v>
      </c>
      <c r="H311" s="12">
        <f t="shared" si="13"/>
        <v>0.78473151584929923</v>
      </c>
      <c r="I311" s="12">
        <f t="shared" si="14"/>
        <v>4.6160402717783204E-2</v>
      </c>
      <c r="J311" s="12">
        <f>G311*(D311*Assumptions!$B$6+E311*Assumptions!$B$7)</f>
        <v>1.0155335294382152E-2</v>
      </c>
    </row>
    <row r="312" spans="1:10" x14ac:dyDescent="0.2">
      <c r="A312" s="2">
        <v>304</v>
      </c>
      <c r="B312" s="14">
        <f>A312*Assumptions!$B$12</f>
        <v>3.04</v>
      </c>
      <c r="C312" s="15">
        <f>IF(A312&lt;=Assumptions!$B$13,IF(OR(A312=0,A312=Assumptions!$B$13),0.5,1),0)*Assumptions!$B$12</f>
        <v>0.01</v>
      </c>
      <c r="D312" s="12">
        <f>D311*(1-Assumptions!$B$12*(Assumptions!$B$5+Assumptions!$B$6))</f>
        <v>0.91282263561908361</v>
      </c>
      <c r="E312" s="12">
        <f>E311+Assumptions!$B$12*(D311*Assumptions!$B$5-E311*Assumptions!$B$7)</f>
        <v>5.3867006696624004E-2</v>
      </c>
      <c r="F312" s="12">
        <f t="shared" si="12"/>
        <v>3.3310357684292385E-2</v>
      </c>
      <c r="G312" s="12">
        <f>EXP(-Assumptions!$B$8*B312)</f>
        <v>0.85898828074112343</v>
      </c>
      <c r="H312" s="12">
        <f t="shared" si="13"/>
        <v>0.78410394639201764</v>
      </c>
      <c r="I312" s="12">
        <f t="shared" si="14"/>
        <v>4.6271127471003634E-2</v>
      </c>
      <c r="J312" s="12">
        <f>G312*(D312*Assumptions!$B$6+E312*Assumptions!$B$7)</f>
        <v>1.0154595837470358E-2</v>
      </c>
    </row>
    <row r="313" spans="1:10" x14ac:dyDescent="0.2">
      <c r="A313" s="2">
        <v>305</v>
      </c>
      <c r="B313" s="14">
        <f>A313*Assumptions!$B$12</f>
        <v>3.0500000000000003</v>
      </c>
      <c r="C313" s="15">
        <f>IF(A313&lt;=Assumptions!$B$13,IF(OR(A313=0,A313=Assumptions!$B$13),0.5,1),0)*Assumptions!$B$12</f>
        <v>0.01</v>
      </c>
      <c r="D313" s="12">
        <f>D312*(1-Assumptions!$B$12*(Assumptions!$B$5+Assumptions!$B$6))</f>
        <v>0.91254878882839796</v>
      </c>
      <c r="E313" s="12">
        <f>E312+Assumptions!$B$12*(D312*Assumptions!$B$5-E312*Assumptions!$B$7)</f>
        <v>5.4022637720399509E-2</v>
      </c>
      <c r="F313" s="12">
        <f t="shared" si="12"/>
        <v>3.342857345120253E-2</v>
      </c>
      <c r="G313" s="12">
        <f>EXP(-Assumptions!$B$8*B313)</f>
        <v>0.85855889395639462</v>
      </c>
      <c r="H313" s="12">
        <f t="shared" si="13"/>
        <v>0.78347687881775685</v>
      </c>
      <c r="I313" s="12">
        <f t="shared" si="14"/>
        <v>4.6381616089833204E-2</v>
      </c>
      <c r="J313" s="12">
        <f>G313*(D313*Assumptions!$B$6+E313*Assumptions!$B$7)</f>
        <v>1.0153849592669229E-2</v>
      </c>
    </row>
    <row r="314" spans="1:10" x14ac:dyDescent="0.2">
      <c r="A314" s="2">
        <v>306</v>
      </c>
      <c r="B314" s="14">
        <f>A314*Assumptions!$B$12</f>
        <v>3.06</v>
      </c>
      <c r="C314" s="15">
        <f>IF(A314&lt;=Assumptions!$B$13,IF(OR(A314=0,A314=Assumptions!$B$13),0.5,1),0)*Assumptions!$B$12</f>
        <v>0.01</v>
      </c>
      <c r="D314" s="12">
        <f>D313*(1-Assumptions!$B$12*(Assumptions!$B$5+Assumptions!$B$6))</f>
        <v>0.91227502419174944</v>
      </c>
      <c r="E314" s="12">
        <f>E313+Assumptions!$B$12*(D313*Assumptions!$B$5-E313*Assumptions!$B$7)</f>
        <v>5.4178136159304988E-2</v>
      </c>
      <c r="F314" s="12">
        <f t="shared" si="12"/>
        <v>3.3546839648945573E-2</v>
      </c>
      <c r="G314" s="12">
        <f>EXP(-Assumptions!$B$8*B314)</f>
        <v>0.8581297218113938</v>
      </c>
      <c r="H314" s="12">
        <f t="shared" si="13"/>
        <v>0.78285031272514849</v>
      </c>
      <c r="I314" s="12">
        <f t="shared" si="14"/>
        <v>4.6491868910644205E-2</v>
      </c>
      <c r="J314" s="12">
        <f>G314*(D314*Assumptions!$B$6+E314*Assumptions!$B$7)</f>
        <v>1.0153096572783696E-2</v>
      </c>
    </row>
    <row r="315" spans="1:10" x14ac:dyDescent="0.2">
      <c r="A315" s="2">
        <v>307</v>
      </c>
      <c r="B315" s="14">
        <f>A315*Assumptions!$B$12</f>
        <v>3.0700000000000003</v>
      </c>
      <c r="C315" s="15">
        <f>IF(A315&lt;=Assumptions!$B$13,IF(OR(A315=0,A315=Assumptions!$B$13),0.5,1),0)*Assumptions!$B$12</f>
        <v>0.01</v>
      </c>
      <c r="D315" s="12">
        <f>D314*(1-Assumptions!$B$12*(Assumptions!$B$5+Assumptions!$B$6))</f>
        <v>0.91200134168449198</v>
      </c>
      <c r="E315" s="12">
        <f>E314+Assumptions!$B$12*(D314*Assumptions!$B$5-E314*Assumptions!$B$7)</f>
        <v>5.4333502096063684E-2</v>
      </c>
      <c r="F315" s="12">
        <f t="shared" si="12"/>
        <v>3.3665156219444332E-2</v>
      </c>
      <c r="G315" s="12">
        <f>EXP(-Assumptions!$B$8*B315)</f>
        <v>0.85770076419882779</v>
      </c>
      <c r="H315" s="12">
        <f t="shared" si="13"/>
        <v>0.78222424771314503</v>
      </c>
      <c r="I315" s="12">
        <f t="shared" si="14"/>
        <v>4.6601886269392434E-2</v>
      </c>
      <c r="J315" s="12">
        <f>G315*(D315*Assumptions!$B$6+E315*Assumptions!$B$7)</f>
        <v>1.0152336790601072E-2</v>
      </c>
    </row>
    <row r="316" spans="1:10" x14ac:dyDescent="0.2">
      <c r="A316" s="2">
        <v>308</v>
      </c>
      <c r="B316" s="14">
        <f>A316*Assumptions!$B$12</f>
        <v>3.08</v>
      </c>
      <c r="C316" s="15">
        <f>IF(A316&lt;=Assumptions!$B$13,IF(OR(A316=0,A316=Assumptions!$B$13),0.5,1),0)*Assumptions!$B$12</f>
        <v>0.01</v>
      </c>
      <c r="D316" s="12">
        <f>D315*(1-Assumptions!$B$12*(Assumptions!$B$5+Assumptions!$B$6))</f>
        <v>0.91172774128198664</v>
      </c>
      <c r="E316" s="12">
        <f>E315+Assumptions!$B$12*(D315*Assumptions!$B$5-E315*Assumptions!$B$7)</f>
        <v>5.4488735613352553E-2</v>
      </c>
      <c r="F316" s="12">
        <f t="shared" si="12"/>
        <v>3.3783523104660811E-2</v>
      </c>
      <c r="G316" s="12">
        <f>EXP(-Assumptions!$B$8*B316)</f>
        <v>0.85727202101145739</v>
      </c>
      <c r="H316" s="12">
        <f t="shared" si="13"/>
        <v>0.78159868338101979</v>
      </c>
      <c r="I316" s="12">
        <f t="shared" si="14"/>
        <v>4.6711668501617717E-2</v>
      </c>
      <c r="J316" s="12">
        <f>G316*(D316*Assumptions!$B$6+E316*Assumptions!$B$7)</f>
        <v>1.0151570258891084E-2</v>
      </c>
    </row>
    <row r="317" spans="1:10" x14ac:dyDescent="0.2">
      <c r="A317" s="2">
        <v>309</v>
      </c>
      <c r="B317" s="14">
        <f>A317*Assumptions!$B$12</f>
        <v>3.09</v>
      </c>
      <c r="C317" s="15">
        <f>IF(A317&lt;=Assumptions!$B$13,IF(OR(A317=0,A317=Assumptions!$B$13),0.5,1),0)*Assumptions!$B$12</f>
        <v>0.01</v>
      </c>
      <c r="D317" s="12">
        <f>D316*(1-Assumptions!$B$12*(Assumptions!$B$5+Assumptions!$B$6))</f>
        <v>0.9114542229596021</v>
      </c>
      <c r="E317" s="12">
        <f>E316+Assumptions!$B$12*(D316*Assumptions!$B$5-E316*Assumptions!$B$7)</f>
        <v>5.4643836793802275E-2</v>
      </c>
      <c r="F317" s="12">
        <f t="shared" si="12"/>
        <v>3.3901940246595624E-2</v>
      </c>
      <c r="G317" s="12">
        <f>EXP(-Assumptions!$B$8*B317)</f>
        <v>0.85684349214209676</v>
      </c>
      <c r="H317" s="12">
        <f t="shared" si="13"/>
        <v>0.78097361932836673</v>
      </c>
      <c r="I317" s="12">
        <f t="shared" si="14"/>
        <v>4.6821215942444337E-2</v>
      </c>
      <c r="J317" s="12">
        <f>G317*(D317*Assumptions!$B$6+E317*Assumptions!$B$7)</f>
        <v>1.0150796990405884E-2</v>
      </c>
    </row>
    <row r="318" spans="1:10" x14ac:dyDescent="0.2">
      <c r="A318" s="2">
        <v>310</v>
      </c>
      <c r="B318" s="14">
        <f>A318*Assumptions!$B$12</f>
        <v>3.1</v>
      </c>
      <c r="C318" s="15">
        <f>IF(A318&lt;=Assumptions!$B$13,IF(OR(A318=0,A318=Assumptions!$B$13),0.5,1),0)*Assumptions!$B$12</f>
        <v>0.01</v>
      </c>
      <c r="D318" s="12">
        <f>D317*(1-Assumptions!$B$12*(Assumptions!$B$5+Assumptions!$B$6))</f>
        <v>0.9111807866927143</v>
      </c>
      <c r="E318" s="12">
        <f>E317+Assumptions!$B$12*(D317*Assumptions!$B$5-E317*Assumptions!$B$7)</f>
        <v>5.4798805719997297E-2</v>
      </c>
      <c r="F318" s="12">
        <f t="shared" si="12"/>
        <v>3.4020407587288408E-2</v>
      </c>
      <c r="G318" s="12">
        <f>EXP(-Assumptions!$B$8*B318)</f>
        <v>0.85641517748361351</v>
      </c>
      <c r="H318" s="12">
        <f t="shared" si="13"/>
        <v>0.78034905515509945</v>
      </c>
      <c r="I318" s="12">
        <f t="shared" si="14"/>
        <v>4.693052892658154E-2</v>
      </c>
      <c r="J318" s="12">
        <f>G318*(D318*Assumptions!$B$6+E318*Assumptions!$B$7)</f>
        <v>1.0150016997880072E-2</v>
      </c>
    </row>
    <row r="319" spans="1:10" x14ac:dyDescent="0.2">
      <c r="A319" s="2">
        <v>311</v>
      </c>
      <c r="B319" s="14">
        <f>A319*Assumptions!$B$12</f>
        <v>3.11</v>
      </c>
      <c r="C319" s="15">
        <f>IF(A319&lt;=Assumptions!$B$13,IF(OR(A319=0,A319=Assumptions!$B$13),0.5,1),0)*Assumptions!$B$12</f>
        <v>0.01</v>
      </c>
      <c r="D319" s="12">
        <f>D318*(1-Assumptions!$B$12*(Assumptions!$B$5+Assumptions!$B$6))</f>
        <v>0.91090743245670647</v>
      </c>
      <c r="E319" s="12">
        <f>E318+Assumptions!$B$12*(D318*Assumptions!$B$5-E318*Assumptions!$B$7)</f>
        <v>5.4953642474475844E-2</v>
      </c>
      <c r="F319" s="12">
        <f t="shared" si="12"/>
        <v>3.4138925068817688E-2</v>
      </c>
      <c r="G319" s="12">
        <f>EXP(-Assumptions!$B$8*B319)</f>
        <v>0.85598707692892917</v>
      </c>
      <c r="H319" s="12">
        <f t="shared" si="13"/>
        <v>0.77972499046145216</v>
      </c>
      <c r="I319" s="12">
        <f t="shared" si="14"/>
        <v>4.7039607788324021E-2</v>
      </c>
      <c r="J319" s="12">
        <f>G319*(D319*Assumptions!$B$6+E319*Assumptions!$B$7)</f>
        <v>1.0149230294030722E-2</v>
      </c>
    </row>
    <row r="320" spans="1:10" x14ac:dyDescent="0.2">
      <c r="A320" s="2">
        <v>312</v>
      </c>
      <c r="B320" s="14">
        <f>A320*Assumptions!$B$12</f>
        <v>3.12</v>
      </c>
      <c r="C320" s="15">
        <f>IF(A320&lt;=Assumptions!$B$13,IF(OR(A320=0,A320=Assumptions!$B$13),0.5,1),0)*Assumptions!$B$12</f>
        <v>0.01</v>
      </c>
      <c r="D320" s="12">
        <f>D319*(1-Assumptions!$B$12*(Assumptions!$B$5+Assumptions!$B$6))</f>
        <v>0.91063416022696952</v>
      </c>
      <c r="E320" s="12">
        <f>E319+Assumptions!$B$12*(D319*Assumptions!$B$5-E319*Assumptions!$B$7)</f>
        <v>5.5108347139729945E-2</v>
      </c>
      <c r="F320" s="12">
        <f t="shared" si="12"/>
        <v>3.4257492633300531E-2</v>
      </c>
      <c r="G320" s="12">
        <f>EXP(-Assumptions!$B$8*B320)</f>
        <v>0.85555919037101846</v>
      </c>
      <c r="H320" s="12">
        <f t="shared" si="13"/>
        <v>0.7791014248479784</v>
      </c>
      <c r="I320" s="12">
        <f t="shared" si="14"/>
        <v>4.7148452861552385E-2</v>
      </c>
      <c r="J320" s="12">
        <f>G320*(D320*Assumptions!$B$6+E320*Assumptions!$B$7)</f>
        <v>1.0148436891557403E-2</v>
      </c>
    </row>
    <row r="321" spans="1:10" x14ac:dyDescent="0.2">
      <c r="A321" s="2">
        <v>313</v>
      </c>
      <c r="B321" s="14">
        <f>A321*Assumptions!$B$12</f>
        <v>3.13</v>
      </c>
      <c r="C321" s="15">
        <f>IF(A321&lt;=Assumptions!$B$13,IF(OR(A321=0,A321=Assumptions!$B$13),0.5,1),0)*Assumptions!$B$12</f>
        <v>0.01</v>
      </c>
      <c r="D321" s="12">
        <f>D320*(1-Assumptions!$B$12*(Assumptions!$B$5+Assumptions!$B$6))</f>
        <v>0.91036096997890148</v>
      </c>
      <c r="E321" s="12">
        <f>E320+Assumptions!$B$12*(D320*Assumptions!$B$5-E320*Assumptions!$B$7)</f>
        <v>5.5262919798205475E-2</v>
      </c>
      <c r="F321" s="12">
        <f t="shared" si="12"/>
        <v>3.4376110222893046E-2</v>
      </c>
      <c r="G321" s="12">
        <f>EXP(-Assumptions!$B$8*B321)</f>
        <v>0.85513151770290985</v>
      </c>
      <c r="H321" s="12">
        <f t="shared" si="13"/>
        <v>0.7784783579155512</v>
      </c>
      <c r="I321" s="12">
        <f t="shared" si="14"/>
        <v>4.7257064479733629E-2</v>
      </c>
      <c r="J321" s="12">
        <f>G321*(D321*Assumptions!$B$6+E321*Assumptions!$B$7)</f>
        <v>1.0147636803142193E-2</v>
      </c>
    </row>
    <row r="322" spans="1:10" x14ac:dyDescent="0.2">
      <c r="A322" s="2">
        <v>314</v>
      </c>
      <c r="B322" s="14">
        <f>A322*Assumptions!$B$12</f>
        <v>3.14</v>
      </c>
      <c r="C322" s="15">
        <f>IF(A322&lt;=Assumptions!$B$13,IF(OR(A322=0,A322=Assumptions!$B$13),0.5,1),0)*Assumptions!$B$12</f>
        <v>0.01</v>
      </c>
      <c r="D322" s="12">
        <f>D321*(1-Assumptions!$B$12*(Assumptions!$B$5+Assumptions!$B$6))</f>
        <v>0.91008786168790778</v>
      </c>
      <c r="E322" s="12">
        <f>E321+Assumptions!$B$12*(D321*Assumptions!$B$5-E321*Assumptions!$B$7)</f>
        <v>5.5417360532302153E-2</v>
      </c>
      <c r="F322" s="12">
        <f t="shared" si="12"/>
        <v>3.4494777779790063E-2</v>
      </c>
      <c r="G322" s="12">
        <f>EXP(-Assumptions!$B$8*B322)</f>
        <v>0.85470405881768508</v>
      </c>
      <c r="H322" s="12">
        <f t="shared" si="13"/>
        <v>0.77785578926536281</v>
      </c>
      <c r="I322" s="12">
        <f t="shared" si="14"/>
        <v>4.7365442975921636E-2</v>
      </c>
      <c r="J322" s="12">
        <f>G322*(D322*Assumptions!$B$6+E322*Assumptions!$B$7)</f>
        <v>1.0146830041449711E-2</v>
      </c>
    </row>
    <row r="323" spans="1:10" x14ac:dyDescent="0.2">
      <c r="A323" s="2">
        <v>315</v>
      </c>
      <c r="B323" s="14">
        <f>A323*Assumptions!$B$12</f>
        <v>3.15</v>
      </c>
      <c r="C323" s="15">
        <f>IF(A323&lt;=Assumptions!$B$13,IF(OR(A323=0,A323=Assumptions!$B$13),0.5,1),0)*Assumptions!$B$12</f>
        <v>0.01</v>
      </c>
      <c r="D323" s="12">
        <f>D322*(1-Assumptions!$B$12*(Assumptions!$B$5+Assumptions!$B$6))</f>
        <v>0.90981483532940144</v>
      </c>
      <c r="E323" s="12">
        <f>E322+Assumptions!$B$12*(D322*Assumptions!$B$5-E322*Assumptions!$B$7)</f>
        <v>5.5571669424373582E-2</v>
      </c>
      <c r="F323" s="12">
        <f t="shared" si="12"/>
        <v>3.4613495246224979E-2</v>
      </c>
      <c r="G323" s="12">
        <f>EXP(-Assumptions!$B$8*B323)</f>
        <v>0.85427681360847951</v>
      </c>
      <c r="H323" s="12">
        <f t="shared" si="13"/>
        <v>0.77723371849892453</v>
      </c>
      <c r="I323" s="12">
        <f t="shared" si="14"/>
        <v>4.7473588682757632E-2</v>
      </c>
      <c r="J323" s="12">
        <f>G323*(D323*Assumptions!$B$6+E323*Assumptions!$B$7)</f>
        <v>1.0146016619127127E-2</v>
      </c>
    </row>
    <row r="324" spans="1:10" x14ac:dyDescent="0.2">
      <c r="A324" s="2">
        <v>316</v>
      </c>
      <c r="B324" s="14">
        <f>A324*Assumptions!$B$12</f>
        <v>3.16</v>
      </c>
      <c r="C324" s="15">
        <f>IF(A324&lt;=Assumptions!$B$13,IF(OR(A324=0,A324=Assumptions!$B$13),0.5,1),0)*Assumptions!$B$12</f>
        <v>0.01</v>
      </c>
      <c r="D324" s="12">
        <f>D323*(1-Assumptions!$B$12*(Assumptions!$B$5+Assumptions!$B$6))</f>
        <v>0.90954189087880266</v>
      </c>
      <c r="E324" s="12">
        <f>E323+Assumptions!$B$12*(D323*Assumptions!$B$5-E323*Assumptions!$B$7)</f>
        <v>5.5725846556727278E-2</v>
      </c>
      <c r="F324" s="12">
        <f t="shared" si="12"/>
        <v>3.4732262564470061E-2</v>
      </c>
      <c r="G324" s="12">
        <f>EXP(-Assumptions!$B$8*B324)</f>
        <v>0.85384978196848171</v>
      </c>
      <c r="H324" s="12">
        <f t="shared" si="13"/>
        <v>0.77661214521806621</v>
      </c>
      <c r="I324" s="12">
        <f t="shared" si="14"/>
        <v>4.7581501932470655E-2</v>
      </c>
      <c r="J324" s="12">
        <f>G324*(D324*Assumptions!$B$6+E324*Assumptions!$B$7)</f>
        <v>1.0145196548804195E-2</v>
      </c>
    </row>
    <row r="325" spans="1:10" x14ac:dyDescent="0.2">
      <c r="A325" s="2">
        <v>317</v>
      </c>
      <c r="B325" s="14">
        <f>A325*Assumptions!$B$12</f>
        <v>3.17</v>
      </c>
      <c r="C325" s="15">
        <f>IF(A325&lt;=Assumptions!$B$13,IF(OR(A325=0,A325=Assumptions!$B$13),0.5,1),0)*Assumptions!$B$12</f>
        <v>0.01</v>
      </c>
      <c r="D325" s="12">
        <f>D324*(1-Assumptions!$B$12*(Assumptions!$B$5+Assumptions!$B$6))</f>
        <v>0.909269028311539</v>
      </c>
      <c r="E325" s="12">
        <f>E324+Assumptions!$B$12*(D324*Assumptions!$B$5-E324*Assumptions!$B$7)</f>
        <v>5.5879892011624674E-2</v>
      </c>
      <c r="F325" s="12">
        <f t="shared" si="12"/>
        <v>3.485107967683633E-2</v>
      </c>
      <c r="G325" s="12">
        <f>EXP(-Assumptions!$B$8*B325)</f>
        <v>0.85342296379093396</v>
      </c>
      <c r="H325" s="12">
        <f t="shared" si="13"/>
        <v>0.77599106902493631</v>
      </c>
      <c r="I325" s="12">
        <f t="shared" si="14"/>
        <v>4.7689183056878061E-2</v>
      </c>
      <c r="J325" s="12">
        <f>G325*(D325*Assumptions!$B$6+E325*Assumptions!$B$7)</f>
        <v>1.0144369843093266E-2</v>
      </c>
    </row>
    <row r="326" spans="1:10" x14ac:dyDescent="0.2">
      <c r="A326" s="2">
        <v>318</v>
      </c>
      <c r="B326" s="14">
        <f>A326*Assumptions!$B$12</f>
        <v>3.18</v>
      </c>
      <c r="C326" s="15">
        <f>IF(A326&lt;=Assumptions!$B$13,IF(OR(A326=0,A326=Assumptions!$B$13),0.5,1),0)*Assumptions!$B$12</f>
        <v>0.01</v>
      </c>
      <c r="D326" s="12">
        <f>D325*(1-Assumptions!$B$12*(Assumptions!$B$5+Assumptions!$B$6))</f>
        <v>0.90899624760304554</v>
      </c>
      <c r="E326" s="12">
        <f>E325+Assumptions!$B$12*(D325*Assumptions!$B$5-E325*Assumptions!$B$7)</f>
        <v>5.6033805871281171E-2</v>
      </c>
      <c r="F326" s="12">
        <f t="shared" si="12"/>
        <v>3.4969946525673291E-2</v>
      </c>
      <c r="G326" s="12">
        <f>EXP(-Assumptions!$B$8*B326)</f>
        <v>0.85299635896913151</v>
      </c>
      <c r="H326" s="12">
        <f t="shared" si="13"/>
        <v>0.77537048952200094</v>
      </c>
      <c r="I326" s="12">
        <f t="shared" si="14"/>
        <v>4.7796632387385983E-2</v>
      </c>
      <c r="J326" s="12">
        <f>G326*(D326*Assumptions!$B$6+E326*Assumptions!$B$7)</f>
        <v>1.014353651458931E-2</v>
      </c>
    </row>
    <row r="327" spans="1:10" x14ac:dyDescent="0.2">
      <c r="A327" s="2">
        <v>319</v>
      </c>
      <c r="B327" s="14">
        <f>A327*Assumptions!$B$12</f>
        <v>3.19</v>
      </c>
      <c r="C327" s="15">
        <f>IF(A327&lt;=Assumptions!$B$13,IF(OR(A327=0,A327=Assumptions!$B$13),0.5,1),0)*Assumptions!$B$12</f>
        <v>0.01</v>
      </c>
      <c r="D327" s="12">
        <f>D326*(1-Assumptions!$B$12*(Assumptions!$B$5+Assumptions!$B$6))</f>
        <v>0.90872354872876471</v>
      </c>
      <c r="E327" s="12">
        <f>E326+Assumptions!$B$12*(D326*Assumptions!$B$5-E326*Assumptions!$B$7)</f>
        <v>5.6187588217866138E-2</v>
      </c>
      <c r="F327" s="12">
        <f t="shared" si="12"/>
        <v>3.5088863053369154E-2</v>
      </c>
      <c r="G327" s="12">
        <f>EXP(-Assumptions!$B$8*B327)</f>
        <v>0.85256996739642332</v>
      </c>
      <c r="H327" s="12">
        <f t="shared" si="13"/>
        <v>0.77475040631204506</v>
      </c>
      <c r="I327" s="12">
        <f t="shared" si="14"/>
        <v>4.7903850254989791E-2</v>
      </c>
      <c r="J327" s="12">
        <f>G327*(D327*Assumptions!$B$6+E327*Assumptions!$B$7)</f>
        <v>1.014269657586994E-2</v>
      </c>
    </row>
    <row r="328" spans="1:10" x14ac:dyDescent="0.2">
      <c r="A328" s="2">
        <v>320</v>
      </c>
      <c r="B328" s="14">
        <f>A328*Assumptions!$B$12</f>
        <v>3.2</v>
      </c>
      <c r="C328" s="15">
        <f>IF(A328&lt;=Assumptions!$B$13,IF(OR(A328=0,A328=Assumptions!$B$13),0.5,1),0)*Assumptions!$B$12</f>
        <v>0.01</v>
      </c>
      <c r="D328" s="12">
        <f>D327*(1-Assumptions!$B$12*(Assumptions!$B$5+Assumptions!$B$6))</f>
        <v>0.90845093166414614</v>
      </c>
      <c r="E328" s="12">
        <f>E327+Assumptions!$B$12*(D327*Assumptions!$B$5-E327*Assumptions!$B$7)</f>
        <v>5.634123913350296E-2</v>
      </c>
      <c r="F328" s="12">
        <f t="shared" ref="F328:F391" si="15">1-D328-E328</f>
        <v>3.5207829202350896E-2</v>
      </c>
      <c r="G328" s="12">
        <f>EXP(-Assumptions!$B$8*B328)</f>
        <v>0.85214378896621135</v>
      </c>
      <c r="H328" s="12">
        <f t="shared" ref="H328:H391" si="16">G328*D328</f>
        <v>0.77413081899817027</v>
      </c>
      <c r="I328" s="12">
        <f t="shared" ref="I328:I391" si="17">G328*E328</f>
        <v>4.8010836990274593E-2</v>
      </c>
      <c r="J328" s="12">
        <f>G328*(D328*Assumptions!$B$6+E328*Assumptions!$B$7)</f>
        <v>1.0141850039495432E-2</v>
      </c>
    </row>
    <row r="329" spans="1:10" x14ac:dyDescent="0.2">
      <c r="A329" s="2">
        <v>321</v>
      </c>
      <c r="B329" s="14">
        <f>A329*Assumptions!$B$12</f>
        <v>3.21</v>
      </c>
      <c r="C329" s="15">
        <f>IF(A329&lt;=Assumptions!$B$13,IF(OR(A329=0,A329=Assumptions!$B$13),0.5,1),0)*Assumptions!$B$12</f>
        <v>0.01</v>
      </c>
      <c r="D329" s="12">
        <f>D328*(1-Assumptions!$B$12*(Assumptions!$B$5+Assumptions!$B$6))</f>
        <v>0.90817839638464692</v>
      </c>
      <c r="E329" s="12">
        <f>E328+Assumptions!$B$12*(D328*Assumptions!$B$5-E328*Assumptions!$B$7)</f>
        <v>5.6494758700269036E-2</v>
      </c>
      <c r="F329" s="12">
        <f t="shared" si="15"/>
        <v>3.5326844915084039E-2</v>
      </c>
      <c r="G329" s="12">
        <f>EXP(-Assumptions!$B$8*B329)</f>
        <v>0.85171782357195103</v>
      </c>
      <c r="H329" s="12">
        <f t="shared" si="16"/>
        <v>0.77351172718379613</v>
      </c>
      <c r="I329" s="12">
        <f t="shared" si="17"/>
        <v>4.8117592923415692E-2</v>
      </c>
      <c r="J329" s="12">
        <f>G329*(D329*Assumptions!$B$6+E329*Assumptions!$B$7)</f>
        <v>1.0140996918008745E-2</v>
      </c>
    </row>
    <row r="330" spans="1:10" x14ac:dyDescent="0.2">
      <c r="A330" s="2">
        <v>322</v>
      </c>
      <c r="B330" s="14">
        <f>A330*Assumptions!$B$12</f>
        <v>3.22</v>
      </c>
      <c r="C330" s="15">
        <f>IF(A330&lt;=Assumptions!$B$13,IF(OR(A330=0,A330=Assumptions!$B$13),0.5,1),0)*Assumptions!$B$12</f>
        <v>0.01</v>
      </c>
      <c r="D330" s="12">
        <f>D329*(1-Assumptions!$B$12*(Assumptions!$B$5+Assumptions!$B$6))</f>
        <v>0.90790594286573156</v>
      </c>
      <c r="E330" s="12">
        <f>E329+Assumptions!$B$12*(D329*Assumptions!$B$5-E329*Assumptions!$B$7)</f>
        <v>5.6648147000195832E-2</v>
      </c>
      <c r="F330" s="12">
        <f t="shared" si="15"/>
        <v>3.5445910134072604E-2</v>
      </c>
      <c r="G330" s="12">
        <f>EXP(-Assumptions!$B$8*B330)</f>
        <v>0.8512920711071511</v>
      </c>
      <c r="H330" s="12">
        <f t="shared" si="16"/>
        <v>0.7728931304726594</v>
      </c>
      <c r="I330" s="12">
        <f t="shared" si="17"/>
        <v>4.822411838417906E-2</v>
      </c>
      <c r="J330" s="12">
        <f>G330*(D330*Assumptions!$B$6+E330*Assumptions!$B$7)</f>
        <v>1.0140137223935549E-2</v>
      </c>
    </row>
    <row r="331" spans="1:10" x14ac:dyDescent="0.2">
      <c r="A331" s="2">
        <v>323</v>
      </c>
      <c r="B331" s="14">
        <f>A331*Assumptions!$B$12</f>
        <v>3.23</v>
      </c>
      <c r="C331" s="15">
        <f>IF(A331&lt;=Assumptions!$B$13,IF(OR(A331=0,A331=Assumptions!$B$13),0.5,1),0)*Assumptions!$B$12</f>
        <v>0.01</v>
      </c>
      <c r="D331" s="12">
        <f>D330*(1-Assumptions!$B$12*(Assumptions!$B$5+Assumptions!$B$6))</f>
        <v>0.9076335710828719</v>
      </c>
      <c r="E331" s="12">
        <f>E330+Assumptions!$B$12*(D330*Assumptions!$B$5-E330*Assumptions!$B$7)</f>
        <v>5.6801404115268878E-2</v>
      </c>
      <c r="F331" s="12">
        <f t="shared" si="15"/>
        <v>3.5565024801859219E-2</v>
      </c>
      <c r="G331" s="12">
        <f>EXP(-Assumptions!$B$8*B331)</f>
        <v>0.85086653146537339</v>
      </c>
      <c r="H331" s="12">
        <f t="shared" si="16"/>
        <v>0.77227502846881368</v>
      </c>
      <c r="I331" s="12">
        <f t="shared" si="17"/>
        <v>4.8330413701921815E-2</v>
      </c>
      <c r="J331" s="12">
        <f>G331*(D331*Assumptions!$B$6+E331*Assumptions!$B$7)</f>
        <v>1.0139270969784227E-2</v>
      </c>
    </row>
    <row r="332" spans="1:10" x14ac:dyDescent="0.2">
      <c r="A332" s="2">
        <v>324</v>
      </c>
      <c r="B332" s="14">
        <f>A332*Assumptions!$B$12</f>
        <v>3.24</v>
      </c>
      <c r="C332" s="15">
        <f>IF(A332&lt;=Assumptions!$B$13,IF(OR(A332=0,A332=Assumptions!$B$13),0.5,1),0)*Assumptions!$B$12</f>
        <v>0.01</v>
      </c>
      <c r="D332" s="12">
        <f>D331*(1-Assumptions!$B$12*(Assumptions!$B$5+Assumptions!$B$6))</f>
        <v>0.90736128101154712</v>
      </c>
      <c r="E332" s="12">
        <f>E331+Assumptions!$B$12*(D331*Assumptions!$B$5-E331*Assumptions!$B$7)</f>
        <v>5.6954530127427815E-2</v>
      </c>
      <c r="F332" s="12">
        <f t="shared" si="15"/>
        <v>3.5684188861025069E-2</v>
      </c>
      <c r="G332" s="12">
        <f>EXP(-Assumptions!$B$8*B332)</f>
        <v>0.85044120454023298</v>
      </c>
      <c r="H332" s="12">
        <f t="shared" si="16"/>
        <v>0.77165742077662891</v>
      </c>
      <c r="I332" s="12">
        <f t="shared" si="17"/>
        <v>4.84364792055927E-2</v>
      </c>
      <c r="J332" s="12">
        <f>G332*(D332*Assumptions!$B$6+E332*Assumptions!$B$7)</f>
        <v>1.0138398168045924E-2</v>
      </c>
    </row>
    <row r="333" spans="1:10" x14ac:dyDescent="0.2">
      <c r="A333" s="2">
        <v>325</v>
      </c>
      <c r="B333" s="14">
        <f>A333*Assumptions!$B$12</f>
        <v>3.25</v>
      </c>
      <c r="C333" s="15">
        <f>IF(A333&lt;=Assumptions!$B$13,IF(OR(A333=0,A333=Assumptions!$B$13),0.5,1),0)*Assumptions!$B$12</f>
        <v>0.01</v>
      </c>
      <c r="D333" s="12">
        <f>D332*(1-Assumptions!$B$12*(Assumptions!$B$5+Assumptions!$B$6))</f>
        <v>0.9070890726272437</v>
      </c>
      <c r="E333" s="12">
        <f>E332+Assumptions!$B$12*(D332*Assumptions!$B$5-E332*Assumptions!$B$7)</f>
        <v>5.7107525118566413E-2</v>
      </c>
      <c r="F333" s="12">
        <f t="shared" si="15"/>
        <v>3.5803402254189889E-2</v>
      </c>
      <c r="G333" s="12">
        <f>EXP(-Assumptions!$B$8*B333)</f>
        <v>0.85001609022539815</v>
      </c>
      <c r="H333" s="12">
        <f t="shared" si="16"/>
        <v>0.77104030700079196</v>
      </c>
      <c r="I333" s="12">
        <f t="shared" si="17"/>
        <v>4.8542315223732542E-2</v>
      </c>
      <c r="J333" s="12">
        <f>G333*(D333*Assumptions!$B$6+E333*Assumptions!$B$7)</f>
        <v>1.0137518831194547E-2</v>
      </c>
    </row>
    <row r="334" spans="1:10" x14ac:dyDescent="0.2">
      <c r="A334" s="2">
        <v>326</v>
      </c>
      <c r="B334" s="14">
        <f>A334*Assumptions!$B$12</f>
        <v>3.2600000000000002</v>
      </c>
      <c r="C334" s="15">
        <f>IF(A334&lt;=Assumptions!$B$13,IF(OR(A334=0,A334=Assumptions!$B$13),0.5,1),0)*Assumptions!$B$12</f>
        <v>0.01</v>
      </c>
      <c r="D334" s="12">
        <f>D333*(1-Assumptions!$B$12*(Assumptions!$B$5+Assumptions!$B$6))</f>
        <v>0.90681694590545558</v>
      </c>
      <c r="E334" s="12">
        <f>E333+Assumptions!$B$12*(D333*Assumptions!$B$5-E333*Assumptions!$B$7)</f>
        <v>5.7260389170532576E-2</v>
      </c>
      <c r="F334" s="12">
        <f t="shared" si="15"/>
        <v>3.5922664924011839E-2</v>
      </c>
      <c r="G334" s="12">
        <f>EXP(-Assumptions!$B$8*B334)</f>
        <v>0.84959118841459025</v>
      </c>
      <c r="H334" s="12">
        <f t="shared" si="16"/>
        <v>0.77042368674630524</v>
      </c>
      <c r="I334" s="12">
        <f t="shared" si="17"/>
        <v>4.8647922084474708E-2</v>
      </c>
      <c r="J334" s="12">
        <f>G334*(D334*Assumptions!$B$6+E334*Assumptions!$B$7)</f>
        <v>1.0136632971686788E-2</v>
      </c>
    </row>
    <row r="335" spans="1:10" x14ac:dyDescent="0.2">
      <c r="A335" s="2">
        <v>327</v>
      </c>
      <c r="B335" s="14">
        <f>A335*Assumptions!$B$12</f>
        <v>3.27</v>
      </c>
      <c r="C335" s="15">
        <f>IF(A335&lt;=Assumptions!$B$13,IF(OR(A335=0,A335=Assumptions!$B$13),0.5,1),0)*Assumptions!$B$12</f>
        <v>0.01</v>
      </c>
      <c r="D335" s="12">
        <f>D334*(1-Assumptions!$B$12*(Assumptions!$B$5+Assumptions!$B$6))</f>
        <v>0.90654490082168393</v>
      </c>
      <c r="E335" s="12">
        <f>E334+Assumptions!$B$12*(D334*Assumptions!$B$5-E334*Assumptions!$B$7)</f>
        <v>5.7413122365128404E-2</v>
      </c>
      <c r="F335" s="12">
        <f t="shared" si="15"/>
        <v>3.6041976813187666E-2</v>
      </c>
      <c r="G335" s="12">
        <f>EXP(-Assumptions!$B$8*B335)</f>
        <v>0.84916649900158392</v>
      </c>
      <c r="H335" s="12">
        <f t="shared" si="16"/>
        <v>0.76980755961848746</v>
      </c>
      <c r="I335" s="12">
        <f t="shared" si="17"/>
        <v>4.8753300115545621E-2</v>
      </c>
      <c r="J335" s="12">
        <f>G335*(D335*Assumptions!$B$6+E335*Assumptions!$B$7)</f>
        <v>1.0135740601962158E-2</v>
      </c>
    </row>
    <row r="336" spans="1:10" x14ac:dyDescent="0.2">
      <c r="A336" s="2">
        <v>328</v>
      </c>
      <c r="B336" s="14">
        <f>A336*Assumptions!$B$12</f>
        <v>3.2800000000000002</v>
      </c>
      <c r="C336" s="15">
        <f>IF(A336&lt;=Assumptions!$B$13,IF(OR(A336=0,A336=Assumptions!$B$13),0.5,1),0)*Assumptions!$B$12</f>
        <v>0.01</v>
      </c>
      <c r="D336" s="12">
        <f>D335*(1-Assumptions!$B$12*(Assumptions!$B$5+Assumptions!$B$6))</f>
        <v>0.90627293735143744</v>
      </c>
      <c r="E336" s="12">
        <f>E335+Assumptions!$B$12*(D335*Assumptions!$B$5-E335*Assumptions!$B$7)</f>
        <v>5.7565724784110178E-2</v>
      </c>
      <c r="F336" s="12">
        <f t="shared" si="15"/>
        <v>3.6161337864452386E-2</v>
      </c>
      <c r="G336" s="12">
        <f>EXP(-Assumptions!$B$8*B336)</f>
        <v>0.84874202188020675</v>
      </c>
      <c r="H336" s="12">
        <f t="shared" si="16"/>
        <v>0.76919192522297297</v>
      </c>
      <c r="I336" s="12">
        <f t="shared" si="17"/>
        <v>4.8858449644265202E-2</v>
      </c>
      <c r="J336" s="12">
        <f>G336*(D336*Assumptions!$B$6+E336*Assumptions!$B$7)</f>
        <v>1.0134841734442989E-2</v>
      </c>
    </row>
    <row r="337" spans="1:10" x14ac:dyDescent="0.2">
      <c r="A337" s="2">
        <v>329</v>
      </c>
      <c r="B337" s="14">
        <f>A337*Assumptions!$B$12</f>
        <v>3.29</v>
      </c>
      <c r="C337" s="15">
        <f>IF(A337&lt;=Assumptions!$B$13,IF(OR(A337=0,A337=Assumptions!$B$13),0.5,1),0)*Assumptions!$B$12</f>
        <v>0.01</v>
      </c>
      <c r="D337" s="12">
        <f>D336*(1-Assumptions!$B$12*(Assumptions!$B$5+Assumptions!$B$6))</f>
        <v>0.90600105547023202</v>
      </c>
      <c r="E337" s="12">
        <f>E336+Assumptions!$B$12*(D336*Assumptions!$B$5-E336*Assumptions!$B$7)</f>
        <v>5.7718196509188413E-2</v>
      </c>
      <c r="F337" s="12">
        <f t="shared" si="15"/>
        <v>3.6280748020579567E-2</v>
      </c>
      <c r="G337" s="12">
        <f>EXP(-Assumptions!$B$8*B337)</f>
        <v>0.84831775694433942</v>
      </c>
      <c r="H337" s="12">
        <f t="shared" si="16"/>
        <v>0.76857678316571121</v>
      </c>
      <c r="I337" s="12">
        <f t="shared" si="17"/>
        <v>4.8963370997547315E-2</v>
      </c>
      <c r="J337" s="12">
        <f>G337*(D337*Assumptions!$B$6+E337*Assumptions!$B$7)</f>
        <v>1.0133936381534479E-2</v>
      </c>
    </row>
    <row r="338" spans="1:10" x14ac:dyDescent="0.2">
      <c r="A338" s="2">
        <v>330</v>
      </c>
      <c r="B338" s="14">
        <f>A338*Assumptions!$B$12</f>
        <v>3.3000000000000003</v>
      </c>
      <c r="C338" s="15">
        <f>IF(A338&lt;=Assumptions!$B$13,IF(OR(A338=0,A338=Assumptions!$B$13),0.5,1),0)*Assumptions!$B$12</f>
        <v>0.01</v>
      </c>
      <c r="D338" s="12">
        <f>D337*(1-Assumptions!$B$12*(Assumptions!$B$5+Assumptions!$B$6))</f>
        <v>0.90572925515359093</v>
      </c>
      <c r="E338" s="12">
        <f>E337+Assumptions!$B$12*(D337*Assumptions!$B$5-E337*Assumptions!$B$7)</f>
        <v>5.7870537622027866E-2</v>
      </c>
      <c r="F338" s="12">
        <f t="shared" si="15"/>
        <v>3.6400207224381205E-2</v>
      </c>
      <c r="G338" s="12">
        <f>EXP(-Assumptions!$B$8*B338)</f>
        <v>0.84789370408791576</v>
      </c>
      <c r="H338" s="12">
        <f t="shared" si="16"/>
        <v>0.76796213305296712</v>
      </c>
      <c r="I338" s="12">
        <f t="shared" si="17"/>
        <v>4.9068064501900294E-2</v>
      </c>
      <c r="J338" s="12">
        <f>G338*(D338*Assumptions!$B$6+E338*Assumptions!$B$7)</f>
        <v>1.0133024555624686E-2</v>
      </c>
    </row>
    <row r="339" spans="1:10" x14ac:dyDescent="0.2">
      <c r="A339" s="2">
        <v>331</v>
      </c>
      <c r="B339" s="14">
        <f>A339*Assumptions!$B$12</f>
        <v>3.31</v>
      </c>
      <c r="C339" s="15">
        <f>IF(A339&lt;=Assumptions!$B$13,IF(OR(A339=0,A339=Assumptions!$B$13),0.5,1),0)*Assumptions!$B$12</f>
        <v>0.01</v>
      </c>
      <c r="D339" s="12">
        <f>D338*(1-Assumptions!$B$12*(Assumptions!$B$5+Assumptions!$B$6))</f>
        <v>0.90545753637704485</v>
      </c>
      <c r="E339" s="12">
        <f>E338+Assumptions!$B$12*(D338*Assumptions!$B$5-E338*Assumptions!$B$7)</f>
        <v>5.8022748204247569E-2</v>
      </c>
      <c r="F339" s="12">
        <f t="shared" si="15"/>
        <v>3.6519715418707584E-2</v>
      </c>
      <c r="G339" s="12">
        <f>EXP(-Assumptions!$B$8*B339)</f>
        <v>0.84746986320492268</v>
      </c>
      <c r="H339" s="12">
        <f t="shared" si="16"/>
        <v>0.76734797449132053</v>
      </c>
      <c r="I339" s="12">
        <f t="shared" si="17"/>
        <v>4.917253048342736E-2</v>
      </c>
      <c r="J339" s="12">
        <f>G339*(D339*Assumptions!$B$6+E339*Assumptions!$B$7)</f>
        <v>1.0132106269084572E-2</v>
      </c>
    </row>
    <row r="340" spans="1:10" x14ac:dyDescent="0.2">
      <c r="A340" s="2">
        <v>332</v>
      </c>
      <c r="B340" s="14">
        <f>A340*Assumptions!$B$12</f>
        <v>3.3200000000000003</v>
      </c>
      <c r="C340" s="15">
        <f>IF(A340&lt;=Assumptions!$B$13,IF(OR(A340=0,A340=Assumptions!$B$13),0.5,1),0)*Assumptions!$B$12</f>
        <v>0.01</v>
      </c>
      <c r="D340" s="12">
        <f>D339*(1-Assumptions!$B$12*(Assumptions!$B$5+Assumptions!$B$6))</f>
        <v>0.90518589911613179</v>
      </c>
      <c r="E340" s="12">
        <f>E339+Assumptions!$B$12*(D339*Assumptions!$B$5-E339*Assumptions!$B$7)</f>
        <v>5.8174828337420853E-2</v>
      </c>
      <c r="F340" s="12">
        <f t="shared" si="15"/>
        <v>3.663927254644736E-2</v>
      </c>
      <c r="G340" s="12">
        <f>EXP(-Assumptions!$B$8*B340)</f>
        <v>0.84704623418939962</v>
      </c>
      <c r="H340" s="12">
        <f t="shared" si="16"/>
        <v>0.76673430708766521</v>
      </c>
      <c r="I340" s="12">
        <f t="shared" si="17"/>
        <v>4.9276769267827106E-2</v>
      </c>
      <c r="J340" s="12">
        <f>G340*(D340*Assumptions!$B$6+E340*Assumptions!$B$7)</f>
        <v>1.0131181534268006E-2</v>
      </c>
    </row>
    <row r="341" spans="1:10" x14ac:dyDescent="0.2">
      <c r="A341" s="2">
        <v>333</v>
      </c>
      <c r="B341" s="14">
        <f>A341*Assumptions!$B$12</f>
        <v>3.33</v>
      </c>
      <c r="C341" s="15">
        <f>IF(A341&lt;=Assumptions!$B$13,IF(OR(A341=0,A341=Assumptions!$B$13),0.5,1),0)*Assumptions!$B$12</f>
        <v>0.01</v>
      </c>
      <c r="D341" s="12">
        <f>D340*(1-Assumptions!$B$12*(Assumptions!$B$5+Assumptions!$B$6))</f>
        <v>0.90491434334639698</v>
      </c>
      <c r="E341" s="12">
        <f>E340+Assumptions!$B$12*(D340*Assumptions!$B$5-E340*Assumptions!$B$7)</f>
        <v>5.832677810307537E-2</v>
      </c>
      <c r="F341" s="12">
        <f t="shared" si="15"/>
        <v>3.6758878550527653E-2</v>
      </c>
      <c r="G341" s="12">
        <f>EXP(-Assumptions!$B$8*B341)</f>
        <v>0.84662281693543961</v>
      </c>
      <c r="H341" s="12">
        <f t="shared" si="16"/>
        <v>0.76612113044921015</v>
      </c>
      <c r="I341" s="12">
        <f t="shared" si="17"/>
        <v>4.938078118039399E-2</v>
      </c>
      <c r="J341" s="12">
        <f>G341*(D341*Assumptions!$B$6+E341*Assumptions!$B$7)</f>
        <v>1.0130250363511803E-2</v>
      </c>
    </row>
    <row r="342" spans="1:10" x14ac:dyDescent="0.2">
      <c r="A342" s="2">
        <v>334</v>
      </c>
      <c r="B342" s="14">
        <f>A342*Assumptions!$B$12</f>
        <v>3.34</v>
      </c>
      <c r="C342" s="15">
        <f>IF(A342&lt;=Assumptions!$B$13,IF(OR(A342=0,A342=Assumptions!$B$13),0.5,1),0)*Assumptions!$B$12</f>
        <v>0.01</v>
      </c>
      <c r="D342" s="12">
        <f>D341*(1-Assumptions!$B$12*(Assumptions!$B$5+Assumptions!$B$6))</f>
        <v>0.90464286904339308</v>
      </c>
      <c r="E342" s="12">
        <f>E341+Assumptions!$B$12*(D341*Assumptions!$B$5-E341*Assumptions!$B$7)</f>
        <v>5.8478597582693109E-2</v>
      </c>
      <c r="F342" s="12">
        <f t="shared" si="15"/>
        <v>3.6878533373913808E-2</v>
      </c>
      <c r="G342" s="12">
        <f>EXP(-Assumptions!$B$8*B342)</f>
        <v>0.84619961133718824</v>
      </c>
      <c r="H342" s="12">
        <f t="shared" si="16"/>
        <v>0.76550844418347808</v>
      </c>
      <c r="I342" s="12">
        <f t="shared" si="17"/>
        <v>4.9484566546018745E-2</v>
      </c>
      <c r="J342" s="12">
        <f>G342*(D342*Assumptions!$B$6+E342*Assumptions!$B$7)</f>
        <v>1.0129312769135718E-2</v>
      </c>
    </row>
    <row r="343" spans="1:10" x14ac:dyDescent="0.2">
      <c r="A343" s="2">
        <v>335</v>
      </c>
      <c r="B343" s="14">
        <f>A343*Assumptions!$B$12</f>
        <v>3.35</v>
      </c>
      <c r="C343" s="15">
        <f>IF(A343&lt;=Assumptions!$B$13,IF(OR(A343=0,A343=Assumptions!$B$13),0.5,1),0)*Assumptions!$B$12</f>
        <v>0.01</v>
      </c>
      <c r="D343" s="12">
        <f>D342*(1-Assumptions!$B$12*(Assumptions!$B$5+Assumptions!$B$6))</f>
        <v>0.9043714761826801</v>
      </c>
      <c r="E343" s="12">
        <f>E342+Assumptions!$B$12*(D342*Assumptions!$B$5-E342*Assumptions!$B$7)</f>
        <v>5.8630286857710441E-2</v>
      </c>
      <c r="F343" s="12">
        <f t="shared" si="15"/>
        <v>3.6998236959609458E-2</v>
      </c>
      <c r="G343" s="12">
        <f>EXP(-Assumptions!$B$8*B343)</f>
        <v>0.84577661728884412</v>
      </c>
      <c r="H343" s="12">
        <f t="shared" si="16"/>
        <v>0.76489624789830568</v>
      </c>
      <c r="I343" s="12">
        <f t="shared" si="17"/>
        <v>4.9588125689188911E-2</v>
      </c>
      <c r="J343" s="12">
        <f>G343*(D343*Assumptions!$B$6+E343*Assumptions!$B$7)</f>
        <v>1.0128368763442502E-2</v>
      </c>
    </row>
    <row r="344" spans="1:10" x14ac:dyDescent="0.2">
      <c r="A344" s="2">
        <v>336</v>
      </c>
      <c r="B344" s="14">
        <f>A344*Assumptions!$B$12</f>
        <v>3.36</v>
      </c>
      <c r="C344" s="15">
        <f>IF(A344&lt;=Assumptions!$B$13,IF(OR(A344=0,A344=Assumptions!$B$13),0.5,1),0)*Assumptions!$B$12</f>
        <v>0.01</v>
      </c>
      <c r="D344" s="12">
        <f>D343*(1-Assumptions!$B$12*(Assumptions!$B$5+Assumptions!$B$6))</f>
        <v>0.90410016473982535</v>
      </c>
      <c r="E344" s="12">
        <f>E343+Assumptions!$B$12*(D343*Assumptions!$B$5-E343*Assumptions!$B$7)</f>
        <v>5.8781846009518121E-2</v>
      </c>
      <c r="F344" s="12">
        <f t="shared" si="15"/>
        <v>3.7117989250656527E-2</v>
      </c>
      <c r="G344" s="12">
        <f>EXP(-Assumptions!$B$8*B344)</f>
        <v>0.84535383468465874</v>
      </c>
      <c r="H344" s="12">
        <f t="shared" si="16"/>
        <v>0.76428454120184308</v>
      </c>
      <c r="I344" s="12">
        <f t="shared" si="17"/>
        <v>4.9691458933989248E-2</v>
      </c>
      <c r="J344" s="12">
        <f>G344*(D344*Assumptions!$B$6+E344*Assumptions!$B$7)</f>
        <v>1.0127418358717891E-2</v>
      </c>
    </row>
    <row r="345" spans="1:10" x14ac:dyDescent="0.2">
      <c r="A345" s="2">
        <v>337</v>
      </c>
      <c r="B345" s="14">
        <f>A345*Assumptions!$B$12</f>
        <v>3.37</v>
      </c>
      <c r="C345" s="15">
        <f>IF(A345&lt;=Assumptions!$B$13,IF(OR(A345=0,A345=Assumptions!$B$13),0.5,1),0)*Assumptions!$B$12</f>
        <v>0.01</v>
      </c>
      <c r="D345" s="12">
        <f>D344*(1-Assumptions!$B$12*(Assumptions!$B$5+Assumptions!$B$6))</f>
        <v>0.90382893469040348</v>
      </c>
      <c r="E345" s="12">
        <f>E344+Assumptions!$B$12*(D344*Assumptions!$B$5-E344*Assumptions!$B$7)</f>
        <v>5.893327511946133E-2</v>
      </c>
      <c r="F345" s="12">
        <f t="shared" si="15"/>
        <v>3.7237790190135185E-2</v>
      </c>
      <c r="G345" s="12">
        <f>EXP(-Assumptions!$B$8*B345)</f>
        <v>0.84493126341893643</v>
      </c>
      <c r="H345" s="12">
        <f t="shared" si="16"/>
        <v>0.76367332370255403</v>
      </c>
      <c r="I345" s="12">
        <f t="shared" si="17"/>
        <v>4.9794566604102232E-2</v>
      </c>
      <c r="J345" s="12">
        <f>G345*(D345*Assumptions!$B$6+E345*Assumptions!$B$7)</f>
        <v>1.0126461567230653E-2</v>
      </c>
    </row>
    <row r="346" spans="1:10" x14ac:dyDescent="0.2">
      <c r="A346" s="2">
        <v>338</v>
      </c>
      <c r="B346" s="14">
        <f>A346*Assumptions!$B$12</f>
        <v>3.38</v>
      </c>
      <c r="C346" s="15">
        <f>IF(A346&lt;=Assumptions!$B$13,IF(OR(A346=0,A346=Assumptions!$B$13),0.5,1),0)*Assumptions!$B$12</f>
        <v>0.01</v>
      </c>
      <c r="D346" s="12">
        <f>D345*(1-Assumptions!$B$12*(Assumptions!$B$5+Assumptions!$B$6))</f>
        <v>0.90355778600999637</v>
      </c>
      <c r="E346" s="12">
        <f>E345+Assumptions!$B$12*(D345*Assumptions!$B$5-E345*Assumptions!$B$7)</f>
        <v>5.908457426883968E-2</v>
      </c>
      <c r="F346" s="12">
        <f t="shared" si="15"/>
        <v>3.7357639721163953E-2</v>
      </c>
      <c r="G346" s="12">
        <f>EXP(-Assumptions!$B$8*B346)</f>
        <v>0.84450890338603435</v>
      </c>
      <c r="H346" s="12">
        <f t="shared" si="16"/>
        <v>0.76306259500921514</v>
      </c>
      <c r="I346" s="12">
        <f t="shared" si="17"/>
        <v>4.9897449022808502E-2</v>
      </c>
      <c r="J346" s="12">
        <f>G346*(D346*Assumptions!$B$6+E346*Assumptions!$B$7)</f>
        <v>1.0125498401232577E-2</v>
      </c>
    </row>
    <row r="347" spans="1:10" x14ac:dyDescent="0.2">
      <c r="A347" s="2">
        <v>339</v>
      </c>
      <c r="B347" s="14">
        <f>A347*Assumptions!$B$12</f>
        <v>3.39</v>
      </c>
      <c r="C347" s="15">
        <f>IF(A347&lt;=Assumptions!$B$13,IF(OR(A347=0,A347=Assumptions!$B$13),0.5,1),0)*Assumptions!$B$12</f>
        <v>0.01</v>
      </c>
      <c r="D347" s="12">
        <f>D346*(1-Assumptions!$B$12*(Assumptions!$B$5+Assumptions!$B$6))</f>
        <v>0.90328671867419341</v>
      </c>
      <c r="E347" s="12">
        <f>E346+Assumptions!$B$12*(D346*Assumptions!$B$5-E346*Assumptions!$B$7)</f>
        <v>5.923574353890726E-2</v>
      </c>
      <c r="F347" s="12">
        <f t="shared" si="15"/>
        <v>3.7477537786899329E-2</v>
      </c>
      <c r="G347" s="12">
        <f>EXP(-Assumptions!$B$8*B347)</f>
        <v>0.84408675448036252</v>
      </c>
      <c r="H347" s="12">
        <f t="shared" si="16"/>
        <v>0.76245235473091622</v>
      </c>
      <c r="I347" s="12">
        <f t="shared" si="17"/>
        <v>5.0000106512987336E-2</v>
      </c>
      <c r="J347" s="12">
        <f>G347*(D347*Assumptions!$B$6+E347*Assumptions!$B$7)</f>
        <v>1.0124528872958529E-2</v>
      </c>
    </row>
    <row r="348" spans="1:10" x14ac:dyDescent="0.2">
      <c r="A348" s="2">
        <v>340</v>
      </c>
      <c r="B348" s="14">
        <f>A348*Assumptions!$B$12</f>
        <v>3.4</v>
      </c>
      <c r="C348" s="15">
        <f>IF(A348&lt;=Assumptions!$B$13,IF(OR(A348=0,A348=Assumptions!$B$13),0.5,1),0)*Assumptions!$B$12</f>
        <v>0.01</v>
      </c>
      <c r="D348" s="12">
        <f>D347*(1-Assumptions!$B$12*(Assumptions!$B$5+Assumptions!$B$6))</f>
        <v>0.90301573265859114</v>
      </c>
      <c r="E348" s="12">
        <f>E347+Assumptions!$B$12*(D347*Assumptions!$B$5-E347*Assumptions!$B$7)</f>
        <v>5.9386783010872642E-2</v>
      </c>
      <c r="F348" s="12">
        <f t="shared" si="15"/>
        <v>3.7597484330536217E-2</v>
      </c>
      <c r="G348" s="12">
        <f>EXP(-Assumptions!$B$8*B348)</f>
        <v>0.8436648165963837</v>
      </c>
      <c r="H348" s="12">
        <f t="shared" si="16"/>
        <v>0.76184260247705937</v>
      </c>
      <c r="I348" s="12">
        <f t="shared" si="17"/>
        <v>5.0102539397117105E-2</v>
      </c>
      <c r="J348" s="12">
        <f>G348*(D348*Assumptions!$B$6+E348*Assumptions!$B$7)</f>
        <v>1.012355299462645E-2</v>
      </c>
    </row>
    <row r="349" spans="1:10" x14ac:dyDescent="0.2">
      <c r="A349" s="2">
        <v>341</v>
      </c>
      <c r="B349" s="14">
        <f>A349*Assumptions!$B$12</f>
        <v>3.41</v>
      </c>
      <c r="C349" s="15">
        <f>IF(A349&lt;=Assumptions!$B$13,IF(OR(A349=0,A349=Assumptions!$B$13),0.5,1),0)*Assumptions!$B$12</f>
        <v>0.01</v>
      </c>
      <c r="D349" s="12">
        <f>D348*(1-Assumptions!$B$12*(Assumptions!$B$5+Assumptions!$B$6))</f>
        <v>0.90274482793879363</v>
      </c>
      <c r="E349" s="12">
        <f>E348+Assumptions!$B$12*(D348*Assumptions!$B$5-E348*Assumptions!$B$7)</f>
        <v>5.9537692765898924E-2</v>
      </c>
      <c r="F349" s="12">
        <f t="shared" si="15"/>
        <v>3.771747929530745E-2</v>
      </c>
      <c r="G349" s="12">
        <f>EXP(-Assumptions!$B$8*B349)</f>
        <v>0.84324308962861338</v>
      </c>
      <c r="H349" s="12">
        <f t="shared" si="16"/>
        <v>0.76123333785735936</v>
      </c>
      <c r="I349" s="12">
        <f t="shared" si="17"/>
        <v>5.0204747997275756E-2</v>
      </c>
      <c r="J349" s="12">
        <f>G349*(D349*Assumptions!$B$6+E349*Assumptions!$B$7)</f>
        <v>1.0122570778437381E-2</v>
      </c>
    </row>
    <row r="350" spans="1:10" x14ac:dyDescent="0.2">
      <c r="A350" s="2">
        <v>342</v>
      </c>
      <c r="B350" s="14">
        <f>A350*Assumptions!$B$12</f>
        <v>3.42</v>
      </c>
      <c r="C350" s="15">
        <f>IF(A350&lt;=Assumptions!$B$13,IF(OR(A350=0,A350=Assumptions!$B$13),0.5,1),0)*Assumptions!$B$12</f>
        <v>0.01</v>
      </c>
      <c r="D350" s="12">
        <f>D349*(1-Assumptions!$B$12*(Assumptions!$B$5+Assumptions!$B$6))</f>
        <v>0.90247400449041204</v>
      </c>
      <c r="E350" s="12">
        <f>E349+Assumptions!$B$12*(D349*Assumptions!$B$5-E349*Assumptions!$B$7)</f>
        <v>5.9688472885103733E-2</v>
      </c>
      <c r="F350" s="12">
        <f t="shared" si="15"/>
        <v>3.7837522624484227E-2</v>
      </c>
      <c r="G350" s="12">
        <f>EXP(-Assumptions!$B$8*B350)</f>
        <v>0.8428215734716199</v>
      </c>
      <c r="H350" s="12">
        <f t="shared" si="16"/>
        <v>0.76062456048184279</v>
      </c>
      <c r="I350" s="12">
        <f t="shared" si="17"/>
        <v>5.0306732635141245E-2</v>
      </c>
      <c r="J350" s="12">
        <f>G350*(D350*Assumptions!$B$6+E350*Assumptions!$B$7)</f>
        <v>1.0121582236575491E-2</v>
      </c>
    </row>
    <row r="351" spans="1:10" x14ac:dyDescent="0.2">
      <c r="A351" s="2">
        <v>343</v>
      </c>
      <c r="B351" s="14">
        <f>A351*Assumptions!$B$12</f>
        <v>3.43</v>
      </c>
      <c r="C351" s="15">
        <f>IF(A351&lt;=Assumptions!$B$13,IF(OR(A351=0,A351=Assumptions!$B$13),0.5,1),0)*Assumptions!$B$12</f>
        <v>0.01</v>
      </c>
      <c r="D351" s="12">
        <f>D350*(1-Assumptions!$B$12*(Assumptions!$B$5+Assumptions!$B$6))</f>
        <v>0.902203262289065</v>
      </c>
      <c r="E351" s="12">
        <f>E350+Assumptions!$B$12*(D350*Assumptions!$B$5-E350*Assumptions!$B$7)</f>
        <v>5.9839123449559266E-2</v>
      </c>
      <c r="F351" s="12">
        <f t="shared" si="15"/>
        <v>3.7957614261375734E-2</v>
      </c>
      <c r="G351" s="12">
        <f>EXP(-Assumptions!$B$8*B351)</f>
        <v>0.84240026802002421</v>
      </c>
      <c r="H351" s="12">
        <f t="shared" si="16"/>
        <v>0.76001626996084859</v>
      </c>
      <c r="I351" s="12">
        <f t="shared" si="17"/>
        <v>5.0408493631992041E-2</v>
      </c>
      <c r="J351" s="12">
        <f>G351*(D351*Assumptions!$B$6+E351*Assumptions!$B$7)</f>
        <v>1.0120587381208088E-2</v>
      </c>
    </row>
    <row r="352" spans="1:10" x14ac:dyDescent="0.2">
      <c r="A352" s="2">
        <v>344</v>
      </c>
      <c r="B352" s="14">
        <f>A352*Assumptions!$B$12</f>
        <v>3.44</v>
      </c>
      <c r="C352" s="15">
        <f>IF(A352&lt;=Assumptions!$B$13,IF(OR(A352=0,A352=Assumptions!$B$13),0.5,1),0)*Assumptions!$B$12</f>
        <v>0.01</v>
      </c>
      <c r="D352" s="12">
        <f>D351*(1-Assumptions!$B$12*(Assumptions!$B$5+Assumptions!$B$6))</f>
        <v>0.90193260131037833</v>
      </c>
      <c r="E352" s="12">
        <f>E351+Assumptions!$B$12*(D351*Assumptions!$B$5-E351*Assumptions!$B$7)</f>
        <v>5.9989644540292299E-2</v>
      </c>
      <c r="F352" s="12">
        <f t="shared" si="15"/>
        <v>3.8077754149329367E-2</v>
      </c>
      <c r="G352" s="12">
        <f>EXP(-Assumptions!$B$8*B352)</f>
        <v>0.84197917316849991</v>
      </c>
      <c r="H352" s="12">
        <f t="shared" si="16"/>
        <v>0.75940846590502664</v>
      </c>
      <c r="I352" s="12">
        <f t="shared" si="17"/>
        <v>5.0510031308707522E-2</v>
      </c>
      <c r="J352" s="12">
        <f>G352*(D352*Assumptions!$B$6+E352*Assumptions!$B$7)</f>
        <v>1.0119586224485642E-2</v>
      </c>
    </row>
    <row r="353" spans="1:10" x14ac:dyDescent="0.2">
      <c r="A353" s="2">
        <v>345</v>
      </c>
      <c r="B353" s="14">
        <f>A353*Assumptions!$B$12</f>
        <v>3.45</v>
      </c>
      <c r="C353" s="15">
        <f>IF(A353&lt;=Assumptions!$B$13,IF(OR(A353=0,A353=Assumptions!$B$13),0.5,1),0)*Assumptions!$B$12</f>
        <v>0.01</v>
      </c>
      <c r="D353" s="12">
        <f>D352*(1-Assumptions!$B$12*(Assumptions!$B$5+Assumptions!$B$6))</f>
        <v>0.9016620215299852</v>
      </c>
      <c r="E353" s="12">
        <f>E352+Assumptions!$B$12*(D352*Assumptions!$B$5-E352*Assumptions!$B$7)</f>
        <v>6.0140036238284227E-2</v>
      </c>
      <c r="F353" s="12">
        <f t="shared" si="15"/>
        <v>3.8197942231730571E-2</v>
      </c>
      <c r="G353" s="12">
        <f>EXP(-Assumptions!$B$8*B353)</f>
        <v>0.84155828881177319</v>
      </c>
      <c r="H353" s="12">
        <f t="shared" si="16"/>
        <v>0.75880114792533859</v>
      </c>
      <c r="I353" s="12">
        <f t="shared" si="17"/>
        <v>5.0611345985768504E-2</v>
      </c>
      <c r="J353" s="12">
        <f>G353*(D353*Assumptions!$B$6+E353*Assumptions!$B$7)</f>
        <v>1.011857877854181E-2</v>
      </c>
    </row>
    <row r="354" spans="1:10" x14ac:dyDescent="0.2">
      <c r="A354" s="2">
        <v>346</v>
      </c>
      <c r="B354" s="14">
        <f>A354*Assumptions!$B$12</f>
        <v>3.46</v>
      </c>
      <c r="C354" s="15">
        <f>IF(A354&lt;=Assumptions!$B$13,IF(OR(A354=0,A354=Assumptions!$B$13),0.5,1),0)*Assumptions!$B$12</f>
        <v>0.01</v>
      </c>
      <c r="D354" s="12">
        <f>D353*(1-Assumptions!$B$12*(Assumptions!$B$5+Assumptions!$B$6))</f>
        <v>0.9013915229235262</v>
      </c>
      <c r="E354" s="12">
        <f>E353+Assumptions!$B$12*(D353*Assumptions!$B$5-E353*Assumptions!$B$7)</f>
        <v>6.0290298624471078E-2</v>
      </c>
      <c r="F354" s="12">
        <f t="shared" si="15"/>
        <v>3.8318178452002721E-2</v>
      </c>
      <c r="G354" s="12">
        <f>EXP(-Assumptions!$B$8*B354)</f>
        <v>0.84113761484462324</v>
      </c>
      <c r="H354" s="12">
        <f t="shared" si="16"/>
        <v>0.75819431563305739</v>
      </c>
      <c r="I354" s="12">
        <f t="shared" si="17"/>
        <v>5.0712437983257669E-2</v>
      </c>
      <c r="J354" s="12">
        <f>G354*(D354*Assumptions!$B$6+E354*Assumptions!$B$7)</f>
        <v>1.0117565055493457E-2</v>
      </c>
    </row>
    <row r="355" spans="1:10" x14ac:dyDescent="0.2">
      <c r="A355" s="2">
        <v>347</v>
      </c>
      <c r="B355" s="14">
        <f>A355*Assumptions!$B$12</f>
        <v>3.47</v>
      </c>
      <c r="C355" s="15">
        <f>IF(A355&lt;=Assumptions!$B$13,IF(OR(A355=0,A355=Assumptions!$B$13),0.5,1),0)*Assumptions!$B$12</f>
        <v>0.01</v>
      </c>
      <c r="D355" s="12">
        <f>D354*(1-Assumptions!$B$12*(Assumptions!$B$5+Assumptions!$B$6))</f>
        <v>0.90112110546664914</v>
      </c>
      <c r="E355" s="12">
        <f>E354+Assumptions!$B$12*(D354*Assumptions!$B$5-E354*Assumptions!$B$7)</f>
        <v>6.044043177974355E-2</v>
      </c>
      <c r="F355" s="12">
        <f t="shared" si="15"/>
        <v>3.8438462753607308E-2</v>
      </c>
      <c r="G355" s="12">
        <f>EXP(-Assumptions!$B$8*B355)</f>
        <v>0.84071715116188117</v>
      </c>
      <c r="H355" s="12">
        <f t="shared" si="16"/>
        <v>0.7575879686397663</v>
      </c>
      <c r="I355" s="12">
        <f t="shared" si="17"/>
        <v>5.0813307620860025E-2</v>
      </c>
      <c r="J355" s="12">
        <f>G355*(D355*Assumptions!$B$6+E355*Assumptions!$B$7)</f>
        <v>1.0116545067440665E-2</v>
      </c>
    </row>
    <row r="356" spans="1:10" x14ac:dyDescent="0.2">
      <c r="A356" s="2">
        <v>348</v>
      </c>
      <c r="B356" s="14">
        <f>A356*Assumptions!$B$12</f>
        <v>3.48</v>
      </c>
      <c r="C356" s="15">
        <f>IF(A356&lt;=Assumptions!$B$13,IF(OR(A356=0,A356=Assumptions!$B$13),0.5,1),0)*Assumptions!$B$12</f>
        <v>0.01</v>
      </c>
      <c r="D356" s="12">
        <f>D355*(1-Assumptions!$B$12*(Assumptions!$B$5+Assumptions!$B$6))</f>
        <v>0.90085076913500917</v>
      </c>
      <c r="E356" s="12">
        <f>E355+Assumptions!$B$12*(D355*Assumptions!$B$5-E355*Assumptions!$B$7)</f>
        <v>6.0590435784947008E-2</v>
      </c>
      <c r="F356" s="12">
        <f t="shared" si="15"/>
        <v>3.8558795080043826E-2</v>
      </c>
      <c r="G356" s="12">
        <f>EXP(-Assumptions!$B$8*B356)</f>
        <v>0.84029689765843141</v>
      </c>
      <c r="H356" s="12">
        <f t="shared" si="16"/>
        <v>0.75698210655735998</v>
      </c>
      <c r="I356" s="12">
        <f t="shared" si="17"/>
        <v>5.0913955217863377E-2</v>
      </c>
      <c r="J356" s="12">
        <f>G356*(D356*Assumptions!$B$6+E356*Assumptions!$B$7)</f>
        <v>1.0115518826466769E-2</v>
      </c>
    </row>
    <row r="357" spans="1:10" x14ac:dyDescent="0.2">
      <c r="A357" s="2">
        <v>349</v>
      </c>
      <c r="B357" s="14">
        <f>A357*Assumptions!$B$12</f>
        <v>3.49</v>
      </c>
      <c r="C357" s="15">
        <f>IF(A357&lt;=Assumptions!$B$13,IF(OR(A357=0,A357=Assumptions!$B$13),0.5,1),0)*Assumptions!$B$12</f>
        <v>0.01</v>
      </c>
      <c r="D357" s="12">
        <f>D356*(1-Assumptions!$B$12*(Assumptions!$B$5+Assumptions!$B$6))</f>
        <v>0.90058051390426874</v>
      </c>
      <c r="E357" s="12">
        <f>E356+Assumptions!$B$12*(D356*Assumptions!$B$5-E356*Assumptions!$B$7)</f>
        <v>6.0740310720881534E-2</v>
      </c>
      <c r="F357" s="12">
        <f t="shared" si="15"/>
        <v>3.8679175374849724E-2</v>
      </c>
      <c r="G357" s="12">
        <f>EXP(-Assumptions!$B$8*B357)</f>
        <v>0.83987685422921043</v>
      </c>
      <c r="H357" s="12">
        <f t="shared" si="16"/>
        <v>0.75637672899804298</v>
      </c>
      <c r="I357" s="12">
        <f t="shared" si="17"/>
        <v>5.101438109315877E-2</v>
      </c>
      <c r="J357" s="12">
        <f>G357*(D357*Assumptions!$B$6+E357*Assumptions!$B$7)</f>
        <v>1.0114486344638367E-2</v>
      </c>
    </row>
    <row r="358" spans="1:10" x14ac:dyDescent="0.2">
      <c r="A358" s="2">
        <v>350</v>
      </c>
      <c r="B358" s="14">
        <f>A358*Assumptions!$B$12</f>
        <v>3.5</v>
      </c>
      <c r="C358" s="15">
        <f>IF(A358&lt;=Assumptions!$B$13,IF(OR(A358=0,A358=Assumptions!$B$13),0.5,1),0)*Assumptions!$B$12</f>
        <v>0.01</v>
      </c>
      <c r="D358" s="12">
        <f>D357*(1-Assumptions!$B$12*(Assumptions!$B$5+Assumptions!$B$6))</f>
        <v>0.90031033975009744</v>
      </c>
      <c r="E358" s="12">
        <f>E357+Assumptions!$B$12*(D357*Assumptions!$B$5-E357*Assumptions!$B$7)</f>
        <v>6.0890056668301946E-2</v>
      </c>
      <c r="F358" s="12">
        <f t="shared" si="15"/>
        <v>3.879960358160061E-2</v>
      </c>
      <c r="G358" s="12">
        <f>EXP(-Assumptions!$B$8*B358)</f>
        <v>0.83945702076920736</v>
      </c>
      <c r="H358" s="12">
        <f t="shared" si="16"/>
        <v>0.7557718355743297</v>
      </c>
      <c r="I358" s="12">
        <f t="shared" si="17"/>
        <v>5.1114585565240962E-2</v>
      </c>
      <c r="J358" s="12">
        <f>G358*(D358*Assumptions!$B$6+E358*Assumptions!$B$7)</f>
        <v>1.0113447634005346E-2</v>
      </c>
    </row>
    <row r="359" spans="1:10" x14ac:dyDescent="0.2">
      <c r="A359" s="2">
        <v>351</v>
      </c>
      <c r="B359" s="14">
        <f>A359*Assumptions!$B$12</f>
        <v>3.5100000000000002</v>
      </c>
      <c r="C359" s="15">
        <f>IF(A359&lt;=Assumptions!$B$13,IF(OR(A359=0,A359=Assumptions!$B$13),0.5,1),0)*Assumptions!$B$12</f>
        <v>0.01</v>
      </c>
      <c r="D359" s="12">
        <f>D358*(1-Assumptions!$B$12*(Assumptions!$B$5+Assumptions!$B$6))</f>
        <v>0.90004024664817239</v>
      </c>
      <c r="E359" s="12">
        <f>E358+Assumptions!$B$12*(D358*Assumptions!$B$5-E358*Assumptions!$B$7)</f>
        <v>6.1039673707917817E-2</v>
      </c>
      <c r="F359" s="12">
        <f t="shared" si="15"/>
        <v>3.892007964390979E-2</v>
      </c>
      <c r="G359" s="12">
        <f>EXP(-Assumptions!$B$8*B359)</f>
        <v>0.83903739717346382</v>
      </c>
      <c r="H359" s="12">
        <f t="shared" si="16"/>
        <v>0.75516742589904495</v>
      </c>
      <c r="I359" s="12">
        <f t="shared" si="17"/>
        <v>5.1214568952208876E-2</v>
      </c>
      <c r="J359" s="12">
        <f>G359*(D359*Assumptions!$B$6+E359*Assumptions!$B$7)</f>
        <v>1.0112402706600894E-2</v>
      </c>
    </row>
    <row r="360" spans="1:10" x14ac:dyDescent="0.2">
      <c r="A360" s="2">
        <v>352</v>
      </c>
      <c r="B360" s="14">
        <f>A360*Assumptions!$B$12</f>
        <v>3.52</v>
      </c>
      <c r="C360" s="15">
        <f>IF(A360&lt;=Assumptions!$B$13,IF(OR(A360=0,A360=Assumptions!$B$13),0.5,1),0)*Assumptions!$B$12</f>
        <v>0.01</v>
      </c>
      <c r="D360" s="12">
        <f>D359*(1-Assumptions!$B$12*(Assumptions!$B$5+Assumptions!$B$6))</f>
        <v>0.89977023457417793</v>
      </c>
      <c r="E360" s="12">
        <f>E359+Assumptions!$B$12*(D359*Assumptions!$B$5-E359*Assumptions!$B$7)</f>
        <v>6.1189161920393489E-2</v>
      </c>
      <c r="F360" s="12">
        <f t="shared" si="15"/>
        <v>3.9040603505428581E-2</v>
      </c>
      <c r="G360" s="12">
        <f>EXP(-Assumptions!$B$8*B360)</f>
        <v>0.83861798333707394</v>
      </c>
      <c r="H360" s="12">
        <f t="shared" si="16"/>
        <v>0.75456349958532309</v>
      </c>
      <c r="I360" s="12">
        <f t="shared" si="17"/>
        <v>5.131433157176607E-2</v>
      </c>
      <c r="J360" s="12">
        <f>G360*(D360*Assumptions!$B$6+E360*Assumptions!$B$7)</f>
        <v>1.0111351574441534E-2</v>
      </c>
    </row>
    <row r="361" spans="1:10" x14ac:dyDescent="0.2">
      <c r="A361" s="2">
        <v>353</v>
      </c>
      <c r="B361" s="14">
        <f>A361*Assumptions!$B$12</f>
        <v>3.5300000000000002</v>
      </c>
      <c r="C361" s="15">
        <f>IF(A361&lt;=Assumptions!$B$13,IF(OR(A361=0,A361=Assumptions!$B$13),0.5,1),0)*Assumptions!$B$12</f>
        <v>0.01</v>
      </c>
      <c r="D361" s="12">
        <f>D360*(1-Assumptions!$B$12*(Assumptions!$B$5+Assumptions!$B$6))</f>
        <v>0.89950030350380572</v>
      </c>
      <c r="E361" s="12">
        <f>E360+Assumptions!$B$12*(D360*Assumptions!$B$5-E360*Assumptions!$B$7)</f>
        <v>6.1338521386348127E-2</v>
      </c>
      <c r="F361" s="12">
        <f t="shared" si="15"/>
        <v>3.9161175109846152E-2</v>
      </c>
      <c r="G361" s="12">
        <f>EXP(-Assumptions!$B$8*B361)</f>
        <v>0.83819877915518437</v>
      </c>
      <c r="H361" s="12">
        <f t="shared" si="16"/>
        <v>0.75396005624660778</v>
      </c>
      <c r="I361" s="12">
        <f t="shared" si="17"/>
        <v>5.1413873741221167E-2</v>
      </c>
      <c r="J361" s="12">
        <f>G361*(D361*Assumptions!$B$6+E361*Assumptions!$B$7)</f>
        <v>1.0110294249527137E-2</v>
      </c>
    </row>
    <row r="362" spans="1:10" x14ac:dyDescent="0.2">
      <c r="A362" s="2">
        <v>354</v>
      </c>
      <c r="B362" s="14">
        <f>A362*Assumptions!$B$12</f>
        <v>3.54</v>
      </c>
      <c r="C362" s="15">
        <f>IF(A362&lt;=Assumptions!$B$13,IF(OR(A362=0,A362=Assumptions!$B$13),0.5,1),0)*Assumptions!$B$12</f>
        <v>0.01</v>
      </c>
      <c r="D362" s="12">
        <f>D361*(1-Assumptions!$B$12*(Assumptions!$B$5+Assumptions!$B$6))</f>
        <v>0.89923045341275465</v>
      </c>
      <c r="E362" s="12">
        <f>E361+Assumptions!$B$12*(D361*Assumptions!$B$5-E361*Assumptions!$B$7)</f>
        <v>6.1487752186355715E-2</v>
      </c>
      <c r="F362" s="12">
        <f t="shared" si="15"/>
        <v>3.9281794400889636E-2</v>
      </c>
      <c r="G362" s="12">
        <f>EXP(-Assumptions!$B$8*B362)</f>
        <v>0.83777978452299384</v>
      </c>
      <c r="H362" s="12">
        <f t="shared" si="16"/>
        <v>0.75335709549665164</v>
      </c>
      <c r="I362" s="12">
        <f t="shared" si="17"/>
        <v>5.1513195777488335E-2</v>
      </c>
      <c r="J362" s="12">
        <f>G362*(D362*Assumptions!$B$6+E362*Assumptions!$B$7)</f>
        <v>1.0109230743840934E-2</v>
      </c>
    </row>
    <row r="363" spans="1:10" x14ac:dyDescent="0.2">
      <c r="A363" s="2">
        <v>355</v>
      </c>
      <c r="B363" s="14">
        <f>A363*Assumptions!$B$12</f>
        <v>3.5500000000000003</v>
      </c>
      <c r="C363" s="15">
        <f>IF(A363&lt;=Assumptions!$B$13,IF(OR(A363=0,A363=Assumptions!$B$13),0.5,1),0)*Assumptions!$B$12</f>
        <v>0.01</v>
      </c>
      <c r="D363" s="12">
        <f>D362*(1-Assumptions!$B$12*(Assumptions!$B$5+Assumptions!$B$6))</f>
        <v>0.89896068427673081</v>
      </c>
      <c r="E363" s="12">
        <f>E362+Assumptions!$B$12*(D362*Assumptions!$B$5-E362*Assumptions!$B$7)</f>
        <v>6.1636854400945087E-2</v>
      </c>
      <c r="F363" s="12">
        <f t="shared" si="15"/>
        <v>3.9402461322324098E-2</v>
      </c>
      <c r="G363" s="12">
        <f>EXP(-Assumptions!$B$8*B363)</f>
        <v>0.83736099933575381</v>
      </c>
      <c r="H363" s="12">
        <f t="shared" si="16"/>
        <v>0.7527546169495164</v>
      </c>
      <c r="I363" s="12">
        <f t="shared" si="17"/>
        <v>5.1612297997087733E-2</v>
      </c>
      <c r="J363" s="12">
        <f>G363*(D363*Assumptions!$B$6+E363*Assumptions!$B$7)</f>
        <v>1.010816106934955E-2</v>
      </c>
    </row>
    <row r="364" spans="1:10" x14ac:dyDescent="0.2">
      <c r="A364" s="2">
        <v>356</v>
      </c>
      <c r="B364" s="14">
        <f>A364*Assumptions!$B$12</f>
        <v>3.56</v>
      </c>
      <c r="C364" s="15">
        <f>IF(A364&lt;=Assumptions!$B$13,IF(OR(A364=0,A364=Assumptions!$B$13),0.5,1),0)*Assumptions!$B$12</f>
        <v>0.01</v>
      </c>
      <c r="D364" s="12">
        <f>D363*(1-Assumptions!$B$12*(Assumptions!$B$5+Assumptions!$B$6))</f>
        <v>0.89869099607144787</v>
      </c>
      <c r="E364" s="12">
        <f>E363+Assumptions!$B$12*(D363*Assumptions!$B$5-E363*Assumptions!$B$7)</f>
        <v>6.1785828110599961E-2</v>
      </c>
      <c r="F364" s="12">
        <f t="shared" si="15"/>
        <v>3.9523175817952172E-2</v>
      </c>
      <c r="G364" s="12">
        <f>EXP(-Assumptions!$B$8*B364)</f>
        <v>0.83694242348876802</v>
      </c>
      <c r="H364" s="12">
        <f t="shared" si="16"/>
        <v>0.75215262021957252</v>
      </c>
      <c r="I364" s="12">
        <f t="shared" si="17"/>
        <v>5.1711180716145978E-2</v>
      </c>
      <c r="J364" s="12">
        <f>G364*(D364*Assumptions!$B$6+E364*Assumptions!$B$7)</f>
        <v>1.0107085238003024E-2</v>
      </c>
    </row>
    <row r="365" spans="1:10" x14ac:dyDescent="0.2">
      <c r="A365" s="2">
        <v>357</v>
      </c>
      <c r="B365" s="14">
        <f>A365*Assumptions!$B$12</f>
        <v>3.5700000000000003</v>
      </c>
      <c r="C365" s="15">
        <f>IF(A365&lt;=Assumptions!$B$13,IF(OR(A365=0,A365=Assumptions!$B$13),0.5,1),0)*Assumptions!$B$12</f>
        <v>0.01</v>
      </c>
      <c r="D365" s="12">
        <f>D364*(1-Assumptions!$B$12*(Assumptions!$B$5+Assumptions!$B$6))</f>
        <v>0.89842138877262645</v>
      </c>
      <c r="E365" s="12">
        <f>E364+Assumptions!$B$12*(D364*Assumptions!$B$5-E364*Assumptions!$B$7)</f>
        <v>6.1934673395758949E-2</v>
      </c>
      <c r="F365" s="12">
        <f t="shared" si="15"/>
        <v>3.9643937831614601E-2</v>
      </c>
      <c r="G365" s="12">
        <f>EXP(-Assumptions!$B$8*B365)</f>
        <v>0.83652405687739251</v>
      </c>
      <c r="H365" s="12">
        <f t="shared" si="16"/>
        <v>0.75155110492149857</v>
      </c>
      <c r="I365" s="12">
        <f t="shared" si="17"/>
        <v>5.1809844250396586E-2</v>
      </c>
      <c r="J365" s="12">
        <f>G365*(D365*Assumptions!$B$6+E365*Assumptions!$B$7)</f>
        <v>1.0106003261734817E-2</v>
      </c>
    </row>
    <row r="366" spans="1:10" x14ac:dyDescent="0.2">
      <c r="A366" s="2">
        <v>358</v>
      </c>
      <c r="B366" s="14">
        <f>A366*Assumptions!$B$12</f>
        <v>3.58</v>
      </c>
      <c r="C366" s="15">
        <f>IF(A366&lt;=Assumptions!$B$13,IF(OR(A366=0,A366=Assumptions!$B$13),0.5,1),0)*Assumptions!$B$12</f>
        <v>0.01</v>
      </c>
      <c r="D366" s="12">
        <f>D365*(1-Assumptions!$B$12*(Assumptions!$B$5+Assumptions!$B$6))</f>
        <v>0.89815186235599465</v>
      </c>
      <c r="E366" s="12">
        <f>E365+Assumptions!$B$12*(D365*Assumptions!$B$5-E365*Assumptions!$B$7)</f>
        <v>6.2083390336815591E-2</v>
      </c>
      <c r="F366" s="12">
        <f t="shared" si="15"/>
        <v>3.9764747307189763E-2</v>
      </c>
      <c r="G366" s="12">
        <f>EXP(-Assumptions!$B$8*B366)</f>
        <v>0.8361058993970355</v>
      </c>
      <c r="H366" s="12">
        <f t="shared" si="16"/>
        <v>0.7509500706702813</v>
      </c>
      <c r="I366" s="12">
        <f t="shared" si="17"/>
        <v>5.1908288915180421E-2</v>
      </c>
      <c r="J366" s="12">
        <f>G366*(D366*Assumptions!$B$6+E366*Assumptions!$B$7)</f>
        <v>1.0104915152461836E-2</v>
      </c>
    </row>
    <row r="367" spans="1:10" x14ac:dyDescent="0.2">
      <c r="A367" s="2">
        <v>359</v>
      </c>
      <c r="B367" s="14">
        <f>A367*Assumptions!$B$12</f>
        <v>3.59</v>
      </c>
      <c r="C367" s="15">
        <f>IF(A367&lt;=Assumptions!$B$13,IF(OR(A367=0,A367=Assumptions!$B$13),0.5,1),0)*Assumptions!$B$12</f>
        <v>0.01</v>
      </c>
      <c r="D367" s="12">
        <f>D366*(1-Assumptions!$B$12*(Assumptions!$B$5+Assumptions!$B$6))</f>
        <v>0.89788241679728786</v>
      </c>
      <c r="E367" s="12">
        <f>E366+Assumptions!$B$12*(D366*Assumptions!$B$5-E366*Assumptions!$B$7)</f>
        <v>6.223197901411838E-2</v>
      </c>
      <c r="F367" s="12">
        <f t="shared" si="15"/>
        <v>3.9885604188593757E-2</v>
      </c>
      <c r="G367" s="12">
        <f>EXP(-Assumptions!$B$8*B367)</f>
        <v>0.83568795094315773</v>
      </c>
      <c r="H367" s="12">
        <f t="shared" si="16"/>
        <v>0.75034951708121578</v>
      </c>
      <c r="I367" s="12">
        <f t="shared" si="17"/>
        <v>5.2006515025446183E-2</v>
      </c>
      <c r="J367" s="12">
        <f>G367*(D367*Assumptions!$B$6+E367*Assumptions!$B$7)</f>
        <v>1.0103820922084467E-2</v>
      </c>
    </row>
    <row r="368" spans="1:10" x14ac:dyDescent="0.2">
      <c r="A368" s="2">
        <v>360</v>
      </c>
      <c r="B368" s="14">
        <f>A368*Assumptions!$B$12</f>
        <v>3.6</v>
      </c>
      <c r="C368" s="15">
        <f>IF(A368&lt;=Assumptions!$B$13,IF(OR(A368=0,A368=Assumptions!$B$13),0.5,1),0)*Assumptions!$B$12</f>
        <v>0.01</v>
      </c>
      <c r="D368" s="12">
        <f>D367*(1-Assumptions!$B$12*(Assumptions!$B$5+Assumptions!$B$6))</f>
        <v>0.89761305207224873</v>
      </c>
      <c r="E368" s="12">
        <f>E367+Assumptions!$B$12*(D367*Assumptions!$B$5-E367*Assumptions!$B$7)</f>
        <v>6.2380439507970779E-2</v>
      </c>
      <c r="F368" s="12">
        <f t="shared" si="15"/>
        <v>4.0006508419780491E-2</v>
      </c>
      <c r="G368" s="12">
        <f>EXP(-Assumptions!$B$8*B368)</f>
        <v>0.835270211411272</v>
      </c>
      <c r="H368" s="12">
        <f t="shared" si="16"/>
        <v>0.74974944376990427</v>
      </c>
      <c r="I368" s="12">
        <f t="shared" si="17"/>
        <v>5.2104522895750814E-2</v>
      </c>
      <c r="J368" s="12">
        <f>G368*(D368*Assumptions!$B$6+E368*Assumptions!$B$7)</f>
        <v>1.0102720582486586E-2</v>
      </c>
    </row>
    <row r="369" spans="1:10" x14ac:dyDescent="0.2">
      <c r="A369" s="2">
        <v>361</v>
      </c>
      <c r="B369" s="14">
        <f>A369*Assumptions!$B$12</f>
        <v>3.61</v>
      </c>
      <c r="C369" s="15">
        <f>IF(A369&lt;=Assumptions!$B$13,IF(OR(A369=0,A369=Assumptions!$B$13),0.5,1),0)*Assumptions!$B$12</f>
        <v>0.01</v>
      </c>
      <c r="D369" s="12">
        <f>D368*(1-Assumptions!$B$12*(Assumptions!$B$5+Assumptions!$B$6))</f>
        <v>0.89734376815662709</v>
      </c>
      <c r="E369" s="12">
        <f>E368+Assumptions!$B$12*(D368*Assumptions!$B$5-E368*Assumptions!$B$7)</f>
        <v>6.252877189863125E-2</v>
      </c>
      <c r="F369" s="12">
        <f t="shared" si="15"/>
        <v>4.0127459944741664E-2</v>
      </c>
      <c r="G369" s="12">
        <f>EXP(-Assumptions!$B$8*B369)</f>
        <v>0.83485268069694352</v>
      </c>
      <c r="H369" s="12">
        <f t="shared" si="16"/>
        <v>0.74914985035225667</v>
      </c>
      <c r="I369" s="12">
        <f t="shared" si="17"/>
        <v>5.2202312840260008E-2</v>
      </c>
      <c r="J369" s="12">
        <f>G369*(D369*Assumptions!$B$6+E369*Assumptions!$B$7)</f>
        <v>1.0101614145535568E-2</v>
      </c>
    </row>
    <row r="370" spans="1:10" x14ac:dyDescent="0.2">
      <c r="A370" s="2">
        <v>362</v>
      </c>
      <c r="B370" s="14">
        <f>A370*Assumptions!$B$12</f>
        <v>3.62</v>
      </c>
      <c r="C370" s="15">
        <f>IF(A370&lt;=Assumptions!$B$13,IF(OR(A370=0,A370=Assumptions!$B$13),0.5,1),0)*Assumptions!$B$12</f>
        <v>0.01</v>
      </c>
      <c r="D370" s="12">
        <f>D369*(1-Assumptions!$B$12*(Assumptions!$B$5+Assumptions!$B$6))</f>
        <v>0.8970745650261801</v>
      </c>
      <c r="E370" s="12">
        <f>E369+Assumptions!$B$12*(D369*Assumptions!$B$5-E369*Assumptions!$B$7)</f>
        <v>6.2676976266313258E-2</v>
      </c>
      <c r="F370" s="12">
        <f t="shared" si="15"/>
        <v>4.0248458707506637E-2</v>
      </c>
      <c r="G370" s="12">
        <f>EXP(-Assumptions!$B$8*B370)</f>
        <v>0.83443535869578955</v>
      </c>
      <c r="H370" s="12">
        <f t="shared" si="16"/>
        <v>0.74855073644448999</v>
      </c>
      <c r="I370" s="12">
        <f t="shared" si="17"/>
        <v>5.2299885172748591E-2</v>
      </c>
      <c r="J370" s="12">
        <f>G370*(D370*Assumptions!$B$6+E370*Assumptions!$B$7)</f>
        <v>1.010050162308233E-2</v>
      </c>
    </row>
    <row r="371" spans="1:10" x14ac:dyDescent="0.2">
      <c r="A371" s="2">
        <v>363</v>
      </c>
      <c r="B371" s="14">
        <f>A371*Assumptions!$B$12</f>
        <v>3.63</v>
      </c>
      <c r="C371" s="15">
        <f>IF(A371&lt;=Assumptions!$B$13,IF(OR(A371=0,A371=Assumptions!$B$13),0.5,1),0)*Assumptions!$B$12</f>
        <v>0.01</v>
      </c>
      <c r="D371" s="12">
        <f>D370*(1-Assumptions!$B$12*(Assumptions!$B$5+Assumptions!$B$6))</f>
        <v>0.89680544265667228</v>
      </c>
      <c r="E371" s="12">
        <f>E370+Assumptions!$B$12*(D370*Assumptions!$B$5-E370*Assumptions!$B$7)</f>
        <v>6.2825052691185337E-2</v>
      </c>
      <c r="F371" s="12">
        <f t="shared" si="15"/>
        <v>4.0369504652142382E-2</v>
      </c>
      <c r="G371" s="12">
        <f>EXP(-Assumptions!$B$8*B371)</f>
        <v>0.83401824530347957</v>
      </c>
      <c r="H371" s="12">
        <f t="shared" si="16"/>
        <v>0.74795210166312809</v>
      </c>
      <c r="I371" s="12">
        <f t="shared" si="17"/>
        <v>5.239724020660104E-2</v>
      </c>
      <c r="J371" s="12">
        <f>G371*(D371*Assumptions!$B$6+E371*Assumptions!$B$7)</f>
        <v>1.0099383026961332E-2</v>
      </c>
    </row>
    <row r="372" spans="1:10" x14ac:dyDescent="0.2">
      <c r="A372" s="2">
        <v>364</v>
      </c>
      <c r="B372" s="14">
        <f>A372*Assumptions!$B$12</f>
        <v>3.64</v>
      </c>
      <c r="C372" s="15">
        <f>IF(A372&lt;=Assumptions!$B$13,IF(OR(A372=0,A372=Assumptions!$B$13),0.5,1),0)*Assumptions!$B$12</f>
        <v>0.01</v>
      </c>
      <c r="D372" s="12">
        <f>D371*(1-Assumptions!$B$12*(Assumptions!$B$5+Assumptions!$B$6))</f>
        <v>0.89653640102387533</v>
      </c>
      <c r="E372" s="12">
        <f>E371+Assumptions!$B$12*(D371*Assumptions!$B$5-E371*Assumptions!$B$7)</f>
        <v>6.2973001253371075E-2</v>
      </c>
      <c r="F372" s="12">
        <f t="shared" si="15"/>
        <v>4.0490597722753596E-2</v>
      </c>
      <c r="G372" s="12">
        <f>EXP(-Assumptions!$B$8*B372)</f>
        <v>0.8336013404157353</v>
      </c>
      <c r="H372" s="12">
        <f t="shared" si="16"/>
        <v>0.74735394562500168</v>
      </c>
      <c r="I372" s="12">
        <f t="shared" si="17"/>
        <v>5.2494378254811909E-2</v>
      </c>
      <c r="J372" s="12">
        <f>G372*(D372*Assumptions!$B$6+E372*Assumptions!$B$7)</f>
        <v>1.0098258368990613E-2</v>
      </c>
    </row>
    <row r="373" spans="1:10" x14ac:dyDescent="0.2">
      <c r="A373" s="2">
        <v>365</v>
      </c>
      <c r="B373" s="14">
        <f>A373*Assumptions!$B$12</f>
        <v>3.65</v>
      </c>
      <c r="C373" s="15">
        <f>IF(A373&lt;=Assumptions!$B$13,IF(OR(A373=0,A373=Assumptions!$B$13),0.5,1),0)*Assumptions!$B$12</f>
        <v>0.01</v>
      </c>
      <c r="D373" s="12">
        <f>D372*(1-Assumptions!$B$12*(Assumptions!$B$5+Assumptions!$B$6))</f>
        <v>0.89626744010356818</v>
      </c>
      <c r="E373" s="12">
        <f>E372+Assumptions!$B$12*(D372*Assumptions!$B$5-E372*Assumptions!$B$7)</f>
        <v>6.3120822032949164E-2</v>
      </c>
      <c r="F373" s="12">
        <f t="shared" si="15"/>
        <v>4.0611737863482655E-2</v>
      </c>
      <c r="G373" s="12">
        <f>EXP(-Assumptions!$B$8*B373)</f>
        <v>0.83318464392833047</v>
      </c>
      <c r="H373" s="12">
        <f t="shared" si="16"/>
        <v>0.7467562679472477</v>
      </c>
      <c r="I373" s="12">
        <f t="shared" si="17"/>
        <v>5.2591299629986266E-2</v>
      </c>
      <c r="J373" s="12">
        <f>G373*(D373*Assumptions!$B$6+E373*Assumptions!$B$7)</f>
        <v>1.009712766097179E-2</v>
      </c>
    </row>
    <row r="374" spans="1:10" x14ac:dyDescent="0.2">
      <c r="A374" s="2">
        <v>366</v>
      </c>
      <c r="B374" s="14">
        <f>A374*Assumptions!$B$12</f>
        <v>3.66</v>
      </c>
      <c r="C374" s="15">
        <f>IF(A374&lt;=Assumptions!$B$13,IF(OR(A374=0,A374=Assumptions!$B$13),0.5,1),0)*Assumptions!$B$12</f>
        <v>0.01</v>
      </c>
      <c r="D374" s="12">
        <f>D373*(1-Assumptions!$B$12*(Assumptions!$B$5+Assumptions!$B$6))</f>
        <v>0.89599855987153709</v>
      </c>
      <c r="E374" s="12">
        <f>E373+Assumptions!$B$12*(D373*Assumptions!$B$5-E373*Assumptions!$B$7)</f>
        <v>6.3268515109953405E-2</v>
      </c>
      <c r="F374" s="12">
        <f t="shared" si="15"/>
        <v>4.0732925018509503E-2</v>
      </c>
      <c r="G374" s="12">
        <f>EXP(-Assumptions!$B$8*B374)</f>
        <v>0.83276815573709095</v>
      </c>
      <c r="H374" s="12">
        <f t="shared" si="16"/>
        <v>0.74615906824730938</v>
      </c>
      <c r="I374" s="12">
        <f t="shared" si="17"/>
        <v>5.2688004644340168E-2</v>
      </c>
      <c r="J374" s="12">
        <f>G374*(D374*Assumptions!$B$6+E374*Assumptions!$B$7)</f>
        <v>1.0095990914690102E-2</v>
      </c>
    </row>
    <row r="375" spans="1:10" x14ac:dyDescent="0.2">
      <c r="A375" s="2">
        <v>367</v>
      </c>
      <c r="B375" s="14">
        <f>A375*Assumptions!$B$12</f>
        <v>3.67</v>
      </c>
      <c r="C375" s="15">
        <f>IF(A375&lt;=Assumptions!$B$13,IF(OR(A375=0,A375=Assumptions!$B$13),0.5,1),0)*Assumptions!$B$12</f>
        <v>0.01</v>
      </c>
      <c r="D375" s="12">
        <f>D374*(1-Assumptions!$B$12*(Assumptions!$B$5+Assumptions!$B$6))</f>
        <v>0.89572976030357565</v>
      </c>
      <c r="E375" s="12">
        <f>E374+Assumptions!$B$12*(D374*Assumptions!$B$5-E374*Assumptions!$B$7)</f>
        <v>6.3416080564372729E-2</v>
      </c>
      <c r="F375" s="12">
        <f t="shared" si="15"/>
        <v>4.0854159132051621E-2</v>
      </c>
      <c r="G375" s="12">
        <f>EXP(-Assumptions!$B$8*B375)</f>
        <v>0.83235187573789471</v>
      </c>
      <c r="H375" s="12">
        <f t="shared" si="16"/>
        <v>0.74556234614293604</v>
      </c>
      <c r="I375" s="12">
        <f t="shared" si="17"/>
        <v>5.278449360970109E-2</v>
      </c>
      <c r="J375" s="12">
        <f>G375*(D375*Assumptions!$B$6+E375*Assumptions!$B$7)</f>
        <v>1.0094848141914414E-2</v>
      </c>
    </row>
    <row r="376" spans="1:10" x14ac:dyDescent="0.2">
      <c r="A376" s="2">
        <v>368</v>
      </c>
      <c r="B376" s="14">
        <f>A376*Assumptions!$B$12</f>
        <v>3.68</v>
      </c>
      <c r="C376" s="15">
        <f>IF(A376&lt;=Assumptions!$B$13,IF(OR(A376=0,A376=Assumptions!$B$13),0.5,1),0)*Assumptions!$B$12</f>
        <v>0.01</v>
      </c>
      <c r="D376" s="12">
        <f>D375*(1-Assumptions!$B$12*(Assumptions!$B$5+Assumptions!$B$6))</f>
        <v>0.89546104137548466</v>
      </c>
      <c r="E376" s="12">
        <f>E375+Assumptions!$B$12*(D375*Assumptions!$B$5-E375*Assumptions!$B$7)</f>
        <v>6.3563518476151257E-2</v>
      </c>
      <c r="F376" s="12">
        <f t="shared" si="15"/>
        <v>4.0975440148364087E-2</v>
      </c>
      <c r="G376" s="12">
        <f>EXP(-Assumptions!$B$8*B376)</f>
        <v>0.83193580382667176</v>
      </c>
      <c r="H376" s="12">
        <f t="shared" si="16"/>
        <v>0.74496610125218243</v>
      </c>
      <c r="I376" s="12">
        <f t="shared" si="17"/>
        <v>5.2880766837508399E-2</v>
      </c>
      <c r="J376" s="12">
        <f>G376*(D376*Assumptions!$B$6+E376*Assumptions!$B$7)</f>
        <v>1.0093699354397244E-2</v>
      </c>
    </row>
    <row r="377" spans="1:10" x14ac:dyDescent="0.2">
      <c r="A377" s="2">
        <v>369</v>
      </c>
      <c r="B377" s="14">
        <f>A377*Assumptions!$B$12</f>
        <v>3.69</v>
      </c>
      <c r="C377" s="15">
        <f>IF(A377&lt;=Assumptions!$B$13,IF(OR(A377=0,A377=Assumptions!$B$13),0.5,1),0)*Assumptions!$B$12</f>
        <v>0.01</v>
      </c>
      <c r="D377" s="12">
        <f>D376*(1-Assumptions!$B$12*(Assumptions!$B$5+Assumptions!$B$6))</f>
        <v>0.89519240306307202</v>
      </c>
      <c r="E377" s="12">
        <f>E376+Assumptions!$B$12*(D376*Assumptions!$B$5-E376*Assumptions!$B$7)</f>
        <v>6.3710828925188284E-2</v>
      </c>
      <c r="F377" s="12">
        <f t="shared" si="15"/>
        <v>4.1096768011739698E-2</v>
      </c>
      <c r="G377" s="12">
        <f>EXP(-Assumptions!$B$8*B377)</f>
        <v>0.83151993989940409</v>
      </c>
      <c r="H377" s="12">
        <f t="shared" si="16"/>
        <v>0.74437033319340873</v>
      </c>
      <c r="I377" s="12">
        <f t="shared" si="17"/>
        <v>5.2976824638813778E-2</v>
      </c>
      <c r="J377" s="12">
        <f>G377*(D377*Assumptions!$B$6+E377*Assumptions!$B$7)</f>
        <v>1.0092544563874777E-2</v>
      </c>
    </row>
    <row r="378" spans="1:10" x14ac:dyDescent="0.2">
      <c r="A378" s="2">
        <v>370</v>
      </c>
      <c r="B378" s="14">
        <f>A378*Assumptions!$B$12</f>
        <v>3.7</v>
      </c>
      <c r="C378" s="15">
        <f>IF(A378&lt;=Assumptions!$B$13,IF(OR(A378=0,A378=Assumptions!$B$13),0.5,1),0)*Assumptions!$B$12</f>
        <v>0.01</v>
      </c>
      <c r="D378" s="12">
        <f>D377*(1-Assumptions!$B$12*(Assumptions!$B$5+Assumptions!$B$6))</f>
        <v>0.89492384534215308</v>
      </c>
      <c r="E378" s="12">
        <f>E377+Assumptions!$B$12*(D377*Assumptions!$B$5-E377*Assumptions!$B$7)</f>
        <v>6.3858011991338309E-2</v>
      </c>
      <c r="F378" s="12">
        <f t="shared" si="15"/>
        <v>4.1218142666508611E-2</v>
      </c>
      <c r="G378" s="12">
        <f>EXP(-Assumptions!$B$8*B378)</f>
        <v>0.83110428385212565</v>
      </c>
      <c r="H378" s="12">
        <f t="shared" si="16"/>
        <v>0.74377504158528063</v>
      </c>
      <c r="I378" s="12">
        <f t="shared" si="17"/>
        <v>5.3072667324281675E-2</v>
      </c>
      <c r="J378" s="12">
        <f>G378*(D378*Assumptions!$B$6+E378*Assumptions!$B$7)</f>
        <v>1.0091383782066889E-2</v>
      </c>
    </row>
    <row r="379" spans="1:10" x14ac:dyDescent="0.2">
      <c r="A379" s="2">
        <v>371</v>
      </c>
      <c r="B379" s="14">
        <f>A379*Assumptions!$B$12</f>
        <v>3.71</v>
      </c>
      <c r="C379" s="15">
        <f>IF(A379&lt;=Assumptions!$B$13,IF(OR(A379=0,A379=Assumptions!$B$13),0.5,1),0)*Assumptions!$B$12</f>
        <v>0.01</v>
      </c>
      <c r="D379" s="12">
        <f>D378*(1-Assumptions!$B$12*(Assumptions!$B$5+Assumptions!$B$6))</f>
        <v>0.89465536818855051</v>
      </c>
      <c r="E379" s="12">
        <f>E378+Assumptions!$B$12*(D378*Assumptions!$B$5-E378*Assumptions!$B$7)</f>
        <v>6.4005067754411074E-2</v>
      </c>
      <c r="F379" s="12">
        <f t="shared" si="15"/>
        <v>4.1339564057038411E-2</v>
      </c>
      <c r="G379" s="12">
        <f>EXP(-Assumptions!$B$8*B379)</f>
        <v>0.83068883558092255</v>
      </c>
      <c r="H379" s="12">
        <f t="shared" si="16"/>
        <v>0.74318022604676859</v>
      </c>
      <c r="I379" s="12">
        <f t="shared" si="17"/>
        <v>5.3168295204189787E-2</v>
      </c>
      <c r="J379" s="12">
        <f>G379*(D379*Assumptions!$B$6+E379*Assumptions!$B$7)</f>
        <v>1.0090217020677176E-2</v>
      </c>
    </row>
    <row r="380" spans="1:10" x14ac:dyDescent="0.2">
      <c r="A380" s="2">
        <v>372</v>
      </c>
      <c r="B380" s="14">
        <f>A380*Assumptions!$B$12</f>
        <v>3.72</v>
      </c>
      <c r="C380" s="15">
        <f>IF(A380&lt;=Assumptions!$B$13,IF(OR(A380=0,A380=Assumptions!$B$13),0.5,1),0)*Assumptions!$B$12</f>
        <v>0.01</v>
      </c>
      <c r="D380" s="12">
        <f>D379*(1-Assumptions!$B$12*(Assumptions!$B$5+Assumptions!$B$6))</f>
        <v>0.89438697157809399</v>
      </c>
      <c r="E380" s="12">
        <f>E379+Assumptions!$B$12*(D379*Assumptions!$B$5-E379*Assumptions!$B$7)</f>
        <v>6.4151996294171579E-2</v>
      </c>
      <c r="F380" s="12">
        <f t="shared" si="15"/>
        <v>4.1461032127734429E-2</v>
      </c>
      <c r="G380" s="12">
        <f>EXP(-Assumptions!$B$8*B380)</f>
        <v>0.83027359498193265</v>
      </c>
      <c r="H380" s="12">
        <f t="shared" si="16"/>
        <v>0.74258588619714772</v>
      </c>
      <c r="I380" s="12">
        <f t="shared" si="17"/>
        <v>5.3263708588429458E-2</v>
      </c>
      <c r="J380" s="12">
        <f>G380*(D380*Assumptions!$B$6+E380*Assumptions!$B$7)</f>
        <v>1.008904429139295E-2</v>
      </c>
    </row>
    <row r="381" spans="1:10" x14ac:dyDescent="0.2">
      <c r="A381" s="2">
        <v>373</v>
      </c>
      <c r="B381" s="14">
        <f>A381*Assumptions!$B$12</f>
        <v>3.73</v>
      </c>
      <c r="C381" s="15">
        <f>IF(A381&lt;=Assumptions!$B$13,IF(OR(A381=0,A381=Assumptions!$B$13),0.5,1),0)*Assumptions!$B$12</f>
        <v>0.01</v>
      </c>
      <c r="D381" s="12">
        <f>D380*(1-Assumptions!$B$12*(Assumptions!$B$5+Assumptions!$B$6))</f>
        <v>0.89411865548662062</v>
      </c>
      <c r="E381" s="12">
        <f>E380+Assumptions!$B$12*(D380*Assumptions!$B$5-E380*Assumptions!$B$7)</f>
        <v>6.4298797690340109E-2</v>
      </c>
      <c r="F381" s="12">
        <f t="shared" si="15"/>
        <v>4.1582546823039274E-2</v>
      </c>
      <c r="G381" s="12">
        <f>EXP(-Assumptions!$B$8*B381)</f>
        <v>0.82985856195134589</v>
      </c>
      <c r="H381" s="12">
        <f t="shared" si="16"/>
        <v>0.74199202165599787</v>
      </c>
      <c r="I381" s="12">
        <f t="shared" si="17"/>
        <v>5.3358907786506163E-2</v>
      </c>
      <c r="J381" s="12">
        <f>G381*(D381*Assumptions!$B$6+E381*Assumptions!$B$7)</f>
        <v>1.0087865605885288E-2</v>
      </c>
    </row>
    <row r="382" spans="1:10" x14ac:dyDescent="0.2">
      <c r="A382" s="2">
        <v>374</v>
      </c>
      <c r="B382" s="14">
        <f>A382*Assumptions!$B$12</f>
        <v>3.74</v>
      </c>
      <c r="C382" s="15">
        <f>IF(A382&lt;=Assumptions!$B$13,IF(OR(A382=0,A382=Assumptions!$B$13),0.5,1),0)*Assumptions!$B$12</f>
        <v>0.01</v>
      </c>
      <c r="D382" s="12">
        <f>D381*(1-Assumptions!$B$12*(Assumptions!$B$5+Assumptions!$B$6))</f>
        <v>0.89385041988997471</v>
      </c>
      <c r="E382" s="12">
        <f>E381+Assumptions!$B$12*(D381*Assumptions!$B$5-E381*Assumptions!$B$7)</f>
        <v>6.4445472022592265E-2</v>
      </c>
      <c r="F382" s="12">
        <f t="shared" si="15"/>
        <v>4.1704108087433023E-2</v>
      </c>
      <c r="G382" s="12">
        <f>EXP(-Assumptions!$B$8*B382)</f>
        <v>0.82944373638540392</v>
      </c>
      <c r="H382" s="12">
        <f t="shared" si="16"/>
        <v>0.74139863204320278</v>
      </c>
      <c r="I382" s="12">
        <f t="shared" si="17"/>
        <v>5.3453893107539945E-2</v>
      </c>
      <c r="J382" s="12">
        <f>G382*(D382*Assumptions!$B$6+E382*Assumptions!$B$7)</f>
        <v>1.0086680975809025E-2</v>
      </c>
    </row>
    <row r="383" spans="1:10" x14ac:dyDescent="0.2">
      <c r="A383" s="2">
        <v>375</v>
      </c>
      <c r="B383" s="14">
        <f>A383*Assumptions!$B$12</f>
        <v>3.75</v>
      </c>
      <c r="C383" s="15">
        <f>IF(A383&lt;=Assumptions!$B$13,IF(OR(A383=0,A383=Assumptions!$B$13),0.5,1),0)*Assumptions!$B$12</f>
        <v>0.01</v>
      </c>
      <c r="D383" s="12">
        <f>D382*(1-Assumptions!$B$12*(Assumptions!$B$5+Assumptions!$B$6))</f>
        <v>0.89358226476400771</v>
      </c>
      <c r="E383" s="12">
        <f>E382+Assumptions!$B$12*(D382*Assumptions!$B$5-E382*Assumptions!$B$7)</f>
        <v>6.4592019370558959E-2</v>
      </c>
      <c r="F383" s="12">
        <f t="shared" si="15"/>
        <v>4.1825715865433336E-2</v>
      </c>
      <c r="G383" s="12">
        <f>EXP(-Assumptions!$B$8*B383)</f>
        <v>0.82902911818040037</v>
      </c>
      <c r="H383" s="12">
        <f t="shared" si="16"/>
        <v>0.74080571697895037</v>
      </c>
      <c r="I383" s="12">
        <f t="shared" si="17"/>
        <v>5.3548664860265834E-2</v>
      </c>
      <c r="J383" s="12">
        <f>G383*(D383*Assumptions!$B$6+E383*Assumptions!$B$7)</f>
        <v>1.0085490412802794E-2</v>
      </c>
    </row>
    <row r="384" spans="1:10" x14ac:dyDescent="0.2">
      <c r="A384" s="2">
        <v>376</v>
      </c>
      <c r="B384" s="14">
        <f>A384*Assumptions!$B$12</f>
        <v>3.7600000000000002</v>
      </c>
      <c r="C384" s="15">
        <f>IF(A384&lt;=Assumptions!$B$13,IF(OR(A384=0,A384=Assumptions!$B$13),0.5,1),0)*Assumptions!$B$12</f>
        <v>0.01</v>
      </c>
      <c r="D384" s="12">
        <f>D383*(1-Assumptions!$B$12*(Assumptions!$B$5+Assumptions!$B$6))</f>
        <v>0.89331419008457857</v>
      </c>
      <c r="E384" s="12">
        <f>E383+Assumptions!$B$12*(D383*Assumptions!$B$5-E383*Assumptions!$B$7)</f>
        <v>6.4738439813826487E-2</v>
      </c>
      <c r="F384" s="12">
        <f t="shared" si="15"/>
        <v>4.1947370101594939E-2</v>
      </c>
      <c r="G384" s="12">
        <f>EXP(-Assumptions!$B$8*B384)</f>
        <v>0.8286147072326806</v>
      </c>
      <c r="H384" s="12">
        <f t="shared" si="16"/>
        <v>0.74021327608373222</v>
      </c>
      <c r="I384" s="12">
        <f t="shared" si="17"/>
        <v>5.3643223353034349E-2</v>
      </c>
      <c r="J384" s="12">
        <f>G384*(D384*Assumptions!$B$6+E384*Assumptions!$B$7)</f>
        <v>1.008429392848904E-2</v>
      </c>
    </row>
    <row r="385" spans="1:10" x14ac:dyDescent="0.2">
      <c r="A385" s="2">
        <v>377</v>
      </c>
      <c r="B385" s="14">
        <f>A385*Assumptions!$B$12</f>
        <v>3.77</v>
      </c>
      <c r="C385" s="15">
        <f>IF(A385&lt;=Assumptions!$B$13,IF(OR(A385=0,A385=Assumptions!$B$13),0.5,1),0)*Assumptions!$B$12</f>
        <v>0.01</v>
      </c>
      <c r="D385" s="12">
        <f>D384*(1-Assumptions!$B$12*(Assumptions!$B$5+Assumptions!$B$6))</f>
        <v>0.89304619582755318</v>
      </c>
      <c r="E385" s="12">
        <f>E384+Assumptions!$B$12*(D384*Assumptions!$B$5-E384*Assumptions!$B$7)</f>
        <v>6.4884733431936487E-2</v>
      </c>
      <c r="F385" s="12">
        <f t="shared" si="15"/>
        <v>4.2069070740510334E-2</v>
      </c>
      <c r="G385" s="12">
        <f>EXP(-Assumptions!$B$8*B385)</f>
        <v>0.82820050343864204</v>
      </c>
      <c r="H385" s="12">
        <f t="shared" si="16"/>
        <v>0.73962130897834366</v>
      </c>
      <c r="I385" s="12">
        <f t="shared" si="17"/>
        <v>5.3737568893811885E-2</v>
      </c>
      <c r="J385" s="12">
        <f>G385*(D385*Assumptions!$B$6+E385*Assumptions!$B$7)</f>
        <v>1.0083091534474032E-2</v>
      </c>
    </row>
    <row r="386" spans="1:10" x14ac:dyDescent="0.2">
      <c r="A386" s="2">
        <v>378</v>
      </c>
      <c r="B386" s="14">
        <f>A386*Assumptions!$B$12</f>
        <v>3.7800000000000002</v>
      </c>
      <c r="C386" s="15">
        <f>IF(A386&lt;=Assumptions!$B$13,IF(OR(A386=0,A386=Assumptions!$B$13),0.5,1),0)*Assumptions!$B$12</f>
        <v>0.01</v>
      </c>
      <c r="D386" s="12">
        <f>D385*(1-Assumptions!$B$12*(Assumptions!$B$5+Assumptions!$B$6))</f>
        <v>0.89277828196880493</v>
      </c>
      <c r="E386" s="12">
        <f>E385+Assumptions!$B$12*(D385*Assumptions!$B$5-E385*Assumptions!$B$7)</f>
        <v>6.5030900304386033E-2</v>
      </c>
      <c r="F386" s="12">
        <f t="shared" si="15"/>
        <v>4.2190817726809035E-2</v>
      </c>
      <c r="G386" s="12">
        <f>EXP(-Assumptions!$B$8*B386)</f>
        <v>0.82778650669473364</v>
      </c>
      <c r="H386" s="12">
        <f t="shared" si="16"/>
        <v>0.7390298152838829</v>
      </c>
      <c r="I386" s="12">
        <f t="shared" si="17"/>
        <v>5.3831701790181208E-2</v>
      </c>
      <c r="J386" s="12">
        <f>G386*(D386*Assumptions!$B$6+E386*Assumptions!$B$7)</f>
        <v>1.0081883242347888E-2</v>
      </c>
    </row>
    <row r="387" spans="1:10" x14ac:dyDescent="0.2">
      <c r="A387" s="2">
        <v>379</v>
      </c>
      <c r="B387" s="14">
        <f>A387*Assumptions!$B$12</f>
        <v>3.79</v>
      </c>
      <c r="C387" s="15">
        <f>IF(A387&lt;=Assumptions!$B$13,IF(OR(A387=0,A387=Assumptions!$B$13),0.5,1),0)*Assumptions!$B$12</f>
        <v>0.01</v>
      </c>
      <c r="D387" s="12">
        <f>D386*(1-Assumptions!$B$12*(Assumptions!$B$5+Assumptions!$B$6))</f>
        <v>0.89251044848421435</v>
      </c>
      <c r="E387" s="12">
        <f>E386+Assumptions!$B$12*(D386*Assumptions!$B$5-E386*Assumptions!$B$7)</f>
        <v>6.5176940510627598E-2</v>
      </c>
      <c r="F387" s="12">
        <f t="shared" si="15"/>
        <v>4.2312611005158055E-2</v>
      </c>
      <c r="G387" s="12">
        <f>EXP(-Assumptions!$B$8*B387)</f>
        <v>0.82737271689745617</v>
      </c>
      <c r="H387" s="12">
        <f t="shared" si="16"/>
        <v>0.73843879462175155</v>
      </c>
      <c r="I387" s="12">
        <f t="shared" si="17"/>
        <v>5.3925622349341833E-2</v>
      </c>
      <c r="J387" s="12">
        <f>G387*(D387*Assumptions!$B$6+E387*Assumptions!$B$7)</f>
        <v>1.0080669063684607E-2</v>
      </c>
    </row>
    <row r="388" spans="1:10" x14ac:dyDescent="0.2">
      <c r="A388" s="2">
        <v>380</v>
      </c>
      <c r="B388" s="14">
        <f>A388*Assumptions!$B$12</f>
        <v>3.8000000000000003</v>
      </c>
      <c r="C388" s="15">
        <f>IF(A388&lt;=Assumptions!$B$13,IF(OR(A388=0,A388=Assumptions!$B$13),0.5,1),0)*Assumptions!$B$12</f>
        <v>0.01</v>
      </c>
      <c r="D388" s="12">
        <f>D387*(1-Assumptions!$B$12*(Assumptions!$B$5+Assumptions!$B$6))</f>
        <v>0.89224269534966916</v>
      </c>
      <c r="E388" s="12">
        <f>E387+Assumptions!$B$12*(D387*Assumptions!$B$5-E387*Assumptions!$B$7)</f>
        <v>6.5322854130069122E-2</v>
      </c>
      <c r="F388" s="12">
        <f t="shared" si="15"/>
        <v>4.2434450520261721E-2</v>
      </c>
      <c r="G388" s="12">
        <f>EXP(-Assumptions!$B$8*B388)</f>
        <v>0.82695913394336229</v>
      </c>
      <c r="H388" s="12">
        <f t="shared" si="16"/>
        <v>0.73784824661365367</v>
      </c>
      <c r="I388" s="12">
        <f t="shared" si="17"/>
        <v>5.4019330878110547E-2</v>
      </c>
      <c r="J388" s="12">
        <f>G388*(D388*Assumptions!$B$6+E388*Assumptions!$B$7)</f>
        <v>1.0079449010042063E-2</v>
      </c>
    </row>
    <row r="389" spans="1:10" x14ac:dyDescent="0.2">
      <c r="A389" s="2">
        <v>381</v>
      </c>
      <c r="B389" s="14">
        <f>A389*Assumptions!$B$12</f>
        <v>3.81</v>
      </c>
      <c r="C389" s="15">
        <f>IF(A389&lt;=Assumptions!$B$13,IF(OR(A389=0,A389=Assumptions!$B$13),0.5,1),0)*Assumptions!$B$12</f>
        <v>0.01</v>
      </c>
      <c r="D389" s="12">
        <f>D388*(1-Assumptions!$B$12*(Assumptions!$B$5+Assumptions!$B$6))</f>
        <v>0.89197502254106431</v>
      </c>
      <c r="E389" s="12">
        <f>E388+Assumptions!$B$12*(D388*Assumptions!$B$5-E388*Assumptions!$B$7)</f>
        <v>6.5468641242074022E-2</v>
      </c>
      <c r="F389" s="12">
        <f t="shared" si="15"/>
        <v>4.2556336216861668E-2</v>
      </c>
      <c r="G389" s="12">
        <f>EXP(-Assumptions!$B$8*B389)</f>
        <v>0.82654575772905625</v>
      </c>
      <c r="H389" s="12">
        <f t="shared" si="16"/>
        <v>0.73725817088159606</v>
      </c>
      <c r="I389" s="12">
        <f t="shared" si="17"/>
        <v>5.4112827682921812E-2</v>
      </c>
      <c r="J389" s="12">
        <f>G389*(D389*Assumptions!$B$6+E389*Assumptions!$B$7)</f>
        <v>1.0078223092962052E-2</v>
      </c>
    </row>
    <row r="390" spans="1:10" x14ac:dyDescent="0.2">
      <c r="A390" s="2">
        <v>382</v>
      </c>
      <c r="B390" s="14">
        <f>A390*Assumptions!$B$12</f>
        <v>3.8200000000000003</v>
      </c>
      <c r="C390" s="15">
        <f>IF(A390&lt;=Assumptions!$B$13,IF(OR(A390=0,A390=Assumptions!$B$13),0.5,1),0)*Assumptions!$B$12</f>
        <v>0.01</v>
      </c>
      <c r="D390" s="12">
        <f>D389*(1-Assumptions!$B$12*(Assumptions!$B$5+Assumptions!$B$6))</f>
        <v>0.89170743003430197</v>
      </c>
      <c r="E390" s="12">
        <f>E389+Assumptions!$B$12*(D389*Assumptions!$B$5-E389*Assumptions!$B$7)</f>
        <v>6.5614301925961196E-2</v>
      </c>
      <c r="F390" s="12">
        <f t="shared" si="15"/>
        <v>4.267826803973683E-2</v>
      </c>
      <c r="G390" s="12">
        <f>EXP(-Assumptions!$B$8*B390)</f>
        <v>0.82613258815119384</v>
      </c>
      <c r="H390" s="12">
        <f t="shared" si="16"/>
        <v>0.73666856704788752</v>
      </c>
      <c r="I390" s="12">
        <f t="shared" si="17"/>
        <v>5.4206113069828185E-2</v>
      </c>
      <c r="J390" s="12">
        <f>G390*(D390*Assumptions!$B$6+E390*Assumptions!$B$7)</f>
        <v>1.0076991323970285E-2</v>
      </c>
    </row>
    <row r="391" spans="1:10" x14ac:dyDescent="0.2">
      <c r="A391" s="2">
        <v>383</v>
      </c>
      <c r="B391" s="14">
        <f>A391*Assumptions!$B$12</f>
        <v>3.83</v>
      </c>
      <c r="C391" s="15">
        <f>IF(A391&lt;=Assumptions!$B$13,IF(OR(A391=0,A391=Assumptions!$B$13),0.5,1),0)*Assumptions!$B$12</f>
        <v>0.01</v>
      </c>
      <c r="D391" s="12">
        <f>D390*(1-Assumptions!$B$12*(Assumptions!$B$5+Assumptions!$B$6))</f>
        <v>0.89143991780529175</v>
      </c>
      <c r="E391" s="12">
        <f>E390+Assumptions!$B$12*(D390*Assumptions!$B$5-E390*Assumptions!$B$7)</f>
        <v>6.5759836261005081E-2</v>
      </c>
      <c r="F391" s="12">
        <f t="shared" si="15"/>
        <v>4.2800245933703171E-2</v>
      </c>
      <c r="G391" s="12">
        <f>EXP(-Assumptions!$B$8*B391)</f>
        <v>0.82571962510648278</v>
      </c>
      <c r="H391" s="12">
        <f t="shared" si="16"/>
        <v>0.73607943473513937</v>
      </c>
      <c r="I391" s="12">
        <f t="shared" si="17"/>
        <v>5.4299187344500809E-2</v>
      </c>
      <c r="J391" s="12">
        <f>G391*(D391*Assumptions!$B$6+E391*Assumptions!$B$7)</f>
        <v>1.0075753714576434E-2</v>
      </c>
    </row>
    <row r="392" spans="1:10" x14ac:dyDescent="0.2">
      <c r="A392" s="2">
        <v>384</v>
      </c>
      <c r="B392" s="14">
        <f>A392*Assumptions!$B$12</f>
        <v>3.84</v>
      </c>
      <c r="C392" s="15">
        <f>IF(A392&lt;=Assumptions!$B$13,IF(OR(A392=0,A392=Assumptions!$B$13),0.5,1),0)*Assumptions!$B$12</f>
        <v>0.01</v>
      </c>
      <c r="D392" s="12">
        <f>D391*(1-Assumptions!$B$12*(Assumptions!$B$5+Assumptions!$B$6))</f>
        <v>0.89117248582995023</v>
      </c>
      <c r="E392" s="12">
        <f>E391+Assumptions!$B$12*(D391*Assumptions!$B$5-E391*Assumptions!$B$7)</f>
        <v>6.590524432643563E-2</v>
      </c>
      <c r="F392" s="12">
        <f t="shared" ref="F392:F455" si="18">1-D392-E392</f>
        <v>4.2922269843614136E-2</v>
      </c>
      <c r="G392" s="12">
        <f>EXP(-Assumptions!$B$8*B392)</f>
        <v>0.82530686849168233</v>
      </c>
      <c r="H392" s="12">
        <f t="shared" ref="H392:H455" si="19">G392*D392</f>
        <v>0.73549077356626436</v>
      </c>
      <c r="I392" s="12">
        <f t="shared" ref="I392:I455" si="20">G392*E392</f>
        <v>5.4392050812229802E-2</v>
      </c>
      <c r="J392" s="12">
        <f>G392*(D392*Assumptions!$B$6+E392*Assumptions!$B$7)</f>
        <v>1.0074510276274134E-2</v>
      </c>
    </row>
    <row r="393" spans="1:10" x14ac:dyDescent="0.2">
      <c r="A393" s="2">
        <v>385</v>
      </c>
      <c r="B393" s="14">
        <f>A393*Assumptions!$B$12</f>
        <v>3.85</v>
      </c>
      <c r="C393" s="15">
        <f>IF(A393&lt;=Assumptions!$B$13,IF(OR(A393=0,A393=Assumptions!$B$13),0.5,1),0)*Assumptions!$B$12</f>
        <v>0.01</v>
      </c>
      <c r="D393" s="12">
        <f>D392*(1-Assumptions!$B$12*(Assumptions!$B$5+Assumptions!$B$6))</f>
        <v>0.89090513408420124</v>
      </c>
      <c r="E393" s="12">
        <f>E392+Assumptions!$B$12*(D392*Assumptions!$B$5-E392*Assumptions!$B$7)</f>
        <v>6.6050526201438406E-2</v>
      </c>
      <c r="F393" s="12">
        <f t="shared" si="18"/>
        <v>4.304433971436035E-2</v>
      </c>
      <c r="G393" s="12">
        <f>EXP(-Assumptions!$B$8*B393)</f>
        <v>0.82489431820360337</v>
      </c>
      <c r="H393" s="12">
        <f t="shared" si="19"/>
        <v>0.73490258316447699</v>
      </c>
      <c r="I393" s="12">
        <f t="shared" si="20"/>
        <v>5.4484703777924776E-2</v>
      </c>
      <c r="J393" s="12">
        <f>G393*(D393*Assumptions!$B$6+E393*Assumptions!$B$7)</f>
        <v>1.0073261020541008E-2</v>
      </c>
    </row>
    <row r="394" spans="1:10" x14ac:dyDescent="0.2">
      <c r="A394" s="2">
        <v>386</v>
      </c>
      <c r="B394" s="14">
        <f>A394*Assumptions!$B$12</f>
        <v>3.86</v>
      </c>
      <c r="C394" s="15">
        <f>IF(A394&lt;=Assumptions!$B$13,IF(OR(A394=0,A394=Assumptions!$B$13),0.5,1),0)*Assumptions!$B$12</f>
        <v>0.01</v>
      </c>
      <c r="D394" s="12">
        <f>D393*(1-Assumptions!$B$12*(Assumptions!$B$5+Assumptions!$B$6))</f>
        <v>0.89063786254397603</v>
      </c>
      <c r="E394" s="12">
        <f>E393+Assumptions!$B$12*(D393*Assumptions!$B$5-E393*Assumptions!$B$7)</f>
        <v>6.6195681965154532E-2</v>
      </c>
      <c r="F394" s="12">
        <f t="shared" si="18"/>
        <v>4.3166455490869435E-2</v>
      </c>
      <c r="G394" s="12">
        <f>EXP(-Assumptions!$B$8*B394)</f>
        <v>0.82448197413910818</v>
      </c>
      <c r="H394" s="12">
        <f t="shared" si="19"/>
        <v>0.73431486315329308</v>
      </c>
      <c r="I394" s="12">
        <f t="shared" si="20"/>
        <v>5.4577146546115167E-2</v>
      </c>
      <c r="J394" s="12">
        <f>G394*(D394*Assumptions!$B$6+E394*Assumptions!$B$7)</f>
        <v>1.0072005958838689E-2</v>
      </c>
    </row>
    <row r="395" spans="1:10" x14ac:dyDescent="0.2">
      <c r="A395" s="2">
        <v>387</v>
      </c>
      <c r="B395" s="14">
        <f>A395*Assumptions!$B$12</f>
        <v>3.87</v>
      </c>
      <c r="C395" s="15">
        <f>IF(A395&lt;=Assumptions!$B$13,IF(OR(A395=0,A395=Assumptions!$B$13),0.5,1),0)*Assumptions!$B$12</f>
        <v>0.01</v>
      </c>
      <c r="D395" s="12">
        <f>D394*(1-Assumptions!$B$12*(Assumptions!$B$5+Assumptions!$B$6))</f>
        <v>0.89037067118521285</v>
      </c>
      <c r="E395" s="12">
        <f>E394+Assumptions!$B$12*(D394*Assumptions!$B$5-E394*Assumptions!$B$7)</f>
        <v>6.6340711696680751E-2</v>
      </c>
      <c r="F395" s="12">
        <f t="shared" si="18"/>
        <v>4.3288617118106401E-2</v>
      </c>
      <c r="G395" s="12">
        <f>EXP(-Assumptions!$B$8*B395)</f>
        <v>0.82406983619511087</v>
      </c>
      <c r="H395" s="12">
        <f t="shared" si="19"/>
        <v>0.73372761315652923</v>
      </c>
      <c r="I395" s="12">
        <f t="shared" si="20"/>
        <v>5.4669379420950785E-2</v>
      </c>
      <c r="J395" s="12">
        <f>G395*(D395*Assumptions!$B$6+E395*Assumptions!$B$7)</f>
        <v>1.0070745102612832E-2</v>
      </c>
    </row>
    <row r="396" spans="1:10" x14ac:dyDescent="0.2">
      <c r="A396" s="2">
        <v>388</v>
      </c>
      <c r="B396" s="14">
        <f>A396*Assumptions!$B$12</f>
        <v>3.88</v>
      </c>
      <c r="C396" s="15">
        <f>IF(A396&lt;=Assumptions!$B$13,IF(OR(A396=0,A396=Assumptions!$B$13),0.5,1),0)*Assumptions!$B$12</f>
        <v>0.01</v>
      </c>
      <c r="D396" s="12">
        <f>D395*(1-Assumptions!$B$12*(Assumptions!$B$5+Assumptions!$B$6))</f>
        <v>0.89010355998385726</v>
      </c>
      <c r="E396" s="12">
        <f>E395+Assumptions!$B$12*(D395*Assumptions!$B$5-E395*Assumptions!$B$7)</f>
        <v>6.6485615475069454E-2</v>
      </c>
      <c r="F396" s="12">
        <f t="shared" si="18"/>
        <v>4.3410824541073284E-2</v>
      </c>
      <c r="G396" s="12">
        <f>EXP(-Assumptions!$B$8*B396)</f>
        <v>0.82365790426857688</v>
      </c>
      <c r="H396" s="12">
        <f t="shared" si="19"/>
        <v>0.73314083279830333</v>
      </c>
      <c r="I396" s="12">
        <f t="shared" si="20"/>
        <v>5.4761402706202167E-2</v>
      </c>
      <c r="J396" s="12">
        <f>G396*(D396*Assumptions!$B$6+E396*Assumptions!$B$7)</f>
        <v>1.0069478463293143E-2</v>
      </c>
    </row>
    <row r="397" spans="1:10" x14ac:dyDescent="0.2">
      <c r="A397" s="2">
        <v>389</v>
      </c>
      <c r="B397" s="14">
        <f>A397*Assumptions!$B$12</f>
        <v>3.89</v>
      </c>
      <c r="C397" s="15">
        <f>IF(A397&lt;=Assumptions!$B$13,IF(OR(A397=0,A397=Assumptions!$B$13),0.5,1),0)*Assumptions!$B$12</f>
        <v>0.01</v>
      </c>
      <c r="D397" s="12">
        <f>D396*(1-Assumptions!$B$12*(Assumptions!$B$5+Assumptions!$B$6))</f>
        <v>0.88983652891586218</v>
      </c>
      <c r="E397" s="12">
        <f>E396+Assumptions!$B$12*(D396*Assumptions!$B$5-E396*Assumptions!$B$7)</f>
        <v>6.663039337932869E-2</v>
      </c>
      <c r="F397" s="12">
        <f t="shared" si="18"/>
        <v>4.3533077704809131E-2</v>
      </c>
      <c r="G397" s="12">
        <f>EXP(-Assumptions!$B$8*B397)</f>
        <v>0.82324617825652313</v>
      </c>
      <c r="H397" s="12">
        <f t="shared" si="19"/>
        <v>0.7325545217030337</v>
      </c>
      <c r="I397" s="12">
        <f t="shared" si="20"/>
        <v>5.4853216705261082E-2</v>
      </c>
      <c r="J397" s="12">
        <f>G397*(D397*Assumptions!$B$6+E397*Assumptions!$B$7)</f>
        <v>1.0068206052293392E-2</v>
      </c>
    </row>
    <row r="398" spans="1:10" x14ac:dyDescent="0.2">
      <c r="A398" s="2">
        <v>390</v>
      </c>
      <c r="B398" s="14">
        <f>A398*Assumptions!$B$12</f>
        <v>3.9</v>
      </c>
      <c r="C398" s="15">
        <f>IF(A398&lt;=Assumptions!$B$13,IF(OR(A398=0,A398=Assumptions!$B$13),0.5,1),0)*Assumptions!$B$12</f>
        <v>0.01</v>
      </c>
      <c r="D398" s="12">
        <f>D397*(1-Assumptions!$B$12*(Assumptions!$B$5+Assumptions!$B$6))</f>
        <v>0.8895695779571875</v>
      </c>
      <c r="E398" s="12">
        <f>E397+Assumptions!$B$12*(D397*Assumptions!$B$5-E397*Assumptions!$B$7)</f>
        <v>6.6775045488422197E-2</v>
      </c>
      <c r="F398" s="12">
        <f t="shared" si="18"/>
        <v>4.3655376554390307E-2</v>
      </c>
      <c r="G398" s="12">
        <f>EXP(-Assumptions!$B$8*B398)</f>
        <v>0.82283465805601841</v>
      </c>
      <c r="H398" s="12">
        <f t="shared" si="19"/>
        <v>0.73196867949543898</v>
      </c>
      <c r="I398" s="12">
        <f t="shared" si="20"/>
        <v>5.494482172114095E-2</v>
      </c>
      <c r="J398" s="12">
        <f>G398*(D398*Assumptions!$B$6+E398*Assumptions!$B$7)</f>
        <v>1.0066927881011437E-2</v>
      </c>
    </row>
    <row r="399" spans="1:10" x14ac:dyDescent="0.2">
      <c r="A399" s="2">
        <v>391</v>
      </c>
      <c r="B399" s="14">
        <f>A399*Assumptions!$B$12</f>
        <v>3.91</v>
      </c>
      <c r="C399" s="15">
        <f>IF(A399&lt;=Assumptions!$B$13,IF(OR(A399=0,A399=Assumptions!$B$13),0.5,1),0)*Assumptions!$B$12</f>
        <v>0.01</v>
      </c>
      <c r="D399" s="12">
        <f>D398*(1-Assumptions!$B$12*(Assumptions!$B$5+Assumptions!$B$6))</f>
        <v>0.88930270708380033</v>
      </c>
      <c r="E399" s="12">
        <f>E398+Assumptions!$B$12*(D398*Assumptions!$B$5-E398*Assumptions!$B$7)</f>
        <v>6.691957188126943E-2</v>
      </c>
      <c r="F399" s="12">
        <f t="shared" si="18"/>
        <v>4.3777721034930245E-2</v>
      </c>
      <c r="G399" s="12">
        <f>EXP(-Assumptions!$B$8*B399)</f>
        <v>0.82242334356418234</v>
      </c>
      <c r="H399" s="12">
        <f t="shared" si="19"/>
        <v>0.73138330580053768</v>
      </c>
      <c r="I399" s="12">
        <f t="shared" si="20"/>
        <v>5.5036218056477244E-2</v>
      </c>
      <c r="J399" s="12">
        <f>G399*(D399*Assumptions!$B$6+E399*Assumptions!$B$7)</f>
        <v>1.006564396082924E-2</v>
      </c>
    </row>
    <row r="400" spans="1:10" x14ac:dyDescent="0.2">
      <c r="A400" s="2">
        <v>392</v>
      </c>
      <c r="B400" s="14">
        <f>A400*Assumptions!$B$12</f>
        <v>3.92</v>
      </c>
      <c r="C400" s="15">
        <f>IF(A400&lt;=Assumptions!$B$13,IF(OR(A400=0,A400=Assumptions!$B$13),0.5,1),0)*Assumptions!$B$12</f>
        <v>0.01</v>
      </c>
      <c r="D400" s="12">
        <f>D399*(1-Assumptions!$B$12*(Assumptions!$B$5+Assumptions!$B$6))</f>
        <v>0.88903591627167522</v>
      </c>
      <c r="E400" s="12">
        <f>E399+Assumptions!$B$12*(D399*Assumptions!$B$5-E399*Assumptions!$B$7)</f>
        <v>6.7063972636745559E-2</v>
      </c>
      <c r="F400" s="12">
        <f t="shared" si="18"/>
        <v>4.3900111091579222E-2</v>
      </c>
      <c r="G400" s="12">
        <f>EXP(-Assumptions!$B$8*B400)</f>
        <v>0.82201223467818652</v>
      </c>
      <c r="H400" s="12">
        <f t="shared" si="19"/>
        <v>0.73079840024364884</v>
      </c>
      <c r="I400" s="12">
        <f t="shared" si="20"/>
        <v>5.5127406013527967E-2</v>
      </c>
      <c r="J400" s="12">
        <f>G400*(D400*Assumptions!$B$6+E400*Assumptions!$B$7)</f>
        <v>1.0064354303112888E-2</v>
      </c>
    </row>
    <row r="401" spans="1:10" x14ac:dyDescent="0.2">
      <c r="A401" s="2">
        <v>393</v>
      </c>
      <c r="B401" s="14">
        <f>A401*Assumptions!$B$12</f>
        <v>3.93</v>
      </c>
      <c r="C401" s="15">
        <f>IF(A401&lt;=Assumptions!$B$13,IF(OR(A401=0,A401=Assumptions!$B$13),0.5,1),0)*Assumptions!$B$12</f>
        <v>0.01</v>
      </c>
      <c r="D401" s="12">
        <f>D400*(1-Assumptions!$B$12*(Assumptions!$B$5+Assumptions!$B$6))</f>
        <v>0.88876920549679372</v>
      </c>
      <c r="E401" s="12">
        <f>E400+Assumptions!$B$12*(D400*Assumptions!$B$5-E400*Assumptions!$B$7)</f>
        <v>6.7208247833681525E-2</v>
      </c>
      <c r="F401" s="12">
        <f t="shared" si="18"/>
        <v>4.4022546669524751E-2</v>
      </c>
      <c r="G401" s="12">
        <f>EXP(-Assumptions!$B$8*B401)</f>
        <v>0.8216013312952537</v>
      </c>
      <c r="H401" s="12">
        <f t="shared" si="19"/>
        <v>0.73021396245039061</v>
      </c>
      <c r="I401" s="12">
        <f t="shared" si="20"/>
        <v>5.5218385894174091E-2</v>
      </c>
      <c r="J401" s="12">
        <f>G401*(D401*Assumptions!$B$6+E401*Assumptions!$B$7)</f>
        <v>1.006305891921261E-2</v>
      </c>
    </row>
    <row r="402" spans="1:10" x14ac:dyDescent="0.2">
      <c r="A402" s="2">
        <v>394</v>
      </c>
      <c r="B402" s="14">
        <f>A402*Assumptions!$B$12</f>
        <v>3.94</v>
      </c>
      <c r="C402" s="15">
        <f>IF(A402&lt;=Assumptions!$B$13,IF(OR(A402=0,A402=Assumptions!$B$13),0.5,1),0)*Assumptions!$B$12</f>
        <v>0.01</v>
      </c>
      <c r="D402" s="12">
        <f>D401*(1-Assumptions!$B$12*(Assumptions!$B$5+Assumptions!$B$6))</f>
        <v>0.88850257473514471</v>
      </c>
      <c r="E402" s="12">
        <f>E401+Assumptions!$B$12*(D401*Assumptions!$B$5-E401*Assumptions!$B$7)</f>
        <v>6.7352397550864043E-2</v>
      </c>
      <c r="F402" s="12">
        <f t="shared" si="18"/>
        <v>4.4145027713991244E-2</v>
      </c>
      <c r="G402" s="12">
        <f>EXP(-Assumptions!$B$8*B402)</f>
        <v>0.82119063331265796</v>
      </c>
      <c r="H402" s="12">
        <f t="shared" si="19"/>
        <v>0.72962999204668066</v>
      </c>
      <c r="I402" s="12">
        <f t="shared" si="20"/>
        <v>5.5309157999919957E-2</v>
      </c>
      <c r="J402" s="12">
        <f>G402*(D402*Assumptions!$B$6+E402*Assumptions!$B$7)</f>
        <v>1.0061757820462805E-2</v>
      </c>
    </row>
    <row r="403" spans="1:10" x14ac:dyDescent="0.2">
      <c r="A403" s="2">
        <v>395</v>
      </c>
      <c r="B403" s="14">
        <f>A403*Assumptions!$B$12</f>
        <v>3.95</v>
      </c>
      <c r="C403" s="15">
        <f>IF(A403&lt;=Assumptions!$B$13,IF(OR(A403=0,A403=Assumptions!$B$13),0.5,1),0)*Assumptions!$B$12</f>
        <v>0.01</v>
      </c>
      <c r="D403" s="12">
        <f>D402*(1-Assumptions!$B$12*(Assumptions!$B$5+Assumptions!$B$6))</f>
        <v>0.88823602396272416</v>
      </c>
      <c r="E403" s="12">
        <f>E402+Assumptions!$B$12*(D402*Assumptions!$B$5-E402*Assumptions!$B$7)</f>
        <v>6.7496421867035639E-2</v>
      </c>
      <c r="F403" s="12">
        <f t="shared" si="18"/>
        <v>4.4267554170240198E-2</v>
      </c>
      <c r="G403" s="12">
        <f>EXP(-Assumptions!$B$8*B403)</f>
        <v>0.82078014062772475</v>
      </c>
      <c r="H403" s="12">
        <f t="shared" si="19"/>
        <v>0.72904648865873578</v>
      </c>
      <c r="I403" s="12">
        <f t="shared" si="20"/>
        <v>5.5399722631893744E-2</v>
      </c>
      <c r="J403" s="12">
        <f>G403*(D403*Assumptions!$B$6+E403*Assumptions!$B$7)</f>
        <v>1.0060451018182048E-2</v>
      </c>
    </row>
    <row r="404" spans="1:10" x14ac:dyDescent="0.2">
      <c r="A404" s="2">
        <v>396</v>
      </c>
      <c r="B404" s="14">
        <f>A404*Assumptions!$B$12</f>
        <v>3.96</v>
      </c>
      <c r="C404" s="15">
        <f>IF(A404&lt;=Assumptions!$B$13,IF(OR(A404=0,A404=Assumptions!$B$13),0.5,1),0)*Assumptions!$B$12</f>
        <v>0.01</v>
      </c>
      <c r="D404" s="12">
        <f>D403*(1-Assumptions!$B$12*(Assumptions!$B$5+Assumptions!$B$6))</f>
        <v>0.88796955315553538</v>
      </c>
      <c r="E404" s="12">
        <f>E403+Assumptions!$B$12*(D403*Assumptions!$B$5-E403*Assumptions!$B$7)</f>
        <v>6.7640320860894665E-2</v>
      </c>
      <c r="F404" s="12">
        <f t="shared" si="18"/>
        <v>4.439012598356995E-2</v>
      </c>
      <c r="G404" s="12">
        <f>EXP(-Assumptions!$B$8*B404)</f>
        <v>0.82036985313783106</v>
      </c>
      <c r="H404" s="12">
        <f t="shared" si="19"/>
        <v>0.72846345191307205</v>
      </c>
      <c r="I404" s="12">
        <f t="shared" si="20"/>
        <v>5.5490080090847924E-2</v>
      </c>
      <c r="J404" s="12">
        <f>G404*(D404*Assumptions!$B$6+E404*Assumptions!$B$7)</f>
        <v>1.0059138523673117E-2</v>
      </c>
    </row>
    <row r="405" spans="1:10" x14ac:dyDescent="0.2">
      <c r="A405" s="2">
        <v>397</v>
      </c>
      <c r="B405" s="14">
        <f>A405*Assumptions!$B$12</f>
        <v>3.97</v>
      </c>
      <c r="C405" s="15">
        <f>IF(A405&lt;=Assumptions!$B$13,IF(OR(A405=0,A405=Assumptions!$B$13),0.5,1),0)*Assumptions!$B$12</f>
        <v>0.01</v>
      </c>
      <c r="D405" s="12">
        <f>D404*(1-Assumptions!$B$12*(Assumptions!$B$5+Assumptions!$B$6))</f>
        <v>0.88770316228958879</v>
      </c>
      <c r="E405" s="12">
        <f>E404+Assumptions!$B$12*(D404*Assumptions!$B$5-E404*Assumptions!$B$7)</f>
        <v>6.778409461109533E-2</v>
      </c>
      <c r="F405" s="12">
        <f t="shared" si="18"/>
        <v>4.4512743099315882E-2</v>
      </c>
      <c r="G405" s="12">
        <f>EXP(-Assumptions!$B$8*B405)</f>
        <v>0.81995977074040483</v>
      </c>
      <c r="H405" s="12">
        <f t="shared" si="19"/>
        <v>0.72788088143650365</v>
      </c>
      <c r="I405" s="12">
        <f t="shared" si="20"/>
        <v>5.5580230677159635E-2</v>
      </c>
      <c r="J405" s="12">
        <f>G405*(D405*Assumptions!$B$6+E405*Assumptions!$B$7)</f>
        <v>1.0057820348223017E-2</v>
      </c>
    </row>
    <row r="406" spans="1:10" x14ac:dyDescent="0.2">
      <c r="A406" s="2">
        <v>398</v>
      </c>
      <c r="B406" s="14">
        <f>A406*Assumptions!$B$12</f>
        <v>3.98</v>
      </c>
      <c r="C406" s="15">
        <f>IF(A406&lt;=Assumptions!$B$13,IF(OR(A406=0,A406=Assumptions!$B$13),0.5,1),0)*Assumptions!$B$12</f>
        <v>0.01</v>
      </c>
      <c r="D406" s="12">
        <f>D405*(1-Assumptions!$B$12*(Assumptions!$B$5+Assumptions!$B$6))</f>
        <v>0.88743685134090189</v>
      </c>
      <c r="E406" s="12">
        <f>E405+Assumptions!$B$12*(D405*Assumptions!$B$5-E405*Assumptions!$B$7)</f>
        <v>6.7927743196247697E-2</v>
      </c>
      <c r="F406" s="12">
        <f t="shared" si="18"/>
        <v>4.4635405462850414E-2</v>
      </c>
      <c r="G406" s="12">
        <f>EXP(-Assumptions!$B$8*B406)</f>
        <v>0.81954989333292561</v>
      </c>
      <c r="H406" s="12">
        <f t="shared" si="19"/>
        <v>0.72729877685614353</v>
      </c>
      <c r="I406" s="12">
        <f t="shared" si="20"/>
        <v>5.5670174690831166E-2</v>
      </c>
      <c r="J406" s="12">
        <f>G406*(D406*Assumptions!$B$6+E406*Assumptions!$B$7)</f>
        <v>1.0056496503102993E-2</v>
      </c>
    </row>
    <row r="407" spans="1:10" x14ac:dyDescent="0.2">
      <c r="A407" s="2">
        <v>399</v>
      </c>
      <c r="B407" s="14">
        <f>A407*Assumptions!$B$12</f>
        <v>3.99</v>
      </c>
      <c r="C407" s="15">
        <f>IF(A407&lt;=Assumptions!$B$13,IF(OR(A407=0,A407=Assumptions!$B$13),0.5,1),0)*Assumptions!$B$12</f>
        <v>0.01</v>
      </c>
      <c r="D407" s="12">
        <f>D406*(1-Assumptions!$B$12*(Assumptions!$B$5+Assumptions!$B$6))</f>
        <v>0.88717062028549964</v>
      </c>
      <c r="E407" s="12">
        <f>E406+Assumptions!$B$12*(D406*Assumptions!$B$5-E406*Assumptions!$B$7)</f>
        <v>6.8071266694917754E-2</v>
      </c>
      <c r="F407" s="12">
        <f t="shared" si="18"/>
        <v>4.4758113019582602E-2</v>
      </c>
      <c r="G407" s="12">
        <f>EXP(-Assumptions!$B$8*B407)</f>
        <v>0.81914022081292404</v>
      </c>
      <c r="H407" s="12">
        <f t="shared" si="19"/>
        <v>0.72671713779940295</v>
      </c>
      <c r="I407" s="12">
        <f t="shared" si="20"/>
        <v>5.5759912431490373E-2</v>
      </c>
      <c r="J407" s="12">
        <f>G407*(D407*Assumptions!$B$6+E407*Assumptions!$B$7)</f>
        <v>1.0055166999568549E-2</v>
      </c>
    </row>
    <row r="408" spans="1:10" x14ac:dyDescent="0.2">
      <c r="A408" s="2">
        <v>400</v>
      </c>
      <c r="B408" s="14">
        <f>A408*Assumptions!$B$12</f>
        <v>4</v>
      </c>
      <c r="C408" s="15">
        <f>IF(A408&lt;=Assumptions!$B$13,IF(OR(A408=0,A408=Assumptions!$B$13),0.5,1),0)*Assumptions!$B$12</f>
        <v>0.01</v>
      </c>
      <c r="D408" s="12">
        <f>D407*(1-Assumptions!$B$12*(Assumptions!$B$5+Assumptions!$B$6))</f>
        <v>0.88690446909941401</v>
      </c>
      <c r="E408" s="12">
        <f>E407+Assumptions!$B$12*(D407*Assumptions!$B$5-E407*Assumptions!$B$7)</f>
        <v>6.8214665185627396E-2</v>
      </c>
      <c r="F408" s="12">
        <f t="shared" si="18"/>
        <v>4.4880865714958598E-2</v>
      </c>
      <c r="G408" s="12">
        <f>EXP(-Assumptions!$B$8*B408)</f>
        <v>0.81873075307798182</v>
      </c>
      <c r="H408" s="12">
        <f t="shared" si="19"/>
        <v>0.72613596389399093</v>
      </c>
      <c r="I408" s="12">
        <f t="shared" si="20"/>
        <v>5.5849444198391107E-2</v>
      </c>
      <c r="J408" s="12">
        <f>G408*(D408*Assumptions!$B$6+E408*Assumptions!$B$7)</f>
        <v>1.0053831848859465E-2</v>
      </c>
    </row>
    <row r="409" spans="1:10" x14ac:dyDescent="0.2">
      <c r="A409" s="2">
        <v>401</v>
      </c>
      <c r="B409" s="14">
        <f>A409*Assumptions!$B$12</f>
        <v>4.01</v>
      </c>
      <c r="C409" s="15">
        <f>IF(A409&lt;=Assumptions!$B$13,IF(OR(A409=0,A409=Assumptions!$B$13),0.5,1),0)*Assumptions!$B$12</f>
        <v>0.01</v>
      </c>
      <c r="D409" s="12">
        <f>D408*(1-Assumptions!$B$12*(Assumptions!$B$5+Assumptions!$B$6))</f>
        <v>0.88663839775868425</v>
      </c>
      <c r="E409" s="12">
        <f>E408+Assumptions!$B$12*(D408*Assumptions!$B$5-E408*Assumptions!$B$7)</f>
        <v>6.835793874685446E-2</v>
      </c>
      <c r="F409" s="12">
        <f t="shared" si="18"/>
        <v>4.5003663494461291E-2</v>
      </c>
      <c r="G409" s="12">
        <f>EXP(-Assumptions!$B$8*B409)</f>
        <v>0.81832149002573229</v>
      </c>
      <c r="H409" s="12">
        <f t="shared" si="19"/>
        <v>0.72555525476791438</v>
      </c>
      <c r="I409" s="12">
        <f t="shared" si="20"/>
        <v>5.5938770290413678E-2</v>
      </c>
      <c r="J409" s="12">
        <f>G409*(D409*Assumptions!$B$6+E409*Assumptions!$B$7)</f>
        <v>1.0052491062199829E-2</v>
      </c>
    </row>
    <row r="410" spans="1:10" x14ac:dyDescent="0.2">
      <c r="A410" s="2">
        <v>402</v>
      </c>
      <c r="B410" s="14">
        <f>A410*Assumptions!$B$12</f>
        <v>4.0200000000000005</v>
      </c>
      <c r="C410" s="15">
        <f>IF(A410&lt;=Assumptions!$B$13,IF(OR(A410=0,A410=Assumptions!$B$13),0.5,1),0)*Assumptions!$B$12</f>
        <v>0.01</v>
      </c>
      <c r="D410" s="12">
        <f>D409*(1-Assumptions!$B$12*(Assumptions!$B$5+Assumptions!$B$6))</f>
        <v>0.88637240623935665</v>
      </c>
      <c r="E410" s="12">
        <f>E409+Assumptions!$B$12*(D409*Assumptions!$B$5-E409*Assumptions!$B$7)</f>
        <v>6.8501087457032775E-2</v>
      </c>
      <c r="F410" s="12">
        <f t="shared" si="18"/>
        <v>4.5126506303610578E-2</v>
      </c>
      <c r="G410" s="12">
        <f>EXP(-Assumptions!$B$8*B410)</f>
        <v>0.8179124315538594</v>
      </c>
      <c r="H410" s="12">
        <f t="shared" si="19"/>
        <v>0.7249750100494774</v>
      </c>
      <c r="I410" s="12">
        <f t="shared" si="20"/>
        <v>5.6027891006065256E-2</v>
      </c>
      <c r="J410" s="12">
        <f>G410*(D410*Assumptions!$B$6+E410*Assumptions!$B$7)</f>
        <v>1.0051144650798037E-2</v>
      </c>
    </row>
    <row r="411" spans="1:10" x14ac:dyDescent="0.2">
      <c r="A411" s="2">
        <v>403</v>
      </c>
      <c r="B411" s="14">
        <f>A411*Assumptions!$B$12</f>
        <v>4.03</v>
      </c>
      <c r="C411" s="15">
        <f>IF(A411&lt;=Assumptions!$B$13,IF(OR(A411=0,A411=Assumptions!$B$13),0.5,1),0)*Assumptions!$B$12</f>
        <v>0.01</v>
      </c>
      <c r="D411" s="12">
        <f>D410*(1-Assumptions!$B$12*(Assumptions!$B$5+Assumptions!$B$6))</f>
        <v>0.88610649451748491</v>
      </c>
      <c r="E411" s="12">
        <f>E410+Assumptions!$B$12*(D410*Assumptions!$B$5-E410*Assumptions!$B$7)</f>
        <v>6.8644111394552135E-2</v>
      </c>
      <c r="F411" s="12">
        <f t="shared" si="18"/>
        <v>4.5249394087962955E-2</v>
      </c>
      <c r="G411" s="12">
        <f>EXP(-Assumptions!$B$8*B411)</f>
        <v>0.81750357756009873</v>
      </c>
      <c r="H411" s="12">
        <f t="shared" si="19"/>
        <v>0.72439522936728196</v>
      </c>
      <c r="I411" s="12">
        <f t="shared" si="20"/>
        <v>5.6116806643480309E-2</v>
      </c>
      <c r="J411" s="12">
        <f>G411*(D411*Assumptions!$B$6+E411*Assumptions!$B$7)</f>
        <v>1.0049792625846835E-2</v>
      </c>
    </row>
    <row r="412" spans="1:10" x14ac:dyDescent="0.2">
      <c r="A412" s="2">
        <v>404</v>
      </c>
      <c r="B412" s="14">
        <f>A412*Assumptions!$B$12</f>
        <v>4.04</v>
      </c>
      <c r="C412" s="15">
        <f>IF(A412&lt;=Assumptions!$B$13,IF(OR(A412=0,A412=Assumptions!$B$13),0.5,1),0)*Assumptions!$B$12</f>
        <v>0.01</v>
      </c>
      <c r="D412" s="12">
        <f>D411*(1-Assumptions!$B$12*(Assumptions!$B$5+Assumptions!$B$6))</f>
        <v>0.88584066256912974</v>
      </c>
      <c r="E412" s="12">
        <f>E411+Assumptions!$B$12*(D411*Assumptions!$B$5-E411*Assumptions!$B$7)</f>
        <v>6.8787010637758356E-2</v>
      </c>
      <c r="F412" s="12">
        <f t="shared" si="18"/>
        <v>4.53723267931119E-2</v>
      </c>
      <c r="G412" s="12">
        <f>EXP(-Assumptions!$B$8*B412)</f>
        <v>0.81709492794223659</v>
      </c>
      <c r="H412" s="12">
        <f t="shared" si="19"/>
        <v>0.72381591235022624</v>
      </c>
      <c r="I412" s="12">
        <f t="shared" si="20"/>
        <v>5.6205517500421028E-2</v>
      </c>
      <c r="J412" s="12">
        <f>G412*(D412*Assumptions!$B$6+E412*Assumptions!$B$7)</f>
        <v>1.0048434998523315E-2</v>
      </c>
    </row>
    <row r="413" spans="1:10" x14ac:dyDescent="0.2">
      <c r="A413" s="2">
        <v>405</v>
      </c>
      <c r="B413" s="14">
        <f>A413*Assumptions!$B$12</f>
        <v>4.05</v>
      </c>
      <c r="C413" s="15">
        <f>IF(A413&lt;=Assumptions!$B$13,IF(OR(A413=0,A413=Assumptions!$B$13),0.5,1),0)*Assumptions!$B$12</f>
        <v>0.01</v>
      </c>
      <c r="D413" s="12">
        <f>D412*(1-Assumptions!$B$12*(Assumptions!$B$5+Assumptions!$B$6))</f>
        <v>0.88557491037035907</v>
      </c>
      <c r="E413" s="12">
        <f>E412+Assumptions!$B$12*(D412*Assumptions!$B$5-E412*Assumptions!$B$7)</f>
        <v>6.8929785264953303E-2</v>
      </c>
      <c r="F413" s="12">
        <f t="shared" si="18"/>
        <v>4.5495304364687628E-2</v>
      </c>
      <c r="G413" s="12">
        <f>EXP(-Assumptions!$B$8*B413)</f>
        <v>0.81668648259811083</v>
      </c>
      <c r="H413" s="12">
        <f t="shared" si="19"/>
        <v>0.72323705862750576</v>
      </c>
      <c r="I413" s="12">
        <f t="shared" si="20"/>
        <v>5.6294023874277802E-2</v>
      </c>
      <c r="J413" s="12">
        <f>G413*(D413*Assumptions!$B$6+E413*Assumptions!$B$7)</f>
        <v>1.0047071779988948E-2</v>
      </c>
    </row>
    <row r="414" spans="1:10" x14ac:dyDescent="0.2">
      <c r="A414" s="2">
        <v>406</v>
      </c>
      <c r="B414" s="14">
        <f>A414*Assumptions!$B$12</f>
        <v>4.0600000000000005</v>
      </c>
      <c r="C414" s="15">
        <f>IF(A414&lt;=Assumptions!$B$13,IF(OR(A414=0,A414=Assumptions!$B$13),0.5,1),0)*Assumptions!$B$12</f>
        <v>0.01</v>
      </c>
      <c r="D414" s="12">
        <f>D413*(1-Assumptions!$B$12*(Assumptions!$B$5+Assumptions!$B$6))</f>
        <v>0.88530923789724802</v>
      </c>
      <c r="E414" s="12">
        <f>E413+Assumptions!$B$12*(D413*Assumptions!$B$5-E413*Assumptions!$B$7)</f>
        <v>6.9072435354394904E-2</v>
      </c>
      <c r="F414" s="12">
        <f t="shared" si="18"/>
        <v>4.5618326748357071E-2</v>
      </c>
      <c r="G414" s="12">
        <f>EXP(-Assumptions!$B$8*B414)</f>
        <v>0.8162782414256099</v>
      </c>
      <c r="H414" s="12">
        <f t="shared" si="19"/>
        <v>0.72265866782861254</v>
      </c>
      <c r="I414" s="12">
        <f t="shared" si="20"/>
        <v>5.6382326062069596E-2</v>
      </c>
      <c r="J414" s="12">
        <f>G414*(D414*Assumptions!$B$6+E414*Assumptions!$B$7)</f>
        <v>1.0045702981389605E-2</v>
      </c>
    </row>
    <row r="415" spans="1:10" x14ac:dyDescent="0.2">
      <c r="A415" s="2">
        <v>407</v>
      </c>
      <c r="B415" s="14">
        <f>A415*Assumptions!$B$12</f>
        <v>4.07</v>
      </c>
      <c r="C415" s="15">
        <f>IF(A415&lt;=Assumptions!$B$13,IF(OR(A415=0,A415=Assumptions!$B$13),0.5,1),0)*Assumptions!$B$12</f>
        <v>0.01</v>
      </c>
      <c r="D415" s="12">
        <f>D414*(1-Assumptions!$B$12*(Assumptions!$B$5+Assumptions!$B$6))</f>
        <v>0.88504364512587885</v>
      </c>
      <c r="E415" s="12">
        <f>E414+Assumptions!$B$12*(D414*Assumptions!$B$5-E414*Assumptions!$B$7)</f>
        <v>6.921496098429715E-2</v>
      </c>
      <c r="F415" s="12">
        <f t="shared" si="18"/>
        <v>4.5741393889823997E-2</v>
      </c>
      <c r="G415" s="12">
        <f>EXP(-Assumptions!$B$8*B415)</f>
        <v>0.81587020432267365</v>
      </c>
      <c r="H415" s="12">
        <f t="shared" si="19"/>
        <v>0.72208073958333463</v>
      </c>
      <c r="I415" s="12">
        <f t="shared" si="20"/>
        <v>5.6470424360444402E-2</v>
      </c>
      <c r="J415" s="12">
        <f>G415*(D415*Assumptions!$B$6+E415*Assumptions!$B$7)</f>
        <v>1.0044328613855567E-2</v>
      </c>
    </row>
    <row r="416" spans="1:10" x14ac:dyDescent="0.2">
      <c r="A416" s="2">
        <v>408</v>
      </c>
      <c r="B416" s="14">
        <f>A416*Assumptions!$B$12</f>
        <v>4.08</v>
      </c>
      <c r="C416" s="15">
        <f>IF(A416&lt;=Assumptions!$B$13,IF(OR(A416=0,A416=Assumptions!$B$13),0.5,1),0)*Assumptions!$B$12</f>
        <v>0.01</v>
      </c>
      <c r="D416" s="12">
        <f>D415*(1-Assumptions!$B$12*(Assumptions!$B$5+Assumptions!$B$6))</f>
        <v>0.88477813203234112</v>
      </c>
      <c r="E416" s="12">
        <f>E415+Assumptions!$B$12*(D415*Assumptions!$B$5-E415*Assumptions!$B$7)</f>
        <v>6.9357362232830178E-2</v>
      </c>
      <c r="F416" s="12">
        <f t="shared" si="18"/>
        <v>4.5864505734828698E-2</v>
      </c>
      <c r="G416" s="12">
        <f>EXP(-Assumptions!$B$8*B416)</f>
        <v>0.8154623711872927</v>
      </c>
      <c r="H416" s="12">
        <f t="shared" si="19"/>
        <v>0.72150327352175647</v>
      </c>
      <c r="I416" s="12">
        <f t="shared" si="20"/>
        <v>5.655831906567968E-2</v>
      </c>
      <c r="J416" s="12">
        <f>G416*(D416*Assumptions!$B$6+E416*Assumptions!$B$7)</f>
        <v>1.0042948688501549E-2</v>
      </c>
    </row>
    <row r="417" spans="1:10" x14ac:dyDescent="0.2">
      <c r="A417" s="2">
        <v>409</v>
      </c>
      <c r="B417" s="14">
        <f>A417*Assumptions!$B$12</f>
        <v>4.09</v>
      </c>
      <c r="C417" s="15">
        <f>IF(A417&lt;=Assumptions!$B$13,IF(OR(A417=0,A417=Assumptions!$B$13),0.5,1),0)*Assumptions!$B$12</f>
        <v>0.01</v>
      </c>
      <c r="D417" s="12">
        <f>D416*(1-Assumptions!$B$12*(Assumptions!$B$5+Assumptions!$B$6))</f>
        <v>0.88451269859273141</v>
      </c>
      <c r="E417" s="12">
        <f>E416+Assumptions!$B$12*(D416*Assumptions!$B$5-E416*Assumptions!$B$7)</f>
        <v>6.9499639178120229E-2</v>
      </c>
      <c r="F417" s="12">
        <f t="shared" si="18"/>
        <v>4.5987662229148366E-2</v>
      </c>
      <c r="G417" s="12">
        <f>EXP(-Assumptions!$B$8*B417)</f>
        <v>0.81505474191750871</v>
      </c>
      <c r="H417" s="12">
        <f t="shared" si="19"/>
        <v>0.72092626927425785</v>
      </c>
      <c r="I417" s="12">
        <f t="shared" si="20"/>
        <v>5.6646010473682763E-2</v>
      </c>
      <c r="J417" s="12">
        <f>G417*(D417*Assumptions!$B$6+E417*Assumptions!$B$7)</f>
        <v>1.0041563216426717E-2</v>
      </c>
    </row>
    <row r="418" spans="1:10" x14ac:dyDescent="0.2">
      <c r="A418" s="2">
        <v>410</v>
      </c>
      <c r="B418" s="14">
        <f>A418*Assumptions!$B$12</f>
        <v>4.0999999999999996</v>
      </c>
      <c r="C418" s="15">
        <f>IF(A418&lt;=Assumptions!$B$13,IF(OR(A418=0,A418=Assumptions!$B$13),0.5,1),0)*Assumptions!$B$12</f>
        <v>0.01</v>
      </c>
      <c r="D418" s="12">
        <f>D417*(1-Assumptions!$B$12*(Assumptions!$B$5+Assumptions!$B$6))</f>
        <v>0.88424734478315359</v>
      </c>
      <c r="E418" s="12">
        <f>E417+Assumptions!$B$12*(D417*Assumptions!$B$5-E417*Assumptions!$B$7)</f>
        <v>6.9641791898249719E-2</v>
      </c>
      <c r="F418" s="12">
        <f t="shared" si="18"/>
        <v>4.6110863318596693E-2</v>
      </c>
      <c r="G418" s="12">
        <f>EXP(-Assumptions!$B$8*B418)</f>
        <v>0.81464731641141452</v>
      </c>
      <c r="H418" s="12">
        <f t="shared" si="19"/>
        <v>0.72034972647151485</v>
      </c>
      <c r="I418" s="12">
        <f t="shared" si="20"/>
        <v>5.6733498879991323E-2</v>
      </c>
      <c r="J418" s="12">
        <f>G418*(D418*Assumptions!$B$6+E418*Assumptions!$B$7)</f>
        <v>1.0040172208714716E-2</v>
      </c>
    </row>
    <row r="419" spans="1:10" x14ac:dyDescent="0.2">
      <c r="A419" s="2">
        <v>411</v>
      </c>
      <c r="B419" s="14">
        <f>A419*Assumptions!$B$12</f>
        <v>4.1100000000000003</v>
      </c>
      <c r="C419" s="15">
        <f>IF(A419&lt;=Assumptions!$B$13,IF(OR(A419=0,A419=Assumptions!$B$13),0.5,1),0)*Assumptions!$B$12</f>
        <v>0.01</v>
      </c>
      <c r="D419" s="12">
        <f>D418*(1-Assumptions!$B$12*(Assumptions!$B$5+Assumptions!$B$6))</f>
        <v>0.88398207057971867</v>
      </c>
      <c r="E419" s="12">
        <f>E418+Assumptions!$B$12*(D418*Assumptions!$B$5-E418*Assumptions!$B$7)</f>
        <v>6.9783820471257224E-2</v>
      </c>
      <c r="F419" s="12">
        <f t="shared" si="18"/>
        <v>4.6234108949024105E-2</v>
      </c>
      <c r="G419" s="12">
        <f>EXP(-Assumptions!$B$8*B419)</f>
        <v>0.81424009456715363</v>
      </c>
      <c r="H419" s="12">
        <f t="shared" si="19"/>
        <v>0.71977364474449845</v>
      </c>
      <c r="I419" s="12">
        <f t="shared" si="20"/>
        <v>5.6820784579773756E-2</v>
      </c>
      <c r="J419" s="12">
        <f>G419*(D419*Assumptions!$B$6+E419*Assumptions!$B$7)</f>
        <v>1.0038775676433671E-2</v>
      </c>
    </row>
    <row r="420" spans="1:10" x14ac:dyDescent="0.2">
      <c r="A420" s="2">
        <v>412</v>
      </c>
      <c r="B420" s="14">
        <f>A420*Assumptions!$B$12</f>
        <v>4.12</v>
      </c>
      <c r="C420" s="15">
        <f>IF(A420&lt;=Assumptions!$B$13,IF(OR(A420=0,A420=Assumptions!$B$13),0.5,1),0)*Assumptions!$B$12</f>
        <v>0.01</v>
      </c>
      <c r="D420" s="12">
        <f>D419*(1-Assumptions!$B$12*(Assumptions!$B$5+Assumptions!$B$6))</f>
        <v>0.88371687595854476</v>
      </c>
      <c r="E420" s="12">
        <f>E419+Assumptions!$B$12*(D419*Assumptions!$B$5-E419*Assumptions!$B$7)</f>
        <v>6.9925724975137535E-2</v>
      </c>
      <c r="F420" s="12">
        <f t="shared" si="18"/>
        <v>4.6357399066317709E-2</v>
      </c>
      <c r="G420" s="12">
        <f>EXP(-Assumptions!$B$8*B420)</f>
        <v>0.81383307628292068</v>
      </c>
      <c r="H420" s="12">
        <f t="shared" si="19"/>
        <v>0.71919802372447472</v>
      </c>
      <c r="I420" s="12">
        <f t="shared" si="20"/>
        <v>5.6907867867829635E-2</v>
      </c>
      <c r="J420" s="12">
        <f>G420*(D420*Assumptions!$B$6+E420*Assumptions!$B$7)</f>
        <v>1.0037373630636229E-2</v>
      </c>
    </row>
    <row r="421" spans="1:10" x14ac:dyDescent="0.2">
      <c r="A421" s="2">
        <v>413</v>
      </c>
      <c r="B421" s="14">
        <f>A421*Assumptions!$B$12</f>
        <v>4.13</v>
      </c>
      <c r="C421" s="15">
        <f>IF(A421&lt;=Assumptions!$B$13,IF(OR(A421=0,A421=Assumptions!$B$13),0.5,1),0)*Assumptions!$B$12</f>
        <v>0.01</v>
      </c>
      <c r="D421" s="12">
        <f>D420*(1-Assumptions!$B$12*(Assumptions!$B$5+Assumptions!$B$6))</f>
        <v>0.88345176089575728</v>
      </c>
      <c r="E421" s="12">
        <f>E420+Assumptions!$B$12*(D420*Assumptions!$B$5-E420*Assumptions!$B$7)</f>
        <v>7.0067505487841672E-2</v>
      </c>
      <c r="F421" s="12">
        <f t="shared" si="18"/>
        <v>4.6480733616401052E-2</v>
      </c>
      <c r="G421" s="12">
        <f>EXP(-Assumptions!$B$8*B421)</f>
        <v>0.81342626145696106</v>
      </c>
      <c r="H421" s="12">
        <f t="shared" si="19"/>
        <v>0.71862286304300493</v>
      </c>
      <c r="I421" s="12">
        <f t="shared" si="20"/>
        <v>5.6994749038590156E-2</v>
      </c>
      <c r="J421" s="12">
        <f>G421*(D421*Assumptions!$B$6+E421*Assumptions!$B$7)</f>
        <v>1.0035966082359557E-2</v>
      </c>
    </row>
    <row r="422" spans="1:10" x14ac:dyDescent="0.2">
      <c r="A422" s="2">
        <v>414</v>
      </c>
      <c r="B422" s="14">
        <f>A422*Assumptions!$B$12</f>
        <v>4.1399999999999997</v>
      </c>
      <c r="C422" s="15">
        <f>IF(A422&lt;=Assumptions!$B$13,IF(OR(A422=0,A422=Assumptions!$B$13),0.5,1),0)*Assumptions!$B$12</f>
        <v>0.01</v>
      </c>
      <c r="D422" s="12">
        <f>D421*(1-Assumptions!$B$12*(Assumptions!$B$5+Assumptions!$B$6))</f>
        <v>0.88318672536748855</v>
      </c>
      <c r="E422" s="12">
        <f>E421+Assumptions!$B$12*(D421*Assumptions!$B$5-E421*Assumptions!$B$7)</f>
        <v>7.02091620872769E-2</v>
      </c>
      <c r="F422" s="12">
        <f t="shared" si="18"/>
        <v>4.6604112545234555E-2</v>
      </c>
      <c r="G422" s="12">
        <f>EXP(-Assumptions!$B$8*B422)</f>
        <v>0.81301964998757104</v>
      </c>
      <c r="H422" s="12">
        <f t="shared" si="19"/>
        <v>0.71804816233194457</v>
      </c>
      <c r="I422" s="12">
        <f t="shared" si="20"/>
        <v>5.7081428386118509E-2</v>
      </c>
      <c r="J422" s="12">
        <f>G422*(D422*Assumptions!$B$6+E422*Assumptions!$B$7)</f>
        <v>1.003455304262537E-2</v>
      </c>
    </row>
    <row r="423" spans="1:10" x14ac:dyDescent="0.2">
      <c r="A423" s="2">
        <v>415</v>
      </c>
      <c r="B423" s="14">
        <f>A423*Assumptions!$B$12</f>
        <v>4.1500000000000004</v>
      </c>
      <c r="C423" s="15">
        <f>IF(A423&lt;=Assumptions!$B$13,IF(OR(A423=0,A423=Assumptions!$B$13),0.5,1),0)*Assumptions!$B$12</f>
        <v>0.01</v>
      </c>
      <c r="D423" s="12">
        <f>D422*(1-Assumptions!$B$12*(Assumptions!$B$5+Assumptions!$B$6))</f>
        <v>0.88292176934987832</v>
      </c>
      <c r="E423" s="12">
        <f>E422+Assumptions!$B$12*(D422*Assumptions!$B$5-E422*Assumptions!$B$7)</f>
        <v>7.0350694851306753E-2</v>
      </c>
      <c r="F423" s="12">
        <f t="shared" si="18"/>
        <v>4.6727535798814931E-2</v>
      </c>
      <c r="G423" s="12">
        <f>EXP(-Assumptions!$B$8*B423)</f>
        <v>0.81261324177309768</v>
      </c>
      <c r="H423" s="12">
        <f t="shared" si="19"/>
        <v>0.71747392122344389</v>
      </c>
      <c r="I423" s="12">
        <f t="shared" si="20"/>
        <v>5.7167906204110351E-2</v>
      </c>
      <c r="J423" s="12">
        <f>G423*(D423*Assumptions!$B$6+E423*Assumptions!$B$7)</f>
        <v>1.0033134522439957E-2</v>
      </c>
    </row>
    <row r="424" spans="1:10" x14ac:dyDescent="0.2">
      <c r="A424" s="2">
        <v>416</v>
      </c>
      <c r="B424" s="14">
        <f>A424*Assumptions!$B$12</f>
        <v>4.16</v>
      </c>
      <c r="C424" s="15">
        <f>IF(A424&lt;=Assumptions!$B$13,IF(OR(A424=0,A424=Assumptions!$B$13),0.5,1),0)*Assumptions!$B$12</f>
        <v>0.01</v>
      </c>
      <c r="D424" s="12">
        <f>D423*(1-Assumptions!$B$12*(Assumptions!$B$5+Assumptions!$B$6))</f>
        <v>0.88265689281907334</v>
      </c>
      <c r="E424" s="12">
        <f>E423+Assumptions!$B$12*(D423*Assumptions!$B$5-E423*Assumptions!$B$7)</f>
        <v>7.0492103857751079E-2</v>
      </c>
      <c r="F424" s="12">
        <f t="shared" si="18"/>
        <v>4.6851003323175586E-2</v>
      </c>
      <c r="G424" s="12">
        <f>EXP(-Assumptions!$B$8*B424)</f>
        <v>0.81220703671193895</v>
      </c>
      <c r="H424" s="12">
        <f t="shared" si="19"/>
        <v>0.71690013934994701</v>
      </c>
      <c r="I424" s="12">
        <f t="shared" si="20"/>
        <v>5.7254182785894246E-2</v>
      </c>
      <c r="J424" s="12">
        <f>G424*(D424*Assumptions!$B$6+E424*Assumptions!$B$7)</f>
        <v>1.0031710532794185E-2</v>
      </c>
    </row>
    <row r="425" spans="1:10" x14ac:dyDescent="0.2">
      <c r="A425" s="2">
        <v>417</v>
      </c>
      <c r="B425" s="14">
        <f>A425*Assumptions!$B$12</f>
        <v>4.17</v>
      </c>
      <c r="C425" s="15">
        <f>IF(A425&lt;=Assumptions!$B$13,IF(OR(A425=0,A425=Assumptions!$B$13),0.5,1),0)*Assumptions!$B$12</f>
        <v>0.01</v>
      </c>
      <c r="D425" s="12">
        <f>D424*(1-Assumptions!$B$12*(Assumptions!$B$5+Assumptions!$B$6))</f>
        <v>0.88239209575122768</v>
      </c>
      <c r="E425" s="12">
        <f>E424+Assumptions!$B$12*(D424*Assumptions!$B$5-E424*Assumptions!$B$7)</f>
        <v>7.0633389184386011E-2</v>
      </c>
      <c r="F425" s="12">
        <f t="shared" si="18"/>
        <v>4.697451506438631E-2</v>
      </c>
      <c r="G425" s="12">
        <f>EXP(-Assumptions!$B$8*B425)</f>
        <v>0.81180103470254372</v>
      </c>
      <c r="H425" s="12">
        <f t="shared" si="19"/>
        <v>0.71632681634419271</v>
      </c>
      <c r="I425" s="12">
        <f t="shared" si="20"/>
        <v>5.7340258424432022E-2</v>
      </c>
      <c r="J425" s="12">
        <f>G425*(D425*Assumptions!$B$6+E425*Assumptions!$B$7)</f>
        <v>1.0030281084663528E-2</v>
      </c>
    </row>
    <row r="426" spans="1:10" x14ac:dyDescent="0.2">
      <c r="A426" s="2">
        <v>418</v>
      </c>
      <c r="B426" s="14">
        <f>A426*Assumptions!$B$12</f>
        <v>4.18</v>
      </c>
      <c r="C426" s="15">
        <f>IF(A426&lt;=Assumptions!$B$13,IF(OR(A426=0,A426=Assumptions!$B$13),0.5,1),0)*Assumptions!$B$12</f>
        <v>0.01</v>
      </c>
      <c r="D426" s="12">
        <f>D425*(1-Assumptions!$B$12*(Assumptions!$B$5+Assumptions!$B$6))</f>
        <v>0.8821273781225023</v>
      </c>
      <c r="E426" s="12">
        <f>E425+Assumptions!$B$12*(D425*Assumptions!$B$5-E425*Assumptions!$B$7)</f>
        <v>7.0774550908944064E-2</v>
      </c>
      <c r="F426" s="12">
        <f t="shared" si="18"/>
        <v>4.7098070968553632E-2</v>
      </c>
      <c r="G426" s="12">
        <f>EXP(-Assumptions!$B$8*B426)</f>
        <v>0.81139523564341143</v>
      </c>
      <c r="H426" s="12">
        <f t="shared" si="19"/>
        <v>0.71575395183921242</v>
      </c>
      <c r="I426" s="12">
        <f t="shared" si="20"/>
        <v>5.7426133412319287E-2</v>
      </c>
      <c r="J426" s="12">
        <f>G426*(D426*Assumptions!$B$6+E426*Assumptions!$B$7)</f>
        <v>1.002884618900809E-2</v>
      </c>
    </row>
    <row r="427" spans="1:10" x14ac:dyDescent="0.2">
      <c r="A427" s="2">
        <v>419</v>
      </c>
      <c r="B427" s="14">
        <f>A427*Assumptions!$B$12</f>
        <v>4.1900000000000004</v>
      </c>
      <c r="C427" s="15">
        <f>IF(A427&lt;=Assumptions!$B$13,IF(OR(A427=0,A427=Assumptions!$B$13),0.5,1),0)*Assumptions!$B$12</f>
        <v>0.01</v>
      </c>
      <c r="D427" s="12">
        <f>D426*(1-Assumptions!$B$12*(Assumptions!$B$5+Assumptions!$B$6))</f>
        <v>0.88186273990906561</v>
      </c>
      <c r="E427" s="12">
        <f>E426+Assumptions!$B$12*(D426*Assumptions!$B$5-E426*Assumptions!$B$7)</f>
        <v>7.0915589109114094E-2</v>
      </c>
      <c r="F427" s="12">
        <f t="shared" si="18"/>
        <v>4.7221670981820299E-2</v>
      </c>
      <c r="G427" s="12">
        <f>EXP(-Assumptions!$B$8*B427)</f>
        <v>0.81098963943309221</v>
      </c>
      <c r="H427" s="12">
        <f t="shared" si="19"/>
        <v>0.7151815454683319</v>
      </c>
      <c r="I427" s="12">
        <f t="shared" si="20"/>
        <v>5.751180804178576E-2</v>
      </c>
      <c r="J427" s="12">
        <f>G427*(D427*Assumptions!$B$6+E427*Assumptions!$B$7)</f>
        <v>1.0027405856772607E-2</v>
      </c>
    </row>
    <row r="428" spans="1:10" x14ac:dyDescent="0.2">
      <c r="A428" s="2">
        <v>420</v>
      </c>
      <c r="B428" s="14">
        <f>A428*Assumptions!$B$12</f>
        <v>4.2</v>
      </c>
      <c r="C428" s="15">
        <f>IF(A428&lt;=Assumptions!$B$13,IF(OR(A428=0,A428=Assumptions!$B$13),0.5,1),0)*Assumptions!$B$12</f>
        <v>0.01</v>
      </c>
      <c r="D428" s="12">
        <f>D427*(1-Assumptions!$B$12*(Assumptions!$B$5+Assumptions!$B$6))</f>
        <v>0.88159818108709287</v>
      </c>
      <c r="E428" s="12">
        <f>E427+Assumptions!$B$12*(D427*Assumptions!$B$5-E427*Assumptions!$B$7)</f>
        <v>7.1056503862541351E-2</v>
      </c>
      <c r="F428" s="12">
        <f t="shared" si="18"/>
        <v>4.734531505036578E-2</v>
      </c>
      <c r="G428" s="12">
        <f>EXP(-Assumptions!$B$8*B428)</f>
        <v>0.81058424597018708</v>
      </c>
      <c r="H428" s="12">
        <f t="shared" si="19"/>
        <v>0.71460959686516967</v>
      </c>
      <c r="I428" s="12">
        <f t="shared" si="20"/>
        <v>5.7597282604695765E-2</v>
      </c>
      <c r="J428" s="12">
        <f>G428*(D428*Assumptions!$B$6+E428*Assumptions!$B$7)</f>
        <v>1.0025960098886484E-2</v>
      </c>
    </row>
    <row r="429" spans="1:10" x14ac:dyDescent="0.2">
      <c r="A429" s="2">
        <v>421</v>
      </c>
      <c r="B429" s="14">
        <f>A429*Assumptions!$B$12</f>
        <v>4.21</v>
      </c>
      <c r="C429" s="15">
        <f>IF(A429&lt;=Assumptions!$B$13,IF(OR(A429=0,A429=Assumptions!$B$13),0.5,1),0)*Assumptions!$B$12</f>
        <v>0.01</v>
      </c>
      <c r="D429" s="12">
        <f>D428*(1-Assumptions!$B$12*(Assumptions!$B$5+Assumptions!$B$6))</f>
        <v>0.88133370163276681</v>
      </c>
      <c r="E429" s="12">
        <f>E428+Assumptions!$B$12*(D428*Assumptions!$B$5-E428*Assumptions!$B$7)</f>
        <v>7.1197295246827497E-2</v>
      </c>
      <c r="F429" s="12">
        <f t="shared" si="18"/>
        <v>4.7469003120405695E-2</v>
      </c>
      <c r="G429" s="12">
        <f>EXP(-Assumptions!$B$8*B429)</f>
        <v>0.81017905515334765</v>
      </c>
      <c r="H429" s="12">
        <f t="shared" si="19"/>
        <v>0.71403810566363746</v>
      </c>
      <c r="I429" s="12">
        <f t="shared" si="20"/>
        <v>5.7682557392548628E-2</v>
      </c>
      <c r="J429" s="12">
        <f>G429*(D429*Assumptions!$B$6+E429*Assumptions!$B$7)</f>
        <v>1.0024508926263805E-2</v>
      </c>
    </row>
    <row r="430" spans="1:10" x14ac:dyDescent="0.2">
      <c r="A430" s="2">
        <v>422</v>
      </c>
      <c r="B430" s="14">
        <f>A430*Assumptions!$B$12</f>
        <v>4.22</v>
      </c>
      <c r="C430" s="15">
        <f>IF(A430&lt;=Assumptions!$B$13,IF(OR(A430=0,A430=Assumptions!$B$13),0.5,1),0)*Assumptions!$B$12</f>
        <v>0.01</v>
      </c>
      <c r="D430" s="12">
        <f>D429*(1-Assumptions!$B$12*(Assumptions!$B$5+Assumptions!$B$6))</f>
        <v>0.88106930152227703</v>
      </c>
      <c r="E430" s="12">
        <f>E429+Assumptions!$B$12*(D429*Assumptions!$B$5-E429*Assumptions!$B$7)</f>
        <v>7.133796333953063E-2</v>
      </c>
      <c r="F430" s="12">
        <f t="shared" si="18"/>
        <v>4.7592735138192344E-2</v>
      </c>
      <c r="G430" s="12">
        <f>EXP(-Assumptions!$B$8*B430)</f>
        <v>0.80977406688127629</v>
      </c>
      <c r="H430" s="12">
        <f t="shared" si="19"/>
        <v>0.71346707149793975</v>
      </c>
      <c r="I430" s="12">
        <f t="shared" si="20"/>
        <v>5.776763269647911E-2</v>
      </c>
      <c r="J430" s="12">
        <f>G430*(D430*Assumptions!$B$6+E430*Assumptions!$B$7)</f>
        <v>1.0023052349803354E-2</v>
      </c>
    </row>
    <row r="431" spans="1:10" x14ac:dyDescent="0.2">
      <c r="A431" s="2">
        <v>423</v>
      </c>
      <c r="B431" s="14">
        <f>A431*Assumptions!$B$12</f>
        <v>4.2300000000000004</v>
      </c>
      <c r="C431" s="15">
        <f>IF(A431&lt;=Assumptions!$B$13,IF(OR(A431=0,A431=Assumptions!$B$13),0.5,1),0)*Assumptions!$B$12</f>
        <v>0.01</v>
      </c>
      <c r="D431" s="12">
        <f>D430*(1-Assumptions!$B$12*(Assumptions!$B$5+Assumptions!$B$6))</f>
        <v>0.88080498073182034</v>
      </c>
      <c r="E431" s="12">
        <f>E430+Assumptions!$B$12*(D430*Assumptions!$B$5-E430*Assumptions!$B$7)</f>
        <v>7.1478508218165315E-2</v>
      </c>
      <c r="F431" s="12">
        <f t="shared" si="18"/>
        <v>4.7716511050014343E-2</v>
      </c>
      <c r="G431" s="12">
        <f>EXP(-Assumptions!$B$8*B431)</f>
        <v>0.80936928105272576</v>
      </c>
      <c r="H431" s="12">
        <f t="shared" si="19"/>
        <v>0.71289649400257338</v>
      </c>
      <c r="I431" s="12">
        <f t="shared" si="20"/>
        <v>5.7852508807257813E-2</v>
      </c>
      <c r="J431" s="12">
        <f>G431*(D431*Assumptions!$B$6+E431*Assumptions!$B$7)</f>
        <v>1.0021590380388625E-2</v>
      </c>
    </row>
    <row r="432" spans="1:10" x14ac:dyDescent="0.2">
      <c r="A432" s="2">
        <v>424</v>
      </c>
      <c r="B432" s="14">
        <f>A432*Assumptions!$B$12</f>
        <v>4.24</v>
      </c>
      <c r="C432" s="15">
        <f>IF(A432&lt;=Assumptions!$B$13,IF(OR(A432=0,A432=Assumptions!$B$13),0.5,1),0)*Assumptions!$B$12</f>
        <v>0.01</v>
      </c>
      <c r="D432" s="12">
        <f>D431*(1-Assumptions!$B$12*(Assumptions!$B$5+Assumptions!$B$6))</f>
        <v>0.88054073923760079</v>
      </c>
      <c r="E432" s="12">
        <f>E431+Assumptions!$B$12*(D431*Assumptions!$B$5-E431*Assumptions!$B$7)</f>
        <v>7.1618929960202596E-2</v>
      </c>
      <c r="F432" s="12">
        <f t="shared" si="18"/>
        <v>4.7840330802196615E-2</v>
      </c>
      <c r="G432" s="12">
        <f>EXP(-Assumptions!$B$8*B432)</f>
        <v>0.8089646975664998</v>
      </c>
      <c r="H432" s="12">
        <f t="shared" si="19"/>
        <v>0.71232637281232791</v>
      </c>
      <c r="I432" s="12">
        <f t="shared" si="20"/>
        <v>5.7937186015291624E-2</v>
      </c>
      <c r="J432" s="12">
        <f>G432*(D432*Assumptions!$B$6+E432*Assumptions!$B$7)</f>
        <v>1.002012302888786E-2</v>
      </c>
    </row>
    <row r="433" spans="1:10" x14ac:dyDescent="0.2">
      <c r="A433" s="2">
        <v>425</v>
      </c>
      <c r="B433" s="14">
        <f>A433*Assumptions!$B$12</f>
        <v>4.25</v>
      </c>
      <c r="C433" s="15">
        <f>IF(A433&lt;=Assumptions!$B$13,IF(OR(A433=0,A433=Assumptions!$B$13),0.5,1),0)*Assumptions!$B$12</f>
        <v>0.01</v>
      </c>
      <c r="D433" s="12">
        <f>D432*(1-Assumptions!$B$12*(Assumptions!$B$5+Assumptions!$B$6))</f>
        <v>0.88027657701582951</v>
      </c>
      <c r="E433" s="12">
        <f>E432+Assumptions!$B$12*(D432*Assumptions!$B$5-E432*Assumptions!$B$7)</f>
        <v>7.1759228643070008E-2</v>
      </c>
      <c r="F433" s="12">
        <f t="shared" si="18"/>
        <v>4.7964194341100483E-2</v>
      </c>
      <c r="G433" s="12">
        <f>EXP(-Assumptions!$B$8*B433)</f>
        <v>0.80856031632145242</v>
      </c>
      <c r="H433" s="12">
        <f t="shared" si="19"/>
        <v>0.71175670756228449</v>
      </c>
      <c r="I433" s="12">
        <f t="shared" si="20"/>
        <v>5.8021664610624114E-2</v>
      </c>
      <c r="J433" s="12">
        <f>G433*(D433*Assumptions!$B$6+E433*Assumptions!$B$7)</f>
        <v>1.001865030615405E-2</v>
      </c>
    </row>
    <row r="434" spans="1:10" x14ac:dyDescent="0.2">
      <c r="A434" s="2">
        <v>426</v>
      </c>
      <c r="B434" s="14">
        <f>A434*Assumptions!$B$12</f>
        <v>4.26</v>
      </c>
      <c r="C434" s="15">
        <f>IF(A434&lt;=Assumptions!$B$13,IF(OR(A434=0,A434=Assumptions!$B$13),0.5,1),0)*Assumptions!$B$12</f>
        <v>0.01</v>
      </c>
      <c r="D434" s="12">
        <f>D433*(1-Assumptions!$B$12*(Assumptions!$B$5+Assumptions!$B$6))</f>
        <v>0.88001249404272475</v>
      </c>
      <c r="E434" s="12">
        <f>E433+Assumptions!$B$12*(D433*Assumptions!$B$5-E433*Assumptions!$B$7)</f>
        <v>7.1899404344151638E-2</v>
      </c>
      <c r="F434" s="12">
        <f t="shared" si="18"/>
        <v>4.8088101613123616E-2</v>
      </c>
      <c r="G434" s="12">
        <f>EXP(-Assumptions!$B$8*B434)</f>
        <v>0.80815613721648838</v>
      </c>
      <c r="H434" s="12">
        <f t="shared" si="19"/>
        <v>0.71118749788781643</v>
      </c>
      <c r="I434" s="12">
        <f t="shared" si="20"/>
        <v>5.8105944882935995E-2</v>
      </c>
      <c r="J434" s="12">
        <f>G434*(D434*Assumptions!$B$6+E434*Assumptions!$B$7)</f>
        <v>1.0017172223024964E-2</v>
      </c>
    </row>
    <row r="435" spans="1:10" x14ac:dyDescent="0.2">
      <c r="A435" s="2">
        <v>427</v>
      </c>
      <c r="B435" s="14">
        <f>A435*Assumptions!$B$12</f>
        <v>4.2700000000000005</v>
      </c>
      <c r="C435" s="15">
        <f>IF(A435&lt;=Assumptions!$B$13,IF(OR(A435=0,A435=Assumptions!$B$13),0.5,1),0)*Assumptions!$B$12</f>
        <v>0.01</v>
      </c>
      <c r="D435" s="12">
        <f>D434*(1-Assumptions!$B$12*(Assumptions!$B$5+Assumptions!$B$6))</f>
        <v>0.87974849029451196</v>
      </c>
      <c r="E435" s="12">
        <f>E434+Assumptions!$B$12*(D434*Assumptions!$B$5-E434*Assumptions!$B$7)</f>
        <v>7.2039457140788105E-2</v>
      </c>
      <c r="F435" s="12">
        <f t="shared" si="18"/>
        <v>4.8212052564699931E-2</v>
      </c>
      <c r="G435" s="12">
        <f>EXP(-Assumptions!$B$8*B435)</f>
        <v>0.80775216015056284</v>
      </c>
      <c r="H435" s="12">
        <f t="shared" si="19"/>
        <v>0.71061874342458853</v>
      </c>
      <c r="I435" s="12">
        <f t="shared" si="20"/>
        <v>5.819002712154548E-2</v>
      </c>
      <c r="J435" s="12">
        <f>G435*(D435*Assumptions!$B$6+E435*Assumptions!$B$7)</f>
        <v>1.0015688790323158E-2</v>
      </c>
    </row>
    <row r="436" spans="1:10" x14ac:dyDescent="0.2">
      <c r="A436" s="2">
        <v>428</v>
      </c>
      <c r="B436" s="14">
        <f>A436*Assumptions!$B$12</f>
        <v>4.28</v>
      </c>
      <c r="C436" s="15">
        <f>IF(A436&lt;=Assumptions!$B$13,IF(OR(A436=0,A436=Assumptions!$B$13),0.5,1),0)*Assumptions!$B$12</f>
        <v>0.01</v>
      </c>
      <c r="D436" s="12">
        <f>D435*(1-Assumptions!$B$12*(Assumptions!$B$5+Assumptions!$B$6))</f>
        <v>0.87948456574742362</v>
      </c>
      <c r="E436" s="12">
        <f>E435+Assumptions!$B$12*(D435*Assumptions!$B$5-E435*Assumptions!$B$7)</f>
        <v>7.2179387110276619E-2</v>
      </c>
      <c r="F436" s="12">
        <f t="shared" si="18"/>
        <v>4.8336047142299762E-2</v>
      </c>
      <c r="G436" s="12">
        <f>EXP(-Assumptions!$B$8*B436)</f>
        <v>0.80734838502268147</v>
      </c>
      <c r="H436" s="12">
        <f t="shared" si="19"/>
        <v>0.71005044380855675</v>
      </c>
      <c r="I436" s="12">
        <f t="shared" si="20"/>
        <v>5.8273911615408777E-2</v>
      </c>
      <c r="J436" s="12">
        <f>G436*(D436*Assumptions!$B$6+E436*Assumptions!$B$7)</f>
        <v>1.0014200018856008E-2</v>
      </c>
    </row>
    <row r="437" spans="1:10" x14ac:dyDescent="0.2">
      <c r="A437" s="2">
        <v>429</v>
      </c>
      <c r="B437" s="14">
        <f>A437*Assumptions!$B$12</f>
        <v>4.29</v>
      </c>
      <c r="C437" s="15">
        <f>IF(A437&lt;=Assumptions!$B$13,IF(OR(A437=0,A437=Assumptions!$B$13),0.5,1),0)*Assumptions!$B$12</f>
        <v>0.01</v>
      </c>
      <c r="D437" s="12">
        <f>D436*(1-Assumptions!$B$12*(Assumptions!$B$5+Assumptions!$B$6))</f>
        <v>0.87922072037769938</v>
      </c>
      <c r="E437" s="12">
        <f>E436+Assumptions!$B$12*(D436*Assumptions!$B$5-E436*Assumptions!$B$7)</f>
        <v>7.2319194329870967E-2</v>
      </c>
      <c r="F437" s="12">
        <f t="shared" si="18"/>
        <v>4.846008529242965E-2</v>
      </c>
      <c r="G437" s="12">
        <f>EXP(-Assumptions!$B$8*B437)</f>
        <v>0.80694481173190058</v>
      </c>
      <c r="H437" s="12">
        <f t="shared" si="19"/>
        <v>0.70948259867596863</v>
      </c>
      <c r="I437" s="12">
        <f t="shared" si="20"/>
        <v>5.8357598653120457E-2</v>
      </c>
      <c r="J437" s="12">
        <f>G437*(D437*Assumptions!$B$6+E437*Assumptions!$B$7)</f>
        <v>1.0012705919415709E-2</v>
      </c>
    </row>
    <row r="438" spans="1:10" x14ac:dyDescent="0.2">
      <c r="A438" s="2">
        <v>430</v>
      </c>
      <c r="B438" s="14">
        <f>A438*Assumptions!$B$12</f>
        <v>4.3</v>
      </c>
      <c r="C438" s="15">
        <f>IF(A438&lt;=Assumptions!$B$13,IF(OR(A438=0,A438=Assumptions!$B$13),0.5,1),0)*Assumptions!$B$12</f>
        <v>0.01</v>
      </c>
      <c r="D438" s="12">
        <f>D437*(1-Assumptions!$B$12*(Assumptions!$B$5+Assumptions!$B$6))</f>
        <v>0.87895695416158615</v>
      </c>
      <c r="E438" s="12">
        <f>E437+Assumptions!$B$12*(D437*Assumptions!$B$5-E437*Assumptions!$B$7)</f>
        <v>7.2458878876781568E-2</v>
      </c>
      <c r="F438" s="12">
        <f t="shared" si="18"/>
        <v>4.8584166961632286E-2</v>
      </c>
      <c r="G438" s="12">
        <f>EXP(-Assumptions!$B$8*B438)</f>
        <v>0.80654144017732687</v>
      </c>
      <c r="H438" s="12">
        <f t="shared" si="19"/>
        <v>0.70891520766336236</v>
      </c>
      <c r="I438" s="12">
        <f t="shared" si="20"/>
        <v>5.8441088522913895E-2</v>
      </c>
      <c r="J438" s="12">
        <f>G438*(D438*Assumptions!$B$6+E438*Assumptions!$B$7)</f>
        <v>1.0011206502779318E-2</v>
      </c>
    </row>
    <row r="439" spans="1:10" x14ac:dyDescent="0.2">
      <c r="A439" s="2">
        <v>431</v>
      </c>
      <c r="B439" s="14">
        <f>A439*Assumptions!$B$12</f>
        <v>4.3100000000000005</v>
      </c>
      <c r="C439" s="15">
        <f>IF(A439&lt;=Assumptions!$B$13,IF(OR(A439=0,A439=Assumptions!$B$13),0.5,1),0)*Assumptions!$B$12</f>
        <v>0.01</v>
      </c>
      <c r="D439" s="12">
        <f>D438*(1-Assumptions!$B$12*(Assumptions!$B$5+Assumptions!$B$6))</f>
        <v>0.87869326707533768</v>
      </c>
      <c r="E439" s="12">
        <f>E438+Assumptions!$B$12*(D438*Assumptions!$B$5-E438*Assumptions!$B$7)</f>
        <v>7.2598440828175501E-2</v>
      </c>
      <c r="F439" s="12">
        <f t="shared" si="18"/>
        <v>4.8708292096486819E-2</v>
      </c>
      <c r="G439" s="12">
        <f>EXP(-Assumptions!$B$8*B439)</f>
        <v>0.80613827025811735</v>
      </c>
      <c r="H439" s="12">
        <f t="shared" si="19"/>
        <v>0.70834827040756665</v>
      </c>
      <c r="I439" s="12">
        <f t="shared" si="20"/>
        <v>5.8524381512661684E-2</v>
      </c>
      <c r="J439" s="12">
        <f>G439*(D439*Assumptions!$B$6+E439*Assumptions!$B$7)</f>
        <v>1.000970177970875E-2</v>
      </c>
    </row>
    <row r="440" spans="1:10" x14ac:dyDescent="0.2">
      <c r="A440" s="2">
        <v>432</v>
      </c>
      <c r="B440" s="14">
        <f>A440*Assumptions!$B$12</f>
        <v>4.32</v>
      </c>
      <c r="C440" s="15">
        <f>IF(A440&lt;=Assumptions!$B$13,IF(OR(A440=0,A440=Assumptions!$B$13),0.5,1),0)*Assumptions!$B$12</f>
        <v>0.01</v>
      </c>
      <c r="D440" s="12">
        <f>D439*(1-Assumptions!$B$12*(Assumptions!$B$5+Assumptions!$B$6))</f>
        <v>0.87842965909521509</v>
      </c>
      <c r="E440" s="12">
        <f>E439+Assumptions!$B$12*(D439*Assumptions!$B$5-E439*Assumptions!$B$7)</f>
        <v>7.2737880261176474E-2</v>
      </c>
      <c r="F440" s="12">
        <f t="shared" si="18"/>
        <v>4.8832460643608439E-2</v>
      </c>
      <c r="G440" s="12">
        <f>EXP(-Assumptions!$B$8*B440)</f>
        <v>0.80573530187347964</v>
      </c>
      <c r="H440" s="12">
        <f t="shared" si="19"/>
        <v>0.7077817865457009</v>
      </c>
      <c r="I440" s="12">
        <f t="shared" si="20"/>
        <v>5.8607477909876041E-2</v>
      </c>
      <c r="J440" s="12">
        <f>G440*(D440*Assumptions!$B$6+E440*Assumptions!$B$7)</f>
        <v>1.0008191760950812E-2</v>
      </c>
    </row>
    <row r="441" spans="1:10" x14ac:dyDescent="0.2">
      <c r="A441" s="2">
        <v>433</v>
      </c>
      <c r="B441" s="14">
        <f>A441*Assumptions!$B$12</f>
        <v>4.33</v>
      </c>
      <c r="C441" s="15">
        <f>IF(A441&lt;=Assumptions!$B$13,IF(OR(A441=0,A441=Assumptions!$B$13),0.5,1),0)*Assumptions!$B$12</f>
        <v>0.01</v>
      </c>
      <c r="D441" s="12">
        <f>D440*(1-Assumptions!$B$12*(Assumptions!$B$5+Assumptions!$B$6))</f>
        <v>0.87816613019748657</v>
      </c>
      <c r="E441" s="12">
        <f>E440+Assumptions!$B$12*(D440*Assumptions!$B$5-E440*Assumptions!$B$7)</f>
        <v>7.2877197252864928E-2</v>
      </c>
      <c r="F441" s="12">
        <f t="shared" si="18"/>
        <v>4.89566725496485E-2</v>
      </c>
      <c r="G441" s="12">
        <f>EXP(-Assumptions!$B$8*B441)</f>
        <v>0.80533253492267154</v>
      </c>
      <c r="H441" s="12">
        <f t="shared" si="19"/>
        <v>0.7072157557151747</v>
      </c>
      <c r="I441" s="12">
        <f t="shared" si="20"/>
        <v>5.8690378001709266E-2</v>
      </c>
      <c r="J441" s="12">
        <f>G441*(D441*Assumptions!$B$6+E441*Assumptions!$B$7)</f>
        <v>1.0006676457237211E-2</v>
      </c>
    </row>
    <row r="442" spans="1:10" x14ac:dyDescent="0.2">
      <c r="A442" s="2">
        <v>434</v>
      </c>
      <c r="B442" s="14">
        <f>A442*Assumptions!$B$12</f>
        <v>4.34</v>
      </c>
      <c r="C442" s="15">
        <f>IF(A442&lt;=Assumptions!$B$13,IF(OR(A442=0,A442=Assumptions!$B$13),0.5,1),0)*Assumptions!$B$12</f>
        <v>0.01</v>
      </c>
      <c r="D442" s="12">
        <f>D441*(1-Assumptions!$B$12*(Assumptions!$B$5+Assumptions!$B$6))</f>
        <v>0.87790268035842733</v>
      </c>
      <c r="E442" s="12">
        <f>E441+Assumptions!$B$12*(D441*Assumptions!$B$5-E441*Assumptions!$B$7)</f>
        <v>7.3016391880277989E-2</v>
      </c>
      <c r="F442" s="12">
        <f t="shared" si="18"/>
        <v>4.9080927761294676E-2</v>
      </c>
      <c r="G442" s="12">
        <f>EXP(-Assumptions!$B$8*B442)</f>
        <v>0.80492996930500149</v>
      </c>
      <c r="H442" s="12">
        <f t="shared" si="19"/>
        <v>0.70665017755368742</v>
      </c>
      <c r="I442" s="12">
        <f t="shared" si="20"/>
        <v>5.8773082074954124E-2</v>
      </c>
      <c r="J442" s="12">
        <f>G442*(D442*Assumptions!$B$6+E442*Assumptions!$B$7)</f>
        <v>1.0005155879284583E-2</v>
      </c>
    </row>
    <row r="443" spans="1:10" x14ac:dyDescent="0.2">
      <c r="A443" s="2">
        <v>435</v>
      </c>
      <c r="B443" s="14">
        <f>A443*Assumptions!$B$12</f>
        <v>4.3500000000000005</v>
      </c>
      <c r="C443" s="15">
        <f>IF(A443&lt;=Assumptions!$B$13,IF(OR(A443=0,A443=Assumptions!$B$13),0.5,1),0)*Assumptions!$B$12</f>
        <v>0.01</v>
      </c>
      <c r="D443" s="12">
        <f>D442*(1-Assumptions!$B$12*(Assumptions!$B$5+Assumptions!$B$6))</f>
        <v>0.87763930955431979</v>
      </c>
      <c r="E443" s="12">
        <f>E442+Assumptions!$B$12*(D442*Assumptions!$B$5-E442*Assumptions!$B$7)</f>
        <v>7.3155464220409541E-2</v>
      </c>
      <c r="F443" s="12">
        <f t="shared" si="18"/>
        <v>4.9205226225270668E-2</v>
      </c>
      <c r="G443" s="12">
        <f>EXP(-Assumptions!$B$8*B443)</f>
        <v>0.80452760491982778</v>
      </c>
      <c r="H443" s="12">
        <f t="shared" si="19"/>
        <v>0.70608505169922819</v>
      </c>
      <c r="I443" s="12">
        <f t="shared" si="20"/>
        <v>5.8855590416044247E-2</v>
      </c>
      <c r="J443" s="12">
        <f>G443*(D443*Assumptions!$B$6+E443*Assumptions!$B$7)</f>
        <v>1.0003630037794494E-2</v>
      </c>
    </row>
    <row r="444" spans="1:10" x14ac:dyDescent="0.2">
      <c r="A444" s="2">
        <v>436</v>
      </c>
      <c r="B444" s="14">
        <f>A444*Assumptions!$B$12</f>
        <v>4.3600000000000003</v>
      </c>
      <c r="C444" s="15">
        <f>IF(A444&lt;=Assumptions!$B$13,IF(OR(A444=0,A444=Assumptions!$B$13),0.5,1),0)*Assumptions!$B$12</f>
        <v>0.01</v>
      </c>
      <c r="D444" s="12">
        <f>D443*(1-Assumptions!$B$12*(Assumptions!$B$5+Assumptions!$B$6))</f>
        <v>0.87737601776145357</v>
      </c>
      <c r="E444" s="12">
        <f>E443+Assumptions!$B$12*(D443*Assumptions!$B$5-E443*Assumptions!$B$7)</f>
        <v>7.3294414350210196E-2</v>
      </c>
      <c r="F444" s="12">
        <f t="shared" si="18"/>
        <v>4.9329567888336229E-2</v>
      </c>
      <c r="G444" s="12">
        <f>EXP(-Assumptions!$B$8*B444)</f>
        <v>0.80412544166655964</v>
      </c>
      <c r="H444" s="12">
        <f t="shared" si="19"/>
        <v>0.70552037779007615</v>
      </c>
      <c r="I444" s="12">
        <f t="shared" si="20"/>
        <v>5.8937903311054599E-2</v>
      </c>
      <c r="J444" s="12">
        <f>G444*(D444*Assumptions!$B$6+E444*Assumptions!$B$7)</f>
        <v>1.0002098943453492E-2</v>
      </c>
    </row>
    <row r="445" spans="1:10" x14ac:dyDescent="0.2">
      <c r="A445" s="2">
        <v>437</v>
      </c>
      <c r="B445" s="14">
        <f>A445*Assumptions!$B$12</f>
        <v>4.37</v>
      </c>
      <c r="C445" s="15">
        <f>IF(A445&lt;=Assumptions!$B$13,IF(OR(A445=0,A445=Assumptions!$B$13),0.5,1),0)*Assumptions!$B$12</f>
        <v>0.01</v>
      </c>
      <c r="D445" s="12">
        <f>D444*(1-Assumptions!$B$12*(Assumptions!$B$5+Assumptions!$B$6))</f>
        <v>0.8771128049561252</v>
      </c>
      <c r="E445" s="12">
        <f>E444+Assumptions!$B$12*(D444*Assumptions!$B$5-E444*Assumptions!$B$7)</f>
        <v>7.343324234658738E-2</v>
      </c>
      <c r="F445" s="12">
        <f t="shared" si="18"/>
        <v>4.9453952697287418E-2</v>
      </c>
      <c r="G445" s="12">
        <f>EXP(-Assumptions!$B$8*B445)</f>
        <v>0.80372347944465605</v>
      </c>
      <c r="H445" s="12">
        <f t="shared" si="19"/>
        <v>0.70495615546479895</v>
      </c>
      <c r="I445" s="12">
        <f t="shared" si="20"/>
        <v>5.9020021045701865E-2</v>
      </c>
      <c r="J445" s="12">
        <f>G445*(D445*Assumptions!$B$6+E445*Assumptions!$B$7)</f>
        <v>1.0000562606933083E-2</v>
      </c>
    </row>
    <row r="446" spans="1:10" x14ac:dyDescent="0.2">
      <c r="A446" s="2">
        <v>438</v>
      </c>
      <c r="B446" s="14">
        <f>A446*Assumptions!$B$12</f>
        <v>4.38</v>
      </c>
      <c r="C446" s="15">
        <f>IF(A446&lt;=Assumptions!$B$13,IF(OR(A446=0,A446=Assumptions!$B$13),0.5,1),0)*Assumptions!$B$12</f>
        <v>0.01</v>
      </c>
      <c r="D446" s="12">
        <f>D445*(1-Assumptions!$B$12*(Assumptions!$B$5+Assumptions!$B$6))</f>
        <v>0.87684967111463841</v>
      </c>
      <c r="E446" s="12">
        <f>E445+Assumptions!$B$12*(D445*Assumptions!$B$5-E445*Assumptions!$B$7)</f>
        <v>7.3571948286405314E-2</v>
      </c>
      <c r="F446" s="12">
        <f t="shared" si="18"/>
        <v>4.9578380598956279E-2</v>
      </c>
      <c r="G446" s="12">
        <f>EXP(-Assumptions!$B$8*B446)</f>
        <v>0.80332171815362652</v>
      </c>
      <c r="H446" s="12">
        <f t="shared" si="19"/>
        <v>0.70439238436225371</v>
      </c>
      <c r="I446" s="12">
        <f t="shared" si="20"/>
        <v>5.9101943905344873E-2</v>
      </c>
      <c r="J446" s="12">
        <f>G446*(D446*Assumptions!$B$6+E446*Assumptions!$B$7)</f>
        <v>9.9990210388897806E-3</v>
      </c>
    </row>
    <row r="447" spans="1:10" x14ac:dyDescent="0.2">
      <c r="A447" s="2">
        <v>439</v>
      </c>
      <c r="B447" s="14">
        <f>A447*Assumptions!$B$12</f>
        <v>4.3899999999999997</v>
      </c>
      <c r="C447" s="15">
        <f>IF(A447&lt;=Assumptions!$B$13,IF(OR(A447=0,A447=Assumptions!$B$13),0.5,1),0)*Assumptions!$B$12</f>
        <v>0.01</v>
      </c>
      <c r="D447" s="12">
        <f>D446*(1-Assumptions!$B$12*(Assumptions!$B$5+Assumptions!$B$6))</f>
        <v>0.87658661621330403</v>
      </c>
      <c r="E447" s="12">
        <f>E446+Assumptions!$B$12*(D446*Assumptions!$B$5-E446*Assumptions!$B$7)</f>
        <v>7.3710532246485036E-2</v>
      </c>
      <c r="F447" s="12">
        <f t="shared" si="18"/>
        <v>4.9702851540210938E-2</v>
      </c>
      <c r="G447" s="12">
        <f>EXP(-Assumptions!$B$8*B447)</f>
        <v>0.80292015769303071</v>
      </c>
      <c r="H447" s="12">
        <f t="shared" si="19"/>
        <v>0.7038290641215863</v>
      </c>
      <c r="I447" s="12">
        <f t="shared" si="20"/>
        <v>5.9183672174984991E-2</v>
      </c>
      <c r="J447" s="12">
        <f>G447*(D447*Assumptions!$B$6+E447*Assumptions!$B$7)</f>
        <v>9.9974742499651121E-3</v>
      </c>
    </row>
    <row r="448" spans="1:10" x14ac:dyDescent="0.2">
      <c r="A448" s="2">
        <v>440</v>
      </c>
      <c r="B448" s="14">
        <f>A448*Assumptions!$B$12</f>
        <v>4.4000000000000004</v>
      </c>
      <c r="C448" s="15">
        <f>IF(A448&lt;=Assumptions!$B$13,IF(OR(A448=0,A448=Assumptions!$B$13),0.5,1),0)*Assumptions!$B$12</f>
        <v>0.01</v>
      </c>
      <c r="D448" s="12">
        <f>D447*(1-Assumptions!$B$12*(Assumptions!$B$5+Assumptions!$B$6))</f>
        <v>0.87632364022844011</v>
      </c>
      <c r="E448" s="12">
        <f>E447+Assumptions!$B$12*(D447*Assumptions!$B$5-E447*Assumptions!$B$7)</f>
        <v>7.3848994303604448E-2</v>
      </c>
      <c r="F448" s="12">
        <f t="shared" si="18"/>
        <v>4.9827365467955437E-2</v>
      </c>
      <c r="G448" s="12">
        <f>EXP(-Assumptions!$B$8*B448)</f>
        <v>0.80251879796247849</v>
      </c>
      <c r="H448" s="12">
        <f t="shared" si="19"/>
        <v>0.70326619438223126</v>
      </c>
      <c r="I448" s="12">
        <f t="shared" si="20"/>
        <v>5.9265206139266564E-2</v>
      </c>
      <c r="J448" s="12">
        <f>G448*(D448*Assumptions!$B$6+E448*Assumptions!$B$7)</f>
        <v>9.9959222507856396E-3</v>
      </c>
    </row>
    <row r="449" spans="1:10" x14ac:dyDescent="0.2">
      <c r="A449" s="2">
        <v>441</v>
      </c>
      <c r="B449" s="14">
        <f>A449*Assumptions!$B$12</f>
        <v>4.41</v>
      </c>
      <c r="C449" s="15">
        <f>IF(A449&lt;=Assumptions!$B$13,IF(OR(A449=0,A449=Assumptions!$B$13),0.5,1),0)*Assumptions!$B$12</f>
        <v>0.01</v>
      </c>
      <c r="D449" s="12">
        <f>D448*(1-Assumptions!$B$12*(Assumptions!$B$5+Assumptions!$B$6))</f>
        <v>0.87606074313637161</v>
      </c>
      <c r="E449" s="12">
        <f>E448+Assumptions!$B$12*(D448*Assumptions!$B$5-E448*Assumptions!$B$7)</f>
        <v>7.3987334534498336E-2</v>
      </c>
      <c r="F449" s="12">
        <f t="shared" si="18"/>
        <v>4.9951922329130052E-2</v>
      </c>
      <c r="G449" s="12">
        <f>EXP(-Assumptions!$B$8*B449)</f>
        <v>0.8021176388616299</v>
      </c>
      <c r="H449" s="12">
        <f t="shared" si="19"/>
        <v>0.70270377478391122</v>
      </c>
      <c r="I449" s="12">
        <f t="shared" si="20"/>
        <v>5.9346546082477337E-2</v>
      </c>
      <c r="J449" s="12">
        <f>G449*(D449*Assumptions!$B$6+E449*Assumptions!$B$7)</f>
        <v>9.9943650519629789E-3</v>
      </c>
    </row>
    <row r="450" spans="1:10" x14ac:dyDescent="0.2">
      <c r="A450" s="2">
        <v>442</v>
      </c>
      <c r="B450" s="14">
        <f>A450*Assumptions!$B$12</f>
        <v>4.42</v>
      </c>
      <c r="C450" s="15">
        <f>IF(A450&lt;=Assumptions!$B$13,IF(OR(A450=0,A450=Assumptions!$B$13),0.5,1),0)*Assumptions!$B$12</f>
        <v>0.01</v>
      </c>
      <c r="D450" s="12">
        <f>D449*(1-Assumptions!$B$12*(Assumptions!$B$5+Assumptions!$B$6))</f>
        <v>0.87579792491343078</v>
      </c>
      <c r="E450" s="12">
        <f>E449+Assumptions!$B$12*(D449*Assumptions!$B$5-E449*Assumptions!$B$7)</f>
        <v>7.4125553015858367E-2</v>
      </c>
      <c r="F450" s="12">
        <f t="shared" si="18"/>
        <v>5.0076522070710852E-2</v>
      </c>
      <c r="G450" s="12">
        <f>EXP(-Assumptions!$B$8*B450)</f>
        <v>0.80171668029019527</v>
      </c>
      <c r="H450" s="12">
        <f t="shared" si="19"/>
        <v>0.70214180496663747</v>
      </c>
      <c r="I450" s="12">
        <f t="shared" si="20"/>
        <v>5.9427692288548842E-2</v>
      </c>
      <c r="J450" s="12">
        <f>G450*(D450*Assumptions!$B$6+E450*Assumptions!$B$7)</f>
        <v>9.9928026640938167E-3</v>
      </c>
    </row>
    <row r="451" spans="1:10" x14ac:dyDescent="0.2">
      <c r="A451" s="2">
        <v>443</v>
      </c>
      <c r="B451" s="14">
        <f>A451*Assumptions!$B$12</f>
        <v>4.43</v>
      </c>
      <c r="C451" s="15">
        <f>IF(A451&lt;=Assumptions!$B$13,IF(OR(A451=0,A451=Assumptions!$B$13),0.5,1),0)*Assumptions!$B$12</f>
        <v>0.01</v>
      </c>
      <c r="D451" s="12">
        <f>D450*(1-Assumptions!$B$12*(Assumptions!$B$5+Assumptions!$B$6))</f>
        <v>0.87553518553595677</v>
      </c>
      <c r="E451" s="12">
        <f>E450+Assumptions!$B$12*(D450*Assumptions!$B$5-E450*Assumptions!$B$7)</f>
        <v>7.4263649824333131E-2</v>
      </c>
      <c r="F451" s="12">
        <f t="shared" si="18"/>
        <v>5.0201164639710097E-2</v>
      </c>
      <c r="G451" s="12">
        <f>EXP(-Assumptions!$B$8*B451)</f>
        <v>0.8013159221479349</v>
      </c>
      <c r="H451" s="12">
        <f t="shared" si="19"/>
        <v>0.70158028457070842</v>
      </c>
      <c r="I451" s="12">
        <f t="shared" si="20"/>
        <v>5.9508645041056824E-2</v>
      </c>
      <c r="J451" s="12">
        <f>G451*(D451*Assumptions!$B$6+E451*Assumptions!$B$7)</f>
        <v>9.9912350977599262E-3</v>
      </c>
    </row>
    <row r="452" spans="1:10" x14ac:dyDescent="0.2">
      <c r="A452" s="2">
        <v>444</v>
      </c>
      <c r="B452" s="14">
        <f>A452*Assumptions!$B$12</f>
        <v>4.4400000000000004</v>
      </c>
      <c r="C452" s="15">
        <f>IF(A452&lt;=Assumptions!$B$13,IF(OR(A452=0,A452=Assumptions!$B$13),0.5,1),0)*Assumptions!$B$12</f>
        <v>0.01</v>
      </c>
      <c r="D452" s="12">
        <f>D451*(1-Assumptions!$B$12*(Assumptions!$B$5+Assumptions!$B$6))</f>
        <v>0.87527252498029606</v>
      </c>
      <c r="E452" s="12">
        <f>E451+Assumptions!$B$12*(D451*Assumptions!$B$5-E451*Assumptions!$B$7)</f>
        <v>7.4401625036528155E-2</v>
      </c>
      <c r="F452" s="12">
        <f t="shared" si="18"/>
        <v>5.0325849983175783E-2</v>
      </c>
      <c r="G452" s="12">
        <f>EXP(-Assumptions!$B$8*B452)</f>
        <v>0.80091536433465915</v>
      </c>
      <c r="H452" s="12">
        <f t="shared" si="19"/>
        <v>0.7010192132367109</v>
      </c>
      <c r="I452" s="12">
        <f t="shared" si="20"/>
        <v>5.9589404623221646E-2</v>
      </c>
      <c r="J452" s="12">
        <f>G452*(D452*Assumptions!$B$6+E452*Assumptions!$B$7)</f>
        <v>9.9896623635281918E-3</v>
      </c>
    </row>
    <row r="453" spans="1:10" x14ac:dyDescent="0.2">
      <c r="A453" s="2">
        <v>445</v>
      </c>
      <c r="B453" s="14">
        <f>A453*Assumptions!$B$12</f>
        <v>4.45</v>
      </c>
      <c r="C453" s="15">
        <f>IF(A453&lt;=Assumptions!$B$13,IF(OR(A453=0,A453=Assumptions!$B$13),0.5,1),0)*Assumptions!$B$12</f>
        <v>0.01</v>
      </c>
      <c r="D453" s="12">
        <f>D452*(1-Assumptions!$B$12*(Assumptions!$B$5+Assumptions!$B$6))</f>
        <v>0.87500994322280201</v>
      </c>
      <c r="E453" s="12">
        <f>E452+Assumptions!$B$12*(D452*Assumptions!$B$5-E452*Assumptions!$B$7)</f>
        <v>7.4539478729005945E-2</v>
      </c>
      <c r="F453" s="12">
        <f t="shared" si="18"/>
        <v>5.0450578048192044E-2</v>
      </c>
      <c r="G453" s="12">
        <f>EXP(-Assumptions!$B$8*B453)</f>
        <v>0.80051500675022869</v>
      </c>
      <c r="H453" s="12">
        <f t="shared" si="19"/>
        <v>0.70045859060551852</v>
      </c>
      <c r="I453" s="12">
        <f t="shared" si="20"/>
        <v>5.9669971317908722E-2</v>
      </c>
      <c r="J453" s="12">
        <f>G453*(D453*Assumptions!$B$6+E453*Assumptions!$B$7)</f>
        <v>9.9880844719506222E-3</v>
      </c>
    </row>
    <row r="454" spans="1:10" x14ac:dyDescent="0.2">
      <c r="A454" s="2">
        <v>446</v>
      </c>
      <c r="B454" s="14">
        <f>A454*Assumptions!$B$12</f>
        <v>4.46</v>
      </c>
      <c r="C454" s="15">
        <f>IF(A454&lt;=Assumptions!$B$13,IF(OR(A454=0,A454=Assumptions!$B$13),0.5,1),0)*Assumptions!$B$12</f>
        <v>0.01</v>
      </c>
      <c r="D454" s="12">
        <f>D453*(1-Assumptions!$B$12*(Assumptions!$B$5+Assumptions!$B$6))</f>
        <v>0.87474744023983519</v>
      </c>
      <c r="E454" s="12">
        <f>E453+Assumptions!$B$12*(D453*Assumptions!$B$5-E453*Assumptions!$B$7)</f>
        <v>7.4677210978286002E-2</v>
      </c>
      <c r="F454" s="12">
        <f t="shared" si="18"/>
        <v>5.0575348781878804E-2</v>
      </c>
      <c r="G454" s="12">
        <f>EXP(-Assumptions!$B$8*B454)</f>
        <v>0.80011484929455412</v>
      </c>
      <c r="H454" s="12">
        <f t="shared" si="19"/>
        <v>0.69989841631829275</v>
      </c>
      <c r="I454" s="12">
        <f t="shared" si="20"/>
        <v>5.9750345407628927E-2</v>
      </c>
      <c r="J454" s="12">
        <f>G454*(D454*Assumptions!$B$6+E454*Assumptions!$B$7)</f>
        <v>9.9865014335643737E-3</v>
      </c>
    </row>
    <row r="455" spans="1:10" x14ac:dyDescent="0.2">
      <c r="A455" s="2">
        <v>447</v>
      </c>
      <c r="B455" s="14">
        <f>A455*Assumptions!$B$12</f>
        <v>4.47</v>
      </c>
      <c r="C455" s="15">
        <f>IF(A455&lt;=Assumptions!$B$13,IF(OR(A455=0,A455=Assumptions!$B$13),0.5,1),0)*Assumptions!$B$12</f>
        <v>0.01</v>
      </c>
      <c r="D455" s="12">
        <f>D454*(1-Assumptions!$B$12*(Assumptions!$B$5+Assumptions!$B$6))</f>
        <v>0.87448501600776329</v>
      </c>
      <c r="E455" s="12">
        <f>E454+Assumptions!$B$12*(D454*Assumptions!$B$5-E454*Assumptions!$B$7)</f>
        <v>7.481482186084483E-2</v>
      </c>
      <c r="F455" s="12">
        <f t="shared" si="18"/>
        <v>5.0700162131391877E-2</v>
      </c>
      <c r="G455" s="12">
        <f>EXP(-Assumptions!$B$8*B455)</f>
        <v>0.79971489186759603</v>
      </c>
      <c r="H455" s="12">
        <f t="shared" si="19"/>
        <v>0.69933869001648141</v>
      </c>
      <c r="I455" s="12">
        <f t="shared" si="20"/>
        <v>5.9830527174538982E-2</v>
      </c>
      <c r="J455" s="12">
        <f>G455*(D455*Assumptions!$B$6+E455*Assumptions!$B$7)</f>
        <v>9.9849132588917637E-3</v>
      </c>
    </row>
    <row r="456" spans="1:10" x14ac:dyDescent="0.2">
      <c r="A456" s="2">
        <v>448</v>
      </c>
      <c r="B456" s="14">
        <f>A456*Assumptions!$B$12</f>
        <v>4.4800000000000004</v>
      </c>
      <c r="C456" s="15">
        <f>IF(A456&lt;=Assumptions!$B$13,IF(OR(A456=0,A456=Assumptions!$B$13),0.5,1),0)*Assumptions!$B$12</f>
        <v>0.01</v>
      </c>
      <c r="D456" s="12">
        <f>D455*(1-Assumptions!$B$12*(Assumptions!$B$5+Assumptions!$B$6))</f>
        <v>0.87422267050296099</v>
      </c>
      <c r="E456" s="12">
        <f>E455+Assumptions!$B$12*(D455*Assumptions!$B$5-E455*Assumptions!$B$7)</f>
        <v>7.4952311453115955E-2</v>
      </c>
      <c r="F456" s="12">
        <f t="shared" ref="F456:F519" si="21">1-D456-E456</f>
        <v>5.0825018043923059E-2</v>
      </c>
      <c r="G456" s="12">
        <f>EXP(-Assumptions!$B$8*B456)</f>
        <v>0.79931513436936508</v>
      </c>
      <c r="H456" s="12">
        <f t="shared" ref="H456:H519" si="22">G456*D456</f>
        <v>0.69877941134181942</v>
      </c>
      <c r="I456" s="12">
        <f t="shared" ref="I456:I519" si="23">G456*E456</f>
        <v>5.9910516900441878E-2</v>
      </c>
      <c r="J456" s="12">
        <f>G456*(D456*Assumptions!$B$6+E456*Assumptions!$B$7)</f>
        <v>9.9833199584402881E-3</v>
      </c>
    </row>
    <row r="457" spans="1:10" x14ac:dyDescent="0.2">
      <c r="A457" s="2">
        <v>449</v>
      </c>
      <c r="B457" s="14">
        <f>A457*Assumptions!$B$12</f>
        <v>4.49</v>
      </c>
      <c r="C457" s="15">
        <f>IF(A457&lt;=Assumptions!$B$13,IF(OR(A457=0,A457=Assumptions!$B$13),0.5,1),0)*Assumptions!$B$12</f>
        <v>0.01</v>
      </c>
      <c r="D457" s="12">
        <f>D456*(1-Assumptions!$B$12*(Assumptions!$B$5+Assumptions!$B$6))</f>
        <v>0.87396040370181016</v>
      </c>
      <c r="E457" s="12">
        <f>E456+Assumptions!$B$12*(D456*Assumptions!$B$5-E456*Assumptions!$B$7)</f>
        <v>7.5089679831489994E-2</v>
      </c>
      <c r="F457" s="12">
        <f t="shared" si="21"/>
        <v>5.0949916466699843E-2</v>
      </c>
      <c r="G457" s="12">
        <f>EXP(-Assumptions!$B$8*B457)</f>
        <v>0.79891557669992186</v>
      </c>
      <c r="H457" s="12">
        <f t="shared" si="22"/>
        <v>0.69822057993632813</v>
      </c>
      <c r="I457" s="12">
        <f t="shared" si="23"/>
        <v>5.9990314866787318E-2</v>
      </c>
      <c r="J457" s="12">
        <f>G457*(D457*Assumptions!$B$6+E457*Assumptions!$B$7)</f>
        <v>9.9817215427026474E-3</v>
      </c>
    </row>
    <row r="458" spans="1:10" x14ac:dyDescent="0.2">
      <c r="A458" s="2">
        <v>450</v>
      </c>
      <c r="B458" s="14">
        <f>A458*Assumptions!$B$12</f>
        <v>4.5</v>
      </c>
      <c r="C458" s="15">
        <f>IF(A458&lt;=Assumptions!$B$13,IF(OR(A458=0,A458=Assumptions!$B$13),0.5,1),0)*Assumptions!$B$12</f>
        <v>0.01</v>
      </c>
      <c r="D458" s="12">
        <f>D457*(1-Assumptions!$B$12*(Assumptions!$B$5+Assumptions!$B$6))</f>
        <v>0.8736982155806996</v>
      </c>
      <c r="E458" s="12">
        <f>E457+Assumptions!$B$12*(D457*Assumptions!$B$5-E457*Assumptions!$B$7)</f>
        <v>7.5226927072314612E-2</v>
      </c>
      <c r="F458" s="12">
        <f t="shared" si="21"/>
        <v>5.1074857346985789E-2</v>
      </c>
      <c r="G458" s="12">
        <f>EXP(-Assumptions!$B$8*B458)</f>
        <v>0.79851621875937706</v>
      </c>
      <c r="H458" s="12">
        <f t="shared" si="22"/>
        <v>0.69766219544231534</v>
      </c>
      <c r="I458" s="12">
        <f t="shared" si="23"/>
        <v>6.0069921354672082E-2</v>
      </c>
      <c r="J458" s="12">
        <f>G458*(D458*Assumptions!$B$6+E458*Assumptions!$B$7)</f>
        <v>9.980118022156757E-3</v>
      </c>
    </row>
    <row r="459" spans="1:10" x14ac:dyDescent="0.2">
      <c r="A459" s="2">
        <v>451</v>
      </c>
      <c r="B459" s="14">
        <f>A459*Assumptions!$B$12</f>
        <v>4.51</v>
      </c>
      <c r="C459" s="15">
        <f>IF(A459&lt;=Assumptions!$B$13,IF(OR(A459=0,A459=Assumptions!$B$13),0.5,1),0)*Assumptions!$B$12</f>
        <v>0.01</v>
      </c>
      <c r="D459" s="12">
        <f>D458*(1-Assumptions!$B$12*(Assumptions!$B$5+Assumptions!$B$6))</f>
        <v>0.8734361061160254</v>
      </c>
      <c r="E459" s="12">
        <f>E458+Assumptions!$B$12*(D458*Assumptions!$B$5-E458*Assumptions!$B$7)</f>
        <v>7.5364053251894589E-2</v>
      </c>
      <c r="F459" s="12">
        <f t="shared" si="21"/>
        <v>5.119984063208001E-2</v>
      </c>
      <c r="G459" s="12">
        <f>EXP(-Assumptions!$B$8*B459)</f>
        <v>0.79811706044789099</v>
      </c>
      <c r="H459" s="12">
        <f t="shared" si="22"/>
        <v>0.69710425750237437</v>
      </c>
      <c r="I459" s="12">
        <f t="shared" si="23"/>
        <v>6.0149336644840429E-2</v>
      </c>
      <c r="J459" s="12">
        <f>G459*(D459*Assumptions!$B$6+E459*Assumptions!$B$7)</f>
        <v>9.9785094072657645E-3</v>
      </c>
    </row>
    <row r="460" spans="1:10" x14ac:dyDescent="0.2">
      <c r="A460" s="2">
        <v>452</v>
      </c>
      <c r="B460" s="14">
        <f>A460*Assumptions!$B$12</f>
        <v>4.5200000000000005</v>
      </c>
      <c r="C460" s="15">
        <f>IF(A460&lt;=Assumptions!$B$13,IF(OR(A460=0,A460=Assumptions!$B$13),0.5,1),0)*Assumptions!$B$12</f>
        <v>0.01</v>
      </c>
      <c r="D460" s="12">
        <f>D459*(1-Assumptions!$B$12*(Assumptions!$B$5+Assumptions!$B$6))</f>
        <v>0.87317407528419066</v>
      </c>
      <c r="E460" s="12">
        <f>E459+Assumptions!$B$12*(D459*Assumptions!$B$5-E459*Assumptions!$B$7)</f>
        <v>7.5501058446491853E-2</v>
      </c>
      <c r="F460" s="12">
        <f t="shared" si="21"/>
        <v>5.1324866269317482E-2</v>
      </c>
      <c r="G460" s="12">
        <f>EXP(-Assumptions!$B$8*B460)</f>
        <v>0.79771810166567425</v>
      </c>
      <c r="H460" s="12">
        <f t="shared" si="22"/>
        <v>0.69654676575938512</v>
      </c>
      <c r="I460" s="12">
        <f t="shared" si="23"/>
        <v>6.0228561017684604E-2</v>
      </c>
      <c r="J460" s="12">
        <f>G460*(D460*Assumptions!$B$6+E460*Assumptions!$B$7)</f>
        <v>9.9768957084780813E-3</v>
      </c>
    </row>
    <row r="461" spans="1:10" x14ac:dyDescent="0.2">
      <c r="A461" s="2">
        <v>453</v>
      </c>
      <c r="B461" s="14">
        <f>A461*Assumptions!$B$12</f>
        <v>4.53</v>
      </c>
      <c r="C461" s="15">
        <f>IF(A461&lt;=Assumptions!$B$13,IF(OR(A461=0,A461=Assumptions!$B$13),0.5,1),0)*Assumptions!$B$12</f>
        <v>0.01</v>
      </c>
      <c r="D461" s="12">
        <f>D460*(1-Assumptions!$B$12*(Assumptions!$B$5+Assumptions!$B$6))</f>
        <v>0.87291212306160548</v>
      </c>
      <c r="E461" s="12">
        <f>E460+Assumptions!$B$12*(D460*Assumptions!$B$5-E460*Assumptions!$B$7)</f>
        <v>7.563794273232545E-2</v>
      </c>
      <c r="F461" s="12">
        <f t="shared" si="21"/>
        <v>5.1449934206069067E-2</v>
      </c>
      <c r="G461" s="12">
        <f>EXP(-Assumptions!$B$8*B461)</f>
        <v>0.79731934231298707</v>
      </c>
      <c r="H461" s="12">
        <f t="shared" si="22"/>
        <v>0.69598971985651248</v>
      </c>
      <c r="I461" s="12">
        <f t="shared" si="23"/>
        <v>6.0307594753245111E-2</v>
      </c>
      <c r="J461" s="12">
        <f>G461*(D461*Assumptions!$B$6+E461*Assumptions!$B$7)</f>
        <v>9.975276936227382E-3</v>
      </c>
    </row>
    <row r="462" spans="1:10" x14ac:dyDescent="0.2">
      <c r="A462" s="2">
        <v>454</v>
      </c>
      <c r="B462" s="14">
        <f>A462*Assumptions!$B$12</f>
        <v>4.54</v>
      </c>
      <c r="C462" s="15">
        <f>IF(A462&lt;=Assumptions!$B$13,IF(OR(A462=0,A462=Assumptions!$B$13),0.5,1),0)*Assumptions!$B$12</f>
        <v>0.01</v>
      </c>
      <c r="D462" s="12">
        <f>D461*(1-Assumptions!$B$12*(Assumptions!$B$5+Assumptions!$B$6))</f>
        <v>0.87265024942468705</v>
      </c>
      <c r="E462" s="12">
        <f>E461+Assumptions!$B$12*(D461*Assumptions!$B$5-E461*Assumptions!$B$7)</f>
        <v>7.5774706185571611E-2</v>
      </c>
      <c r="F462" s="12">
        <f t="shared" si="21"/>
        <v>5.1575044389741337E-2</v>
      </c>
      <c r="G462" s="12">
        <f>EXP(-Assumptions!$B$8*B462)</f>
        <v>0.79692078229013963</v>
      </c>
      <c r="H462" s="12">
        <f t="shared" si="22"/>
        <v>0.69543311943720709</v>
      </c>
      <c r="I462" s="12">
        <f t="shared" si="23"/>
        <v>6.0386438131211209E-2</v>
      </c>
      <c r="J462" s="12">
        <f>G462*(D462*Assumptions!$B$6+E462*Assumptions!$B$7)</f>
        <v>9.9736531009326328E-3</v>
      </c>
    </row>
    <row r="463" spans="1:10" x14ac:dyDescent="0.2">
      <c r="A463" s="2">
        <v>455</v>
      </c>
      <c r="B463" s="14">
        <f>A463*Assumptions!$B$12</f>
        <v>4.55</v>
      </c>
      <c r="C463" s="15">
        <f>IF(A463&lt;=Assumptions!$B$13,IF(OR(A463=0,A463=Assumptions!$B$13),0.5,1),0)*Assumptions!$B$12</f>
        <v>0.01</v>
      </c>
      <c r="D463" s="12">
        <f>D462*(1-Assumptions!$B$12*(Assumptions!$B$5+Assumptions!$B$6))</f>
        <v>0.87238845434985968</v>
      </c>
      <c r="E463" s="12">
        <f>E462+Assumptions!$B$12*(D462*Assumptions!$B$5-E462*Assumptions!$B$7)</f>
        <v>7.5911348882363769E-2</v>
      </c>
      <c r="F463" s="12">
        <f t="shared" si="21"/>
        <v>5.1700196767776554E-2</v>
      </c>
      <c r="G463" s="12">
        <f>EXP(-Assumptions!$B$8*B463)</f>
        <v>0.79652242149749186</v>
      </c>
      <c r="H463" s="12">
        <f t="shared" si="22"/>
        <v>0.69487696414520439</v>
      </c>
      <c r="I463" s="12">
        <f t="shared" si="23"/>
        <v>6.0465091430921311E-2</v>
      </c>
      <c r="J463" s="12">
        <f>G463*(D463*Assumptions!$B$6+E463*Assumptions!$B$7)</f>
        <v>9.9720242129981082E-3</v>
      </c>
    </row>
    <row r="464" spans="1:10" x14ac:dyDescent="0.2">
      <c r="A464" s="2">
        <v>456</v>
      </c>
      <c r="B464" s="14">
        <f>A464*Assumptions!$B$12</f>
        <v>4.5600000000000005</v>
      </c>
      <c r="C464" s="15">
        <f>IF(A464&lt;=Assumptions!$B$13,IF(OR(A464=0,A464=Assumptions!$B$13),0.5,1),0)*Assumptions!$B$12</f>
        <v>0.01</v>
      </c>
      <c r="D464" s="12">
        <f>D463*(1-Assumptions!$B$12*(Assumptions!$B$5+Assumptions!$B$6))</f>
        <v>0.87212673781355476</v>
      </c>
      <c r="E464" s="12">
        <f>E463+Assumptions!$B$12*(D463*Assumptions!$B$5-E463*Assumptions!$B$7)</f>
        <v>7.6047870898792558E-2</v>
      </c>
      <c r="F464" s="12">
        <f t="shared" si="21"/>
        <v>5.1825391287652678E-2</v>
      </c>
      <c r="G464" s="12">
        <f>EXP(-Assumptions!$B$8*B464)</f>
        <v>0.79612425983545365</v>
      </c>
      <c r="H464" s="12">
        <f t="shared" si="22"/>
        <v>0.69432125362452501</v>
      </c>
      <c r="I464" s="12">
        <f t="shared" si="23"/>
        <v>6.0543554931363361E-2</v>
      </c>
      <c r="J464" s="12">
        <f>G464*(D464*Assumptions!$B$6+E464*Assumptions!$B$7)</f>
        <v>9.9703902828134194E-3</v>
      </c>
    </row>
    <row r="465" spans="1:10" x14ac:dyDescent="0.2">
      <c r="A465" s="2">
        <v>457</v>
      </c>
      <c r="B465" s="14">
        <f>A465*Assumptions!$B$12</f>
        <v>4.57</v>
      </c>
      <c r="C465" s="15">
        <f>IF(A465&lt;=Assumptions!$B$13,IF(OR(A465=0,A465=Assumptions!$B$13),0.5,1),0)*Assumptions!$B$12</f>
        <v>0.01</v>
      </c>
      <c r="D465" s="12">
        <f>D464*(1-Assumptions!$B$12*(Assumptions!$B$5+Assumptions!$B$6))</f>
        <v>0.87186509979221072</v>
      </c>
      <c r="E465" s="12">
        <f>E464+Assumptions!$B$12*(D464*Assumptions!$B$5-E464*Assumptions!$B$7)</f>
        <v>7.6184272310905868E-2</v>
      </c>
      <c r="F465" s="12">
        <f t="shared" si="21"/>
        <v>5.1950627896883414E-2</v>
      </c>
      <c r="G465" s="12">
        <f>EXP(-Assumptions!$B$8*B465)</f>
        <v>0.79572629720448462</v>
      </c>
      <c r="H465" s="12">
        <f t="shared" si="22"/>
        <v>0.69376598751947427</v>
      </c>
      <c r="I465" s="12">
        <f t="shared" si="23"/>
        <v>6.062182891117527E-2</v>
      </c>
      <c r="J465" s="12">
        <f>G465*(D465*Assumptions!$B$6+E465*Assumptions!$B$7)</f>
        <v>9.9687513207535067E-3</v>
      </c>
    </row>
    <row r="466" spans="1:10" x14ac:dyDescent="0.2">
      <c r="A466" s="2">
        <v>458</v>
      </c>
      <c r="B466" s="14">
        <f>A466*Assumptions!$B$12</f>
        <v>4.58</v>
      </c>
      <c r="C466" s="15">
        <f>IF(A466&lt;=Assumptions!$B$13,IF(OR(A466=0,A466=Assumptions!$B$13),0.5,1),0)*Assumptions!$B$12</f>
        <v>0.01</v>
      </c>
      <c r="D466" s="12">
        <f>D465*(1-Assumptions!$B$12*(Assumptions!$B$5+Assumptions!$B$6))</f>
        <v>0.87160354026227305</v>
      </c>
      <c r="E466" s="12">
        <f>E465+Assumptions!$B$12*(D465*Assumptions!$B$5-E465*Assumptions!$B$7)</f>
        <v>7.6320553194708859E-2</v>
      </c>
      <c r="F466" s="12">
        <f t="shared" si="21"/>
        <v>5.2075906543018094E-2</v>
      </c>
      <c r="G466" s="12">
        <f>EXP(-Assumptions!$B$8*B466)</f>
        <v>0.79532853350509392</v>
      </c>
      <c r="H466" s="12">
        <f t="shared" si="22"/>
        <v>0.69321116547464168</v>
      </c>
      <c r="I466" s="12">
        <f t="shared" si="23"/>
        <v>6.0699913648645305E-2</v>
      </c>
      <c r="J466" s="12">
        <f>G466*(D466*Assumptions!$B$6+E466*Assumptions!$B$7)</f>
        <v>9.9671073371786819E-3</v>
      </c>
    </row>
    <row r="467" spans="1:10" x14ac:dyDescent="0.2">
      <c r="A467" s="2">
        <v>459</v>
      </c>
      <c r="B467" s="14">
        <f>A467*Assumptions!$B$12</f>
        <v>4.59</v>
      </c>
      <c r="C467" s="15">
        <f>IF(A467&lt;=Assumptions!$B$13,IF(OR(A467=0,A467=Assumptions!$B$13),0.5,1),0)*Assumptions!$B$12</f>
        <v>0.01</v>
      </c>
      <c r="D467" s="12">
        <f>D466*(1-Assumptions!$B$12*(Assumptions!$B$5+Assumptions!$B$6))</f>
        <v>0.87134205920019436</v>
      </c>
      <c r="E467" s="12">
        <f>E466+Assumptions!$B$12*(D466*Assumptions!$B$5-E466*Assumptions!$B$7)</f>
        <v>7.6456713626163963E-2</v>
      </c>
      <c r="F467" s="12">
        <f t="shared" si="21"/>
        <v>5.2201227173641673E-2</v>
      </c>
      <c r="G467" s="12">
        <f>EXP(-Assumptions!$B$8*B467)</f>
        <v>0.79493096863784085</v>
      </c>
      <c r="H467" s="12">
        <f t="shared" si="22"/>
        <v>0.69265678713490142</v>
      </c>
      <c r="I467" s="12">
        <f t="shared" si="23"/>
        <v>6.0777809421712528E-2</v>
      </c>
      <c r="J467" s="12">
        <f>G467*(D467*Assumptions!$B$6+E467*Assumptions!$B$7)</f>
        <v>9.9654583424346396E-3</v>
      </c>
    </row>
    <row r="468" spans="1:10" x14ac:dyDescent="0.2">
      <c r="A468" s="2">
        <v>460</v>
      </c>
      <c r="B468" s="14">
        <f>A468*Assumptions!$B$12</f>
        <v>4.6000000000000005</v>
      </c>
      <c r="C468" s="15">
        <f>IF(A468&lt;=Assumptions!$B$13,IF(OR(A468=0,A468=Assumptions!$B$13),0.5,1),0)*Assumptions!$B$12</f>
        <v>0.01</v>
      </c>
      <c r="D468" s="12">
        <f>D467*(1-Assumptions!$B$12*(Assumptions!$B$5+Assumptions!$B$6))</f>
        <v>0.87108065658243439</v>
      </c>
      <c r="E468" s="12">
        <f>E467+Assumptions!$B$12*(D467*Assumptions!$B$5-E467*Assumptions!$B$7)</f>
        <v>7.6592753681190923E-2</v>
      </c>
      <c r="F468" s="12">
        <f t="shared" si="21"/>
        <v>5.232658973637469E-2</v>
      </c>
      <c r="G468" s="12">
        <f>EXP(-Assumptions!$B$8*B468)</f>
        <v>0.79453360250333394</v>
      </c>
      <c r="H468" s="12">
        <f t="shared" si="22"/>
        <v>0.69210285214541101</v>
      </c>
      <c r="I468" s="12">
        <f t="shared" si="23"/>
        <v>6.0855516507967118E-2</v>
      </c>
      <c r="J468" s="12">
        <f>G468*(D468*Assumptions!$B$6+E468*Assumptions!$B$7)</f>
        <v>9.9638043468524649E-3</v>
      </c>
    </row>
    <row r="469" spans="1:10" x14ac:dyDescent="0.2">
      <c r="A469" s="2">
        <v>461</v>
      </c>
      <c r="B469" s="14">
        <f>A469*Assumptions!$B$12</f>
        <v>4.6100000000000003</v>
      </c>
      <c r="C469" s="15">
        <f>IF(A469&lt;=Assumptions!$B$13,IF(OR(A469=0,A469=Assumptions!$B$13),0.5,1),0)*Assumptions!$B$12</f>
        <v>0.01</v>
      </c>
      <c r="D469" s="12">
        <f>D468*(1-Assumptions!$B$12*(Assumptions!$B$5+Assumptions!$B$6))</f>
        <v>0.87081933238545972</v>
      </c>
      <c r="E469" s="12">
        <f>E468+Assumptions!$B$12*(D468*Assumptions!$B$5-E468*Assumptions!$B$7)</f>
        <v>7.6728673435666819E-2</v>
      </c>
      <c r="F469" s="12">
        <f t="shared" si="21"/>
        <v>5.2451994178873459E-2</v>
      </c>
      <c r="G469" s="12">
        <f>EXP(-Assumptions!$B$8*B469)</f>
        <v>0.79413643500223186</v>
      </c>
      <c r="H469" s="12">
        <f t="shared" si="22"/>
        <v>0.69154936015161261</v>
      </c>
      <c r="I469" s="12">
        <f t="shared" si="23"/>
        <v>6.0933035184650895E-2</v>
      </c>
      <c r="J469" s="12">
        <f>G469*(D469*Assumptions!$B$6+E469*Assumptions!$B$7)</f>
        <v>9.9621453607486709E-3</v>
      </c>
    </row>
    <row r="470" spans="1:10" x14ac:dyDescent="0.2">
      <c r="A470" s="2">
        <v>462</v>
      </c>
      <c r="B470" s="14">
        <f>A470*Assumptions!$B$12</f>
        <v>4.62</v>
      </c>
      <c r="C470" s="15">
        <f>IF(A470&lt;=Assumptions!$B$13,IF(OR(A470=0,A470=Assumptions!$B$13),0.5,1),0)*Assumptions!$B$12</f>
        <v>0.01</v>
      </c>
      <c r="D470" s="12">
        <f>D469*(1-Assumptions!$B$12*(Assumptions!$B$5+Assumptions!$B$6))</f>
        <v>0.87055808658574407</v>
      </c>
      <c r="E470" s="12">
        <f>E469+Assumptions!$B$12*(D469*Assumptions!$B$5-E469*Assumptions!$B$7)</f>
        <v>7.6864472965426076E-2</v>
      </c>
      <c r="F470" s="12">
        <f t="shared" si="21"/>
        <v>5.2577440448829851E-2</v>
      </c>
      <c r="G470" s="12">
        <f>EXP(-Assumptions!$B$8*B470)</f>
        <v>0.7937394660352427</v>
      </c>
      <c r="H470" s="12">
        <f t="shared" si="22"/>
        <v>0.69099631079923107</v>
      </c>
      <c r="I470" s="12">
        <f t="shared" si="23"/>
        <v>6.1010365728657638E-2</v>
      </c>
      <c r="J470" s="12">
        <f>G470*(D470*Assumptions!$B$6+E470*Assumptions!$B$7)</f>
        <v>9.9604813944251941E-3</v>
      </c>
    </row>
    <row r="471" spans="1:10" x14ac:dyDescent="0.2">
      <c r="A471" s="2">
        <v>463</v>
      </c>
      <c r="B471" s="14">
        <f>A471*Assumptions!$B$12</f>
        <v>4.63</v>
      </c>
      <c r="C471" s="15">
        <f>IF(A471&lt;=Assumptions!$B$13,IF(OR(A471=0,A471=Assumptions!$B$13),0.5,1),0)*Assumptions!$B$12</f>
        <v>0.01</v>
      </c>
      <c r="D471" s="12">
        <f>D470*(1-Assumptions!$B$12*(Assumptions!$B$5+Assumptions!$B$6))</f>
        <v>0.87029691915976837</v>
      </c>
      <c r="E471" s="12">
        <f>E470+Assumptions!$B$12*(D470*Assumptions!$B$5-E470*Assumptions!$B$7)</f>
        <v>7.7000152346260509E-2</v>
      </c>
      <c r="F471" s="12">
        <f t="shared" si="21"/>
        <v>5.2702928493971124E-2</v>
      </c>
      <c r="G471" s="12">
        <f>EXP(-Assumptions!$B$8*B471)</f>
        <v>0.7933426955031242</v>
      </c>
      <c r="H471" s="12">
        <f t="shared" si="22"/>
        <v>0.69044370373427522</v>
      </c>
      <c r="I471" s="12">
        <f t="shared" si="23"/>
        <v>6.1087508416533522E-2</v>
      </c>
      <c r="J471" s="12">
        <f>G471*(D471*Assumptions!$B$6+E471*Assumptions!$B$7)</f>
        <v>9.9588124581694287E-3</v>
      </c>
    </row>
    <row r="472" spans="1:10" x14ac:dyDescent="0.2">
      <c r="A472" s="2">
        <v>464</v>
      </c>
      <c r="B472" s="14">
        <f>A472*Assumptions!$B$12</f>
        <v>4.6399999999999997</v>
      </c>
      <c r="C472" s="15">
        <f>IF(A472&lt;=Assumptions!$B$13,IF(OR(A472=0,A472=Assumptions!$B$13),0.5,1),0)*Assumptions!$B$12</f>
        <v>0.01</v>
      </c>
      <c r="D472" s="12">
        <f>D471*(1-Assumptions!$B$12*(Assumptions!$B$5+Assumptions!$B$6))</f>
        <v>0.87003583008402041</v>
      </c>
      <c r="E472" s="12">
        <f>E471+Assumptions!$B$12*(D471*Assumptions!$B$5-E471*Assumptions!$B$7)</f>
        <v>7.7135711653919331E-2</v>
      </c>
      <c r="F472" s="12">
        <f t="shared" si="21"/>
        <v>5.2828458262060257E-2</v>
      </c>
      <c r="G472" s="12">
        <f>EXP(-Assumptions!$B$8*B472)</f>
        <v>0.79294612330668368</v>
      </c>
      <c r="H472" s="12">
        <f t="shared" si="22"/>
        <v>0.68989153860303654</v>
      </c>
      <c r="I472" s="12">
        <f t="shared" si="23"/>
        <v>6.1164463524477512E-2</v>
      </c>
      <c r="J472" s="12">
        <f>G472*(D472*Assumptions!$B$6+E472*Assumptions!$B$7)</f>
        <v>9.9571385622542422E-3</v>
      </c>
    </row>
    <row r="473" spans="1:10" x14ac:dyDescent="0.2">
      <c r="A473" s="2">
        <v>465</v>
      </c>
      <c r="B473" s="14">
        <f>A473*Assumptions!$B$12</f>
        <v>4.6500000000000004</v>
      </c>
      <c r="C473" s="15">
        <f>IF(A473&lt;=Assumptions!$B$13,IF(OR(A473=0,A473=Assumptions!$B$13),0.5,1),0)*Assumptions!$B$12</f>
        <v>0.01</v>
      </c>
      <c r="D473" s="12">
        <f>D472*(1-Assumptions!$B$12*(Assumptions!$B$5+Assumptions!$B$6))</f>
        <v>0.86977481933499523</v>
      </c>
      <c r="E473" s="12">
        <f>E472+Assumptions!$B$12*(D472*Assumptions!$B$5-E472*Assumptions!$B$7)</f>
        <v>7.7271150964109178E-2</v>
      </c>
      <c r="F473" s="12">
        <f t="shared" si="21"/>
        <v>5.2954029700895591E-2</v>
      </c>
      <c r="G473" s="12">
        <f>EXP(-Assumptions!$B$8*B473)</f>
        <v>0.79254974934677813</v>
      </c>
      <c r="H473" s="12">
        <f t="shared" si="22"/>
        <v>0.68933981505208974</v>
      </c>
      <c r="I473" s="12">
        <f t="shared" si="23"/>
        <v>6.1241231328341784E-2</v>
      </c>
      <c r="J473" s="12">
        <f>G473*(D473*Assumptions!$B$6+E473*Assumptions!$B$7)</f>
        <v>9.9554597169379862E-3</v>
      </c>
    </row>
    <row r="474" spans="1:10" x14ac:dyDescent="0.2">
      <c r="A474" s="2">
        <v>466</v>
      </c>
      <c r="B474" s="14">
        <f>A474*Assumptions!$B$12</f>
        <v>4.66</v>
      </c>
      <c r="C474" s="15">
        <f>IF(A474&lt;=Assumptions!$B$13,IF(OR(A474=0,A474=Assumptions!$B$13),0.5,1),0)*Assumptions!$B$12</f>
        <v>0.01</v>
      </c>
      <c r="D474" s="12">
        <f>D473*(1-Assumptions!$B$12*(Assumptions!$B$5+Assumptions!$B$6))</f>
        <v>0.86951388688919473</v>
      </c>
      <c r="E474" s="12">
        <f>E473+Assumptions!$B$12*(D473*Assumptions!$B$5-E473*Assumptions!$B$7)</f>
        <v>7.7406470352494122E-2</v>
      </c>
      <c r="F474" s="12">
        <f t="shared" si="21"/>
        <v>5.3079642758311146E-2</v>
      </c>
      <c r="G474" s="12">
        <f>EXP(-Assumptions!$B$8*B474)</f>
        <v>0.79215357352431404</v>
      </c>
      <c r="H474" s="12">
        <f t="shared" si="22"/>
        <v>0.68878853272829177</v>
      </c>
      <c r="I474" s="12">
        <f t="shared" si="23"/>
        <v>6.1317812103632088E-2</v>
      </c>
      <c r="J474" s="12">
        <f>G474*(D474*Assumptions!$B$6+E474*Assumptions!$B$7)</f>
        <v>9.9537759324645238E-3</v>
      </c>
    </row>
    <row r="475" spans="1:10" x14ac:dyDescent="0.2">
      <c r="A475" s="2">
        <v>467</v>
      </c>
      <c r="B475" s="14">
        <f>A475*Assumptions!$B$12</f>
        <v>4.67</v>
      </c>
      <c r="C475" s="15">
        <f>IF(A475&lt;=Assumptions!$B$13,IF(OR(A475=0,A475=Assumptions!$B$13),0.5,1),0)*Assumptions!$B$12</f>
        <v>0.01</v>
      </c>
      <c r="D475" s="12">
        <f>D474*(1-Assumptions!$B$12*(Assumptions!$B$5+Assumptions!$B$6))</f>
        <v>0.86925303272312804</v>
      </c>
      <c r="E475" s="12">
        <f>E474+Assumptions!$B$12*(D474*Assumptions!$B$5-E474*Assumptions!$B$7)</f>
        <v>7.7541669894695714E-2</v>
      </c>
      <c r="F475" s="12">
        <f t="shared" si="21"/>
        <v>5.3205297382176248E-2</v>
      </c>
      <c r="G475" s="12">
        <f>EXP(-Assumptions!$B$8*B475)</f>
        <v>0.7917575957402474</v>
      </c>
      <c r="H475" s="12">
        <f t="shared" si="22"/>
        <v>0.68823769127878243</v>
      </c>
      <c r="I475" s="12">
        <f t="shared" si="23"/>
        <v>6.1394206125508201E-2</v>
      </c>
      <c r="J475" s="12">
        <f>G475*(D475*Assumptions!$B$6+E475*Assumptions!$B$7)</f>
        <v>9.9520872190632347E-3</v>
      </c>
    </row>
    <row r="476" spans="1:10" x14ac:dyDescent="0.2">
      <c r="A476" s="2">
        <v>468</v>
      </c>
      <c r="B476" s="14">
        <f>A476*Assumptions!$B$12</f>
        <v>4.68</v>
      </c>
      <c r="C476" s="15">
        <f>IF(A476&lt;=Assumptions!$B$13,IF(OR(A476=0,A476=Assumptions!$B$13),0.5,1),0)*Assumptions!$B$12</f>
        <v>0.01</v>
      </c>
      <c r="D476" s="12">
        <f>D475*(1-Assumptions!$B$12*(Assumptions!$B$5+Assumptions!$B$6))</f>
        <v>0.86899225681331116</v>
      </c>
      <c r="E476" s="12">
        <f>E475+Assumptions!$B$12*(D475*Assumptions!$B$5-E475*Assumptions!$B$7)</f>
        <v>7.7676749666292996E-2</v>
      </c>
      <c r="F476" s="12">
        <f t="shared" si="21"/>
        <v>5.3330993520395845E-2</v>
      </c>
      <c r="G476" s="12">
        <f>EXP(-Assumptions!$B$8*B476)</f>
        <v>0.79136181589558385</v>
      </c>
      <c r="H476" s="12">
        <f t="shared" si="22"/>
        <v>0.68768729035098342</v>
      </c>
      <c r="I476" s="12">
        <f t="shared" si="23"/>
        <v>6.1470413668784314E-2</v>
      </c>
      <c r="J476" s="12">
        <f>G476*(D476*Assumptions!$B$6+E476*Assumptions!$B$7)</f>
        <v>9.9503935869490502E-3</v>
      </c>
    </row>
    <row r="477" spans="1:10" x14ac:dyDescent="0.2">
      <c r="A477" s="2">
        <v>469</v>
      </c>
      <c r="B477" s="14">
        <f>A477*Assumptions!$B$12</f>
        <v>4.6900000000000004</v>
      </c>
      <c r="C477" s="15">
        <f>IF(A477&lt;=Assumptions!$B$13,IF(OR(A477=0,A477=Assumptions!$B$13),0.5,1),0)*Assumptions!$B$12</f>
        <v>0.01</v>
      </c>
      <c r="D477" s="12">
        <f>D476*(1-Assumptions!$B$12*(Assumptions!$B$5+Assumptions!$B$6))</f>
        <v>0.86873155913626721</v>
      </c>
      <c r="E477" s="12">
        <f>E476+Assumptions!$B$12*(D476*Assumptions!$B$5-E476*Assumptions!$B$7)</f>
        <v>7.7811709742822519E-2</v>
      </c>
      <c r="F477" s="12">
        <f t="shared" si="21"/>
        <v>5.3456731120910275E-2</v>
      </c>
      <c r="G477" s="12">
        <f>EXP(-Assumptions!$B$8*B477)</f>
        <v>0.79096623389137832</v>
      </c>
      <c r="H477" s="12">
        <f t="shared" si="22"/>
        <v>0.68713732959259843</v>
      </c>
      <c r="I477" s="12">
        <f t="shared" si="23"/>
        <v>6.1546435007929397E-2</v>
      </c>
      <c r="J477" s="12">
        <f>G477*(D477*Assumptions!$B$6+E477*Assumptions!$B$7)</f>
        <v>9.948695046322455E-3</v>
      </c>
    </row>
    <row r="478" spans="1:10" x14ac:dyDescent="0.2">
      <c r="A478" s="2">
        <v>470</v>
      </c>
      <c r="B478" s="14">
        <f>A478*Assumptions!$B$12</f>
        <v>4.7</v>
      </c>
      <c r="C478" s="15">
        <f>IF(A478&lt;=Assumptions!$B$13,IF(OR(A478=0,A478=Assumptions!$B$13),0.5,1),0)*Assumptions!$B$12</f>
        <v>0.01</v>
      </c>
      <c r="D478" s="12">
        <f>D477*(1-Assumptions!$B$12*(Assumptions!$B$5+Assumptions!$B$6))</f>
        <v>0.8684709396685264</v>
      </c>
      <c r="E478" s="12">
        <f>E477+Assumptions!$B$12*(D477*Assumptions!$B$5-E477*Assumptions!$B$7)</f>
        <v>7.7946550199778364E-2</v>
      </c>
      <c r="F478" s="12">
        <f t="shared" si="21"/>
        <v>5.3582510131695238E-2</v>
      </c>
      <c r="G478" s="12">
        <f>EXP(-Assumptions!$B$8*B478)</f>
        <v>0.79057084962873558</v>
      </c>
      <c r="H478" s="12">
        <f t="shared" si="22"/>
        <v>0.68658780865161328</v>
      </c>
      <c r="I478" s="12">
        <f t="shared" si="23"/>
        <v>6.1622270417067672E-2</v>
      </c>
      <c r="J478" s="12">
        <f>G478*(D478*Assumptions!$B$6+E478*Assumptions!$B$7)</f>
        <v>9.9469916073695163E-3</v>
      </c>
    </row>
    <row r="479" spans="1:10" x14ac:dyDescent="0.2">
      <c r="A479" s="2">
        <v>471</v>
      </c>
      <c r="B479" s="14">
        <f>A479*Assumptions!$B$12</f>
        <v>4.71</v>
      </c>
      <c r="C479" s="15">
        <f>IF(A479&lt;=Assumptions!$B$13,IF(OR(A479=0,A479=Assumptions!$B$13),0.5,1),0)*Assumptions!$B$12</f>
        <v>0.01</v>
      </c>
      <c r="D479" s="12">
        <f>D478*(1-Assumptions!$B$12*(Assumptions!$B$5+Assumptions!$B$6))</f>
        <v>0.86821039838662584</v>
      </c>
      <c r="E479" s="12">
        <f>E478+Assumptions!$B$12*(D478*Assumptions!$B$5-E478*Assumptions!$B$7)</f>
        <v>7.8081271112612177E-2</v>
      </c>
      <c r="F479" s="12">
        <f t="shared" si="21"/>
        <v>5.3708330500761986E-2</v>
      </c>
      <c r="G479" s="12">
        <f>EXP(-Assumptions!$B$8*B479)</f>
        <v>0.79017566300880926</v>
      </c>
      <c r="H479" s="12">
        <f t="shared" si="22"/>
        <v>0.68603872717629444</v>
      </c>
      <c r="I479" s="12">
        <f t="shared" si="23"/>
        <v>6.1697920169978916E-2</v>
      </c>
      <c r="J479" s="12">
        <f>G479*(D479*Assumptions!$B$6+E479*Assumptions!$B$7)</f>
        <v>9.945283280261891E-3</v>
      </c>
    </row>
    <row r="480" spans="1:10" x14ac:dyDescent="0.2">
      <c r="A480" s="2">
        <v>472</v>
      </c>
      <c r="B480" s="14">
        <f>A480*Assumptions!$B$12</f>
        <v>4.72</v>
      </c>
      <c r="C480" s="15">
        <f>IF(A480&lt;=Assumptions!$B$13,IF(OR(A480=0,A480=Assumptions!$B$13),0.5,1),0)*Assumptions!$B$12</f>
        <v>0.01</v>
      </c>
      <c r="D480" s="12">
        <f>D479*(1-Assumptions!$B$12*(Assumptions!$B$5+Assumptions!$B$6))</f>
        <v>0.86794993526710984</v>
      </c>
      <c r="E480" s="12">
        <f>E479+Assumptions!$B$12*(D479*Assumptions!$B$5-E479*Assumptions!$B$7)</f>
        <v>7.8215872556733193E-2</v>
      </c>
      <c r="F480" s="12">
        <f t="shared" si="21"/>
        <v>5.3834192176156967E-2</v>
      </c>
      <c r="G480" s="12">
        <f>EXP(-Assumptions!$B$8*B480)</f>
        <v>0.78978067393280271</v>
      </c>
      <c r="H480" s="12">
        <f t="shared" si="22"/>
        <v>0.68549008481519047</v>
      </c>
      <c r="I480" s="12">
        <f t="shared" si="23"/>
        <v>6.1773384540098952E-2</v>
      </c>
      <c r="J480" s="12">
        <f>G480*(D480*Assumptions!$B$6+E480*Assumptions!$B$7)</f>
        <v>9.9435700751568518E-3</v>
      </c>
    </row>
    <row r="481" spans="1:10" x14ac:dyDescent="0.2">
      <c r="A481" s="2">
        <v>473</v>
      </c>
      <c r="B481" s="14">
        <f>A481*Assumptions!$B$12</f>
        <v>4.7300000000000004</v>
      </c>
      <c r="C481" s="15">
        <f>IF(A481&lt;=Assumptions!$B$13,IF(OR(A481=0,A481=Assumptions!$B$13),0.5,1),0)*Assumptions!$B$12</f>
        <v>0.01</v>
      </c>
      <c r="D481" s="12">
        <f>D480*(1-Assumptions!$B$12*(Assumptions!$B$5+Assumptions!$B$6))</f>
        <v>0.86768955028652972</v>
      </c>
      <c r="E481" s="12">
        <f>E480+Assumptions!$B$12*(D480*Assumptions!$B$5-E480*Assumptions!$B$7)</f>
        <v>7.8350354607508249E-2</v>
      </c>
      <c r="F481" s="12">
        <f t="shared" si="21"/>
        <v>5.396009510596203E-2</v>
      </c>
      <c r="G481" s="12">
        <f>EXP(-Assumptions!$B$8*B481)</f>
        <v>0.78938588230196882</v>
      </c>
      <c r="H481" s="12">
        <f t="shared" si="22"/>
        <v>0.68494188121713084</v>
      </c>
      <c r="I481" s="12">
        <f t="shared" si="23"/>
        <v>6.184866380052003E-2</v>
      </c>
      <c r="J481" s="12">
        <f>G481*(D481*Assumptions!$B$6+E481*Assumptions!$B$7)</f>
        <v>9.9418520021973093E-3</v>
      </c>
    </row>
    <row r="482" spans="1:10" x14ac:dyDescent="0.2">
      <c r="A482" s="2">
        <v>474</v>
      </c>
      <c r="B482" s="14">
        <f>A482*Assumptions!$B$12</f>
        <v>4.74</v>
      </c>
      <c r="C482" s="15">
        <f>IF(A482&lt;=Assumptions!$B$13,IF(OR(A482=0,A482=Assumptions!$B$13),0.5,1),0)*Assumptions!$B$12</f>
        <v>0.01</v>
      </c>
      <c r="D482" s="12">
        <f>D481*(1-Assumptions!$B$12*(Assumptions!$B$5+Assumptions!$B$6))</f>
        <v>0.86742924342144379</v>
      </c>
      <c r="E482" s="12">
        <f>E481+Assumptions!$B$12*(D481*Assumptions!$B$5-E481*Assumptions!$B$7)</f>
        <v>7.84847173402618E-2</v>
      </c>
      <c r="F482" s="12">
        <f t="shared" si="21"/>
        <v>5.4086039238294414E-2</v>
      </c>
      <c r="G482" s="12">
        <f>EXP(-Assumptions!$B$8*B482)</f>
        <v>0.78899128801760965</v>
      </c>
      <c r="H482" s="12">
        <f t="shared" si="22"/>
        <v>0.68439411603122557</v>
      </c>
      <c r="I482" s="12">
        <f t="shared" si="23"/>
        <v>6.1923758223991182E-2</v>
      </c>
      <c r="J482" s="12">
        <f>G482*(D482*Assumptions!$B$6+E482*Assumptions!$B$7)</f>
        <v>9.9401290715118162E-3</v>
      </c>
    </row>
    <row r="483" spans="1:10" x14ac:dyDescent="0.2">
      <c r="A483" s="2">
        <v>475</v>
      </c>
      <c r="B483" s="14">
        <f>A483*Assumptions!$B$12</f>
        <v>4.75</v>
      </c>
      <c r="C483" s="15">
        <f>IF(A483&lt;=Assumptions!$B$13,IF(OR(A483=0,A483=Assumptions!$B$13),0.5,1),0)*Assumptions!$B$12</f>
        <v>0.01</v>
      </c>
      <c r="D483" s="12">
        <f>D482*(1-Assumptions!$B$12*(Assumptions!$B$5+Assumptions!$B$6))</f>
        <v>0.86716901464841734</v>
      </c>
      <c r="E483" s="12">
        <f>E482+Assumptions!$B$12*(D482*Assumptions!$B$5-E482*Assumptions!$B$7)</f>
        <v>7.8618960830275961E-2</v>
      </c>
      <c r="F483" s="12">
        <f t="shared" si="21"/>
        <v>5.4212024521306704E-2</v>
      </c>
      <c r="G483" s="12">
        <f>EXP(-Assumptions!$B$8*B483)</f>
        <v>0.78859689098107666</v>
      </c>
      <c r="H483" s="12">
        <f t="shared" si="22"/>
        <v>0.68384678890686568</v>
      </c>
      <c r="I483" s="12">
        <f t="shared" si="23"/>
        <v>6.1998668082918665E-2</v>
      </c>
      <c r="J483" s="12">
        <f>G483*(D483*Assumptions!$B$6+E483*Assumptions!$B$7)</f>
        <v>9.9384012932145892E-3</v>
      </c>
    </row>
    <row r="484" spans="1:10" x14ac:dyDescent="0.2">
      <c r="A484" s="2">
        <v>476</v>
      </c>
      <c r="B484" s="14">
        <f>A484*Assumptions!$B$12</f>
        <v>4.76</v>
      </c>
      <c r="C484" s="15">
        <f>IF(A484&lt;=Assumptions!$B$13,IF(OR(A484=0,A484=Assumptions!$B$13),0.5,1),0)*Assumptions!$B$12</f>
        <v>0.01</v>
      </c>
      <c r="D484" s="12">
        <f>D483*(1-Assumptions!$B$12*(Assumptions!$B$5+Assumptions!$B$6))</f>
        <v>0.86690886394402289</v>
      </c>
      <c r="E484" s="12">
        <f>E483+Assumptions!$B$12*(D483*Assumptions!$B$5-E483*Assumptions!$B$7)</f>
        <v>7.8753085152790503E-2</v>
      </c>
      <c r="F484" s="12">
        <f t="shared" si="21"/>
        <v>5.4338050903186608E-2</v>
      </c>
      <c r="G484" s="12">
        <f>EXP(-Assumptions!$B$8*B484)</f>
        <v>0.78820269109377039</v>
      </c>
      <c r="H484" s="12">
        <f t="shared" si="22"/>
        <v>0.68329989949372205</v>
      </c>
      <c r="I484" s="12">
        <f t="shared" si="23"/>
        <v>6.2073393649366329E-2</v>
      </c>
      <c r="J484" s="12">
        <f>G484*(D484*Assumptions!$B$6+E484*Assumptions!$B$7)</f>
        <v>9.9366686774055388E-3</v>
      </c>
    </row>
    <row r="485" spans="1:10" x14ac:dyDescent="0.2">
      <c r="A485" s="2">
        <v>477</v>
      </c>
      <c r="B485" s="14">
        <f>A485*Assumptions!$B$12</f>
        <v>4.7700000000000005</v>
      </c>
      <c r="C485" s="15">
        <f>IF(A485&lt;=Assumptions!$B$13,IF(OR(A485=0,A485=Assumptions!$B$13),0.5,1),0)*Assumptions!$B$12</f>
        <v>0.01</v>
      </c>
      <c r="D485" s="12">
        <f>D484*(1-Assumptions!$B$12*(Assumptions!$B$5+Assumptions!$B$6))</f>
        <v>0.86664879128483974</v>
      </c>
      <c r="E485" s="12">
        <f>E484+Assumptions!$B$12*(D484*Assumptions!$B$5-E484*Assumptions!$B$7)</f>
        <v>7.8887090383002914E-2</v>
      </c>
      <c r="F485" s="12">
        <f t="shared" si="21"/>
        <v>5.4464118332157349E-2</v>
      </c>
      <c r="G485" s="12">
        <f>EXP(-Assumptions!$B$8*B485)</f>
        <v>0.78780868825714101</v>
      </c>
      <c r="H485" s="12">
        <f t="shared" si="22"/>
        <v>0.68275344744174638</v>
      </c>
      <c r="I485" s="12">
        <f t="shared" si="23"/>
        <v>6.2147935195056049E-2</v>
      </c>
      <c r="J485" s="12">
        <f>G485*(D485*Assumptions!$B$6+E485*Assumptions!$B$7)</f>
        <v>9.9349312341702675E-3</v>
      </c>
    </row>
    <row r="486" spans="1:10" x14ac:dyDescent="0.2">
      <c r="A486" s="2">
        <v>478</v>
      </c>
      <c r="B486" s="14">
        <f>A486*Assumptions!$B$12</f>
        <v>4.78</v>
      </c>
      <c r="C486" s="15">
        <f>IF(A486&lt;=Assumptions!$B$13,IF(OR(A486=0,A486=Assumptions!$B$13),0.5,1),0)*Assumptions!$B$12</f>
        <v>0.01</v>
      </c>
      <c r="D486" s="12">
        <f>D485*(1-Assumptions!$B$12*(Assumptions!$B$5+Assumptions!$B$6))</f>
        <v>0.86638879664745427</v>
      </c>
      <c r="E486" s="12">
        <f>E485+Assumptions!$B$12*(D485*Assumptions!$B$5-E485*Assumptions!$B$7)</f>
        <v>7.9020976596068382E-2</v>
      </c>
      <c r="F486" s="12">
        <f t="shared" si="21"/>
        <v>5.4590226756477345E-2</v>
      </c>
      <c r="G486" s="12">
        <f>EXP(-Assumptions!$B$8*B486)</f>
        <v>0.78741488237268786</v>
      </c>
      <c r="H486" s="12">
        <f t="shared" si="22"/>
        <v>0.68220743240116977</v>
      </c>
      <c r="I486" s="12">
        <f t="shared" si="23"/>
        <v>6.2222292991368104E-2</v>
      </c>
      <c r="J486" s="12">
        <f>G486*(D486*Assumptions!$B$6+E486*Assumptions!$B$7)</f>
        <v>9.9331889735801027E-3</v>
      </c>
    </row>
    <row r="487" spans="1:10" x14ac:dyDescent="0.2">
      <c r="A487" s="2">
        <v>479</v>
      </c>
      <c r="B487" s="14">
        <f>A487*Assumptions!$B$12</f>
        <v>4.79</v>
      </c>
      <c r="C487" s="15">
        <f>IF(A487&lt;=Assumptions!$B$13,IF(OR(A487=0,A487=Assumptions!$B$13),0.5,1),0)*Assumptions!$B$12</f>
        <v>0.01</v>
      </c>
      <c r="D487" s="12">
        <f>D486*(1-Assumptions!$B$12*(Assumptions!$B$5+Assumptions!$B$6))</f>
        <v>0.86612888000846011</v>
      </c>
      <c r="E487" s="12">
        <f>E486+Assumptions!$B$12*(D486*Assumptions!$B$5-E486*Assumptions!$B$7)</f>
        <v>7.9154743867099836E-2</v>
      </c>
      <c r="F487" s="12">
        <f t="shared" si="21"/>
        <v>5.4716376124440053E-2</v>
      </c>
      <c r="G487" s="12">
        <f>EXP(-Assumptions!$B$8*B487)</f>
        <v>0.78702127334195948</v>
      </c>
      <c r="H487" s="12">
        <f t="shared" si="22"/>
        <v>0.68166185402250357</v>
      </c>
      <c r="I487" s="12">
        <f t="shared" si="23"/>
        <v>6.2296467309341574E-2</v>
      </c>
      <c r="J487" s="12">
        <f>G487*(D487*Assumptions!$B$6+E487*Assumptions!$B$7)</f>
        <v>9.9314419056921142E-3</v>
      </c>
    </row>
    <row r="488" spans="1:10" x14ac:dyDescent="0.2">
      <c r="A488" s="2">
        <v>480</v>
      </c>
      <c r="B488" s="14">
        <f>A488*Assumptions!$B$12</f>
        <v>4.8</v>
      </c>
      <c r="C488" s="15">
        <f>IF(A488&lt;=Assumptions!$B$13,IF(OR(A488=0,A488=Assumptions!$B$13),0.5,1),0)*Assumptions!$B$12</f>
        <v>0.01</v>
      </c>
      <c r="D488" s="12">
        <f>D487*(1-Assumptions!$B$12*(Assumptions!$B$5+Assumptions!$B$6))</f>
        <v>0.86586904134445764</v>
      </c>
      <c r="E488" s="12">
        <f>E487+Assumptions!$B$12*(D487*Assumptions!$B$5-E487*Assumptions!$B$7)</f>
        <v>7.9288392271167976E-2</v>
      </c>
      <c r="F488" s="12">
        <f t="shared" si="21"/>
        <v>5.4842566384374389E-2</v>
      </c>
      <c r="G488" s="12">
        <f>EXP(-Assumptions!$B$8*B488)</f>
        <v>0.78662786106655347</v>
      </c>
      <c r="H488" s="12">
        <f t="shared" si="22"/>
        <v>0.68111671195653789</v>
      </c>
      <c r="I488" s="12">
        <f t="shared" si="23"/>
        <v>6.2370458419674715E-2</v>
      </c>
      <c r="J488" s="12">
        <f>G488*(D488*Assumptions!$B$6+E488*Assumptions!$B$7)</f>
        <v>9.9296900405491158E-3</v>
      </c>
    </row>
    <row r="489" spans="1:10" x14ac:dyDescent="0.2">
      <c r="A489" s="2">
        <v>481</v>
      </c>
      <c r="B489" s="14">
        <f>A489*Assumptions!$B$12</f>
        <v>4.8100000000000005</v>
      </c>
      <c r="C489" s="15">
        <f>IF(A489&lt;=Assumptions!$B$13,IF(OR(A489=0,A489=Assumptions!$B$13),0.5,1),0)*Assumptions!$B$12</f>
        <v>0.01</v>
      </c>
      <c r="D489" s="12">
        <f>D488*(1-Assumptions!$B$12*(Assumptions!$B$5+Assumptions!$B$6))</f>
        <v>0.86560928063205433</v>
      </c>
      <c r="E489" s="12">
        <f>E488+Assumptions!$B$12*(D488*Assumptions!$B$5-E488*Assumptions!$B$7)</f>
        <v>7.9421921883301286E-2</v>
      </c>
      <c r="F489" s="12">
        <f t="shared" si="21"/>
        <v>5.496879748464438E-2</v>
      </c>
      <c r="G489" s="12">
        <f>EXP(-Assumptions!$B$8*B489)</f>
        <v>0.78623464544811672</v>
      </c>
      <c r="H489" s="12">
        <f t="shared" si="22"/>
        <v>0.68057200585434263</v>
      </c>
      <c r="I489" s="12">
        <f t="shared" si="23"/>
        <v>6.2444266592725409E-2</v>
      </c>
      <c r="J489" s="12">
        <f>G489*(D489*Assumptions!$B$6+E489*Assumptions!$B$7)</f>
        <v>9.9279333881796966E-3</v>
      </c>
    </row>
    <row r="490" spans="1:10" x14ac:dyDescent="0.2">
      <c r="A490" s="2">
        <v>482</v>
      </c>
      <c r="B490" s="14">
        <f>A490*Assumptions!$B$12</f>
        <v>4.82</v>
      </c>
      <c r="C490" s="15">
        <f>IF(A490&lt;=Assumptions!$B$13,IF(OR(A490=0,A490=Assumptions!$B$13),0.5,1),0)*Assumptions!$B$12</f>
        <v>0.01</v>
      </c>
      <c r="D490" s="12">
        <f>D489*(1-Assumptions!$B$12*(Assumptions!$B$5+Assumptions!$B$6))</f>
        <v>0.86534959784786469</v>
      </c>
      <c r="E490" s="12">
        <f>E489+Assumptions!$B$12*(D489*Assumptions!$B$5-E489*Assumptions!$B$7)</f>
        <v>7.9555332778486046E-2</v>
      </c>
      <c r="F490" s="12">
        <f t="shared" si="21"/>
        <v>5.5095069373649261E-2</v>
      </c>
      <c r="G490" s="12">
        <f>EXP(-Assumptions!$B$8*B490)</f>
        <v>0.78584162638834554</v>
      </c>
      <c r="H490" s="12">
        <f t="shared" si="22"/>
        <v>0.68002773536726679</v>
      </c>
      <c r="I490" s="12">
        <f t="shared" si="23"/>
        <v>6.2517892098511524E-2</v>
      </c>
      <c r="J490" s="12">
        <f>G490*(D490*Assumptions!$B$6+E490*Assumptions!$B$7)</f>
        <v>9.9261719585982434E-3</v>
      </c>
    </row>
    <row r="491" spans="1:10" x14ac:dyDescent="0.2">
      <c r="A491" s="2">
        <v>483</v>
      </c>
      <c r="B491" s="14">
        <f>A491*Assumptions!$B$12</f>
        <v>4.83</v>
      </c>
      <c r="C491" s="15">
        <f>IF(A491&lt;=Assumptions!$B$13,IF(OR(A491=0,A491=Assumptions!$B$13),0.5,1),0)*Assumptions!$B$12</f>
        <v>0.01</v>
      </c>
      <c r="D491" s="12">
        <f>D490*(1-Assumptions!$B$12*(Assumptions!$B$5+Assumptions!$B$6))</f>
        <v>0.86508999296851041</v>
      </c>
      <c r="E491" s="12">
        <f>E490+Assumptions!$B$12*(D490*Assumptions!$B$5-E490*Assumptions!$B$7)</f>
        <v>7.9688625031666377E-2</v>
      </c>
      <c r="F491" s="12">
        <f t="shared" si="21"/>
        <v>5.522138199982321E-2</v>
      </c>
      <c r="G491" s="12">
        <f>EXP(-Assumptions!$B$8*B491)</f>
        <v>0.78544880378898496</v>
      </c>
      <c r="H491" s="12">
        <f t="shared" si="22"/>
        <v>0.67948390014693794</v>
      </c>
      <c r="I491" s="12">
        <f t="shared" si="23"/>
        <v>6.2591335206711313E-2</v>
      </c>
      <c r="J491" s="12">
        <f>G491*(D491*Assumptions!$B$6+E491*Assumptions!$B$7)</f>
        <v>9.9244057618049462E-3</v>
      </c>
    </row>
    <row r="492" spans="1:10" x14ac:dyDescent="0.2">
      <c r="A492" s="2">
        <v>484</v>
      </c>
      <c r="B492" s="14">
        <f>A492*Assumptions!$B$12</f>
        <v>4.84</v>
      </c>
      <c r="C492" s="15">
        <f>IF(A492&lt;=Assumptions!$B$13,IF(OR(A492=0,A492=Assumptions!$B$13),0.5,1),0)*Assumptions!$B$12</f>
        <v>0.01</v>
      </c>
      <c r="D492" s="12">
        <f>D491*(1-Assumptions!$B$12*(Assumptions!$B$5+Assumptions!$B$6))</f>
        <v>0.86483046597061985</v>
      </c>
      <c r="E492" s="12">
        <f>E491+Assumptions!$B$12*(D491*Assumptions!$B$5-E491*Assumptions!$B$7)</f>
        <v>7.9821798717744252E-2</v>
      </c>
      <c r="F492" s="12">
        <f t="shared" si="21"/>
        <v>5.5347735311635893E-2</v>
      </c>
      <c r="G492" s="12">
        <f>EXP(-Assumptions!$B$8*B492)</f>
        <v>0.78505617755182955</v>
      </c>
      <c r="H492" s="12">
        <f t="shared" si="22"/>
        <v>0.67894049984526239</v>
      </c>
      <c r="I492" s="12">
        <f t="shared" si="23"/>
        <v>6.2664596186663826E-2</v>
      </c>
      <c r="J492" s="12">
        <f>G492*(D492*Assumptions!$B$6+E492*Assumptions!$B$7)</f>
        <v>9.9226348077858153E-3</v>
      </c>
    </row>
    <row r="493" spans="1:10" x14ac:dyDescent="0.2">
      <c r="A493" s="2">
        <v>485</v>
      </c>
      <c r="B493" s="14">
        <f>A493*Assumptions!$B$12</f>
        <v>4.8500000000000005</v>
      </c>
      <c r="C493" s="15">
        <f>IF(A493&lt;=Assumptions!$B$13,IF(OR(A493=0,A493=Assumptions!$B$13),0.5,1),0)*Assumptions!$B$12</f>
        <v>0.01</v>
      </c>
      <c r="D493" s="12">
        <f>D492*(1-Assumptions!$B$12*(Assumptions!$B$5+Assumptions!$B$6))</f>
        <v>0.86457101683082871</v>
      </c>
      <c r="E493" s="12">
        <f>E492+Assumptions!$B$12*(D492*Assumptions!$B$5-E492*Assumptions!$B$7)</f>
        <v>7.9954853911579499E-2</v>
      </c>
      <c r="F493" s="12">
        <f t="shared" si="21"/>
        <v>5.5474129257591792E-2</v>
      </c>
      <c r="G493" s="12">
        <f>EXP(-Assumptions!$B$8*B493)</f>
        <v>0.78466374757872248</v>
      </c>
      <c r="H493" s="12">
        <f t="shared" si="22"/>
        <v>0.67839753411442483</v>
      </c>
      <c r="I493" s="12">
        <f t="shared" si="23"/>
        <v>6.2737675307369248E-2</v>
      </c>
      <c r="J493" s="12">
        <f>G493*(D493*Assumptions!$B$6+E493*Assumptions!$B$7)</f>
        <v>9.9208591065127107E-3</v>
      </c>
    </row>
    <row r="494" spans="1:10" x14ac:dyDescent="0.2">
      <c r="A494" s="2">
        <v>486</v>
      </c>
      <c r="B494" s="14">
        <f>A494*Assumptions!$B$12</f>
        <v>4.8600000000000003</v>
      </c>
      <c r="C494" s="15">
        <f>IF(A494&lt;=Assumptions!$B$13,IF(OR(A494=0,A494=Assumptions!$B$13),0.5,1),0)*Assumptions!$B$12</f>
        <v>0.01</v>
      </c>
      <c r="D494" s="12">
        <f>D493*(1-Assumptions!$B$12*(Assumptions!$B$5+Assumptions!$B$6))</f>
        <v>0.86431164552577944</v>
      </c>
      <c r="E494" s="12">
        <f>E493+Assumptions!$B$12*(D493*Assumptions!$B$5-E493*Assumptions!$B$7)</f>
        <v>8.0087790687989879E-2</v>
      </c>
      <c r="F494" s="12">
        <f t="shared" si="21"/>
        <v>5.5600563786230683E-2</v>
      </c>
      <c r="G494" s="12">
        <f>EXP(-Assumptions!$B$8*B494)</f>
        <v>0.78427151377155646</v>
      </c>
      <c r="H494" s="12">
        <f t="shared" si="22"/>
        <v>0.67785500260688791</v>
      </c>
      <c r="I494" s="12">
        <f t="shared" si="23"/>
        <v>6.2810572837489392E-2</v>
      </c>
      <c r="J494" s="12">
        <f>G494*(D494*Assumptions!$B$6+E494*Assumptions!$B$7)</f>
        <v>9.9190786679433495E-3</v>
      </c>
    </row>
    <row r="495" spans="1:10" x14ac:dyDescent="0.2">
      <c r="A495" s="2">
        <v>487</v>
      </c>
      <c r="B495" s="14">
        <f>A495*Assumptions!$B$12</f>
        <v>4.87</v>
      </c>
      <c r="C495" s="15">
        <f>IF(A495&lt;=Assumptions!$B$13,IF(OR(A495=0,A495=Assumptions!$B$13),0.5,1),0)*Assumptions!$B$12</f>
        <v>0.01</v>
      </c>
      <c r="D495" s="12">
        <f>D494*(1-Assumptions!$B$12*(Assumptions!$B$5+Assumptions!$B$6))</f>
        <v>0.86405235203212172</v>
      </c>
      <c r="E495" s="12">
        <f>E494+Assumptions!$B$12*(D494*Assumptions!$B$5-E494*Assumptions!$B$7)</f>
        <v>8.0220609121751038E-2</v>
      </c>
      <c r="F495" s="12">
        <f t="shared" si="21"/>
        <v>5.5727038846127244E-2</v>
      </c>
      <c r="G495" s="12">
        <f>EXP(-Assumptions!$B$8*B495)</f>
        <v>0.78387947603227293</v>
      </c>
      <c r="H495" s="12">
        <f t="shared" si="22"/>
        <v>0.67731290497539265</v>
      </c>
      <c r="I495" s="12">
        <f t="shared" si="23"/>
        <v>6.2883289045347984E-2</v>
      </c>
      <c r="J495" s="12">
        <f>G495*(D495*Assumptions!$B$6+E495*Assumptions!$B$7)</f>
        <v>9.9172935020213245E-3</v>
      </c>
    </row>
    <row r="496" spans="1:10" x14ac:dyDescent="0.2">
      <c r="A496" s="2">
        <v>488</v>
      </c>
      <c r="B496" s="14">
        <f>A496*Assumptions!$B$12</f>
        <v>4.88</v>
      </c>
      <c r="C496" s="15">
        <f>IF(A496&lt;=Assumptions!$B$13,IF(OR(A496=0,A496=Assumptions!$B$13),0.5,1),0)*Assumptions!$B$12</f>
        <v>0.01</v>
      </c>
      <c r="D496" s="12">
        <f>D495*(1-Assumptions!$B$12*(Assumptions!$B$5+Assumptions!$B$6))</f>
        <v>0.86379313632651211</v>
      </c>
      <c r="E496" s="12">
        <f>E495+Assumptions!$B$12*(D495*Assumptions!$B$5-E495*Assumptions!$B$7)</f>
        <v>8.0353309287596583E-2</v>
      </c>
      <c r="F496" s="12">
        <f t="shared" si="21"/>
        <v>5.5853554385891305E-2</v>
      </c>
      <c r="G496" s="12">
        <f>EXP(-Assumptions!$B$8*B496)</f>
        <v>0.7834876342628625</v>
      </c>
      <c r="H496" s="12">
        <f t="shared" si="22"/>
        <v>0.67677124087295726</v>
      </c>
      <c r="I496" s="12">
        <f t="shared" si="23"/>
        <v>6.2955824198931143E-2</v>
      </c>
      <c r="J496" s="12">
        <f>G496*(D496*Assumptions!$B$6+E496*Assumptions!$B$7)</f>
        <v>9.9155036186761303E-3</v>
      </c>
    </row>
    <row r="497" spans="1:10" x14ac:dyDescent="0.2">
      <c r="A497" s="2">
        <v>489</v>
      </c>
      <c r="B497" s="14">
        <f>A497*Assumptions!$B$12</f>
        <v>4.8899999999999997</v>
      </c>
      <c r="C497" s="15">
        <f>IF(A497&lt;=Assumptions!$B$13,IF(OR(A497=0,A497=Assumptions!$B$13),0.5,1),0)*Assumptions!$B$12</f>
        <v>0.01</v>
      </c>
      <c r="D497" s="12">
        <f>D496*(1-Assumptions!$B$12*(Assumptions!$B$5+Assumptions!$B$6))</f>
        <v>0.86353399838561418</v>
      </c>
      <c r="E497" s="12">
        <f>E496+Assumptions!$B$12*(D496*Assumptions!$B$5-E496*Assumptions!$B$7)</f>
        <v>8.0485891260218087E-2</v>
      </c>
      <c r="F497" s="12">
        <f t="shared" si="21"/>
        <v>5.5980110354167736E-2</v>
      </c>
      <c r="G497" s="12">
        <f>EXP(-Assumptions!$B$8*B497)</f>
        <v>0.78309598836536476</v>
      </c>
      <c r="H497" s="12">
        <f t="shared" si="22"/>
        <v>0.67623000995287785</v>
      </c>
      <c r="I497" s="12">
        <f t="shared" si="23"/>
        <v>6.3028178565887757E-2</v>
      </c>
      <c r="J497" s="12">
        <f>G497*(D497*Assumptions!$B$6+E497*Assumptions!$B$7)</f>
        <v>9.9137090278231654E-3</v>
      </c>
    </row>
    <row r="498" spans="1:10" x14ac:dyDescent="0.2">
      <c r="A498" s="2">
        <v>490</v>
      </c>
      <c r="B498" s="14">
        <f>A498*Assumptions!$B$12</f>
        <v>4.9000000000000004</v>
      </c>
      <c r="C498" s="15">
        <f>IF(A498&lt;=Assumptions!$B$13,IF(OR(A498=0,A498=Assumptions!$B$13),0.5,1),0)*Assumptions!$B$12</f>
        <v>0.01</v>
      </c>
      <c r="D498" s="12">
        <f>D497*(1-Assumptions!$B$12*(Assumptions!$B$5+Assumptions!$B$6))</f>
        <v>0.86327493818609857</v>
      </c>
      <c r="E498" s="12">
        <f>E497+Assumptions!$B$12*(D497*Assumptions!$B$5-E497*Assumptions!$B$7)</f>
        <v>8.06183551142651E-2</v>
      </c>
      <c r="F498" s="12">
        <f t="shared" si="21"/>
        <v>5.6106706699636327E-2</v>
      </c>
      <c r="G498" s="12">
        <f>EXP(-Assumptions!$B$8*B498)</f>
        <v>0.78270453824186814</v>
      </c>
      <c r="H498" s="12">
        <f t="shared" si="22"/>
        <v>0.67568921186872755</v>
      </c>
      <c r="I498" s="12">
        <f t="shared" si="23"/>
        <v>6.310035241352982E-2</v>
      </c>
      <c r="J498" s="12">
        <f>G498*(D498*Assumptions!$B$6+E498*Assumptions!$B$7)</f>
        <v>9.9119097393637664E-3</v>
      </c>
    </row>
    <row r="499" spans="1:10" x14ac:dyDescent="0.2">
      <c r="A499" s="2">
        <v>491</v>
      </c>
      <c r="B499" s="14">
        <f>A499*Assumptions!$B$12</f>
        <v>4.91</v>
      </c>
      <c r="C499" s="15">
        <f>IF(A499&lt;=Assumptions!$B$13,IF(OR(A499=0,A499=Assumptions!$B$13),0.5,1),0)*Assumptions!$B$12</f>
        <v>0.01</v>
      </c>
      <c r="D499" s="12">
        <f>D498*(1-Assumptions!$B$12*(Assumptions!$B$5+Assumptions!$B$6))</f>
        <v>0.86301595570464273</v>
      </c>
      <c r="E499" s="12">
        <f>E498+Assumptions!$B$12*(D498*Assumptions!$B$5-E498*Assumptions!$B$7)</f>
        <v>8.0750700924345192E-2</v>
      </c>
      <c r="F499" s="12">
        <f t="shared" si="21"/>
        <v>5.6233343371012073E-2</v>
      </c>
      <c r="G499" s="12">
        <f>EXP(-Assumptions!$B$8*B499)</f>
        <v>0.78231328379451015</v>
      </c>
      <c r="H499" s="12">
        <f t="shared" si="22"/>
        <v>0.67514884627435656</v>
      </c>
      <c r="I499" s="12">
        <f t="shared" si="23"/>
        <v>6.3172346008832869E-2</v>
      </c>
      <c r="J499" s="12">
        <f>G499*(D499*Assumptions!$B$6+E499*Assumptions!$B$7)</f>
        <v>9.9101057631852119E-3</v>
      </c>
    </row>
    <row r="500" spans="1:10" x14ac:dyDescent="0.2">
      <c r="A500" s="2">
        <v>492</v>
      </c>
      <c r="B500" s="14">
        <f>A500*Assumptions!$B$12</f>
        <v>4.92</v>
      </c>
      <c r="C500" s="15">
        <f>IF(A500&lt;=Assumptions!$B$13,IF(OR(A500=0,A500=Assumptions!$B$13),0.5,1),0)*Assumptions!$B$12</f>
        <v>0.01</v>
      </c>
      <c r="D500" s="12">
        <f>D499*(1-Assumptions!$B$12*(Assumptions!$B$5+Assumptions!$B$6))</f>
        <v>0.86275705091793142</v>
      </c>
      <c r="E500" s="12">
        <f>E499+Assumptions!$B$12*(D499*Assumptions!$B$5-E499*Assumptions!$B$7)</f>
        <v>8.0882928765023954E-2</v>
      </c>
      <c r="F500" s="12">
        <f t="shared" si="21"/>
        <v>5.6360020317044623E-2</v>
      </c>
      <c r="G500" s="12">
        <f>EXP(-Assumptions!$B$8*B500)</f>
        <v>0.78192222492547725</v>
      </c>
      <c r="H500" s="12">
        <f t="shared" si="22"/>
        <v>0.67460891282389224</v>
      </c>
      <c r="I500" s="12">
        <f t="shared" si="23"/>
        <v>6.3244159618436407E-2</v>
      </c>
      <c r="J500" s="12">
        <f>G500*(D500*Assumptions!$B$6+E500*Assumptions!$B$7)</f>
        <v>9.9082971091607429E-3</v>
      </c>
    </row>
    <row r="501" spans="1:10" x14ac:dyDescent="0.2">
      <c r="A501" s="2">
        <v>493</v>
      </c>
      <c r="B501" s="14">
        <f>A501*Assumptions!$B$12</f>
        <v>4.93</v>
      </c>
      <c r="C501" s="15">
        <f>IF(A501&lt;=Assumptions!$B$13,IF(OR(A501=0,A501=Assumptions!$B$13),0.5,1),0)*Assumptions!$B$12</f>
        <v>0.01</v>
      </c>
      <c r="D501" s="12">
        <f>D500*(1-Assumptions!$B$12*(Assumptions!$B$5+Assumptions!$B$6))</f>
        <v>0.86249822380265606</v>
      </c>
      <c r="E501" s="12">
        <f>E500+Assumptions!$B$12*(D500*Assumptions!$B$5-E500*Assumptions!$B$7)</f>
        <v>8.1015038710825021E-2</v>
      </c>
      <c r="F501" s="12">
        <f t="shared" si="21"/>
        <v>5.6486737486518918E-2</v>
      </c>
      <c r="G501" s="12">
        <f>EXP(-Assumptions!$B$8*B501)</f>
        <v>0.78153136153700464</v>
      </c>
      <c r="H501" s="12">
        <f t="shared" si="22"/>
        <v>0.67406941117173791</v>
      </c>
      <c r="I501" s="12">
        <f t="shared" si="23"/>
        <v>6.3315793508644219E-2</v>
      </c>
      <c r="J501" s="12">
        <f>G501*(D501*Assumptions!$B$6+E501*Assumptions!$B$7)</f>
        <v>9.9064837871495892E-3</v>
      </c>
    </row>
    <row r="502" spans="1:10" x14ac:dyDescent="0.2">
      <c r="A502" s="2">
        <v>494</v>
      </c>
      <c r="B502" s="14">
        <f>A502*Assumptions!$B$12</f>
        <v>4.9400000000000004</v>
      </c>
      <c r="C502" s="15">
        <f>IF(A502&lt;=Assumptions!$B$13,IF(OR(A502=0,A502=Assumptions!$B$13),0.5,1),0)*Assumptions!$B$12</f>
        <v>0.01</v>
      </c>
      <c r="D502" s="12">
        <f>D501*(1-Assumptions!$B$12*(Assumptions!$B$5+Assumptions!$B$6))</f>
        <v>0.86223947433551529</v>
      </c>
      <c r="E502" s="12">
        <f>E501+Assumptions!$B$12*(D501*Assumptions!$B$5-E501*Assumptions!$B$7)</f>
        <v>8.1147030836230136E-2</v>
      </c>
      <c r="F502" s="12">
        <f t="shared" si="21"/>
        <v>5.6613494828254576E-2</v>
      </c>
      <c r="G502" s="12">
        <f>EXP(-Assumptions!$B$8*B502)</f>
        <v>0.78114069353137638</v>
      </c>
      <c r="H502" s="12">
        <f t="shared" si="22"/>
        <v>0.6735303409725738</v>
      </c>
      <c r="I502" s="12">
        <f t="shared" si="23"/>
        <v>6.3387247945424788E-2</v>
      </c>
      <c r="J502" s="12">
        <f>G502*(D502*Assumptions!$B$6+E502*Assumptions!$B$7)</f>
        <v>9.9046658069969779E-3</v>
      </c>
    </row>
    <row r="503" spans="1:10" x14ac:dyDescent="0.2">
      <c r="A503" s="2">
        <v>495</v>
      </c>
      <c r="B503" s="14">
        <f>A503*Assumptions!$B$12</f>
        <v>4.95</v>
      </c>
      <c r="C503" s="15">
        <f>IF(A503&lt;=Assumptions!$B$13,IF(OR(A503=0,A503=Assumptions!$B$13),0.5,1),0)*Assumptions!$B$12</f>
        <v>0.01</v>
      </c>
      <c r="D503" s="12">
        <f>D502*(1-Assumptions!$B$12*(Assumptions!$B$5+Assumptions!$B$6))</f>
        <v>0.86198080249321463</v>
      </c>
      <c r="E503" s="12">
        <f>E502+Assumptions!$B$12*(D502*Assumptions!$B$5-E502*Assumptions!$B$7)</f>
        <v>8.1278905215679126E-2</v>
      </c>
      <c r="F503" s="12">
        <f t="shared" si="21"/>
        <v>5.6740292291106248E-2</v>
      </c>
      <c r="G503" s="12">
        <f>EXP(-Assumptions!$B$8*B503)</f>
        <v>0.78075022081092571</v>
      </c>
      <c r="H503" s="12">
        <f t="shared" si="22"/>
        <v>0.67299170188135626</v>
      </c>
      <c r="I503" s="12">
        <f t="shared" si="23"/>
        <v>6.3458523194411781E-2</v>
      </c>
      <c r="J503" s="12">
        <f>G503*(D503*Assumptions!$B$6+E503*Assumptions!$B$7)</f>
        <v>9.9028431785341507E-3</v>
      </c>
    </row>
    <row r="504" spans="1:10" x14ac:dyDescent="0.2">
      <c r="A504" s="2">
        <v>496</v>
      </c>
      <c r="B504" s="14">
        <f>A504*Assumptions!$B$12</f>
        <v>4.96</v>
      </c>
      <c r="C504" s="15">
        <f>IF(A504&lt;=Assumptions!$B$13,IF(OR(A504=0,A504=Assumptions!$B$13),0.5,1),0)*Assumptions!$B$12</f>
        <v>0.01</v>
      </c>
      <c r="D504" s="12">
        <f>D503*(1-Assumptions!$B$12*(Assumptions!$B$5+Assumptions!$B$6))</f>
        <v>0.8617222082524667</v>
      </c>
      <c r="E504" s="12">
        <f>E503+Assumptions!$B$12*(D503*Assumptions!$B$5-E503*Assumptions!$B$7)</f>
        <v>8.1410661923569924E-2</v>
      </c>
      <c r="F504" s="12">
        <f t="shared" si="21"/>
        <v>5.6867129823963372E-2</v>
      </c>
      <c r="G504" s="12">
        <f>EXP(-Assumptions!$B$8*B504)</f>
        <v>0.78035994327803426</v>
      </c>
      <c r="H504" s="12">
        <f t="shared" si="22"/>
        <v>0.67245349355331729</v>
      </c>
      <c r="I504" s="12">
        <f t="shared" si="23"/>
        <v>6.3529619520904246E-2</v>
      </c>
      <c r="J504" s="12">
        <f>G504*(D504*Assumptions!$B$6+E504*Assumptions!$B$7)</f>
        <v>9.9010159115783848E-3</v>
      </c>
    </row>
    <row r="505" spans="1:10" x14ac:dyDescent="0.2">
      <c r="A505" s="2">
        <v>497</v>
      </c>
      <c r="B505" s="14">
        <f>A505*Assumptions!$B$12</f>
        <v>4.97</v>
      </c>
      <c r="C505" s="15">
        <f>IF(A505&lt;=Assumptions!$B$13,IF(OR(A505=0,A505=Assumptions!$B$13),0.5,1),0)*Assumptions!$B$12</f>
        <v>0.01</v>
      </c>
      <c r="D505" s="12">
        <f>D504*(1-Assumptions!$B$12*(Assumptions!$B$5+Assumptions!$B$6))</f>
        <v>0.86146369158999103</v>
      </c>
      <c r="E505" s="12">
        <f>E504+Assumptions!$B$12*(D504*Assumptions!$B$5-E504*Assumptions!$B$7)</f>
        <v>8.1542301034258635E-2</v>
      </c>
      <c r="F505" s="12">
        <f t="shared" si="21"/>
        <v>5.6994007375750333E-2</v>
      </c>
      <c r="G505" s="12">
        <f>EXP(-Assumptions!$B$8*B505)</f>
        <v>0.77996986083513264</v>
      </c>
      <c r="H505" s="12">
        <f t="shared" si="22"/>
        <v>0.67191571564396491</v>
      </c>
      <c r="I505" s="12">
        <f t="shared" si="23"/>
        <v>6.3600537189867204E-2</v>
      </c>
      <c r="J505" s="12">
        <f>G505*(D505*Assumptions!$B$6+E505*Assumptions!$B$7)</f>
        <v>9.8991840159330085E-3</v>
      </c>
    </row>
    <row r="506" spans="1:10" x14ac:dyDescent="0.2">
      <c r="A506" s="2">
        <v>498</v>
      </c>
      <c r="B506" s="14">
        <f>A506*Assumptions!$B$12</f>
        <v>4.9800000000000004</v>
      </c>
      <c r="C506" s="15">
        <f>IF(A506&lt;=Assumptions!$B$13,IF(OR(A506=0,A506=Assumptions!$B$13),0.5,1),0)*Assumptions!$B$12</f>
        <v>0.01</v>
      </c>
      <c r="D506" s="12">
        <f>D505*(1-Assumptions!$B$12*(Assumptions!$B$5+Assumptions!$B$6))</f>
        <v>0.86120525248251412</v>
      </c>
      <c r="E506" s="12">
        <f>E505+Assumptions!$B$12*(D505*Assumptions!$B$5-E505*Assumptions!$B$7)</f>
        <v>8.1673822622059508E-2</v>
      </c>
      <c r="F506" s="12">
        <f t="shared" si="21"/>
        <v>5.7120924895426375E-2</v>
      </c>
      <c r="G506" s="12">
        <f>EXP(-Assumptions!$B$8*B506)</f>
        <v>0.77957997338470042</v>
      </c>
      <c r="H506" s="12">
        <f t="shared" si="22"/>
        <v>0.67137836780908255</v>
      </c>
      <c r="I506" s="12">
        <f t="shared" si="23"/>
        <v>6.3671276465931889E-2</v>
      </c>
      <c r="J506" s="12">
        <f>G506*(D506*Assumptions!$B$6+E506*Assumptions!$B$7)</f>
        <v>9.8973475013874202E-3</v>
      </c>
    </row>
    <row r="507" spans="1:10" x14ac:dyDescent="0.2">
      <c r="A507" s="2">
        <v>499</v>
      </c>
      <c r="B507" s="14">
        <f>A507*Assumptions!$B$12</f>
        <v>4.99</v>
      </c>
      <c r="C507" s="15">
        <f>IF(A507&lt;=Assumptions!$B$13,IF(OR(A507=0,A507=Assumptions!$B$13),0.5,1),0)*Assumptions!$B$12</f>
        <v>0.01</v>
      </c>
      <c r="D507" s="12">
        <f>D506*(1-Assumptions!$B$12*(Assumptions!$B$5+Assumptions!$B$6))</f>
        <v>0.86094689090676935</v>
      </c>
      <c r="E507" s="12">
        <f>E506+Assumptions!$B$12*(D506*Assumptions!$B$5-E506*Assumptions!$B$7)</f>
        <v>8.1805226761244978E-2</v>
      </c>
      <c r="F507" s="12">
        <f t="shared" si="21"/>
        <v>5.7247882331985675E-2</v>
      </c>
      <c r="G507" s="12">
        <f>EXP(-Assumptions!$B$8*B507)</f>
        <v>0.77919028082926545</v>
      </c>
      <c r="H507" s="12">
        <f t="shared" si="22"/>
        <v>0.67084144970472859</v>
      </c>
      <c r="I507" s="12">
        <f t="shared" si="23"/>
        <v>6.3741837613396218E-2</v>
      </c>
      <c r="J507" s="12">
        <f>G507*(D507*Assumptions!$B$6+E507*Assumptions!$B$7)</f>
        <v>9.8955063777170955E-3</v>
      </c>
    </row>
    <row r="508" spans="1:10" x14ac:dyDescent="0.2">
      <c r="A508" s="2">
        <v>500</v>
      </c>
      <c r="B508" s="14">
        <f>A508*Assumptions!$B$12</f>
        <v>5</v>
      </c>
      <c r="C508" s="15">
        <f>IF(A508&lt;=Assumptions!$B$13,IF(OR(A508=0,A508=Assumptions!$B$13),0.5,1),0)*Assumptions!$B$12</f>
        <v>0.01</v>
      </c>
      <c r="D508" s="12">
        <f>D507*(1-Assumptions!$B$12*(Assumptions!$B$5+Assumptions!$B$6))</f>
        <v>0.86068860683949733</v>
      </c>
      <c r="E508" s="12">
        <f>E507+Assumptions!$B$12*(D507*Assumptions!$B$5-E507*Assumptions!$B$7)</f>
        <v>8.1936513526045709E-2</v>
      </c>
      <c r="F508" s="12">
        <f t="shared" si="21"/>
        <v>5.7374879634456963E-2</v>
      </c>
      <c r="G508" s="12">
        <f>EXP(-Assumptions!$B$8*B508)</f>
        <v>0.77880078307140488</v>
      </c>
      <c r="H508" s="12">
        <f t="shared" si="22"/>
        <v>0.67030496098723702</v>
      </c>
      <c r="I508" s="12">
        <f t="shared" si="23"/>
        <v>6.3812220896225152E-2</v>
      </c>
      <c r="J508" s="12">
        <f>G508*(D508*Assumptions!$B$6+E508*Assumptions!$B$7)</f>
        <v>9.8936606546836271E-3</v>
      </c>
    </row>
    <row r="509" spans="1:10" x14ac:dyDescent="0.2">
      <c r="A509" s="2">
        <v>501</v>
      </c>
      <c r="B509" s="14">
        <f>A509*Assumptions!$B$12</f>
        <v>5.01</v>
      </c>
      <c r="C509" s="15">
        <f>IF(A509&lt;=Assumptions!$B$13,IF(OR(A509=0,A509=Assumptions!$B$13),0.5,1),0)*Assumptions!$B$12</f>
        <v>0.01</v>
      </c>
      <c r="D509" s="12">
        <f>D508*(1-Assumptions!$B$12*(Assumptions!$B$5+Assumptions!$B$6))</f>
        <v>0.86043040025744555</v>
      </c>
      <c r="E509" s="12">
        <f>E508+Assumptions!$B$12*(D508*Assumptions!$B$5-E508*Assumptions!$B$7)</f>
        <v>8.2067682990650592E-2</v>
      </c>
      <c r="F509" s="12">
        <f t="shared" si="21"/>
        <v>5.7501916751903859E-2</v>
      </c>
      <c r="G509" s="12">
        <f>EXP(-Assumptions!$B$8*B509)</f>
        <v>0.77841148001374405</v>
      </c>
      <c r="H509" s="12">
        <f t="shared" si="22"/>
        <v>0.66976890131321642</v>
      </c>
      <c r="I509" s="12">
        <f t="shared" si="23"/>
        <v>6.3882426578051099E-2</v>
      </c>
      <c r="J509" s="12">
        <f>G509*(D509*Assumptions!$B$6+E509*Assumptions!$B$7)</f>
        <v>9.8918103420347191E-3</v>
      </c>
    </row>
    <row r="510" spans="1:10" x14ac:dyDescent="0.2">
      <c r="A510" s="2">
        <v>502</v>
      </c>
      <c r="B510" s="14">
        <f>A510*Assumptions!$B$12</f>
        <v>5.0200000000000005</v>
      </c>
      <c r="C510" s="15">
        <f>IF(A510&lt;=Assumptions!$B$13,IF(OR(A510=0,A510=Assumptions!$B$13),0.5,1),0)*Assumptions!$B$12</f>
        <v>0.01</v>
      </c>
      <c r="D510" s="12">
        <f>D509*(1-Assumptions!$B$12*(Assumptions!$B$5+Assumptions!$B$6))</f>
        <v>0.86017227113736838</v>
      </c>
      <c r="E510" s="12">
        <f>E509+Assumptions!$B$12*(D509*Assumptions!$B$5-E509*Assumptions!$B$7)</f>
        <v>8.219873522920676E-2</v>
      </c>
      <c r="F510" s="12">
        <f t="shared" si="21"/>
        <v>5.7628993633424858E-2</v>
      </c>
      <c r="G510" s="12">
        <f>EXP(-Assumptions!$B$8*B510)</f>
        <v>0.77802237155895726</v>
      </c>
      <c r="H510" s="12">
        <f t="shared" si="22"/>
        <v>0.66923327033954971</v>
      </c>
      <c r="I510" s="12">
        <f t="shared" si="23"/>
        <v>6.3952454922174246E-2</v>
      </c>
      <c r="J510" s="12">
        <f>G510*(D510*Assumptions!$B$6+E510*Assumptions!$B$7)</f>
        <v>9.8899554495042105E-3</v>
      </c>
    </row>
    <row r="511" spans="1:10" x14ac:dyDescent="0.2">
      <c r="A511" s="2">
        <v>503</v>
      </c>
      <c r="B511" s="14">
        <f>A511*Assumptions!$B$12</f>
        <v>5.03</v>
      </c>
      <c r="C511" s="15">
        <f>IF(A511&lt;=Assumptions!$B$13,IF(OR(A511=0,A511=Assumptions!$B$13),0.5,1),0)*Assumptions!$B$12</f>
        <v>0.01</v>
      </c>
      <c r="D511" s="12">
        <f>D510*(1-Assumptions!$B$12*(Assumptions!$B$5+Assumptions!$B$6))</f>
        <v>0.8599142194560272</v>
      </c>
      <c r="E511" s="12">
        <f>E510+Assumptions!$B$12*(D510*Assumptions!$B$5-E510*Assumptions!$B$7)</f>
        <v>8.2329670315819628E-2</v>
      </c>
      <c r="F511" s="12">
        <f t="shared" si="21"/>
        <v>5.7756110228153176E-2</v>
      </c>
      <c r="G511" s="12">
        <f>EXP(-Assumptions!$B$8*B511)</f>
        <v>0.77763345760976754</v>
      </c>
      <c r="H511" s="12">
        <f t="shared" si="22"/>
        <v>0.66869806772339491</v>
      </c>
      <c r="I511" s="12">
        <f t="shared" si="23"/>
        <v>6.4022306191563058E-2</v>
      </c>
      <c r="J511" s="12">
        <f>G511*(D511*Assumptions!$B$6+E511*Assumptions!$B$7)</f>
        <v>9.888095986812102E-3</v>
      </c>
    </row>
    <row r="512" spans="1:10" x14ac:dyDescent="0.2">
      <c r="A512" s="2">
        <v>504</v>
      </c>
      <c r="B512" s="14">
        <f>A512*Assumptions!$B$12</f>
        <v>5.04</v>
      </c>
      <c r="C512" s="15">
        <f>IF(A512&lt;=Assumptions!$B$13,IF(OR(A512=0,A512=Assumptions!$B$13),0.5,1),0)*Assumptions!$B$12</f>
        <v>0.01</v>
      </c>
      <c r="D512" s="12">
        <f>D511*(1-Assumptions!$B$12*(Assumptions!$B$5+Assumptions!$B$6))</f>
        <v>0.85965624519019046</v>
      </c>
      <c r="E512" s="12">
        <f>E511+Assumptions!$B$12*(D511*Assumptions!$B$5-E511*Assumptions!$B$7)</f>
        <v>8.2460488324552925E-2</v>
      </c>
      <c r="F512" s="12">
        <f t="shared" si="21"/>
        <v>5.7883266485256615E-2</v>
      </c>
      <c r="G512" s="12">
        <f>EXP(-Assumptions!$B$8*B512)</f>
        <v>0.77724473806894612</v>
      </c>
      <c r="H512" s="12">
        <f t="shared" si="22"/>
        <v>0.66816329312218325</v>
      </c>
      <c r="I512" s="12">
        <f t="shared" si="23"/>
        <v>6.4091980648854532E-2</v>
      </c>
      <c r="J512" s="12">
        <f>G512*(D512*Assumptions!$B$6+E512*Assumptions!$B$7)</f>
        <v>9.8862319636645601E-3</v>
      </c>
    </row>
    <row r="513" spans="1:10" x14ac:dyDescent="0.2">
      <c r="A513" s="2">
        <v>505</v>
      </c>
      <c r="B513" s="14">
        <f>A513*Assumptions!$B$12</f>
        <v>5.05</v>
      </c>
      <c r="C513" s="15">
        <f>IF(A513&lt;=Assumptions!$B$13,IF(OR(A513=0,A513=Assumptions!$B$13),0.5,1),0)*Assumptions!$B$12</f>
        <v>0.01</v>
      </c>
      <c r="D513" s="12">
        <f>D512*(1-Assumptions!$B$12*(Assumptions!$B$5+Assumptions!$B$6))</f>
        <v>0.85939834831663342</v>
      </c>
      <c r="E513" s="12">
        <f>E512+Assumptions!$B$12*(D512*Assumptions!$B$5-E512*Assumptions!$B$7)</f>
        <v>8.2591189329428688E-2</v>
      </c>
      <c r="F513" s="12">
        <f t="shared" si="21"/>
        <v>5.8010462353937892E-2</v>
      </c>
      <c r="G513" s="12">
        <f>EXP(-Assumptions!$B$8*B513)</f>
        <v>0.77685621283931339</v>
      </c>
      <c r="H513" s="12">
        <f t="shared" si="22"/>
        <v>0.66762894619362101</v>
      </c>
      <c r="I513" s="12">
        <f t="shared" si="23"/>
        <v>6.4161478556354679E-2</v>
      </c>
      <c r="J513" s="12">
        <f>G513*(D513*Assumptions!$B$6+E513*Assumptions!$B$7)</f>
        <v>9.8843633897539428E-3</v>
      </c>
    </row>
    <row r="514" spans="1:10" x14ac:dyDescent="0.2">
      <c r="A514" s="2">
        <v>506</v>
      </c>
      <c r="B514" s="14">
        <f>A514*Assumptions!$B$12</f>
        <v>5.0600000000000005</v>
      </c>
      <c r="C514" s="15">
        <f>IF(A514&lt;=Assumptions!$B$13,IF(OR(A514=0,A514=Assumptions!$B$13),0.5,1),0)*Assumptions!$B$12</f>
        <v>0.01</v>
      </c>
      <c r="D514" s="12">
        <f>D513*(1-Assumptions!$B$12*(Assumptions!$B$5+Assumptions!$B$6))</f>
        <v>0.85914052881213843</v>
      </c>
      <c r="E514" s="12">
        <f>E513+Assumptions!$B$12*(D513*Assumptions!$B$5-E513*Assumptions!$B$7)</f>
        <v>8.2721773404427296E-2</v>
      </c>
      <c r="F514" s="12">
        <f t="shared" si="21"/>
        <v>5.8137697783434278E-2</v>
      </c>
      <c r="G514" s="12">
        <f>EXP(-Assumptions!$B$8*B514)</f>
        <v>0.77646788182373783</v>
      </c>
      <c r="H514" s="12">
        <f t="shared" si="22"/>
        <v>0.66709502659568709</v>
      </c>
      <c r="I514" s="12">
        <f t="shared" si="23"/>
        <v>6.4230800176038869E-2</v>
      </c>
      <c r="J514" s="12">
        <f>G514*(D514*Assumptions!$B$6+E514*Assumptions!$B$7)</f>
        <v>9.8824902747588136E-3</v>
      </c>
    </row>
    <row r="515" spans="1:10" x14ac:dyDescent="0.2">
      <c r="A515" s="2">
        <v>507</v>
      </c>
      <c r="B515" s="14">
        <f>A515*Assumptions!$B$12</f>
        <v>5.07</v>
      </c>
      <c r="C515" s="15">
        <f>IF(A515&lt;=Assumptions!$B$13,IF(OR(A515=0,A515=Assumptions!$B$13),0.5,1),0)*Assumptions!$B$12</f>
        <v>0.01</v>
      </c>
      <c r="D515" s="12">
        <f>D514*(1-Assumptions!$B$12*(Assumptions!$B$5+Assumptions!$B$6))</f>
        <v>0.85888278665349482</v>
      </c>
      <c r="E515" s="12">
        <f>E514+Assumptions!$B$12*(D514*Assumptions!$B$5-E514*Assumptions!$B$7)</f>
        <v>8.2852240623487505E-2</v>
      </c>
      <c r="F515" s="12">
        <f t="shared" si="21"/>
        <v>5.8264972723017672E-2</v>
      </c>
      <c r="G515" s="12">
        <f>EXP(-Assumptions!$B$8*B515)</f>
        <v>0.77607974492513676</v>
      </c>
      <c r="H515" s="12">
        <f t="shared" si="22"/>
        <v>0.66656153398663487</v>
      </c>
      <c r="I515" s="12">
        <f t="shared" si="23"/>
        <v>6.4299945769552239E-2</v>
      </c>
      <c r="J515" s="12">
        <f>G515*(D515*Assumptions!$B$6+E515*Assumptions!$B$7)</f>
        <v>9.8806126283439624E-3</v>
      </c>
    </row>
    <row r="516" spans="1:10" x14ac:dyDescent="0.2">
      <c r="A516" s="2">
        <v>508</v>
      </c>
      <c r="B516" s="14">
        <f>A516*Assumptions!$B$12</f>
        <v>5.08</v>
      </c>
      <c r="C516" s="15">
        <f>IF(A516&lt;=Assumptions!$B$13,IF(OR(A516=0,A516=Assumptions!$B$13),0.5,1),0)*Assumptions!$B$12</f>
        <v>0.01</v>
      </c>
      <c r="D516" s="12">
        <f>D515*(1-Assumptions!$B$12*(Assumptions!$B$5+Assumptions!$B$6))</f>
        <v>0.85862512181749884</v>
      </c>
      <c r="E516" s="12">
        <f>E515+Assumptions!$B$12*(D515*Assumptions!$B$5-E515*Assumptions!$B$7)</f>
        <v>8.2982591060506455E-2</v>
      </c>
      <c r="F516" s="12">
        <f t="shared" si="21"/>
        <v>5.8392287121994707E-2</v>
      </c>
      <c r="G516" s="12">
        <f>EXP(-Assumptions!$B$8*B516)</f>
        <v>0.77569180204647603</v>
      </c>
      <c r="H516" s="12">
        <f t="shared" si="22"/>
        <v>0.66602846802499072</v>
      </c>
      <c r="I516" s="12">
        <f t="shared" si="23"/>
        <v>6.436891559821005E-2</v>
      </c>
      <c r="J516" s="12">
        <f>G516*(D516*Assumptions!$B$6+E516*Assumptions!$B$7)</f>
        <v>9.8787304601604085E-3</v>
      </c>
    </row>
    <row r="517" spans="1:10" x14ac:dyDescent="0.2">
      <c r="A517" s="2">
        <v>509</v>
      </c>
      <c r="B517" s="14">
        <f>A517*Assumptions!$B$12</f>
        <v>5.09</v>
      </c>
      <c r="C517" s="15">
        <f>IF(A517&lt;=Assumptions!$B$13,IF(OR(A517=0,A517=Assumptions!$B$13),0.5,1),0)*Assumptions!$B$12</f>
        <v>0.01</v>
      </c>
      <c r="D517" s="12">
        <f>D516*(1-Assumptions!$B$12*(Assumptions!$B$5+Assumptions!$B$6))</f>
        <v>0.85836753428095358</v>
      </c>
      <c r="E517" s="12">
        <f>E516+Assumptions!$B$12*(D516*Assumptions!$B$5-E516*Assumptions!$B$7)</f>
        <v>8.3112824789339707E-2</v>
      </c>
      <c r="F517" s="12">
        <f t="shared" si="21"/>
        <v>5.8519640929706712E-2</v>
      </c>
      <c r="G517" s="12">
        <f>EXP(-Assumptions!$B$8*B517)</f>
        <v>0.77530405309076977</v>
      </c>
      <c r="H517" s="12">
        <f t="shared" si="22"/>
        <v>0.66549582836955357</v>
      </c>
      <c r="I517" s="12">
        <f t="shared" si="23"/>
        <v>6.4437709922998077E-2</v>
      </c>
      <c r="J517" s="12">
        <f>G517*(D517*Assumptions!$B$6+E517*Assumptions!$B$7)</f>
        <v>9.8768437798454414E-3</v>
      </c>
    </row>
    <row r="518" spans="1:10" x14ac:dyDescent="0.2">
      <c r="A518" s="2">
        <v>510</v>
      </c>
      <c r="B518" s="14">
        <f>A518*Assumptions!$B$12</f>
        <v>5.1000000000000005</v>
      </c>
      <c r="C518" s="15">
        <f>IF(A518&lt;=Assumptions!$B$13,IF(OR(A518=0,A518=Assumptions!$B$13),0.5,1),0)*Assumptions!$B$12</f>
        <v>0.01</v>
      </c>
      <c r="D518" s="12">
        <f>D517*(1-Assumptions!$B$12*(Assumptions!$B$5+Assumptions!$B$6))</f>
        <v>0.85811002402066927</v>
      </c>
      <c r="E518" s="12">
        <f>E517+Assumptions!$B$12*(D517*Assumptions!$B$5-E517*Assumptions!$B$7)</f>
        <v>8.3242941883801227E-2</v>
      </c>
      <c r="F518" s="12">
        <f t="shared" si="21"/>
        <v>5.8647034095529502E-2</v>
      </c>
      <c r="G518" s="12">
        <f>EXP(-Assumptions!$B$8*B518)</f>
        <v>0.77491649796108086</v>
      </c>
      <c r="H518" s="12">
        <f t="shared" si="22"/>
        <v>0.66496361467939602</v>
      </c>
      <c r="I518" s="12">
        <f t="shared" si="23"/>
        <v>6.4506329004573024E-2</v>
      </c>
      <c r="J518" s="12">
        <f>G518*(D518*Assumptions!$B$6+E518*Assumptions!$B$7)</f>
        <v>9.8749525970226112E-3</v>
      </c>
    </row>
    <row r="519" spans="1:10" x14ac:dyDescent="0.2">
      <c r="A519" s="2">
        <v>511</v>
      </c>
      <c r="B519" s="14">
        <f>A519*Assumptions!$B$12</f>
        <v>5.1100000000000003</v>
      </c>
      <c r="C519" s="15">
        <f>IF(A519&lt;=Assumptions!$B$13,IF(OR(A519=0,A519=Assumptions!$B$13),0.5,1),0)*Assumptions!$B$12</f>
        <v>0.01</v>
      </c>
      <c r="D519" s="12">
        <f>D518*(1-Assumptions!$B$12*(Assumptions!$B$5+Assumptions!$B$6))</f>
        <v>0.85785259101346312</v>
      </c>
      <c r="E519" s="12">
        <f>E518+Assumptions!$B$12*(D518*Assumptions!$B$5-E518*Assumptions!$B$7)</f>
        <v>8.3372942417663465E-2</v>
      </c>
      <c r="F519" s="12">
        <f t="shared" si="21"/>
        <v>5.8774466568873418E-2</v>
      </c>
      <c r="G519" s="12">
        <f>EXP(-Assumptions!$B$8*B519)</f>
        <v>0.77452913656052058</v>
      </c>
      <c r="H519" s="12">
        <f t="shared" si="22"/>
        <v>0.66443182661386302</v>
      </c>
      <c r="I519" s="12">
        <f t="shared" si="23"/>
        <v>6.4574773103262886E-2</v>
      </c>
      <c r="J519" s="12">
        <f>G519*(D519*Assumptions!$B$6+E519*Assumptions!$B$7)</f>
        <v>9.8730569213017726E-3</v>
      </c>
    </row>
    <row r="520" spans="1:10" x14ac:dyDescent="0.2">
      <c r="A520" s="2">
        <v>512</v>
      </c>
      <c r="B520" s="14">
        <f>A520*Assumptions!$B$12</f>
        <v>5.12</v>
      </c>
      <c r="C520" s="15">
        <f>IF(A520&lt;=Assumptions!$B$13,IF(OR(A520=0,A520=Assumptions!$B$13),0.5,1),0)*Assumptions!$B$12</f>
        <v>0.01</v>
      </c>
      <c r="D520" s="12">
        <f>D519*(1-Assumptions!$B$12*(Assumptions!$B$5+Assumptions!$B$6))</f>
        <v>0.8575952352361591</v>
      </c>
      <c r="E520" s="12">
        <f>E519+Assumptions!$B$12*(D519*Assumptions!$B$5-E519*Assumptions!$B$7)</f>
        <v>8.3502826464657329E-2</v>
      </c>
      <c r="F520" s="12">
        <f t="shared" ref="F520:F583" si="24">1-D520-E520</f>
        <v>5.8901938299183568E-2</v>
      </c>
      <c r="G520" s="12">
        <f>EXP(-Assumptions!$B$8*B520)</f>
        <v>0.77414196879224839</v>
      </c>
      <c r="H520" s="12">
        <f t="shared" ref="H520:H583" si="25">G520*D520</f>
        <v>0.66390046383257162</v>
      </c>
      <c r="I520" s="12">
        <f t="shared" ref="I520:I583" si="26">G520*E520</f>
        <v>6.4643042479067284E-2</v>
      </c>
      <c r="J520" s="12">
        <f>G520*(D520*Assumptions!$B$6+E520*Assumptions!$B$7)</f>
        <v>9.8711567622790791E-3</v>
      </c>
    </row>
    <row r="521" spans="1:10" x14ac:dyDescent="0.2">
      <c r="A521" s="2">
        <v>513</v>
      </c>
      <c r="B521" s="14">
        <f>A521*Assumptions!$B$12</f>
        <v>5.13</v>
      </c>
      <c r="C521" s="15">
        <f>IF(A521&lt;=Assumptions!$B$13,IF(OR(A521=0,A521=Assumptions!$B$13),0.5,1),0)*Assumptions!$B$12</f>
        <v>0.01</v>
      </c>
      <c r="D521" s="12">
        <f>D520*(1-Assumptions!$B$12*(Assumptions!$B$5+Assumptions!$B$6))</f>
        <v>0.85733795666558832</v>
      </c>
      <c r="E521" s="12">
        <f>E520+Assumptions!$B$12*(D520*Assumptions!$B$5-E520*Assumptions!$B$7)</f>
        <v>8.3632594098472235E-2</v>
      </c>
      <c r="F521" s="12">
        <f t="shared" si="24"/>
        <v>5.9029449235939446E-2</v>
      </c>
      <c r="G521" s="12">
        <f>EXP(-Assumptions!$B$8*B521)</f>
        <v>0.77375499455947239</v>
      </c>
      <c r="H521" s="12">
        <f t="shared" si="25"/>
        <v>0.66336952599541144</v>
      </c>
      <c r="I521" s="12">
        <f t="shared" si="26"/>
        <v>6.4711137391657944E-2</v>
      </c>
      <c r="J521" s="12">
        <f>G521*(D521*Assumptions!$B$6+E521*Assumptions!$B$7)</f>
        <v>9.8692521295370116E-3</v>
      </c>
    </row>
    <row r="522" spans="1:10" x14ac:dyDescent="0.2">
      <c r="A522" s="2">
        <v>514</v>
      </c>
      <c r="B522" s="14">
        <f>A522*Assumptions!$B$12</f>
        <v>5.14</v>
      </c>
      <c r="C522" s="15">
        <f>IF(A522&lt;=Assumptions!$B$13,IF(OR(A522=0,A522=Assumptions!$B$13),0.5,1),0)*Assumptions!$B$12</f>
        <v>0.01</v>
      </c>
      <c r="D522" s="12">
        <f>D521*(1-Assumptions!$B$12*(Assumptions!$B$5+Assumptions!$B$6))</f>
        <v>0.85708075527858862</v>
      </c>
      <c r="E522" s="12">
        <f>E521+Assumptions!$B$12*(D521*Assumptions!$B$5-E521*Assumptions!$B$7)</f>
        <v>8.3762245392756118E-2</v>
      </c>
      <c r="F522" s="12">
        <f t="shared" si="24"/>
        <v>5.9156999328655258E-2</v>
      </c>
      <c r="G522" s="12">
        <f>EXP(-Assumptions!$B$8*B522)</f>
        <v>0.77336821376544906</v>
      </c>
      <c r="H522" s="12">
        <f t="shared" si="25"/>
        <v>0.66283901276254409</v>
      </c>
      <c r="I522" s="12">
        <f t="shared" si="26"/>
        <v>6.4779058100379011E-2</v>
      </c>
      <c r="J522" s="12">
        <f>G522*(D522*Assumptions!$B$6+E522*Assumptions!$B$7)</f>
        <v>9.8673430326443913E-3</v>
      </c>
    </row>
    <row r="523" spans="1:10" x14ac:dyDescent="0.2">
      <c r="A523" s="2">
        <v>515</v>
      </c>
      <c r="B523" s="14">
        <f>A523*Assumptions!$B$12</f>
        <v>5.15</v>
      </c>
      <c r="C523" s="15">
        <f>IF(A523&lt;=Assumptions!$B$13,IF(OR(A523=0,A523=Assumptions!$B$13),0.5,1),0)*Assumptions!$B$12</f>
        <v>0.01</v>
      </c>
      <c r="D523" s="12">
        <f>D522*(1-Assumptions!$B$12*(Assumptions!$B$5+Assumptions!$B$6))</f>
        <v>0.8568236310520051</v>
      </c>
      <c r="E523" s="12">
        <f>E522+Assumptions!$B$12*(D522*Assumptions!$B$5-E522*Assumptions!$B$7)</f>
        <v>8.3891780421115461E-2</v>
      </c>
      <c r="F523" s="12">
        <f t="shared" si="24"/>
        <v>5.9284588526879442E-2</v>
      </c>
      <c r="G523" s="12">
        <f>EXP(-Assumptions!$B$8*B523)</f>
        <v>0.77298162631348322</v>
      </c>
      <c r="H523" s="12">
        <f t="shared" si="25"/>
        <v>0.66230892379440287</v>
      </c>
      <c r="I523" s="12">
        <f t="shared" si="26"/>
        <v>6.4846804864247459E-2</v>
      </c>
      <c r="J523" s="12">
        <f>G523*(D523*Assumptions!$B$6+E523*Assumptions!$B$7)</f>
        <v>9.8654294811564014E-3</v>
      </c>
    </row>
    <row r="524" spans="1:10" x14ac:dyDescent="0.2">
      <c r="A524" s="2">
        <v>516</v>
      </c>
      <c r="B524" s="14">
        <f>A524*Assumptions!$B$12</f>
        <v>5.16</v>
      </c>
      <c r="C524" s="15">
        <f>IF(A524&lt;=Assumptions!$B$13,IF(OR(A524=0,A524=Assumptions!$B$13),0.5,1),0)*Assumptions!$B$12</f>
        <v>0.01</v>
      </c>
      <c r="D524" s="12">
        <f>D523*(1-Assumptions!$B$12*(Assumptions!$B$5+Assumptions!$B$6))</f>
        <v>0.85656658396268948</v>
      </c>
      <c r="E524" s="12">
        <f>E523+Assumptions!$B$12*(D523*Assumptions!$B$5-E523*Assumptions!$B$7)</f>
        <v>8.4021199257115306E-2</v>
      </c>
      <c r="F524" s="12">
        <f t="shared" si="24"/>
        <v>5.9412216780195218E-2</v>
      </c>
      <c r="G524" s="12">
        <f>EXP(-Assumptions!$B$8*B524)</f>
        <v>0.77259523210692804</v>
      </c>
      <c r="H524" s="12">
        <f t="shared" si="25"/>
        <v>0.66177925875169252</v>
      </c>
      <c r="I524" s="12">
        <f t="shared" si="26"/>
        <v>6.4914377941953455E-2</v>
      </c>
      <c r="J524" s="12">
        <f>G524*(D524*Assumptions!$B$6+E524*Assumptions!$B$7)</f>
        <v>9.8635114846145969E-3</v>
      </c>
    </row>
    <row r="525" spans="1:10" x14ac:dyDescent="0.2">
      <c r="A525" s="2">
        <v>517</v>
      </c>
      <c r="B525" s="14">
        <f>A525*Assumptions!$B$12</f>
        <v>5.17</v>
      </c>
      <c r="C525" s="15">
        <f>IF(A525&lt;=Assumptions!$B$13,IF(OR(A525=0,A525=Assumptions!$B$13),0.5,1),0)*Assumptions!$B$12</f>
        <v>0.01</v>
      </c>
      <c r="D525" s="12">
        <f>D524*(1-Assumptions!$B$12*(Assumptions!$B$5+Assumptions!$B$6))</f>
        <v>0.85630961398750072</v>
      </c>
      <c r="E525" s="12">
        <f>E524+Assumptions!$B$12*(D524*Assumptions!$B$5-E524*Assumptions!$B$7)</f>
        <v>8.4150501974279285E-2</v>
      </c>
      <c r="F525" s="12">
        <f t="shared" si="24"/>
        <v>5.9539884038219998E-2</v>
      </c>
      <c r="G525" s="12">
        <f>EXP(-Assumptions!$B$8*B525)</f>
        <v>0.77220903104918481</v>
      </c>
      <c r="H525" s="12">
        <f t="shared" si="25"/>
        <v>0.66125001729538946</v>
      </c>
      <c r="I525" s="12">
        <f t="shared" si="26"/>
        <v>6.4981777591860718E-2</v>
      </c>
      <c r="J525" s="12">
        <f>G525*(D525*Assumptions!$B$6+E525*Assumptions!$B$7)</f>
        <v>9.8615890525469291E-3</v>
      </c>
    </row>
    <row r="526" spans="1:10" x14ac:dyDescent="0.2">
      <c r="A526" s="2">
        <v>518</v>
      </c>
      <c r="B526" s="14">
        <f>A526*Assumptions!$B$12</f>
        <v>5.18</v>
      </c>
      <c r="C526" s="15">
        <f>IF(A526&lt;=Assumptions!$B$13,IF(OR(A526=0,A526=Assumptions!$B$13),0.5,1),0)*Assumptions!$B$12</f>
        <v>0.01</v>
      </c>
      <c r="D526" s="12">
        <f>D525*(1-Assumptions!$B$12*(Assumptions!$B$5+Assumptions!$B$6))</f>
        <v>0.85605272110330455</v>
      </c>
      <c r="E526" s="12">
        <f>E525+Assumptions!$B$12*(D525*Assumptions!$B$5-E525*Assumptions!$B$7)</f>
        <v>8.4279688646089645E-2</v>
      </c>
      <c r="F526" s="12">
        <f t="shared" si="24"/>
        <v>5.9667590250605806E-2</v>
      </c>
      <c r="G526" s="12">
        <f>EXP(-Assumptions!$B$8*B526)</f>
        <v>0.77182302304370343</v>
      </c>
      <c r="H526" s="12">
        <f t="shared" si="25"/>
        <v>0.66072119908674087</v>
      </c>
      <c r="I526" s="12">
        <f t="shared" si="26"/>
        <v>6.5049004072007005E-2</v>
      </c>
      <c r="J526" s="12">
        <f>G526*(D526*Assumptions!$B$6+E526*Assumptions!$B$7)</f>
        <v>9.8596621944677578E-3</v>
      </c>
    </row>
    <row r="527" spans="1:10" x14ac:dyDescent="0.2">
      <c r="A527" s="2">
        <v>519</v>
      </c>
      <c r="B527" s="14">
        <f>A527*Assumptions!$B$12</f>
        <v>5.19</v>
      </c>
      <c r="C527" s="15">
        <f>IF(A527&lt;=Assumptions!$B$13,IF(OR(A527=0,A527=Assumptions!$B$13),0.5,1),0)*Assumptions!$B$12</f>
        <v>0.01</v>
      </c>
      <c r="D527" s="12">
        <f>D526*(1-Assumptions!$B$12*(Assumptions!$B$5+Assumptions!$B$6))</f>
        <v>0.85579590528697358</v>
      </c>
      <c r="E527" s="12">
        <f>E526+Assumptions!$B$12*(D526*Assumptions!$B$5-E526*Assumptions!$B$7)</f>
        <v>8.4408759345987266E-2</v>
      </c>
      <c r="F527" s="12">
        <f t="shared" si="24"/>
        <v>5.9795335367039154E-2</v>
      </c>
      <c r="G527" s="12">
        <f>EXP(-Assumptions!$B$8*B527)</f>
        <v>0.77143720799398185</v>
      </c>
      <c r="H527" s="12">
        <f t="shared" si="25"/>
        <v>0.66019280378726508</v>
      </c>
      <c r="I527" s="12">
        <f t="shared" si="26"/>
        <v>6.5116057640104336E-2</v>
      </c>
      <c r="J527" s="12">
        <f>G527*(D527*Assumptions!$B$6+E527*Assumptions!$B$7)</f>
        <v>9.8577309198778669E-3</v>
      </c>
    </row>
    <row r="528" spans="1:10" x14ac:dyDescent="0.2">
      <c r="A528" s="2">
        <v>520</v>
      </c>
      <c r="B528" s="14">
        <f>A528*Assumptions!$B$12</f>
        <v>5.2</v>
      </c>
      <c r="C528" s="15">
        <f>IF(A528&lt;=Assumptions!$B$13,IF(OR(A528=0,A528=Assumptions!$B$13),0.5,1),0)*Assumptions!$B$12</f>
        <v>0.01</v>
      </c>
      <c r="D528" s="12">
        <f>D527*(1-Assumptions!$B$12*(Assumptions!$B$5+Assumptions!$B$6))</f>
        <v>0.85553916651538753</v>
      </c>
      <c r="E528" s="12">
        <f>E527+Assumptions!$B$12*(D527*Assumptions!$B$5-E527*Assumptions!$B$7)</f>
        <v>8.453771414737167E-2</v>
      </c>
      <c r="F528" s="12">
        <f t="shared" si="24"/>
        <v>5.9923119337240802E-2</v>
      </c>
      <c r="G528" s="12">
        <f>EXP(-Assumptions!$B$8*B528)</f>
        <v>0.77105158580356625</v>
      </c>
      <c r="H528" s="12">
        <f t="shared" si="25"/>
        <v>0.65966483105875084</v>
      </c>
      <c r="I528" s="12">
        <f t="shared" si="26"/>
        <v>6.5182938553539502E-2</v>
      </c>
      <c r="J528" s="12">
        <f>G528*(D528*Assumptions!$B$6+E528*Assumptions!$B$7)</f>
        <v>9.8557952382644833E-3</v>
      </c>
    </row>
    <row r="529" spans="1:10" x14ac:dyDescent="0.2">
      <c r="A529" s="2">
        <v>521</v>
      </c>
      <c r="B529" s="14">
        <f>A529*Assumptions!$B$12</f>
        <v>5.21</v>
      </c>
      <c r="C529" s="15">
        <f>IF(A529&lt;=Assumptions!$B$13,IF(OR(A529=0,A529=Assumptions!$B$13),0.5,1),0)*Assumptions!$B$12</f>
        <v>0.01</v>
      </c>
      <c r="D529" s="12">
        <f>D528*(1-Assumptions!$B$12*(Assumptions!$B$5+Assumptions!$B$6))</f>
        <v>0.85528250476543299</v>
      </c>
      <c r="E529" s="12">
        <f>E528+Assumptions!$B$12*(D528*Assumptions!$B$5-E528*Assumptions!$B$7)</f>
        <v>8.4666553123601065E-2</v>
      </c>
      <c r="F529" s="12">
        <f t="shared" si="24"/>
        <v>6.0050942110965941E-2</v>
      </c>
      <c r="G529" s="12">
        <f>EXP(-Assumptions!$B$8*B529)</f>
        <v>0.77066615637605118</v>
      </c>
      <c r="H529" s="12">
        <f t="shared" si="25"/>
        <v>0.65913728056325793</v>
      </c>
      <c r="I529" s="12">
        <f t="shared" si="26"/>
        <v>6.5249647069374389E-2</v>
      </c>
      <c r="J529" s="12">
        <f>G529*(D529*Assumptions!$B$6+E529*Assumptions!$B$7)</f>
        <v>9.853855159101298E-3</v>
      </c>
    </row>
    <row r="530" spans="1:10" x14ac:dyDescent="0.2">
      <c r="A530" s="2">
        <v>522</v>
      </c>
      <c r="B530" s="14">
        <f>A530*Assumptions!$B$12</f>
        <v>5.22</v>
      </c>
      <c r="C530" s="15">
        <f>IF(A530&lt;=Assumptions!$B$13,IF(OR(A530=0,A530=Assumptions!$B$13),0.5,1),0)*Assumptions!$B$12</f>
        <v>0.01</v>
      </c>
      <c r="D530" s="12">
        <f>D529*(1-Assumptions!$B$12*(Assumptions!$B$5+Assumptions!$B$6))</f>
        <v>0.85502592001400335</v>
      </c>
      <c r="E530" s="12">
        <f>E529+Assumptions!$B$12*(D529*Assumptions!$B$5-E529*Assumptions!$B$7)</f>
        <v>8.4795276347992346E-2</v>
      </c>
      <c r="F530" s="12">
        <f t="shared" si="24"/>
        <v>6.0178803638004305E-2</v>
      </c>
      <c r="G530" s="12">
        <f>EXP(-Assumptions!$B$8*B530)</f>
        <v>0.77028091961507916</v>
      </c>
      <c r="H530" s="12">
        <f t="shared" si="25"/>
        <v>0.65861015196311556</v>
      </c>
      <c r="I530" s="12">
        <f t="shared" si="26"/>
        <v>6.531618344434631E-2</v>
      </c>
      <c r="J530" s="12">
        <f>G530*(D530*Assumptions!$B$6+E530*Assumptions!$B$7)</f>
        <v>9.8519106918484728E-3</v>
      </c>
    </row>
    <row r="531" spans="1:10" x14ac:dyDescent="0.2">
      <c r="A531" s="2">
        <v>523</v>
      </c>
      <c r="B531" s="14">
        <f>A531*Assumptions!$B$12</f>
        <v>5.23</v>
      </c>
      <c r="C531" s="15">
        <f>IF(A531&lt;=Assumptions!$B$13,IF(OR(A531=0,A531=Assumptions!$B$13),0.5,1),0)*Assumptions!$B$12</f>
        <v>0.01</v>
      </c>
      <c r="D531" s="12">
        <f>D530*(1-Assumptions!$B$12*(Assumptions!$B$5+Assumptions!$B$6))</f>
        <v>0.85476941223799918</v>
      </c>
      <c r="E531" s="12">
        <f>E530+Assumptions!$B$12*(D530*Assumptions!$B$5-E530*Assumptions!$B$7)</f>
        <v>8.4923883893821148E-2</v>
      </c>
      <c r="F531" s="12">
        <f t="shared" si="24"/>
        <v>6.030670386817967E-2</v>
      </c>
      <c r="G531" s="12">
        <f>EXP(-Assumptions!$B$8*B531)</f>
        <v>0.76989587542434101</v>
      </c>
      <c r="H531" s="12">
        <f t="shared" si="25"/>
        <v>0.65808344492092385</v>
      </c>
      <c r="I531" s="12">
        <f t="shared" si="26"/>
        <v>6.5382547934868529E-2</v>
      </c>
      <c r="J531" s="12">
        <f>G531*(D531*Assumptions!$B$6+E531*Assumptions!$B$7)</f>
        <v>9.8499618459526646E-3</v>
      </c>
    </row>
    <row r="532" spans="1:10" x14ac:dyDescent="0.2">
      <c r="A532" s="2">
        <v>524</v>
      </c>
      <c r="B532" s="14">
        <f>A532*Assumptions!$B$12</f>
        <v>5.24</v>
      </c>
      <c r="C532" s="15">
        <f>IF(A532&lt;=Assumptions!$B$13,IF(OR(A532=0,A532=Assumptions!$B$13),0.5,1),0)*Assumptions!$B$12</f>
        <v>0.01</v>
      </c>
      <c r="D532" s="12">
        <f>D531*(1-Assumptions!$B$12*(Assumptions!$B$5+Assumptions!$B$6))</f>
        <v>0.85451298141432785</v>
      </c>
      <c r="E532" s="12">
        <f>E531+Assumptions!$B$12*(D531*Assumptions!$B$5-E531*Assumptions!$B$7)</f>
        <v>8.5052375834321833E-2</v>
      </c>
      <c r="F532" s="12">
        <f t="shared" si="24"/>
        <v>6.0434642751350312E-2</v>
      </c>
      <c r="G532" s="12">
        <f>EXP(-Assumptions!$B$8*B532)</f>
        <v>0.76951102370757585</v>
      </c>
      <c r="H532" s="12">
        <f t="shared" si="25"/>
        <v>0.65755715909955215</v>
      </c>
      <c r="I532" s="12">
        <f t="shared" si="26"/>
        <v>6.5448740797030475E-2</v>
      </c>
      <c r="J532" s="12">
        <f>G532*(D532*Assumptions!$B$6+E532*Assumptions!$B$7)</f>
        <v>9.8480086308470466E-3</v>
      </c>
    </row>
    <row r="533" spans="1:10" x14ac:dyDescent="0.2">
      <c r="A533" s="2">
        <v>525</v>
      </c>
      <c r="B533" s="14">
        <f>A533*Assumptions!$B$12</f>
        <v>5.25</v>
      </c>
      <c r="C533" s="15">
        <f>IF(A533&lt;=Assumptions!$B$13,IF(OR(A533=0,A533=Assumptions!$B$13),0.5,1),0)*Assumptions!$B$12</f>
        <v>0.01</v>
      </c>
      <c r="D533" s="12">
        <f>D532*(1-Assumptions!$B$12*(Assumptions!$B$5+Assumptions!$B$6))</f>
        <v>0.85425662751990361</v>
      </c>
      <c r="E533" s="12">
        <f>E532+Assumptions!$B$12*(D532*Assumptions!$B$5-E532*Assumptions!$B$7)</f>
        <v>8.5180752242687535E-2</v>
      </c>
      <c r="F533" s="12">
        <f t="shared" si="24"/>
        <v>6.0562620237408854E-2</v>
      </c>
      <c r="G533" s="12">
        <f>EXP(-Assumptions!$B$8*B533)</f>
        <v>0.76912636436857051</v>
      </c>
      <c r="H533" s="12">
        <f t="shared" si="25"/>
        <v>0.65703129416213957</v>
      </c>
      <c r="I533" s="12">
        <f t="shared" si="26"/>
        <v>6.5514762286598222E-2</v>
      </c>
      <c r="J533" s="12">
        <f>G533*(D533*Assumptions!$B$6+E533*Assumptions!$B$7)</f>
        <v>9.8460510559513076E-3</v>
      </c>
    </row>
    <row r="534" spans="1:10" x14ac:dyDescent="0.2">
      <c r="A534" s="2">
        <v>526</v>
      </c>
      <c r="B534" s="14">
        <f>A534*Assumptions!$B$12</f>
        <v>5.26</v>
      </c>
      <c r="C534" s="15">
        <f>IF(A534&lt;=Assumptions!$B$13,IF(OR(A534=0,A534=Assumptions!$B$13),0.5,1),0)*Assumptions!$B$12</f>
        <v>0.01</v>
      </c>
      <c r="D534" s="12">
        <f>D533*(1-Assumptions!$B$12*(Assumptions!$B$5+Assumptions!$B$6))</f>
        <v>0.85400035053164769</v>
      </c>
      <c r="E534" s="12">
        <f>E533+Assumptions!$B$12*(D533*Assumptions!$B$5-E533*Assumptions!$B$7)</f>
        <v>8.5309013192070168E-2</v>
      </c>
      <c r="F534" s="12">
        <f t="shared" si="24"/>
        <v>6.0690636276282142E-2</v>
      </c>
      <c r="G534" s="12">
        <f>EXP(-Assumptions!$B$8*B534)</f>
        <v>0.76874189731116027</v>
      </c>
      <c r="H534" s="12">
        <f t="shared" si="25"/>
        <v>0.65650584977209481</v>
      </c>
      <c r="I534" s="12">
        <f t="shared" si="26"/>
        <v>6.5580612659014825E-2</v>
      </c>
      <c r="J534" s="12">
        <f>G534*(D534*Assumptions!$B$6+E534*Assumptions!$B$7)</f>
        <v>9.8440891306716891E-3</v>
      </c>
    </row>
    <row r="535" spans="1:10" x14ac:dyDescent="0.2">
      <c r="A535" s="2">
        <v>527</v>
      </c>
      <c r="B535" s="14">
        <f>A535*Assumptions!$B$12</f>
        <v>5.2700000000000005</v>
      </c>
      <c r="C535" s="15">
        <f>IF(A535&lt;=Assumptions!$B$13,IF(OR(A535=0,A535=Assumptions!$B$13),0.5,1),0)*Assumptions!$B$12</f>
        <v>0.01</v>
      </c>
      <c r="D535" s="12">
        <f>D534*(1-Assumptions!$B$12*(Assumptions!$B$5+Assumptions!$B$6))</f>
        <v>0.85374415042648821</v>
      </c>
      <c r="E535" s="12">
        <f>E534+Assumptions!$B$12*(D534*Assumptions!$B$5-E534*Assumptions!$B$7)</f>
        <v>8.5437158755580458E-2</v>
      </c>
      <c r="F535" s="12">
        <f t="shared" si="24"/>
        <v>6.0818690817931328E-2</v>
      </c>
      <c r="G535" s="12">
        <f>EXP(-Assumptions!$B$8*B535)</f>
        <v>0.76835762243922845</v>
      </c>
      <c r="H535" s="12">
        <f t="shared" si="25"/>
        <v>0.65598082559309545</v>
      </c>
      <c r="I535" s="12">
        <f t="shared" si="26"/>
        <v>6.5646292169400711E-2</v>
      </c>
      <c r="J535" s="12">
        <f>G535*(D535*Assumptions!$B$6+E535*Assumptions!$B$7)</f>
        <v>9.8421228644009918E-3</v>
      </c>
    </row>
    <row r="536" spans="1:10" x14ac:dyDescent="0.2">
      <c r="A536" s="2">
        <v>528</v>
      </c>
      <c r="B536" s="14">
        <f>A536*Assumptions!$B$12</f>
        <v>5.28</v>
      </c>
      <c r="C536" s="15">
        <f>IF(A536&lt;=Assumptions!$B$13,IF(OR(A536=0,A536=Assumptions!$B$13),0.5,1),0)*Assumptions!$B$12</f>
        <v>0.01</v>
      </c>
      <c r="D536" s="12">
        <f>D535*(1-Assumptions!$B$12*(Assumptions!$B$5+Assumptions!$B$6))</f>
        <v>0.8534880271813603</v>
      </c>
      <c r="E536" s="12">
        <f>E535+Assumptions!$B$12*(D535*Assumptions!$B$5-E535*Assumptions!$B$7)</f>
        <v>8.556518900628797E-2</v>
      </c>
      <c r="F536" s="12">
        <f t="shared" si="24"/>
        <v>6.0946783812351732E-2</v>
      </c>
      <c r="G536" s="12">
        <f>EXP(-Assumptions!$B$8*B536)</f>
        <v>0.76797353965670612</v>
      </c>
      <c r="H536" s="12">
        <f t="shared" si="25"/>
        <v>0.65545622128908831</v>
      </c>
      <c r="I536" s="12">
        <f t="shared" si="26"/>
        <v>6.5711801072554046E-2</v>
      </c>
      <c r="J536" s="12">
        <f>G536*(D536*Assumptions!$B$6+E536*Assumptions!$B$7)</f>
        <v>9.8401522665185846E-3</v>
      </c>
    </row>
    <row r="537" spans="1:10" x14ac:dyDescent="0.2">
      <c r="A537" s="2">
        <v>529</v>
      </c>
      <c r="B537" s="14">
        <f>A537*Assumptions!$B$12</f>
        <v>5.29</v>
      </c>
      <c r="C537" s="15">
        <f>IF(A537&lt;=Assumptions!$B$13,IF(OR(A537=0,A537=Assumptions!$B$13),0.5,1),0)*Assumptions!$B$12</f>
        <v>0.01</v>
      </c>
      <c r="D537" s="12">
        <f>D536*(1-Assumptions!$B$12*(Assumptions!$B$5+Assumptions!$B$6))</f>
        <v>0.85323198077320594</v>
      </c>
      <c r="E537" s="12">
        <f>E536+Assumptions!$B$12*(D536*Assumptions!$B$5-E536*Assumptions!$B$7)</f>
        <v>8.5693104017221092E-2</v>
      </c>
      <c r="F537" s="12">
        <f t="shared" si="24"/>
        <v>6.1074915209572964E-2</v>
      </c>
      <c r="G537" s="12">
        <f>EXP(-Assumptions!$B$8*B537)</f>
        <v>0.76758964886757286</v>
      </c>
      <c r="H537" s="12">
        <f t="shared" si="25"/>
        <v>0.65493203652428877</v>
      </c>
      <c r="I537" s="12">
        <f t="shared" si="26"/>
        <v>6.5777139622951133E-2</v>
      </c>
      <c r="J537" s="12">
        <f>G537*(D537*Assumptions!$B$6+E537*Assumptions!$B$7)</f>
        <v>9.8381773463904441E-3</v>
      </c>
    </row>
    <row r="538" spans="1:10" x14ac:dyDescent="0.2">
      <c r="A538" s="2">
        <v>530</v>
      </c>
      <c r="B538" s="14">
        <f>A538*Assumptions!$B$12</f>
        <v>5.3</v>
      </c>
      <c r="C538" s="15">
        <f>IF(A538&lt;=Assumptions!$B$13,IF(OR(A538=0,A538=Assumptions!$B$13),0.5,1),0)*Assumptions!$B$12</f>
        <v>0.01</v>
      </c>
      <c r="D538" s="12">
        <f>D537*(1-Assumptions!$B$12*(Assumptions!$B$5+Assumptions!$B$6))</f>
        <v>0.85297601117897404</v>
      </c>
      <c r="E538" s="12">
        <f>E537+Assumptions!$B$12*(D537*Assumptions!$B$5-E537*Assumptions!$B$7)</f>
        <v>8.582090386136712E-2</v>
      </c>
      <c r="F538" s="12">
        <f t="shared" si="24"/>
        <v>6.1203084959658843E-2</v>
      </c>
      <c r="G538" s="12">
        <f>EXP(-Assumptions!$B$8*B538)</f>
        <v>0.76720594997585567</v>
      </c>
      <c r="H538" s="12">
        <f t="shared" si="25"/>
        <v>0.65440827096318088</v>
      </c>
      <c r="I538" s="12">
        <f t="shared" si="26"/>
        <v>6.5842308074746739E-2</v>
      </c>
      <c r="J538" s="12">
        <f>G538*(D538*Assumptions!$B$6+E538*Assumptions!$B$7)</f>
        <v>9.8361981133691448E-3</v>
      </c>
    </row>
    <row r="539" spans="1:10" x14ac:dyDescent="0.2">
      <c r="A539" s="2">
        <v>531</v>
      </c>
      <c r="B539" s="14">
        <f>A539*Assumptions!$B$12</f>
        <v>5.3100000000000005</v>
      </c>
      <c r="C539" s="15">
        <f>IF(A539&lt;=Assumptions!$B$13,IF(OR(A539=0,A539=Assumptions!$B$13),0.5,1),0)*Assumptions!$B$12</f>
        <v>0.01</v>
      </c>
      <c r="D539" s="12">
        <f>D538*(1-Assumptions!$B$12*(Assumptions!$B$5+Assumptions!$B$6))</f>
        <v>0.85272011837562034</v>
      </c>
      <c r="E539" s="12">
        <f>E538+Assumptions!$B$12*(D538*Assumptions!$B$5-E538*Assumptions!$B$7)</f>
        <v>8.5948588611672233E-2</v>
      </c>
      <c r="F539" s="12">
        <f t="shared" si="24"/>
        <v>6.1331293012707427E-2</v>
      </c>
      <c r="G539" s="12">
        <f>EXP(-Assumptions!$B$8*B539)</f>
        <v>0.76682244288563006</v>
      </c>
      <c r="H539" s="12">
        <f t="shared" si="25"/>
        <v>0.65388492427051681</v>
      </c>
      <c r="I539" s="12">
        <f t="shared" si="26"/>
        <v>6.5907306681774538E-2</v>
      </c>
      <c r="J539" s="12">
        <f>G539*(D539*Assumptions!$B$6+E539*Assumptions!$B$7)</f>
        <v>9.8342145767938965E-3</v>
      </c>
    </row>
    <row r="540" spans="1:10" x14ac:dyDescent="0.2">
      <c r="A540" s="2">
        <v>532</v>
      </c>
      <c r="B540" s="14">
        <f>A540*Assumptions!$B$12</f>
        <v>5.32</v>
      </c>
      <c r="C540" s="15">
        <f>IF(A540&lt;=Assumptions!$B$13,IF(OR(A540=0,A540=Assumptions!$B$13),0.5,1),0)*Assumptions!$B$12</f>
        <v>0.01</v>
      </c>
      <c r="D540" s="12">
        <f>D539*(1-Assumptions!$B$12*(Assumptions!$B$5+Assumptions!$B$6))</f>
        <v>0.85246430234010773</v>
      </c>
      <c r="E540" s="12">
        <f>E539+Assumptions!$B$12*(D539*Assumptions!$B$5-E539*Assumptions!$B$7)</f>
        <v>8.6076158341041514E-2</v>
      </c>
      <c r="F540" s="12">
        <f t="shared" si="24"/>
        <v>6.1459539318850759E-2</v>
      </c>
      <c r="G540" s="12">
        <f>EXP(-Assumptions!$B$8*B540)</f>
        <v>0.76643912750101917</v>
      </c>
      <c r="H540" s="12">
        <f t="shared" si="25"/>
        <v>0.65336199611131718</v>
      </c>
      <c r="I540" s="12">
        <f t="shared" si="26"/>
        <v>6.5972135697547438E-2</v>
      </c>
      <c r="J540" s="12">
        <f>G540*(D540*Assumptions!$B$6+E540*Assumptions!$B$7)</f>
        <v>9.8322267459905448E-3</v>
      </c>
    </row>
    <row r="541" spans="1:10" x14ac:dyDescent="0.2">
      <c r="A541" s="2">
        <v>533</v>
      </c>
      <c r="B541" s="14">
        <f>A541*Assumptions!$B$12</f>
        <v>5.33</v>
      </c>
      <c r="C541" s="15">
        <f>IF(A541&lt;=Assumptions!$B$13,IF(OR(A541=0,A541=Assumptions!$B$13),0.5,1),0)*Assumptions!$B$12</f>
        <v>0.01</v>
      </c>
      <c r="D541" s="12">
        <f>D540*(1-Assumptions!$B$12*(Assumptions!$B$5+Assumptions!$B$6))</f>
        <v>0.85220856304940573</v>
      </c>
      <c r="E541" s="12">
        <f>E540+Assumptions!$B$12*(D540*Assumptions!$B$5-E540*Assumptions!$B$7)</f>
        <v>8.6203613122339012E-2</v>
      </c>
      <c r="F541" s="12">
        <f t="shared" si="24"/>
        <v>6.1587823828255256E-2</v>
      </c>
      <c r="G541" s="12">
        <f>EXP(-Assumptions!$B$8*B541)</f>
        <v>0.76605600372619409</v>
      </c>
      <c r="H541" s="12">
        <f t="shared" si="25"/>
        <v>0.65283948615087006</v>
      </c>
      <c r="I541" s="12">
        <f t="shared" si="26"/>
        <v>6.6036795375257931E-2</v>
      </c>
      <c r="J541" s="12">
        <f>G541*(D541*Assumptions!$B$6+E541*Assumptions!$B$7)</f>
        <v>9.8302346302715973E-3</v>
      </c>
    </row>
    <row r="542" spans="1:10" x14ac:dyDescent="0.2">
      <c r="A542" s="2">
        <v>534</v>
      </c>
      <c r="B542" s="14">
        <f>A542*Assumptions!$B$12</f>
        <v>5.34</v>
      </c>
      <c r="C542" s="15">
        <f>IF(A542&lt;=Assumptions!$B$13,IF(OR(A542=0,A542=Assumptions!$B$13),0.5,1),0)*Assumptions!$B$12</f>
        <v>0.01</v>
      </c>
      <c r="D542" s="12">
        <f>D541*(1-Assumptions!$B$12*(Assumptions!$B$5+Assumptions!$B$6))</f>
        <v>0.85195290048049099</v>
      </c>
      <c r="E542" s="12">
        <f>E541+Assumptions!$B$12*(D541*Assumptions!$B$5-E541*Assumptions!$B$7)</f>
        <v>8.6330953028387725E-2</v>
      </c>
      <c r="F542" s="12">
        <f t="shared" si="24"/>
        <v>6.1716146491121282E-2</v>
      </c>
      <c r="G542" s="12">
        <f>EXP(-Assumptions!$B$8*B542)</f>
        <v>0.76567307146537389</v>
      </c>
      <c r="H542" s="12">
        <f t="shared" si="25"/>
        <v>0.65231739405473155</v>
      </c>
      <c r="I542" s="12">
        <f t="shared" si="26"/>
        <v>6.6101285967778547E-2</v>
      </c>
      <c r="J542" s="12">
        <f>G542*(D542*Assumptions!$B$6+E542*Assumptions!$B$7)</f>
        <v>9.8282382389362419E-3</v>
      </c>
    </row>
    <row r="543" spans="1:10" x14ac:dyDescent="0.2">
      <c r="A543" s="2">
        <v>535</v>
      </c>
      <c r="B543" s="14">
        <f>A543*Assumptions!$B$12</f>
        <v>5.3500000000000005</v>
      </c>
      <c r="C543" s="15">
        <f>IF(A543&lt;=Assumptions!$B$13,IF(OR(A543=0,A543=Assumptions!$B$13),0.5,1),0)*Assumptions!$B$12</f>
        <v>0.01</v>
      </c>
      <c r="D543" s="12">
        <f>D542*(1-Assumptions!$B$12*(Assumptions!$B$5+Assumptions!$B$6))</f>
        <v>0.85169731461034692</v>
      </c>
      <c r="E543" s="12">
        <f>E542+Assumptions!$B$12*(D542*Assumptions!$B$5-E542*Assumptions!$B$7)</f>
        <v>8.6458178131969626E-2</v>
      </c>
      <c r="F543" s="12">
        <f t="shared" si="24"/>
        <v>6.1844507257683451E-2</v>
      </c>
      <c r="G543" s="12">
        <f>EXP(-Assumptions!$B$8*B543)</f>
        <v>0.7652903306228257</v>
      </c>
      <c r="H543" s="12">
        <f t="shared" si="25"/>
        <v>0.65179571948872517</v>
      </c>
      <c r="I543" s="12">
        <f t="shared" si="26"/>
        <v>6.6165607727662196E-2</v>
      </c>
      <c r="J543" s="12">
        <f>G543*(D543*Assumptions!$B$6+E543*Assumptions!$B$7)</f>
        <v>9.8262375812703615E-3</v>
      </c>
    </row>
    <row r="544" spans="1:10" x14ac:dyDescent="0.2">
      <c r="A544" s="2">
        <v>536</v>
      </c>
      <c r="B544" s="14">
        <f>A544*Assumptions!$B$12</f>
        <v>5.36</v>
      </c>
      <c r="C544" s="15">
        <f>IF(A544&lt;=Assumptions!$B$13,IF(OR(A544=0,A544=Assumptions!$B$13),0.5,1),0)*Assumptions!$B$12</f>
        <v>0.01</v>
      </c>
      <c r="D544" s="12">
        <f>D543*(1-Assumptions!$B$12*(Assumptions!$B$5+Assumptions!$B$6))</f>
        <v>0.85144180541596381</v>
      </c>
      <c r="E544" s="12">
        <f>E543+Assumptions!$B$12*(D543*Assumptions!$B$5-E543*Assumptions!$B$7)</f>
        <v>8.6585288505825711E-2</v>
      </c>
      <c r="F544" s="12">
        <f t="shared" si="24"/>
        <v>6.1972906078210474E-2</v>
      </c>
      <c r="G544" s="12">
        <f>EXP(-Assumptions!$B$8*B544)</f>
        <v>0.76490778110286395</v>
      </c>
      <c r="H544" s="12">
        <f t="shared" si="25"/>
        <v>0.65127446211894136</v>
      </c>
      <c r="I544" s="12">
        <f t="shared" si="26"/>
        <v>6.6229760907142457E-2</v>
      </c>
      <c r="J544" s="12">
        <f>G544*(D544*Assumptions!$B$6+E544*Assumptions!$B$7)</f>
        <v>9.8242326665465354E-3</v>
      </c>
    </row>
    <row r="545" spans="1:10" x14ac:dyDescent="0.2">
      <c r="A545" s="2">
        <v>537</v>
      </c>
      <c r="B545" s="14">
        <f>A545*Assumptions!$B$12</f>
        <v>5.37</v>
      </c>
      <c r="C545" s="15">
        <f>IF(A545&lt;=Assumptions!$B$13,IF(OR(A545=0,A545=Assumptions!$B$13),0.5,1),0)*Assumptions!$B$12</f>
        <v>0.01</v>
      </c>
      <c r="D545" s="12">
        <f>D544*(1-Assumptions!$B$12*(Assumptions!$B$5+Assumptions!$B$6))</f>
        <v>0.85118637287433907</v>
      </c>
      <c r="E545" s="12">
        <f>E544+Assumptions!$B$12*(D544*Assumptions!$B$5-E544*Assumptions!$B$7)</f>
        <v>8.6712284222655991E-2</v>
      </c>
      <c r="F545" s="12">
        <f t="shared" si="24"/>
        <v>6.2101342903004939E-2</v>
      </c>
      <c r="G545" s="12">
        <f>EXP(-Assumptions!$B$8*B545)</f>
        <v>0.76452542280985158</v>
      </c>
      <c r="H545" s="12">
        <f t="shared" si="25"/>
        <v>0.65075362161173811</v>
      </c>
      <c r="I545" s="12">
        <f t="shared" si="26"/>
        <v>6.6293745758134098E-2</v>
      </c>
      <c r="J545" s="12">
        <f>G545*(D545*Assumptions!$B$6+E545*Assumptions!$B$7)</f>
        <v>9.8222235040240861E-3</v>
      </c>
    </row>
    <row r="546" spans="1:10" x14ac:dyDescent="0.2">
      <c r="A546" s="2">
        <v>538</v>
      </c>
      <c r="B546" s="14">
        <f>A546*Assumptions!$B$12</f>
        <v>5.38</v>
      </c>
      <c r="C546" s="15">
        <f>IF(A546&lt;=Assumptions!$B$13,IF(OR(A546=0,A546=Assumptions!$B$13),0.5,1),0)*Assumptions!$B$12</f>
        <v>0.01</v>
      </c>
      <c r="D546" s="12">
        <f>D545*(1-Assumptions!$B$12*(Assumptions!$B$5+Assumptions!$B$6))</f>
        <v>0.85093101696247675</v>
      </c>
      <c r="E546" s="12">
        <f>E545+Assumptions!$B$12*(D545*Assumptions!$B$5-E545*Assumptions!$B$7)</f>
        <v>8.6839165355119527E-2</v>
      </c>
      <c r="F546" s="12">
        <f t="shared" si="24"/>
        <v>6.2229817682403724E-2</v>
      </c>
      <c r="G546" s="12">
        <f>EXP(-Assumptions!$B$8*B546)</f>
        <v>0.76414325564819896</v>
      </c>
      <c r="H546" s="12">
        <f t="shared" si="25"/>
        <v>0.65023319763373977</v>
      </c>
      <c r="I546" s="12">
        <f t="shared" si="26"/>
        <v>6.6357562532233322E-2</v>
      </c>
      <c r="J546" s="12">
        <f>G546*(D546*Assumptions!$B$6+E546*Assumptions!$B$7)</f>
        <v>9.8202101029490653E-3</v>
      </c>
    </row>
    <row r="547" spans="1:10" x14ac:dyDescent="0.2">
      <c r="A547" s="2">
        <v>539</v>
      </c>
      <c r="B547" s="14">
        <f>A547*Assumptions!$B$12</f>
        <v>5.39</v>
      </c>
      <c r="C547" s="15">
        <f>IF(A547&lt;=Assumptions!$B$13,IF(OR(A547=0,A547=Assumptions!$B$13),0.5,1),0)*Assumptions!$B$12</f>
        <v>0.01</v>
      </c>
      <c r="D547" s="12">
        <f>D546*(1-Assumptions!$B$12*(Assumptions!$B$5+Assumptions!$B$6))</f>
        <v>0.85067573765738802</v>
      </c>
      <c r="E547" s="12">
        <f>E546+Assumptions!$B$12*(D546*Assumptions!$B$5-E546*Assumptions!$B$7)</f>
        <v>8.6965931975834465E-2</v>
      </c>
      <c r="F547" s="12">
        <f t="shared" si="24"/>
        <v>6.2358330366777515E-2</v>
      </c>
      <c r="G547" s="12">
        <f>EXP(-Assumptions!$B$8*B547)</f>
        <v>0.76376127952236417</v>
      </c>
      <c r="H547" s="12">
        <f t="shared" si="25"/>
        <v>0.64971318985183768</v>
      </c>
      <c r="I547" s="12">
        <f t="shared" si="26"/>
        <v>6.6421211480718209E-2</v>
      </c>
      <c r="J547" s="12">
        <f>G547*(D547*Assumptions!$B$6+E547*Assumptions!$B$7)</f>
        <v>9.8181924725542873E-3</v>
      </c>
    </row>
    <row r="548" spans="1:10" x14ac:dyDescent="0.2">
      <c r="A548" s="2">
        <v>540</v>
      </c>
      <c r="B548" s="14">
        <f>A548*Assumptions!$B$12</f>
        <v>5.4</v>
      </c>
      <c r="C548" s="15">
        <f>IF(A548&lt;=Assumptions!$B$13,IF(OR(A548=0,A548=Assumptions!$B$13),0.5,1),0)*Assumptions!$B$12</f>
        <v>0.01</v>
      </c>
      <c r="D548" s="12">
        <f>D547*(1-Assumptions!$B$12*(Assumptions!$B$5+Assumptions!$B$6))</f>
        <v>0.85042053493609082</v>
      </c>
      <c r="E548" s="12">
        <f>E547+Assumptions!$B$12*(D547*Assumptions!$B$5-E547*Assumptions!$B$7)</f>
        <v>8.7092584157378028E-2</v>
      </c>
      <c r="F548" s="12">
        <f t="shared" si="24"/>
        <v>6.248688090653115E-2</v>
      </c>
      <c r="G548" s="12">
        <f>EXP(-Assumptions!$B$8*B548)</f>
        <v>0.76337949433685315</v>
      </c>
      <c r="H548" s="12">
        <f t="shared" si="25"/>
        <v>0.6491935979331892</v>
      </c>
      <c r="I548" s="12">
        <f t="shared" si="26"/>
        <v>6.6484692854549068E-2</v>
      </c>
      <c r="J548" s="12">
        <f>G548*(D548*Assumptions!$B$6+E548*Assumptions!$B$7)</f>
        <v>9.8161706220593458E-3</v>
      </c>
    </row>
    <row r="549" spans="1:10" x14ac:dyDescent="0.2">
      <c r="A549" s="2">
        <v>541</v>
      </c>
      <c r="B549" s="14">
        <f>A549*Assumptions!$B$12</f>
        <v>5.41</v>
      </c>
      <c r="C549" s="15">
        <f>IF(A549&lt;=Assumptions!$B$13,IF(OR(A549=0,A549=Assumptions!$B$13),0.5,1),0)*Assumptions!$B$12</f>
        <v>0.01</v>
      </c>
      <c r="D549" s="12">
        <f>D548*(1-Assumptions!$B$12*(Assumptions!$B$5+Assumptions!$B$6))</f>
        <v>0.85016540877560998</v>
      </c>
      <c r="E549" s="12">
        <f>E548+Assumptions!$B$12*(D548*Assumptions!$B$5-E548*Assumptions!$B$7)</f>
        <v>8.7219121972286554E-2</v>
      </c>
      <c r="F549" s="12">
        <f t="shared" si="24"/>
        <v>6.261546925210347E-2</v>
      </c>
      <c r="G549" s="12">
        <f>EXP(-Assumptions!$B$8*B549)</f>
        <v>0.76299789999621981</v>
      </c>
      <c r="H549" s="12">
        <f t="shared" si="25"/>
        <v>0.64867442154521815</v>
      </c>
      <c r="I549" s="12">
        <f t="shared" si="26"/>
        <v>6.6548006904368795E-2</v>
      </c>
      <c r="J549" s="12">
        <f>G549*(D549*Assumptions!$B$6+E549*Assumptions!$B$7)</f>
        <v>9.8141445606706214E-3</v>
      </c>
    </row>
    <row r="550" spans="1:10" x14ac:dyDescent="0.2">
      <c r="A550" s="2">
        <v>542</v>
      </c>
      <c r="B550" s="14">
        <f>A550*Assumptions!$B$12</f>
        <v>5.42</v>
      </c>
      <c r="C550" s="15">
        <f>IF(A550&lt;=Assumptions!$B$13,IF(OR(A550=0,A550=Assumptions!$B$13),0.5,1),0)*Assumptions!$B$12</f>
        <v>0.01</v>
      </c>
      <c r="D550" s="12">
        <f>D549*(1-Assumptions!$B$12*(Assumptions!$B$5+Assumptions!$B$6))</f>
        <v>0.8499103591529773</v>
      </c>
      <c r="E550" s="12">
        <f>E549+Assumptions!$B$12*(D549*Assumptions!$B$5-E549*Assumptions!$B$7)</f>
        <v>8.7345545493055538E-2</v>
      </c>
      <c r="F550" s="12">
        <f t="shared" si="24"/>
        <v>6.2744095353967161E-2</v>
      </c>
      <c r="G550" s="12">
        <f>EXP(-Assumptions!$B$8*B550)</f>
        <v>0.76261649640506535</v>
      </c>
      <c r="H550" s="12">
        <f t="shared" si="25"/>
        <v>0.64815566035561434</v>
      </c>
      <c r="I550" s="12">
        <f t="shared" si="26"/>
        <v>6.661115388050326E-2</v>
      </c>
      <c r="J550" s="12">
        <f>G550*(D550*Assumptions!$B$6+E550*Assumptions!$B$7)</f>
        <v>9.8121142975813071E-3</v>
      </c>
    </row>
    <row r="551" spans="1:10" x14ac:dyDescent="0.2">
      <c r="A551" s="2">
        <v>543</v>
      </c>
      <c r="B551" s="14">
        <f>A551*Assumptions!$B$12</f>
        <v>5.43</v>
      </c>
      <c r="C551" s="15">
        <f>IF(A551&lt;=Assumptions!$B$13,IF(OR(A551=0,A551=Assumptions!$B$13),0.5,1),0)*Assumptions!$B$12</f>
        <v>0.01</v>
      </c>
      <c r="D551" s="12">
        <f>D550*(1-Assumptions!$B$12*(Assumptions!$B$5+Assumptions!$B$6))</f>
        <v>0.84965538604523139</v>
      </c>
      <c r="E551" s="12">
        <f>E550+Assumptions!$B$12*(D550*Assumptions!$B$5-E550*Assumptions!$B$7)</f>
        <v>8.7471854792139606E-2</v>
      </c>
      <c r="F551" s="12">
        <f t="shared" si="24"/>
        <v>6.2872759162629008E-2</v>
      </c>
      <c r="G551" s="12">
        <f>EXP(-Assumptions!$B$8*B551)</f>
        <v>0.76223528346803904</v>
      </c>
      <c r="H551" s="12">
        <f t="shared" si="25"/>
        <v>0.64763731403233304</v>
      </c>
      <c r="I551" s="12">
        <f t="shared" si="26"/>
        <v>6.6674134032961685E-2</v>
      </c>
      <c r="J551" s="12">
        <f>G551*(D551*Assumptions!$B$6+E551*Assumptions!$B$7)</f>
        <v>9.8100798419714155E-3</v>
      </c>
    </row>
    <row r="552" spans="1:10" x14ac:dyDescent="0.2">
      <c r="A552" s="2">
        <v>544</v>
      </c>
      <c r="B552" s="14">
        <f>A552*Assumptions!$B$12</f>
        <v>5.44</v>
      </c>
      <c r="C552" s="15">
        <f>IF(A552&lt;=Assumptions!$B$13,IF(OR(A552=0,A552=Assumptions!$B$13),0.5,1),0)*Assumptions!$B$12</f>
        <v>0.01</v>
      </c>
      <c r="D552" s="12">
        <f>D551*(1-Assumptions!$B$12*(Assumptions!$B$5+Assumptions!$B$6))</f>
        <v>0.84940048942941782</v>
      </c>
      <c r="E552" s="12">
        <f>E551+Assumptions!$B$12*(D551*Assumptions!$B$5-E551*Assumptions!$B$7)</f>
        <v>8.7598049941952583E-2</v>
      </c>
      <c r="F552" s="12">
        <f t="shared" si="24"/>
        <v>6.3001460628629602E-2</v>
      </c>
      <c r="G552" s="12">
        <f>EXP(-Assumptions!$B$8*B552)</f>
        <v>0.76185426108983756</v>
      </c>
      <c r="H552" s="12">
        <f t="shared" si="25"/>
        <v>0.64711938224359544</v>
      </c>
      <c r="I552" s="12">
        <f t="shared" si="26"/>
        <v>6.6736947611436975E-2</v>
      </c>
      <c r="J552" s="12">
        <f>G552*(D552*Assumptions!$B$6+E552*Assumptions!$B$7)</f>
        <v>9.808041203007805E-3</v>
      </c>
    </row>
    <row r="553" spans="1:10" x14ac:dyDescent="0.2">
      <c r="A553" s="2">
        <v>545</v>
      </c>
      <c r="B553" s="14">
        <f>A553*Assumptions!$B$12</f>
        <v>5.45</v>
      </c>
      <c r="C553" s="15">
        <f>IF(A553&lt;=Assumptions!$B$13,IF(OR(A553=0,A553=Assumptions!$B$13),0.5,1),0)*Assumptions!$B$12</f>
        <v>0.01</v>
      </c>
      <c r="D553" s="12">
        <f>D552*(1-Assumptions!$B$12*(Assumptions!$B$5+Assumptions!$B$6))</f>
        <v>0.84914566928258906</v>
      </c>
      <c r="E553" s="12">
        <f>E552+Assumptions!$B$12*(D552*Assumptions!$B$5-E552*Assumptions!$B$7)</f>
        <v>8.7724131014867493E-2</v>
      </c>
      <c r="F553" s="12">
        <f t="shared" si="24"/>
        <v>6.3130199702543452E-2</v>
      </c>
      <c r="G553" s="12">
        <f>EXP(-Assumptions!$B$8*B553)</f>
        <v>0.76147342917520522</v>
      </c>
      <c r="H553" s="12">
        <f t="shared" si="25"/>
        <v>0.64660186465788783</v>
      </c>
      <c r="I553" s="12">
        <f t="shared" si="26"/>
        <v>6.6799594865306122E-2</v>
      </c>
      <c r="J553" s="12">
        <f>G553*(D553*Assumptions!$B$6+E553*Assumptions!$B$7)</f>
        <v>9.8059983898441845E-3</v>
      </c>
    </row>
    <row r="554" spans="1:10" x14ac:dyDescent="0.2">
      <c r="A554" s="2">
        <v>546</v>
      </c>
      <c r="B554" s="14">
        <f>A554*Assumptions!$B$12</f>
        <v>5.46</v>
      </c>
      <c r="C554" s="15">
        <f>IF(A554&lt;=Assumptions!$B$13,IF(OR(A554=0,A554=Assumptions!$B$13),0.5,1),0)*Assumptions!$B$12</f>
        <v>0.01</v>
      </c>
      <c r="D554" s="12">
        <f>D553*(1-Assumptions!$B$12*(Assumptions!$B$5+Assumptions!$B$6))</f>
        <v>0.84889092558180435</v>
      </c>
      <c r="E554" s="12">
        <f>E553+Assumptions!$B$12*(D553*Assumptions!$B$5-E553*Assumptions!$B$7)</f>
        <v>8.7850098083216574E-2</v>
      </c>
      <c r="F554" s="12">
        <f t="shared" si="24"/>
        <v>6.3258976334979081E-2</v>
      </c>
      <c r="G554" s="12">
        <f>EXP(-Assumptions!$B$8*B554)</f>
        <v>0.76109278762893429</v>
      </c>
      <c r="H554" s="12">
        <f t="shared" si="25"/>
        <v>0.64608476094396172</v>
      </c>
      <c r="I554" s="12">
        <f t="shared" si="26"/>
        <v>6.6862076043630606E-2</v>
      </c>
      <c r="J554" s="12">
        <f>G554*(D554*Assumptions!$B$6+E554*Assumptions!$B$7)</f>
        <v>9.8039514116211451E-3</v>
      </c>
    </row>
    <row r="555" spans="1:10" x14ac:dyDescent="0.2">
      <c r="A555" s="2">
        <v>547</v>
      </c>
      <c r="B555" s="14">
        <f>A555*Assumptions!$B$12</f>
        <v>5.47</v>
      </c>
      <c r="C555" s="15">
        <f>IF(A555&lt;=Assumptions!$B$13,IF(OR(A555=0,A555=Assumptions!$B$13),0.5,1),0)*Assumptions!$B$12</f>
        <v>0.01</v>
      </c>
      <c r="D555" s="12">
        <f>D554*(1-Assumptions!$B$12*(Assumptions!$B$5+Assumptions!$B$6))</f>
        <v>0.84863625830412981</v>
      </c>
      <c r="E555" s="12">
        <f>E554+Assumptions!$B$12*(D554*Assumptions!$B$5-E554*Assumptions!$B$7)</f>
        <v>8.7975951219291332E-2</v>
      </c>
      <c r="F555" s="12">
        <f t="shared" si="24"/>
        <v>6.3387790476578859E-2</v>
      </c>
      <c r="G555" s="12">
        <f>EXP(-Assumptions!$B$8*B555)</f>
        <v>0.7607123363558641</v>
      </c>
      <c r="H555" s="12">
        <f t="shared" si="25"/>
        <v>0.64556807077083311</v>
      </c>
      <c r="I555" s="12">
        <f t="shared" si="26"/>
        <v>6.6924391395156643E-2</v>
      </c>
      <c r="J555" s="12">
        <f>G555*(D555*Assumptions!$B$6+E555*Assumptions!$B$7)</f>
        <v>9.8019002774661652E-3</v>
      </c>
    </row>
    <row r="556" spans="1:10" x14ac:dyDescent="0.2">
      <c r="A556" s="2">
        <v>548</v>
      </c>
      <c r="B556" s="14">
        <f>A556*Assumptions!$B$12</f>
        <v>5.48</v>
      </c>
      <c r="C556" s="15">
        <f>IF(A556&lt;=Assumptions!$B$13,IF(OR(A556=0,A556=Assumptions!$B$13),0.5,1),0)*Assumptions!$B$12</f>
        <v>0.01</v>
      </c>
      <c r="D556" s="12">
        <f>D555*(1-Assumptions!$B$12*(Assumptions!$B$5+Assumptions!$B$6))</f>
        <v>0.84838166742663856</v>
      </c>
      <c r="E556" s="12">
        <f>E555+Assumptions!$B$12*(D555*Assumptions!$B$5-E555*Assumptions!$B$7)</f>
        <v>8.8101690495342513E-2</v>
      </c>
      <c r="F556" s="12">
        <f t="shared" si="24"/>
        <v>6.3516642078018923E-2</v>
      </c>
      <c r="G556" s="12">
        <f>EXP(-Assumptions!$B$8*B556)</f>
        <v>0.76033207526088209</v>
      </c>
      <c r="H556" s="12">
        <f t="shared" si="25"/>
        <v>0.64505179380778355</v>
      </c>
      <c r="I556" s="12">
        <f t="shared" si="26"/>
        <v>6.6986541168315705E-2</v>
      </c>
      <c r="J556" s="12">
        <f>G556*(D556*Assumptions!$B$6+E556*Assumptions!$B$7)</f>
        <v>9.7998449964936205E-3</v>
      </c>
    </row>
    <row r="557" spans="1:10" x14ac:dyDescent="0.2">
      <c r="A557" s="2">
        <v>549</v>
      </c>
      <c r="B557" s="14">
        <f>A557*Assumptions!$B$12</f>
        <v>5.49</v>
      </c>
      <c r="C557" s="15">
        <f>IF(A557&lt;=Assumptions!$B$13,IF(OR(A557=0,A557=Assumptions!$B$13),0.5,1),0)*Assumptions!$B$12</f>
        <v>0.01</v>
      </c>
      <c r="D557" s="12">
        <f>D556*(1-Assumptions!$B$12*(Assumptions!$B$5+Assumptions!$B$6))</f>
        <v>0.84812715292641061</v>
      </c>
      <c r="E557" s="12">
        <f>E556+Assumptions!$B$12*(D556*Assumptions!$B$5-E556*Assumptions!$B$7)</f>
        <v>8.8227315983580176E-2</v>
      </c>
      <c r="F557" s="12">
        <f t="shared" si="24"/>
        <v>6.3645531090009214E-2</v>
      </c>
      <c r="G557" s="12">
        <f>EXP(-Assumptions!$B$8*B557)</f>
        <v>0.75995200424892273</v>
      </c>
      <c r="H557" s="12">
        <f t="shared" si="25"/>
        <v>0.64453592972435836</v>
      </c>
      <c r="I557" s="12">
        <f t="shared" si="26"/>
        <v>6.7048525611224777E-2</v>
      </c>
      <c r="J557" s="12">
        <f>G557*(D557*Assumptions!$B$6+E557*Assumptions!$B$7)</f>
        <v>9.7977855778048212E-3</v>
      </c>
    </row>
    <row r="558" spans="1:10" x14ac:dyDescent="0.2">
      <c r="A558" s="2">
        <v>550</v>
      </c>
      <c r="B558" s="14">
        <f>A558*Assumptions!$B$12</f>
        <v>5.5</v>
      </c>
      <c r="C558" s="15">
        <f>IF(A558&lt;=Assumptions!$B$13,IF(OR(A558=0,A558=Assumptions!$B$13),0.5,1),0)*Assumptions!$B$12</f>
        <v>0.01</v>
      </c>
      <c r="D558" s="12">
        <f>D557*(1-Assumptions!$B$12*(Assumptions!$B$5+Assumptions!$B$6))</f>
        <v>0.84787271478053272</v>
      </c>
      <c r="E558" s="12">
        <f>E557+Assumptions!$B$12*(D557*Assumptions!$B$5-E557*Assumptions!$B$7)</f>
        <v>8.8352827756173674E-2</v>
      </c>
      <c r="F558" s="12">
        <f t="shared" si="24"/>
        <v>6.3774457463293605E-2</v>
      </c>
      <c r="G558" s="12">
        <f>EXP(-Assumptions!$B$8*B558)</f>
        <v>0.75957212322496848</v>
      </c>
      <c r="H558" s="12">
        <f t="shared" si="25"/>
        <v>0.64402047819036734</v>
      </c>
      <c r="I558" s="12">
        <f t="shared" si="26"/>
        <v>6.7110344971686761E-2</v>
      </c>
      <c r="J558" s="12">
        <f>G558*(D558*Assumptions!$B$6+E558*Assumptions!$B$7)</f>
        <v>9.7957220304880112E-3</v>
      </c>
    </row>
    <row r="559" spans="1:10" x14ac:dyDescent="0.2">
      <c r="A559" s="2">
        <v>551</v>
      </c>
      <c r="B559" s="14">
        <f>A559*Assumptions!$B$12</f>
        <v>5.51</v>
      </c>
      <c r="C559" s="15">
        <f>IF(A559&lt;=Assumptions!$B$13,IF(OR(A559=0,A559=Assumptions!$B$13),0.5,1),0)*Assumptions!$B$12</f>
        <v>0.01</v>
      </c>
      <c r="D559" s="12">
        <f>D558*(1-Assumptions!$B$12*(Assumptions!$B$5+Assumptions!$B$6))</f>
        <v>0.84761835296609855</v>
      </c>
      <c r="E559" s="12">
        <f>E558+Assumptions!$B$12*(D558*Assumptions!$B$5-E558*Assumptions!$B$7)</f>
        <v>8.8478225885251699E-2</v>
      </c>
      <c r="F559" s="12">
        <f t="shared" si="24"/>
        <v>6.3903421148649747E-2</v>
      </c>
      <c r="G559" s="12">
        <f>EXP(-Assumptions!$B$8*B559)</f>
        <v>0.75919243209404896</v>
      </c>
      <c r="H559" s="12">
        <f t="shared" si="25"/>
        <v>0.64350543887588441</v>
      </c>
      <c r="I559" s="12">
        <f t="shared" si="26"/>
        <v>6.7171999497190882E-2</v>
      </c>
      <c r="J559" s="12">
        <f>G559*(D559*Assumptions!$B$6+E559*Assumptions!$B$7)</f>
        <v>9.793654363618386E-3</v>
      </c>
    </row>
    <row r="560" spans="1:10" x14ac:dyDescent="0.2">
      <c r="A560" s="2">
        <v>552</v>
      </c>
      <c r="B560" s="14">
        <f>A560*Assumptions!$B$12</f>
        <v>5.5200000000000005</v>
      </c>
      <c r="C560" s="15">
        <f>IF(A560&lt;=Assumptions!$B$13,IF(OR(A560=0,A560=Assumptions!$B$13),0.5,1),0)*Assumptions!$B$12</f>
        <v>0.01</v>
      </c>
      <c r="D560" s="12">
        <f>D559*(1-Assumptions!$B$12*(Assumptions!$B$5+Assumptions!$B$6))</f>
        <v>0.84736406746020876</v>
      </c>
      <c r="E560" s="12">
        <f>E559+Assumptions!$B$12*(D559*Assumptions!$B$5-E559*Assumptions!$B$7)</f>
        <v>8.8603510442902295E-2</v>
      </c>
      <c r="F560" s="12">
        <f t="shared" si="24"/>
        <v>6.4032422096888947E-2</v>
      </c>
      <c r="G560" s="12">
        <f>EXP(-Assumptions!$B$8*B560)</f>
        <v>0.75881293076124134</v>
      </c>
      <c r="H560" s="12">
        <f t="shared" si="25"/>
        <v>0.64299081145124726</v>
      </c>
      <c r="I560" s="12">
        <f t="shared" si="26"/>
        <v>6.7233489434912946E-2</v>
      </c>
      <c r="J560" s="12">
        <f>G560*(D560*Assumptions!$B$6+E560*Assumptions!$B$7)</f>
        <v>9.7915825862581185E-3</v>
      </c>
    </row>
    <row r="561" spans="1:10" x14ac:dyDescent="0.2">
      <c r="A561" s="2">
        <v>553</v>
      </c>
      <c r="B561" s="14">
        <f>A561*Assumptions!$B$12</f>
        <v>5.53</v>
      </c>
      <c r="C561" s="15">
        <f>IF(A561&lt;=Assumptions!$B$13,IF(OR(A561=0,A561=Assumptions!$B$13),0.5,1),0)*Assumptions!$B$12</f>
        <v>0.01</v>
      </c>
      <c r="D561" s="12">
        <f>D560*(1-Assumptions!$B$12*(Assumptions!$B$5+Assumptions!$B$6))</f>
        <v>0.84710985823997076</v>
      </c>
      <c r="E561" s="12">
        <f>E560+Assumptions!$B$12*(D560*Assumptions!$B$5-E560*Assumptions!$B$7)</f>
        <v>8.8728681501172885E-2</v>
      </c>
      <c r="F561" s="12">
        <f t="shared" si="24"/>
        <v>6.4161460258856357E-2</v>
      </c>
      <c r="G561" s="12">
        <f>EXP(-Assumptions!$B$8*B561)</f>
        <v>0.75843361913167051</v>
      </c>
      <c r="H561" s="12">
        <f t="shared" si="25"/>
        <v>0.64247659558705739</v>
      </c>
      <c r="I561" s="12">
        <f t="shared" si="26"/>
        <v>6.729481503171586E-2</v>
      </c>
      <c r="J561" s="12">
        <f>G561*(D561*Assumptions!$B$6+E561*Assumptions!$B$7)</f>
        <v>9.7895067074563677E-3</v>
      </c>
    </row>
    <row r="562" spans="1:10" x14ac:dyDescent="0.2">
      <c r="A562" s="2">
        <v>554</v>
      </c>
      <c r="B562" s="14">
        <f>A562*Assumptions!$B$12</f>
        <v>5.54</v>
      </c>
      <c r="C562" s="15">
        <f>IF(A562&lt;=Assumptions!$B$13,IF(OR(A562=0,A562=Assumptions!$B$13),0.5,1),0)*Assumptions!$B$12</f>
        <v>0.01</v>
      </c>
      <c r="D562" s="12">
        <f>D561*(1-Assumptions!$B$12*(Assumptions!$B$5+Assumptions!$B$6))</f>
        <v>0.84685572528249875</v>
      </c>
      <c r="E562" s="12">
        <f>E561+Assumptions!$B$12*(D561*Assumptions!$B$5-E561*Assumptions!$B$7)</f>
        <v>8.8853739132070286E-2</v>
      </c>
      <c r="F562" s="12">
        <f t="shared" si="24"/>
        <v>6.4290535585430963E-2</v>
      </c>
      <c r="G562" s="12">
        <f>EXP(-Assumptions!$B$8*B562)</f>
        <v>0.75805449711050832</v>
      </c>
      <c r="H562" s="12">
        <f t="shared" si="25"/>
        <v>0.64196279095417941</v>
      </c>
      <c r="I562" s="12">
        <f t="shared" si="26"/>
        <v>6.7355976534149833E-2</v>
      </c>
      <c r="J562" s="12">
        <f>G562*(D562*Assumptions!$B$6+E562*Assumptions!$B$7)</f>
        <v>9.7874267362492856E-3</v>
      </c>
    </row>
    <row r="563" spans="1:10" x14ac:dyDescent="0.2">
      <c r="A563" s="2">
        <v>555</v>
      </c>
      <c r="B563" s="14">
        <f>A563*Assumptions!$B$12</f>
        <v>5.55</v>
      </c>
      <c r="C563" s="15">
        <f>IF(A563&lt;=Assumptions!$B$13,IF(OR(A563=0,A563=Assumptions!$B$13),0.5,1),0)*Assumptions!$B$12</f>
        <v>0.01</v>
      </c>
      <c r="D563" s="12">
        <f>D562*(1-Assumptions!$B$12*(Assumptions!$B$5+Assumptions!$B$6))</f>
        <v>0.84660166856491403</v>
      </c>
      <c r="E563" s="12">
        <f>E562+Assumptions!$B$12*(D562*Assumptions!$B$5-E562*Assumptions!$B$7)</f>
        <v>8.8978683407560752E-2</v>
      </c>
      <c r="F563" s="12">
        <f t="shared" si="24"/>
        <v>6.4419648027525214E-2</v>
      </c>
      <c r="G563" s="12">
        <f>EXP(-Assumptions!$B$8*B563)</f>
        <v>0.75767556460297436</v>
      </c>
      <c r="H563" s="12">
        <f t="shared" si="25"/>
        <v>0.64144939722374139</v>
      </c>
      <c r="I563" s="12">
        <f t="shared" si="26"/>
        <v>6.7416974188452897E-2</v>
      </c>
      <c r="J563" s="12">
        <f>G563*(D563*Assumptions!$B$6+E563*Assumptions!$B$7)</f>
        <v>9.785342681660059E-3</v>
      </c>
    </row>
    <row r="564" spans="1:10" x14ac:dyDescent="0.2">
      <c r="A564" s="2">
        <v>556</v>
      </c>
      <c r="B564" s="14">
        <f>A564*Assumptions!$B$12</f>
        <v>5.5600000000000005</v>
      </c>
      <c r="C564" s="15">
        <f>IF(A564&lt;=Assumptions!$B$13,IF(OR(A564=0,A564=Assumptions!$B$13),0.5,1),0)*Assumptions!$B$12</f>
        <v>0.01</v>
      </c>
      <c r="D564" s="12">
        <f>D563*(1-Assumptions!$B$12*(Assumptions!$B$5+Assumptions!$B$6))</f>
        <v>0.84634768806434457</v>
      </c>
      <c r="E564" s="12">
        <f>E563+Assumptions!$B$12*(D563*Assumptions!$B$5-E563*Assumptions!$B$7)</f>
        <v>8.9103514399569955E-2</v>
      </c>
      <c r="F564" s="12">
        <f t="shared" si="24"/>
        <v>6.4548797536085473E-2</v>
      </c>
      <c r="G564" s="12">
        <f>EXP(-Assumptions!$B$8*B564)</f>
        <v>0.75729682151433553</v>
      </c>
      <c r="H564" s="12">
        <f t="shared" si="25"/>
        <v>0.64093641406713442</v>
      </c>
      <c r="I564" s="12">
        <f t="shared" si="26"/>
        <v>6.7477808240551149E-2</v>
      </c>
      <c r="J564" s="12">
        <f>G564*(D564*Assumptions!$B$6+E564*Assumptions!$B$7)</f>
        <v>9.7832545526989022E-3</v>
      </c>
    </row>
    <row r="565" spans="1:10" x14ac:dyDescent="0.2">
      <c r="A565" s="2">
        <v>557</v>
      </c>
      <c r="B565" s="14">
        <f>A565*Assumptions!$B$12</f>
        <v>5.57</v>
      </c>
      <c r="C565" s="15">
        <f>IF(A565&lt;=Assumptions!$B$13,IF(OR(A565=0,A565=Assumptions!$B$13),0.5,1),0)*Assumptions!$B$12</f>
        <v>0.01</v>
      </c>
      <c r="D565" s="12">
        <f>D564*(1-Assumptions!$B$12*(Assumptions!$B$5+Assumptions!$B$6))</f>
        <v>0.84609378375792532</v>
      </c>
      <c r="E565" s="12">
        <f>E564+Assumptions!$B$12*(D564*Assumptions!$B$5-E564*Assumptions!$B$7)</f>
        <v>8.9228232179983033E-2</v>
      </c>
      <c r="F565" s="12">
        <f t="shared" si="24"/>
        <v>6.4677984062091645E-2</v>
      </c>
      <c r="G565" s="12">
        <f>EXP(-Assumptions!$B$8*B565)</f>
        <v>0.756918267749906</v>
      </c>
      <c r="H565" s="12">
        <f t="shared" si="25"/>
        <v>0.64042384115601236</v>
      </c>
      <c r="I565" s="12">
        <f t="shared" si="26"/>
        <v>6.7538478936059174E-2</v>
      </c>
      <c r="J565" s="12">
        <f>G565*(D565*Assumptions!$B$6+E565*Assumptions!$B$7)</f>
        <v>9.7811623583630835E-3</v>
      </c>
    </row>
    <row r="566" spans="1:10" x14ac:dyDescent="0.2">
      <c r="A566" s="2">
        <v>558</v>
      </c>
      <c r="B566" s="14">
        <f>A566*Assumptions!$B$12</f>
        <v>5.58</v>
      </c>
      <c r="C566" s="15">
        <f>IF(A566&lt;=Assumptions!$B$13,IF(OR(A566=0,A566=Assumptions!$B$13),0.5,1),0)*Assumptions!$B$12</f>
        <v>0.01</v>
      </c>
      <c r="D566" s="12">
        <f>D565*(1-Assumptions!$B$12*(Assumptions!$B$5+Assumptions!$B$6))</f>
        <v>0.84583995562279801</v>
      </c>
      <c r="E566" s="12">
        <f>E565+Assumptions!$B$12*(D565*Assumptions!$B$5-E565*Assumptions!$B$7)</f>
        <v>8.9352836820644627E-2</v>
      </c>
      <c r="F566" s="12">
        <f t="shared" si="24"/>
        <v>6.4807207556557361E-2</v>
      </c>
      <c r="G566" s="12">
        <f>EXP(-Assumptions!$B$8*B566)</f>
        <v>0.75653990321504738</v>
      </c>
      <c r="H566" s="12">
        <f t="shared" si="25"/>
        <v>0.63991167816229155</v>
      </c>
      <c r="I566" s="12">
        <f t="shared" si="26"/>
        <v>6.7598986520280402E-2</v>
      </c>
      <c r="J566" s="12">
        <f>G566*(D566*Assumptions!$B$6+E566*Assumptions!$B$7)</f>
        <v>9.779066107636937E-3</v>
      </c>
    </row>
    <row r="567" spans="1:10" x14ac:dyDescent="0.2">
      <c r="A567" s="2">
        <v>559</v>
      </c>
      <c r="B567" s="14">
        <f>A567*Assumptions!$B$12</f>
        <v>5.59</v>
      </c>
      <c r="C567" s="15">
        <f>IF(A567&lt;=Assumptions!$B$13,IF(OR(A567=0,A567=Assumptions!$B$13),0.5,1),0)*Assumptions!$B$12</f>
        <v>0.01</v>
      </c>
      <c r="D567" s="12">
        <f>D566*(1-Assumptions!$B$12*(Assumptions!$B$5+Assumptions!$B$6))</f>
        <v>0.84558620363611126</v>
      </c>
      <c r="E567" s="12">
        <f>E566+Assumptions!$B$12*(D566*Assumptions!$B$5-E566*Assumptions!$B$7)</f>
        <v>8.9477328393358868E-2</v>
      </c>
      <c r="F567" s="12">
        <f t="shared" si="24"/>
        <v>6.4936467970529876E-2</v>
      </c>
      <c r="G567" s="12">
        <f>EXP(-Assumptions!$B$8*B567)</f>
        <v>0.75616172781516844</v>
      </c>
      <c r="H567" s="12">
        <f t="shared" si="25"/>
        <v>0.63939992475815077</v>
      </c>
      <c r="I567" s="12">
        <f t="shared" si="26"/>
        <v>6.7659331238207471E-2</v>
      </c>
      <c r="J567" s="12">
        <f>G567*(D567*Assumptions!$B$6+E567*Assumptions!$B$7)</f>
        <v>9.7769658094918818E-3</v>
      </c>
    </row>
    <row r="568" spans="1:10" x14ac:dyDescent="0.2">
      <c r="A568" s="2">
        <v>560</v>
      </c>
      <c r="B568" s="14">
        <f>A568*Assumptions!$B$12</f>
        <v>5.6000000000000005</v>
      </c>
      <c r="C568" s="15">
        <f>IF(A568&lt;=Assumptions!$B$13,IF(OR(A568=0,A568=Assumptions!$B$13),0.5,1),0)*Assumptions!$B$12</f>
        <v>0.01</v>
      </c>
      <c r="D568" s="12">
        <f>D567*(1-Assumptions!$B$12*(Assumptions!$B$5+Assumptions!$B$6))</f>
        <v>0.84533252777502044</v>
      </c>
      <c r="E568" s="12">
        <f>E567+Assumptions!$B$12*(D567*Assumptions!$B$5-E567*Assumptions!$B$7)</f>
        <v>8.9601706969889408E-2</v>
      </c>
      <c r="F568" s="12">
        <f t="shared" si="24"/>
        <v>6.5065765255090155E-2</v>
      </c>
      <c r="G568" s="12">
        <f>EXP(-Assumptions!$B$8*B568)</f>
        <v>0.75578374145572547</v>
      </c>
      <c r="H568" s="12">
        <f t="shared" si="25"/>
        <v>0.63888858061603093</v>
      </c>
      <c r="I568" s="12">
        <f t="shared" si="26"/>
        <v>6.7719513334522571E-2</v>
      </c>
      <c r="J568" s="12">
        <f>G568*(D568*Assumptions!$B$6+E568*Assumptions!$B$7)</f>
        <v>9.7748614728864359E-3</v>
      </c>
    </row>
    <row r="569" spans="1:10" x14ac:dyDescent="0.2">
      <c r="A569" s="2">
        <v>561</v>
      </c>
      <c r="B569" s="14">
        <f>A569*Assumptions!$B$12</f>
        <v>5.61</v>
      </c>
      <c r="C569" s="15">
        <f>IF(A569&lt;=Assumptions!$B$13,IF(OR(A569=0,A569=Assumptions!$B$13),0.5,1),0)*Assumptions!$B$12</f>
        <v>0.01</v>
      </c>
      <c r="D569" s="12">
        <f>D568*(1-Assumptions!$B$12*(Assumptions!$B$5+Assumptions!$B$6))</f>
        <v>0.84507892801668794</v>
      </c>
      <c r="E569" s="12">
        <f>E568+Assumptions!$B$12*(D568*Assumptions!$B$5-E568*Assumptions!$B$7)</f>
        <v>8.9725972621959471E-2</v>
      </c>
      <c r="F569" s="12">
        <f t="shared" si="24"/>
        <v>6.5195099361352593E-2</v>
      </c>
      <c r="G569" s="12">
        <f>EXP(-Assumptions!$B$8*B569)</f>
        <v>0.75540594404222172</v>
      </c>
      <c r="H569" s="12">
        <f t="shared" si="25"/>
        <v>0.63837764540863484</v>
      </c>
      <c r="I569" s="12">
        <f t="shared" si="26"/>
        <v>6.7779533053597837E-2</v>
      </c>
      <c r="J569" s="12">
        <f>G569*(D569*Assumptions!$B$6+E569*Assumptions!$B$7)</f>
        <v>9.7727531067662403E-3</v>
      </c>
    </row>
    <row r="570" spans="1:10" x14ac:dyDescent="0.2">
      <c r="A570" s="2">
        <v>562</v>
      </c>
      <c r="B570" s="14">
        <f>A570*Assumptions!$B$12</f>
        <v>5.62</v>
      </c>
      <c r="C570" s="15">
        <f>IF(A570&lt;=Assumptions!$B$13,IF(OR(A570=0,A570=Assumptions!$B$13),0.5,1),0)*Assumptions!$B$12</f>
        <v>0.01</v>
      </c>
      <c r="D570" s="12">
        <f>D569*(1-Assumptions!$B$12*(Assumptions!$B$5+Assumptions!$B$6))</f>
        <v>0.8448254043382829</v>
      </c>
      <c r="E570" s="12">
        <f>E569+Assumptions!$B$12*(D569*Assumptions!$B$5-E569*Assumptions!$B$7)</f>
        <v>8.9850125421251828E-2</v>
      </c>
      <c r="F570" s="12">
        <f t="shared" si="24"/>
        <v>6.5324470240465268E-2</v>
      </c>
      <c r="G570" s="12">
        <f>EXP(-Assumptions!$B$8*B570)</f>
        <v>0.75502833548020798</v>
      </c>
      <c r="H570" s="12">
        <f t="shared" si="25"/>
        <v>0.63786711880892744</v>
      </c>
      <c r="I570" s="12">
        <f t="shared" si="26"/>
        <v>6.7839390639495692E-2</v>
      </c>
      <c r="J570" s="12">
        <f>G570*(D570*Assumptions!$B$6+E570*Assumptions!$B$7)</f>
        <v>9.7706407200640576E-3</v>
      </c>
    </row>
    <row r="571" spans="1:10" x14ac:dyDescent="0.2">
      <c r="A571" s="2">
        <v>563</v>
      </c>
      <c r="B571" s="14">
        <f>A571*Assumptions!$B$12</f>
        <v>5.63</v>
      </c>
      <c r="C571" s="15">
        <f>IF(A571&lt;=Assumptions!$B$13,IF(OR(A571=0,A571=Assumptions!$B$13),0.5,1),0)*Assumptions!$B$12</f>
        <v>0.01</v>
      </c>
      <c r="D571" s="12">
        <f>D570*(1-Assumptions!$B$12*(Assumptions!$B$5+Assumptions!$B$6))</f>
        <v>0.84457195671698149</v>
      </c>
      <c r="E571" s="12">
        <f>E570+Assumptions!$B$12*(D570*Assumptions!$B$5-E570*Assumptions!$B$7)</f>
        <v>8.9974165439408865E-2</v>
      </c>
      <c r="F571" s="12">
        <f t="shared" si="24"/>
        <v>6.5453877843609648E-2</v>
      </c>
      <c r="G571" s="12">
        <f>EXP(-Assumptions!$B$8*B571)</f>
        <v>0.75465091567528197</v>
      </c>
      <c r="H571" s="12">
        <f t="shared" si="25"/>
        <v>0.63735700049013466</v>
      </c>
      <c r="I571" s="12">
        <f t="shared" si="26"/>
        <v>6.7899086335969208E-2</v>
      </c>
      <c r="J571" s="12">
        <f>G571*(D571*Assumptions!$B$6+E571*Assumptions!$B$7)</f>
        <v>9.7685243216998081E-3</v>
      </c>
    </row>
    <row r="572" spans="1:10" x14ac:dyDescent="0.2">
      <c r="A572" s="2">
        <v>564</v>
      </c>
      <c r="B572" s="14">
        <f>A572*Assumptions!$B$12</f>
        <v>5.64</v>
      </c>
      <c r="C572" s="15">
        <f>IF(A572&lt;=Assumptions!$B$13,IF(OR(A572=0,A572=Assumptions!$B$13),0.5,1),0)*Assumptions!$B$12</f>
        <v>0.01</v>
      </c>
      <c r="D572" s="12">
        <f>D571*(1-Assumptions!$B$12*(Assumptions!$B$5+Assumptions!$B$6))</f>
        <v>0.84431858512996638</v>
      </c>
      <c r="E572" s="12">
        <f>E571+Assumptions!$B$12*(D571*Assumptions!$B$5-E571*Assumptions!$B$7)</f>
        <v>9.0098092748032557E-2</v>
      </c>
      <c r="F572" s="12">
        <f t="shared" si="24"/>
        <v>6.5583322122001061E-2</v>
      </c>
      <c r="G572" s="12">
        <f>EXP(-Assumptions!$B$8*B572)</f>
        <v>0.75427368453308896</v>
      </c>
      <c r="H572" s="12">
        <f t="shared" si="25"/>
        <v>0.63684729012574426</v>
      </c>
      <c r="I572" s="12">
        <f t="shared" si="26"/>
        <v>6.7958620386462498E-2</v>
      </c>
      <c r="J572" s="12">
        <f>G572*(D572*Assumptions!$B$6+E572*Assumptions!$B$7)</f>
        <v>9.7664039205805665E-3</v>
      </c>
    </row>
    <row r="573" spans="1:10" x14ac:dyDescent="0.2">
      <c r="A573" s="2">
        <v>565</v>
      </c>
      <c r="B573" s="14">
        <f>A573*Assumptions!$B$12</f>
        <v>5.65</v>
      </c>
      <c r="C573" s="15">
        <f>IF(A573&lt;=Assumptions!$B$13,IF(OR(A573=0,A573=Assumptions!$B$13),0.5,1),0)*Assumptions!$B$12</f>
        <v>0.01</v>
      </c>
      <c r="D573" s="12">
        <f>D572*(1-Assumptions!$B$12*(Assumptions!$B$5+Assumptions!$B$6))</f>
        <v>0.84406528955442739</v>
      </c>
      <c r="E573" s="12">
        <f>E572+Assumptions!$B$12*(D572*Assumptions!$B$5-E572*Assumptions!$B$7)</f>
        <v>9.0221907418684535E-2</v>
      </c>
      <c r="F573" s="12">
        <f t="shared" si="24"/>
        <v>6.5712803026888075E-2</v>
      </c>
      <c r="G573" s="12">
        <f>EXP(-Assumptions!$B$8*B573)</f>
        <v>0.75389664195932082</v>
      </c>
      <c r="H573" s="12">
        <f t="shared" si="25"/>
        <v>0.63633798738950464</v>
      </c>
      <c r="I573" s="12">
        <f t="shared" si="26"/>
        <v>6.8017993034111005E-2</v>
      </c>
      <c r="J573" s="12">
        <f>G573*(D573*Assumptions!$B$6+E573*Assumptions!$B$7)</f>
        <v>9.7642795256005967E-3</v>
      </c>
    </row>
    <row r="574" spans="1:10" x14ac:dyDescent="0.2">
      <c r="A574" s="2">
        <v>566</v>
      </c>
      <c r="B574" s="14">
        <f>A574*Assumptions!$B$12</f>
        <v>5.66</v>
      </c>
      <c r="C574" s="15">
        <f>IF(A574&lt;=Assumptions!$B$13,IF(OR(A574=0,A574=Assumptions!$B$13),0.5,1),0)*Assumptions!$B$12</f>
        <v>0.01</v>
      </c>
      <c r="D574" s="12">
        <f>D573*(1-Assumptions!$B$12*(Assumptions!$B$5+Assumptions!$B$6))</f>
        <v>0.84381206996756108</v>
      </c>
      <c r="E574" s="12">
        <f>E573+Assumptions!$B$12*(D573*Assumptions!$B$5-E573*Assumptions!$B$7)</f>
        <v>9.0345609522886075E-2</v>
      </c>
      <c r="F574" s="12">
        <f t="shared" si="24"/>
        <v>6.584232050955284E-2</v>
      </c>
      <c r="G574" s="12">
        <f>EXP(-Assumptions!$B$8*B574)</f>
        <v>0.75351978785971718</v>
      </c>
      <c r="H574" s="12">
        <f t="shared" si="25"/>
        <v>0.63582909195542547</v>
      </c>
      <c r="I574" s="12">
        <f t="shared" si="26"/>
        <v>6.8077204521741957E-2</v>
      </c>
      <c r="J574" s="12">
        <f>G574*(D574*Assumptions!$B$6+E574*Assumptions!$B$7)</f>
        <v>9.7621511456413533E-3</v>
      </c>
    </row>
    <row r="575" spans="1:10" x14ac:dyDescent="0.2">
      <c r="A575" s="2">
        <v>567</v>
      </c>
      <c r="B575" s="14">
        <f>A575*Assumptions!$B$12</f>
        <v>5.67</v>
      </c>
      <c r="C575" s="15">
        <f>IF(A575&lt;=Assumptions!$B$13,IF(OR(A575=0,A575=Assumptions!$B$13),0.5,1),0)*Assumptions!$B$12</f>
        <v>0.01</v>
      </c>
      <c r="D575" s="12">
        <f>D574*(1-Assumptions!$B$12*(Assumptions!$B$5+Assumptions!$B$6))</f>
        <v>0.84355892634657081</v>
      </c>
      <c r="E575" s="12">
        <f>E574+Assumptions!$B$12*(D574*Assumptions!$B$5-E574*Assumptions!$B$7)</f>
        <v>9.046919913211815E-2</v>
      </c>
      <c r="F575" s="12">
        <f t="shared" si="24"/>
        <v>6.5971874521311036E-2</v>
      </c>
      <c r="G575" s="12">
        <f>EXP(-Assumptions!$B$8*B575)</f>
        <v>0.75314312214006451</v>
      </c>
      <c r="H575" s="12">
        <f t="shared" si="25"/>
        <v>0.63532060349777708</v>
      </c>
      <c r="I575" s="12">
        <f t="shared" si="26"/>
        <v>6.8136255091874681E-2</v>
      </c>
      <c r="J575" s="12">
        <f>G575*(D575*Assumptions!$B$6+E575*Assumptions!$B$7)</f>
        <v>9.7600187895715042E-3</v>
      </c>
    </row>
    <row r="576" spans="1:10" x14ac:dyDescent="0.2">
      <c r="A576" s="2">
        <v>568</v>
      </c>
      <c r="B576" s="14">
        <f>A576*Assumptions!$B$12</f>
        <v>5.68</v>
      </c>
      <c r="C576" s="15">
        <f>IF(A576&lt;=Assumptions!$B$13,IF(OR(A576=0,A576=Assumptions!$B$13),0.5,1),0)*Assumptions!$B$12</f>
        <v>0.01</v>
      </c>
      <c r="D576" s="12">
        <f>D575*(1-Assumptions!$B$12*(Assumptions!$B$5+Assumptions!$B$6))</f>
        <v>0.84330585866866692</v>
      </c>
      <c r="E576" s="12">
        <f>E575+Assumptions!$B$12*(D575*Assumptions!$B$5-E575*Assumptions!$B$7)</f>
        <v>9.0592676317821405E-2</v>
      </c>
      <c r="F576" s="12">
        <f t="shared" si="24"/>
        <v>6.6101465013511676E-2</v>
      </c>
      <c r="G576" s="12">
        <f>EXP(-Assumptions!$B$8*B576)</f>
        <v>0.75276664470619625</v>
      </c>
      <c r="H576" s="12">
        <f t="shared" si="25"/>
        <v>0.63481252169109015</v>
      </c>
      <c r="I576" s="12">
        <f t="shared" si="26"/>
        <v>6.8195144986720899E-2</v>
      </c>
      <c r="J576" s="12">
        <f>G576*(D576*Assumptions!$B$6+E576*Assumptions!$B$7)</f>
        <v>9.7578824662469463E-3</v>
      </c>
    </row>
    <row r="577" spans="1:10" x14ac:dyDescent="0.2">
      <c r="A577" s="2">
        <v>569</v>
      </c>
      <c r="B577" s="14">
        <f>A577*Assumptions!$B$12</f>
        <v>5.69</v>
      </c>
      <c r="C577" s="15">
        <f>IF(A577&lt;=Assumptions!$B$13,IF(OR(A577=0,A577=Assumptions!$B$13),0.5,1),0)*Assumptions!$B$12</f>
        <v>0.01</v>
      </c>
      <c r="D577" s="12">
        <f>D576*(1-Assumptions!$B$12*(Assumptions!$B$5+Assumptions!$B$6))</f>
        <v>0.8430528669110664</v>
      </c>
      <c r="E577" s="12">
        <f>E576+Assumptions!$B$12*(D576*Assumptions!$B$5-E576*Assumptions!$B$7)</f>
        <v>9.0716041151396226E-2</v>
      </c>
      <c r="F577" s="12">
        <f t="shared" si="24"/>
        <v>6.6231091937537373E-2</v>
      </c>
      <c r="G577" s="12">
        <f>EXP(-Assumptions!$B$8*B577)</f>
        <v>0.75239035546399302</v>
      </c>
      <c r="H577" s="12">
        <f t="shared" si="25"/>
        <v>0.6343048462101557</v>
      </c>
      <c r="I577" s="12">
        <f t="shared" si="26"/>
        <v>6.8253874448185231E-2</v>
      </c>
      <c r="J577" s="12">
        <f>G577*(D577*Assumptions!$B$6+E577*Assumptions!$B$7)</f>
        <v>9.7557421845108176E-3</v>
      </c>
    </row>
    <row r="578" spans="1:10" x14ac:dyDescent="0.2">
      <c r="A578" s="2">
        <v>570</v>
      </c>
      <c r="B578" s="14">
        <f>A578*Assumptions!$B$12</f>
        <v>5.7</v>
      </c>
      <c r="C578" s="15">
        <f>IF(A578&lt;=Assumptions!$B$13,IF(OR(A578=0,A578=Assumptions!$B$13),0.5,1),0)*Assumptions!$B$12</f>
        <v>0.01</v>
      </c>
      <c r="D578" s="12">
        <f>D577*(1-Assumptions!$B$12*(Assumptions!$B$5+Assumptions!$B$6))</f>
        <v>0.84279995105099315</v>
      </c>
      <c r="E578" s="12">
        <f>E577+Assumptions!$B$12*(D577*Assumptions!$B$5-E577*Assumptions!$B$7)</f>
        <v>9.0839293704202739E-2</v>
      </c>
      <c r="F578" s="12">
        <f t="shared" si="24"/>
        <v>6.6360755244804115E-2</v>
      </c>
      <c r="G578" s="12">
        <f>EXP(-Assumptions!$B$8*B578)</f>
        <v>0.75201425431938262</v>
      </c>
      <c r="H578" s="12">
        <f t="shared" si="25"/>
        <v>0.63379757673002479</v>
      </c>
      <c r="I578" s="12">
        <f t="shared" si="26"/>
        <v>6.8312443717865406E-2</v>
      </c>
      <c r="J578" s="12">
        <f>G578*(D578*Assumptions!$B$6+E578*Assumptions!$B$7)</f>
        <v>9.7535979531935182E-3</v>
      </c>
    </row>
    <row r="579" spans="1:10" x14ac:dyDescent="0.2">
      <c r="A579" s="2">
        <v>571</v>
      </c>
      <c r="B579" s="14">
        <f>A579*Assumptions!$B$12</f>
        <v>5.71</v>
      </c>
      <c r="C579" s="15">
        <f>IF(A579&lt;=Assumptions!$B$13,IF(OR(A579=0,A579=Assumptions!$B$13),0.5,1),0)*Assumptions!$B$12</f>
        <v>0.01</v>
      </c>
      <c r="D579" s="12">
        <f>D578*(1-Assumptions!$B$12*(Assumptions!$B$5+Assumptions!$B$6))</f>
        <v>0.84254711106567792</v>
      </c>
      <c r="E579" s="12">
        <f>E578+Assumptions!$B$12*(D578*Assumptions!$B$5-E578*Assumptions!$B$7)</f>
        <v>9.0962434047560839E-2</v>
      </c>
      <c r="F579" s="12">
        <f t="shared" si="24"/>
        <v>6.6490454886761238E-2</v>
      </c>
      <c r="G579" s="12">
        <f>EXP(-Assumptions!$B$8*B579)</f>
        <v>0.75163834117833972</v>
      </c>
      <c r="H579" s="12">
        <f t="shared" si="25"/>
        <v>0.63329071292600847</v>
      </c>
      <c r="I579" s="12">
        <f t="shared" si="26"/>
        <v>6.8370853037052759E-2</v>
      </c>
      <c r="J579" s="12">
        <f>G579*(D579*Assumptions!$B$6+E579*Assumptions!$B$7)</f>
        <v>9.7514497811127237E-3</v>
      </c>
    </row>
    <row r="580" spans="1:10" x14ac:dyDescent="0.2">
      <c r="A580" s="2">
        <v>572</v>
      </c>
      <c r="B580" s="14">
        <f>A580*Assumptions!$B$12</f>
        <v>5.72</v>
      </c>
      <c r="C580" s="15">
        <f>IF(A580&lt;=Assumptions!$B$13,IF(OR(A580=0,A580=Assumptions!$B$13),0.5,1),0)*Assumptions!$B$12</f>
        <v>0.01</v>
      </c>
      <c r="D580" s="12">
        <f>D579*(1-Assumptions!$B$12*(Assumptions!$B$5+Assumptions!$B$6))</f>
        <v>0.84229434693235827</v>
      </c>
      <c r="E580" s="12">
        <f>E579+Assumptions!$B$12*(D579*Assumptions!$B$5-E579*Assumptions!$B$7)</f>
        <v>9.1085462252750188E-2</v>
      </c>
      <c r="F580" s="12">
        <f t="shared" si="24"/>
        <v>6.6620190814891539E-2</v>
      </c>
      <c r="G580" s="12">
        <f>EXP(-Assumptions!$B$8*B580)</f>
        <v>0.75126261594688604</v>
      </c>
      <c r="H580" s="12">
        <f t="shared" si="25"/>
        <v>0.63278425447367748</v>
      </c>
      <c r="I580" s="12">
        <f t="shared" si="26"/>
        <v>6.8429102646732451E-2</v>
      </c>
      <c r="J580" s="12">
        <f>G580*(D580*Assumptions!$B$6+E580*Assumptions!$B$7)</f>
        <v>9.7492976770733961E-3</v>
      </c>
    </row>
    <row r="581" spans="1:10" x14ac:dyDescent="0.2">
      <c r="A581" s="2">
        <v>573</v>
      </c>
      <c r="B581" s="14">
        <f>A581*Assumptions!$B$12</f>
        <v>5.73</v>
      </c>
      <c r="C581" s="15">
        <f>IF(A581&lt;=Assumptions!$B$13,IF(OR(A581=0,A581=Assumptions!$B$13),0.5,1),0)*Assumptions!$B$12</f>
        <v>0.01</v>
      </c>
      <c r="D581" s="12">
        <f>D580*(1-Assumptions!$B$12*(Assumptions!$B$5+Assumptions!$B$6))</f>
        <v>0.84204165862827862</v>
      </c>
      <c r="E581" s="12">
        <f>E580+Assumptions!$B$12*(D580*Assumptions!$B$5-E580*Assumptions!$B$7)</f>
        <v>9.1208378391010286E-2</v>
      </c>
      <c r="F581" s="12">
        <f t="shared" si="24"/>
        <v>6.6749962980711092E-2</v>
      </c>
      <c r="G581" s="12">
        <f>EXP(-Assumptions!$B$8*B581)</f>
        <v>0.75088707853109016</v>
      </c>
      <c r="H581" s="12">
        <f t="shared" si="25"/>
        <v>0.63227820104886168</v>
      </c>
      <c r="I581" s="12">
        <f t="shared" si="26"/>
        <v>6.8487192787583931E-2</v>
      </c>
      <c r="J581" s="12">
        <f>G581*(D581*Assumptions!$B$6+E581*Assumptions!$B$7)</f>
        <v>9.7471416498678132E-3</v>
      </c>
    </row>
    <row r="582" spans="1:10" x14ac:dyDescent="0.2">
      <c r="A582" s="2">
        <v>574</v>
      </c>
      <c r="B582" s="14">
        <f>A582*Assumptions!$B$12</f>
        <v>5.74</v>
      </c>
      <c r="C582" s="15">
        <f>IF(A582&lt;=Assumptions!$B$13,IF(OR(A582=0,A582=Assumptions!$B$13),0.5,1),0)*Assumptions!$B$12</f>
        <v>0.01</v>
      </c>
      <c r="D582" s="12">
        <f>D581*(1-Assumptions!$B$12*(Assumptions!$B$5+Assumptions!$B$6))</f>
        <v>0.84178904613069017</v>
      </c>
      <c r="E582" s="12">
        <f>E581+Assumptions!$B$12*(D581*Assumptions!$B$5-E581*Assumptions!$B$7)</f>
        <v>9.1331182533540431E-2</v>
      </c>
      <c r="F582" s="12">
        <f t="shared" si="24"/>
        <v>6.6879771335769403E-2</v>
      </c>
      <c r="G582" s="12">
        <f>EXP(-Assumptions!$B$8*B582)</f>
        <v>0.75051172883706796</v>
      </c>
      <c r="H582" s="12">
        <f t="shared" si="25"/>
        <v>0.63177255232765062</v>
      </c>
      <c r="I582" s="12">
        <f t="shared" si="26"/>
        <v>6.8545123699981253E-2</v>
      </c>
      <c r="J582" s="12">
        <f>G582*(D582*Assumptions!$B$6+E582*Assumptions!$B$7)</f>
        <v>9.7449817082755699E-3</v>
      </c>
    </row>
    <row r="583" spans="1:10" x14ac:dyDescent="0.2">
      <c r="A583" s="2">
        <v>575</v>
      </c>
      <c r="B583" s="14">
        <f>A583*Assumptions!$B$12</f>
        <v>5.75</v>
      </c>
      <c r="C583" s="15">
        <f>IF(A583&lt;=Assumptions!$B$13,IF(OR(A583=0,A583=Assumptions!$B$13),0.5,1),0)*Assumptions!$B$12</f>
        <v>0.01</v>
      </c>
      <c r="D583" s="12">
        <f>D582*(1-Assumptions!$B$12*(Assumptions!$B$5+Assumptions!$B$6))</f>
        <v>0.84153650941685099</v>
      </c>
      <c r="E583" s="12">
        <f>E582+Assumptions!$B$12*(D582*Assumptions!$B$5-E582*Assumptions!$B$7)</f>
        <v>9.1453874751499797E-2</v>
      </c>
      <c r="F583" s="12">
        <f t="shared" si="24"/>
        <v>6.7009615831649216E-2</v>
      </c>
      <c r="G583" s="12">
        <f>EXP(-Assumptions!$B$8*B583)</f>
        <v>0.75013656677098184</v>
      </c>
      <c r="H583" s="12">
        <f t="shared" si="25"/>
        <v>0.63126730798639263</v>
      </c>
      <c r="I583" s="12">
        <f t="shared" si="26"/>
        <v>6.8602895623993437E-2</v>
      </c>
      <c r="J583" s="12">
        <f>G583*(D583*Assumptions!$B$6+E583*Assumptions!$B$7)</f>
        <v>9.7428178610635997E-3</v>
      </c>
    </row>
    <row r="584" spans="1:10" x14ac:dyDescent="0.2">
      <c r="A584" s="2">
        <v>576</v>
      </c>
      <c r="B584" s="14">
        <f>A584*Assumptions!$B$12</f>
        <v>5.76</v>
      </c>
      <c r="C584" s="15">
        <f>IF(A584&lt;=Assumptions!$B$13,IF(OR(A584=0,A584=Assumptions!$B$13),0.5,1),0)*Assumptions!$B$12</f>
        <v>0.01</v>
      </c>
      <c r="D584" s="12">
        <f>D583*(1-Assumptions!$B$12*(Assumptions!$B$5+Assumptions!$B$6))</f>
        <v>0.84128404846402594</v>
      </c>
      <c r="E584" s="12">
        <f>E583+Assumptions!$B$12*(D583*Assumptions!$B$5-E583*Assumptions!$B$7)</f>
        <v>9.1576455116007413E-2</v>
      </c>
      <c r="F584" s="12">
        <f t="shared" ref="F584:F647" si="27">1-D584-E584</f>
        <v>6.7139496419966652E-2</v>
      </c>
      <c r="G584" s="12">
        <f>EXP(-Assumptions!$B$8*B584)</f>
        <v>0.74976159223904126</v>
      </c>
      <c r="H584" s="12">
        <f t="shared" ref="H584:H647" si="28">G584*D584</f>
        <v>0.63076246770169486</v>
      </c>
      <c r="I584" s="12">
        <f t="shared" ref="I584:I647" si="29">G584*E584</f>
        <v>6.8660508799384817E-2</v>
      </c>
      <c r="J584" s="12">
        <f>G584*(D584*Assumptions!$B$6+E584*Assumptions!$B$7)</f>
        <v>9.7406501169861881E-3</v>
      </c>
    </row>
    <row r="585" spans="1:10" x14ac:dyDescent="0.2">
      <c r="A585" s="2">
        <v>577</v>
      </c>
      <c r="B585" s="14">
        <f>A585*Assumptions!$B$12</f>
        <v>5.7700000000000005</v>
      </c>
      <c r="C585" s="15">
        <f>IF(A585&lt;=Assumptions!$B$13,IF(OR(A585=0,A585=Assumptions!$B$13),0.5,1),0)*Assumptions!$B$12</f>
        <v>0.01</v>
      </c>
      <c r="D585" s="12">
        <f>D584*(1-Assumptions!$B$12*(Assumptions!$B$5+Assumptions!$B$6))</f>
        <v>0.84103166324948675</v>
      </c>
      <c r="E585" s="12">
        <f>E584+Assumptions!$B$12*(D584*Assumptions!$B$5-E584*Assumptions!$B$7)</f>
        <v>9.1698923698142212E-2</v>
      </c>
      <c r="F585" s="12">
        <f t="shared" si="27"/>
        <v>6.7269413052371038E-2</v>
      </c>
      <c r="G585" s="12">
        <f>EXP(-Assumptions!$B$8*B585)</f>
        <v>0.74938680514750267</v>
      </c>
      <c r="H585" s="12">
        <f t="shared" si="28"/>
        <v>0.63025803115042323</v>
      </c>
      <c r="I585" s="12">
        <f t="shared" si="29"/>
        <v>6.8717963465615414E-2</v>
      </c>
      <c r="J585" s="12">
        <f>G585*(D585*Assumptions!$B$6+E585*Assumptions!$B$7)</f>
        <v>9.7384784847850039E-3</v>
      </c>
    </row>
    <row r="586" spans="1:10" x14ac:dyDescent="0.2">
      <c r="A586" s="2">
        <v>578</v>
      </c>
      <c r="B586" s="14">
        <f>A586*Assumptions!$B$12</f>
        <v>5.78</v>
      </c>
      <c r="C586" s="15">
        <f>IF(A586&lt;=Assumptions!$B$13,IF(OR(A586=0,A586=Assumptions!$B$13),0.5,1),0)*Assumptions!$B$12</f>
        <v>0.01</v>
      </c>
      <c r="D586" s="12">
        <f>D585*(1-Assumptions!$B$12*(Assumptions!$B$5+Assumptions!$B$6))</f>
        <v>0.84077935375051194</v>
      </c>
      <c r="E586" s="12">
        <f>E585+Assumptions!$B$12*(D585*Assumptions!$B$5-E585*Assumptions!$B$7)</f>
        <v>9.1821280568943037E-2</v>
      </c>
      <c r="F586" s="12">
        <f t="shared" si="27"/>
        <v>6.7399365680545026E-2</v>
      </c>
      <c r="G586" s="12">
        <f>EXP(-Assumptions!$B$8*B586)</f>
        <v>0.74901220540266933</v>
      </c>
      <c r="H586" s="12">
        <f t="shared" si="28"/>
        <v>0.629753998009702</v>
      </c>
      <c r="I586" s="12">
        <f t="shared" si="29"/>
        <v>6.8775259861841298E-2</v>
      </c>
      <c r="J586" s="12">
        <f>G586*(D586*Assumptions!$B$6+E586*Assumptions!$B$7)</f>
        <v>9.7363029731890836E-3</v>
      </c>
    </row>
    <row r="587" spans="1:10" x14ac:dyDescent="0.2">
      <c r="A587" s="2">
        <v>579</v>
      </c>
      <c r="B587" s="14">
        <f>A587*Assumptions!$B$12</f>
        <v>5.79</v>
      </c>
      <c r="C587" s="15">
        <f>IF(A587&lt;=Assumptions!$B$13,IF(OR(A587=0,A587=Assumptions!$B$13),0.5,1),0)*Assumptions!$B$12</f>
        <v>0.01</v>
      </c>
      <c r="D587" s="12">
        <f>D586*(1-Assumptions!$B$12*(Assumptions!$B$5+Assumptions!$B$6))</f>
        <v>0.84052711994438678</v>
      </c>
      <c r="E587" s="12">
        <f>E586+Assumptions!$B$12*(D586*Assumptions!$B$5-E586*Assumptions!$B$7)</f>
        <v>9.1943525799408662E-2</v>
      </c>
      <c r="F587" s="12">
        <f t="shared" si="27"/>
        <v>6.7529354256204557E-2</v>
      </c>
      <c r="G587" s="12">
        <f>EXP(-Assumptions!$B$8*B587)</f>
        <v>0.74863779291089116</v>
      </c>
      <c r="H587" s="12">
        <f t="shared" si="28"/>
        <v>0.62925036795691358</v>
      </c>
      <c r="I587" s="12">
        <f t="shared" si="29"/>
        <v>6.8832398226914879E-2</v>
      </c>
      <c r="J587" s="12">
        <f>G587*(D587*Assumptions!$B$6+E587*Assumptions!$B$7)</f>
        <v>9.7341235909148803E-3</v>
      </c>
    </row>
    <row r="588" spans="1:10" x14ac:dyDescent="0.2">
      <c r="A588" s="2">
        <v>580</v>
      </c>
      <c r="B588" s="14">
        <f>A588*Assumptions!$B$12</f>
        <v>5.8</v>
      </c>
      <c r="C588" s="15">
        <f>IF(A588&lt;=Assumptions!$B$13,IF(OR(A588=0,A588=Assumptions!$B$13),0.5,1),0)*Assumptions!$B$12</f>
        <v>0.01</v>
      </c>
      <c r="D588" s="12">
        <f>D587*(1-Assumptions!$B$12*(Assumptions!$B$5+Assumptions!$B$6))</f>
        <v>0.84027496180840344</v>
      </c>
      <c r="E588" s="12">
        <f>E587+Assumptions!$B$12*(D587*Assumptions!$B$5-E587*Assumptions!$B$7)</f>
        <v>9.2065659460497842E-2</v>
      </c>
      <c r="F588" s="12">
        <f t="shared" si="27"/>
        <v>6.7659378731098715E-2</v>
      </c>
      <c r="G588" s="12">
        <f>EXP(-Assumptions!$B$8*B588)</f>
        <v>0.74826356757856527</v>
      </c>
      <c r="H588" s="12">
        <f t="shared" si="28"/>
        <v>0.62874714066969861</v>
      </c>
      <c r="I588" s="12">
        <f t="shared" si="29"/>
        <v>6.8889378799385406E-2</v>
      </c>
      <c r="J588" s="12">
        <f>G588*(D588*Assumptions!$B$6+E588*Assumptions!$B$7)</f>
        <v>9.7319403466662562E-3</v>
      </c>
    </row>
    <row r="589" spans="1:10" x14ac:dyDescent="0.2">
      <c r="A589" s="2">
        <v>581</v>
      </c>
      <c r="B589" s="14">
        <f>A589*Assumptions!$B$12</f>
        <v>5.8100000000000005</v>
      </c>
      <c r="C589" s="15">
        <f>IF(A589&lt;=Assumptions!$B$13,IF(OR(A589=0,A589=Assumptions!$B$13),0.5,1),0)*Assumptions!$B$12</f>
        <v>0.01</v>
      </c>
      <c r="D589" s="12">
        <f>D588*(1-Assumptions!$B$12*(Assumptions!$B$5+Assumptions!$B$6))</f>
        <v>0.84002287931986097</v>
      </c>
      <c r="E589" s="12">
        <f>E588+Assumptions!$B$12*(D588*Assumptions!$B$5-E588*Assumptions!$B$7)</f>
        <v>9.2187681623129278E-2</v>
      </c>
      <c r="F589" s="12">
        <f t="shared" si="27"/>
        <v>6.7789439057009751E-2</v>
      </c>
      <c r="G589" s="12">
        <f>EXP(-Assumptions!$B$8*B589)</f>
        <v>0.74788952931213493</v>
      </c>
      <c r="H589" s="12">
        <f t="shared" si="28"/>
        <v>0.62824431582595519</v>
      </c>
      <c r="I589" s="12">
        <f t="shared" si="29"/>
        <v>6.8946201817499109E-2</v>
      </c>
      <c r="J589" s="12">
        <f>G589*(D589*Assumptions!$B$6+E589*Assumptions!$B$7)</f>
        <v>9.7297532491345071E-3</v>
      </c>
    </row>
    <row r="590" spans="1:10" x14ac:dyDescent="0.2">
      <c r="A590" s="2">
        <v>582</v>
      </c>
      <c r="B590" s="14">
        <f>A590*Assumptions!$B$12</f>
        <v>5.82</v>
      </c>
      <c r="C590" s="15">
        <f>IF(A590&lt;=Assumptions!$B$13,IF(OR(A590=0,A590=Assumptions!$B$13),0.5,1),0)*Assumptions!$B$12</f>
        <v>0.01</v>
      </c>
      <c r="D590" s="12">
        <f>D589*(1-Assumptions!$B$12*(Assumptions!$B$5+Assumptions!$B$6))</f>
        <v>0.83977087245606508</v>
      </c>
      <c r="E590" s="12">
        <f>E589+Assumptions!$B$12*(D589*Assumptions!$B$5-E589*Assumptions!$B$7)</f>
        <v>9.2309592358181689E-2</v>
      </c>
      <c r="F590" s="12">
        <f t="shared" si="27"/>
        <v>6.7919535185753235E-2</v>
      </c>
      <c r="G590" s="12">
        <f>EXP(-Assumptions!$B$8*B590)</f>
        <v>0.74751567801809093</v>
      </c>
      <c r="H590" s="12">
        <f t="shared" si="28"/>
        <v>0.62774189310383921</v>
      </c>
      <c r="I590" s="12">
        <f t="shared" si="29"/>
        <v>6.9002867519199776E-2</v>
      </c>
      <c r="J590" s="12">
        <f>G590*(D590*Assumptions!$B$6+E590*Assumptions!$B$7)</f>
        <v>9.7275623069983802E-3</v>
      </c>
    </row>
    <row r="591" spans="1:10" x14ac:dyDescent="0.2">
      <c r="A591" s="2">
        <v>583</v>
      </c>
      <c r="B591" s="14">
        <f>A591*Assumptions!$B$12</f>
        <v>5.83</v>
      </c>
      <c r="C591" s="15">
        <f>IF(A591&lt;=Assumptions!$B$13,IF(OR(A591=0,A591=Assumptions!$B$13),0.5,1),0)*Assumptions!$B$12</f>
        <v>0.01</v>
      </c>
      <c r="D591" s="12">
        <f>D590*(1-Assumptions!$B$12*(Assumptions!$B$5+Assumptions!$B$6))</f>
        <v>0.83951894119432824</v>
      </c>
      <c r="E591" s="12">
        <f>E590+Assumptions!$B$12*(D590*Assumptions!$B$5-E590*Assumptions!$B$7)</f>
        <v>9.2431391736493812E-2</v>
      </c>
      <c r="F591" s="12">
        <f t="shared" si="27"/>
        <v>6.8049667069177949E-2</v>
      </c>
      <c r="G591" s="12">
        <f>EXP(-Assumptions!$B$8*B591)</f>
        <v>0.74714201360297039</v>
      </c>
      <c r="H591" s="12">
        <f t="shared" si="28"/>
        <v>0.62723987218176414</v>
      </c>
      <c r="I591" s="12">
        <f t="shared" si="29"/>
        <v>6.9059376142128939E-2</v>
      </c>
      <c r="J591" s="12">
        <f>G591*(D591*Assumptions!$B$6+E591*Assumptions!$B$7)</f>
        <v>9.7253675289240889E-3</v>
      </c>
    </row>
    <row r="592" spans="1:10" x14ac:dyDescent="0.2">
      <c r="A592" s="2">
        <v>584</v>
      </c>
      <c r="B592" s="14">
        <f>A592*Assumptions!$B$12</f>
        <v>5.84</v>
      </c>
      <c r="C592" s="15">
        <f>IF(A592&lt;=Assumptions!$B$13,IF(OR(A592=0,A592=Assumptions!$B$13),0.5,1),0)*Assumptions!$B$12</f>
        <v>0.01</v>
      </c>
      <c r="D592" s="12">
        <f>D591*(1-Assumptions!$B$12*(Assumptions!$B$5+Assumptions!$B$6))</f>
        <v>0.83926708551196993</v>
      </c>
      <c r="E592" s="12">
        <f>E591+Assumptions!$B$12*(D591*Assumptions!$B$5-E591*Assumptions!$B$7)</f>
        <v>9.2553079828864432E-2</v>
      </c>
      <c r="F592" s="12">
        <f t="shared" si="27"/>
        <v>6.8179834659165633E-2</v>
      </c>
      <c r="G592" s="12">
        <f>EXP(-Assumptions!$B$8*B592)</f>
        <v>0.74676853597335713</v>
      </c>
      <c r="H592" s="12">
        <f t="shared" si="28"/>
        <v>0.62673825273840011</v>
      </c>
      <c r="I592" s="12">
        <f t="shared" si="29"/>
        <v>6.9115727923626344E-2</v>
      </c>
      <c r="J592" s="12">
        <f>G592*(D592*Assumptions!$B$6+E592*Assumptions!$B$7)</f>
        <v>9.7231689235653188E-3</v>
      </c>
    </row>
    <row r="593" spans="1:10" x14ac:dyDescent="0.2">
      <c r="A593" s="2">
        <v>585</v>
      </c>
      <c r="B593" s="14">
        <f>A593*Assumptions!$B$12</f>
        <v>5.8500000000000005</v>
      </c>
      <c r="C593" s="15">
        <f>IF(A593&lt;=Assumptions!$B$13,IF(OR(A593=0,A593=Assumptions!$B$13),0.5,1),0)*Assumptions!$B$12</f>
        <v>0.01</v>
      </c>
      <c r="D593" s="12">
        <f>D592*(1-Assumptions!$B$12*(Assumptions!$B$5+Assumptions!$B$6))</f>
        <v>0.83901530538631641</v>
      </c>
      <c r="E593" s="12">
        <f>E592+Assumptions!$B$12*(D592*Assumptions!$B$5-E592*Assumptions!$B$7)</f>
        <v>9.2674656706052391E-2</v>
      </c>
      <c r="F593" s="12">
        <f t="shared" si="27"/>
        <v>6.8310037907631196E-2</v>
      </c>
      <c r="G593" s="12">
        <f>EXP(-Assumptions!$B$8*B593)</f>
        <v>0.74639524503588173</v>
      </c>
      <c r="H593" s="12">
        <f t="shared" si="28"/>
        <v>0.62623703445267476</v>
      </c>
      <c r="I593" s="12">
        <f t="shared" si="29"/>
        <v>6.9171923100730198E-2</v>
      </c>
      <c r="J593" s="12">
        <f>G593*(D593*Assumptions!$B$6+E593*Assumptions!$B$7)</f>
        <v>9.7209664995632581E-3</v>
      </c>
    </row>
    <row r="594" spans="1:10" x14ac:dyDescent="0.2">
      <c r="A594" s="2">
        <v>586</v>
      </c>
      <c r="B594" s="14">
        <f>A594*Assumptions!$B$12</f>
        <v>5.86</v>
      </c>
      <c r="C594" s="15">
        <f>IF(A594&lt;=Assumptions!$B$13,IF(OR(A594=0,A594=Assumptions!$B$13),0.5,1),0)*Assumptions!$B$12</f>
        <v>0.01</v>
      </c>
      <c r="D594" s="12">
        <f>D593*(1-Assumptions!$B$12*(Assumptions!$B$5+Assumptions!$B$6))</f>
        <v>0.83876360079470058</v>
      </c>
      <c r="E594" s="12">
        <f>E593+Assumptions!$B$12*(D593*Assumptions!$B$5-E593*Assumptions!$B$7)</f>
        <v>9.2796122438776635E-2</v>
      </c>
      <c r="F594" s="12">
        <f t="shared" si="27"/>
        <v>6.8440276766522784E-2</v>
      </c>
      <c r="G594" s="12">
        <f>EXP(-Assumptions!$B$8*B594)</f>
        <v>0.74602214069722139</v>
      </c>
      <c r="H594" s="12">
        <f t="shared" si="28"/>
        <v>0.62573621700377213</v>
      </c>
      <c r="I594" s="12">
        <f t="shared" si="29"/>
        <v>6.9227961910177604E-2</v>
      </c>
      <c r="J594" s="12">
        <f>G594*(D594*Assumptions!$B$6+E594*Assumptions!$B$7)</f>
        <v>9.718760265546602E-3</v>
      </c>
    </row>
    <row r="595" spans="1:10" x14ac:dyDescent="0.2">
      <c r="A595" s="2">
        <v>587</v>
      </c>
      <c r="B595" s="14">
        <f>A595*Assumptions!$B$12</f>
        <v>5.87</v>
      </c>
      <c r="C595" s="15">
        <f>IF(A595&lt;=Assumptions!$B$13,IF(OR(A595=0,A595=Assumptions!$B$13),0.5,1),0)*Assumptions!$B$12</f>
        <v>0.01</v>
      </c>
      <c r="D595" s="12">
        <f>D594*(1-Assumptions!$B$12*(Assumptions!$B$5+Assumptions!$B$6))</f>
        <v>0.83851197171446223</v>
      </c>
      <c r="E595" s="12">
        <f>E594+Assumptions!$B$12*(D594*Assumptions!$B$5-E594*Assumptions!$B$7)</f>
        <v>9.2917477097716181E-2</v>
      </c>
      <c r="F595" s="12">
        <f t="shared" si="27"/>
        <v>6.8570551187821585E-2</v>
      </c>
      <c r="G595" s="12">
        <f>EXP(-Assumptions!$B$8*B595)</f>
        <v>0.74564922286410018</v>
      </c>
      <c r="H595" s="12">
        <f t="shared" si="28"/>
        <v>0.62523580007113311</v>
      </c>
      <c r="I595" s="12">
        <f t="shared" si="29"/>
        <v>6.9283844588404891E-2</v>
      </c>
      <c r="J595" s="12">
        <f>G595*(D595*Assumptions!$B$6+E595*Assumptions!$B$7)</f>
        <v>9.7165502301315761E-3</v>
      </c>
    </row>
    <row r="596" spans="1:10" x14ac:dyDescent="0.2">
      <c r="A596" s="2">
        <v>588</v>
      </c>
      <c r="B596" s="14">
        <f>A596*Assumptions!$B$12</f>
        <v>5.88</v>
      </c>
      <c r="C596" s="15">
        <f>IF(A596&lt;=Assumptions!$B$13,IF(OR(A596=0,A596=Assumptions!$B$13),0.5,1),0)*Assumptions!$B$12</f>
        <v>0.01</v>
      </c>
      <c r="D596" s="12">
        <f>D595*(1-Assumptions!$B$12*(Assumptions!$B$5+Assumptions!$B$6))</f>
        <v>0.83826041812294794</v>
      </c>
      <c r="E596" s="12">
        <f>E595+Assumptions!$B$12*(D595*Assumptions!$B$5-E595*Assumptions!$B$7)</f>
        <v>9.3038720753510218E-2</v>
      </c>
      <c r="F596" s="12">
        <f t="shared" si="27"/>
        <v>6.8700861123541845E-2</v>
      </c>
      <c r="G596" s="12">
        <f>EXP(-Assumptions!$B$8*B596)</f>
        <v>0.74527649144328867</v>
      </c>
      <c r="H596" s="12">
        <f t="shared" si="28"/>
        <v>0.62473578333445479</v>
      </c>
      <c r="I596" s="12">
        <f t="shared" si="29"/>
        <v>6.9339571371547976E-2</v>
      </c>
      <c r="J596" s="12">
        <f>G596*(D596*Assumptions!$B$6+E596*Assumptions!$B$7)</f>
        <v>9.7143364019219476E-3</v>
      </c>
    </row>
    <row r="597" spans="1:10" x14ac:dyDescent="0.2">
      <c r="A597" s="2">
        <v>589</v>
      </c>
      <c r="B597" s="14">
        <f>A597*Assumptions!$B$12</f>
        <v>5.89</v>
      </c>
      <c r="C597" s="15">
        <f>IF(A597&lt;=Assumptions!$B$13,IF(OR(A597=0,A597=Assumptions!$B$13),0.5,1),0)*Assumptions!$B$12</f>
        <v>0.01</v>
      </c>
      <c r="D597" s="12">
        <f>D596*(1-Assumptions!$B$12*(Assumptions!$B$5+Assumptions!$B$6))</f>
        <v>0.83800893999751103</v>
      </c>
      <c r="E597" s="12">
        <f>E596+Assumptions!$B$12*(D596*Assumptions!$B$5-E596*Assumptions!$B$7)</f>
        <v>9.3159853476758051E-2</v>
      </c>
      <c r="F597" s="12">
        <f t="shared" si="27"/>
        <v>6.8831206525730923E-2</v>
      </c>
      <c r="G597" s="12">
        <f>EXP(-Assumptions!$B$8*B597)</f>
        <v>0.74490394634160373</v>
      </c>
      <c r="H597" s="12">
        <f t="shared" si="28"/>
        <v>0.62423616647369018</v>
      </c>
      <c r="I597" s="12">
        <f t="shared" si="29"/>
        <v>6.9395142495442638E-2</v>
      </c>
      <c r="J597" s="12">
        <f>G597*(D597*Assumptions!$B$6+E597*Assumptions!$B$7)</f>
        <v>9.712118789509035E-3</v>
      </c>
    </row>
    <row r="598" spans="1:10" x14ac:dyDescent="0.2">
      <c r="A598" s="2">
        <v>590</v>
      </c>
      <c r="B598" s="14">
        <f>A598*Assumptions!$B$12</f>
        <v>5.9</v>
      </c>
      <c r="C598" s="15">
        <f>IF(A598&lt;=Assumptions!$B$13,IF(OR(A598=0,A598=Assumptions!$B$13),0.5,1),0)*Assumptions!$B$12</f>
        <v>0.01</v>
      </c>
      <c r="D598" s="12">
        <f>D597*(1-Assumptions!$B$12*(Assumptions!$B$5+Assumptions!$B$6))</f>
        <v>0.83775753731551184</v>
      </c>
      <c r="E598" s="12">
        <f>E597+Assumptions!$B$12*(D597*Assumptions!$B$5-E597*Assumptions!$B$7)</f>
        <v>9.3280875338019167E-2</v>
      </c>
      <c r="F598" s="12">
        <f t="shared" si="27"/>
        <v>6.8961587346468997E-2</v>
      </c>
      <c r="G598" s="12">
        <f>EXP(-Assumptions!$B$8*B598)</f>
        <v>0.74453158746590931</v>
      </c>
      <c r="H598" s="12">
        <f t="shared" si="28"/>
        <v>0.62373694916904876</v>
      </c>
      <c r="I598" s="12">
        <f t="shared" si="29"/>
        <v>6.9450558195624998E-2</v>
      </c>
      <c r="J598" s="12">
        <f>G598*(D598*Assumptions!$B$6+E598*Assumptions!$B$7)</f>
        <v>9.7098974014717364E-3</v>
      </c>
    </row>
    <row r="599" spans="1:10" x14ac:dyDescent="0.2">
      <c r="A599" s="2">
        <v>591</v>
      </c>
      <c r="B599" s="14">
        <f>A599*Assumptions!$B$12</f>
        <v>5.91</v>
      </c>
      <c r="C599" s="15">
        <f>IF(A599&lt;=Assumptions!$B$13,IF(OR(A599=0,A599=Assumptions!$B$13),0.5,1),0)*Assumptions!$B$12</f>
        <v>0.01</v>
      </c>
      <c r="D599" s="12">
        <f>D598*(1-Assumptions!$B$12*(Assumptions!$B$5+Assumptions!$B$6))</f>
        <v>0.83750621005431725</v>
      </c>
      <c r="E599" s="12">
        <f>E598+Assumptions!$B$12*(D598*Assumptions!$B$5-E598*Assumptions!$B$7)</f>
        <v>9.3401786407813256E-2</v>
      </c>
      <c r="F599" s="12">
        <f t="shared" si="27"/>
        <v>6.9092003537869498E-2</v>
      </c>
      <c r="G599" s="12">
        <f>EXP(-Assumptions!$B$8*B599)</f>
        <v>0.74415941472311564</v>
      </c>
      <c r="H599" s="12">
        <f t="shared" si="28"/>
        <v>0.62323813110099546</v>
      </c>
      <c r="I599" s="12">
        <f t="shared" si="29"/>
        <v>6.9505818707331773E-2</v>
      </c>
      <c r="J599" s="12">
        <f>G599*(D599*Assumptions!$B$6+E599*Assumptions!$B$7)</f>
        <v>9.707672246376543E-3</v>
      </c>
    </row>
    <row r="600" spans="1:10" x14ac:dyDescent="0.2">
      <c r="A600" s="2">
        <v>592</v>
      </c>
      <c r="B600" s="14">
        <f>A600*Assumptions!$B$12</f>
        <v>5.92</v>
      </c>
      <c r="C600" s="15">
        <f>IF(A600&lt;=Assumptions!$B$13,IF(OR(A600=0,A600=Assumptions!$B$13),0.5,1),0)*Assumptions!$B$12</f>
        <v>0.01</v>
      </c>
      <c r="D600" s="12">
        <f>D599*(1-Assumptions!$B$12*(Assumptions!$B$5+Assumptions!$B$6))</f>
        <v>0.83725495819130102</v>
      </c>
      <c r="E600" s="12">
        <f>E599+Assumptions!$B$12*(D599*Assumptions!$B$5-E599*Assumptions!$B$7)</f>
        <v>9.3522586756620216E-2</v>
      </c>
      <c r="F600" s="12">
        <f t="shared" si="27"/>
        <v>6.922245505207876E-2</v>
      </c>
      <c r="G600" s="12">
        <f>EXP(-Assumptions!$B$8*B600)</f>
        <v>0.74378742802017961</v>
      </c>
      <c r="H600" s="12">
        <f t="shared" si="28"/>
        <v>0.6227397119502508</v>
      </c>
      <c r="I600" s="12">
        <f t="shared" si="29"/>
        <v>6.9560924265500659E-2</v>
      </c>
      <c r="J600" s="12">
        <f>G600*(D600*Assumptions!$B$6+E600*Assumptions!$B$7)</f>
        <v>9.705443332777541E-3</v>
      </c>
    </row>
    <row r="601" spans="1:10" x14ac:dyDescent="0.2">
      <c r="A601" s="2">
        <v>593</v>
      </c>
      <c r="B601" s="14">
        <f>A601*Assumptions!$B$12</f>
        <v>5.93</v>
      </c>
      <c r="C601" s="15">
        <f>IF(A601&lt;=Assumptions!$B$13,IF(OR(A601=0,A601=Assumptions!$B$13),0.5,1),0)*Assumptions!$B$12</f>
        <v>0.01</v>
      </c>
      <c r="D601" s="12">
        <f>D600*(1-Assumptions!$B$12*(Assumptions!$B$5+Assumptions!$B$6))</f>
        <v>0.83700378170384371</v>
      </c>
      <c r="E601" s="12">
        <f>E600+Assumptions!$B$12*(D600*Assumptions!$B$5-E600*Assumptions!$B$7)</f>
        <v>9.3643276454880173E-2</v>
      </c>
      <c r="F601" s="12">
        <f t="shared" si="27"/>
        <v>6.9352941841276119E-2</v>
      </c>
      <c r="G601" s="12">
        <f>EXP(-Assumptions!$B$8*B601)</f>
        <v>0.74341562726410437</v>
      </c>
      <c r="H601" s="12">
        <f t="shared" si="28"/>
        <v>0.62224169139779051</v>
      </c>
      <c r="I601" s="12">
        <f t="shared" si="29"/>
        <v>6.9615875104770686E-2</v>
      </c>
      <c r="J601" s="12">
        <f>G601*(D601*Assumptions!$B$6+E601*Assumptions!$B$7)</f>
        <v>9.7032106692164378E-3</v>
      </c>
    </row>
    <row r="602" spans="1:10" x14ac:dyDescent="0.2">
      <c r="A602" s="2">
        <v>594</v>
      </c>
      <c r="B602" s="14">
        <f>A602*Assumptions!$B$12</f>
        <v>5.94</v>
      </c>
      <c r="C602" s="15">
        <f>IF(A602&lt;=Assumptions!$B$13,IF(OR(A602=0,A602=Assumptions!$B$13),0.5,1),0)*Assumptions!$B$12</f>
        <v>0.01</v>
      </c>
      <c r="D602" s="12">
        <f>D601*(1-Assumptions!$B$12*(Assumptions!$B$5+Assumptions!$B$6))</f>
        <v>0.83675268056933261</v>
      </c>
      <c r="E602" s="12">
        <f>E601+Assumptions!$B$12*(D601*Assumptions!$B$5-E601*Assumptions!$B$7)</f>
        <v>9.3763855572993507E-2</v>
      </c>
      <c r="F602" s="12">
        <f t="shared" si="27"/>
        <v>6.9483463857673886E-2</v>
      </c>
      <c r="G602" s="12">
        <f>EXP(-Assumptions!$B$8*B602)</f>
        <v>0.74304401236193984</v>
      </c>
      <c r="H602" s="12">
        <f t="shared" si="28"/>
        <v>0.62174406912484548</v>
      </c>
      <c r="I602" s="12">
        <f t="shared" si="29"/>
        <v>6.9670671459482525E-2</v>
      </c>
      <c r="J602" s="12">
        <f>G602*(D602*Assumptions!$B$6+E602*Assumptions!$B$7)</f>
        <v>9.7009742642225807E-3</v>
      </c>
    </row>
    <row r="603" spans="1:10" x14ac:dyDescent="0.2">
      <c r="A603" s="2">
        <v>595</v>
      </c>
      <c r="B603" s="14">
        <f>A603*Assumptions!$B$12</f>
        <v>5.95</v>
      </c>
      <c r="C603" s="15">
        <f>IF(A603&lt;=Assumptions!$B$13,IF(OR(A603=0,A603=Assumptions!$B$13),0.5,1),0)*Assumptions!$B$12</f>
        <v>0.01</v>
      </c>
      <c r="D603" s="12">
        <f>D602*(1-Assumptions!$B$12*(Assumptions!$B$5+Assumptions!$B$6))</f>
        <v>0.83650165476516181</v>
      </c>
      <c r="E603" s="12">
        <f>E602+Assumptions!$B$12*(D602*Assumptions!$B$5-E602*Assumptions!$B$7)</f>
        <v>9.388432418132088E-2</v>
      </c>
      <c r="F603" s="12">
        <f t="shared" si="27"/>
        <v>6.9614021053517314E-2</v>
      </c>
      <c r="G603" s="12">
        <f>EXP(-Assumptions!$B$8*B603)</f>
        <v>0.74267258322078222</v>
      </c>
      <c r="H603" s="12">
        <f t="shared" si="28"/>
        <v>0.62124684481290171</v>
      </c>
      <c r="I603" s="12">
        <f t="shared" si="29"/>
        <v>6.9725313563678934E-2</v>
      </c>
      <c r="J603" s="12">
        <f>G603*(D603*Assumptions!$B$6+E603*Assumptions!$B$7)</f>
        <v>9.6987341263129623E-3</v>
      </c>
    </row>
    <row r="604" spans="1:10" x14ac:dyDescent="0.2">
      <c r="A604" s="2">
        <v>596</v>
      </c>
      <c r="B604" s="14">
        <f>A604*Assumptions!$B$12</f>
        <v>5.96</v>
      </c>
      <c r="C604" s="15">
        <f>IF(A604&lt;=Assumptions!$B$13,IF(OR(A604=0,A604=Assumptions!$B$13),0.5,1),0)*Assumptions!$B$12</f>
        <v>0.01</v>
      </c>
      <c r="D604" s="12">
        <f>D603*(1-Assumptions!$B$12*(Assumptions!$B$5+Assumptions!$B$6))</f>
        <v>0.83625070426873227</v>
      </c>
      <c r="E604" s="12">
        <f>E603+Assumptions!$B$12*(D603*Assumptions!$B$5-E603*Assumptions!$B$7)</f>
        <v>9.400468235018325E-2</v>
      </c>
      <c r="F604" s="12">
        <f t="shared" si="27"/>
        <v>6.974461338108448E-2</v>
      </c>
      <c r="G604" s="12">
        <f>EXP(-Assumptions!$B$8*B604)</f>
        <v>0.74230133974777435</v>
      </c>
      <c r="H604" s="12">
        <f t="shared" si="28"/>
        <v>0.62075001814369979</v>
      </c>
      <c r="I604" s="12">
        <f t="shared" si="29"/>
        <v>6.9779801651104978E-2</v>
      </c>
      <c r="J604" s="12">
        <f>G604*(D604*Assumptions!$B$6+E604*Assumptions!$B$7)</f>
        <v>9.6964902639922468E-3</v>
      </c>
    </row>
    <row r="605" spans="1:10" x14ac:dyDescent="0.2">
      <c r="A605" s="2">
        <v>597</v>
      </c>
      <c r="B605" s="14">
        <f>A605*Assumptions!$B$12</f>
        <v>5.97</v>
      </c>
      <c r="C605" s="15">
        <f>IF(A605&lt;=Assumptions!$B$13,IF(OR(A605=0,A605=Assumptions!$B$13),0.5,1),0)*Assumptions!$B$12</f>
        <v>0.01</v>
      </c>
      <c r="D605" s="12">
        <f>D604*(1-Assumptions!$B$12*(Assumptions!$B$5+Assumptions!$B$6))</f>
        <v>0.83599982905745163</v>
      </c>
      <c r="E605" s="12">
        <f>E604+Assumptions!$B$12*(D604*Assumptions!$B$5-E604*Assumptions!$B$7)</f>
        <v>9.412493014986191E-2</v>
      </c>
      <c r="F605" s="12">
        <f t="shared" si="27"/>
        <v>6.9875240792686463E-2</v>
      </c>
      <c r="G605" s="12">
        <f>EXP(-Assumptions!$B$8*B605)</f>
        <v>0.74193028185010523</v>
      </c>
      <c r="H605" s="12">
        <f t="shared" si="28"/>
        <v>0.62025358879923487</v>
      </c>
      <c r="I605" s="12">
        <f t="shared" si="29"/>
        <v>6.9834135955208515E-2</v>
      </c>
      <c r="J605" s="12">
        <f>G605*(D605*Assumptions!$B$6+E605*Assumptions!$B$7)</f>
        <v>9.6942426857527762E-3</v>
      </c>
    </row>
    <row r="606" spans="1:10" x14ac:dyDescent="0.2">
      <c r="A606" s="2">
        <v>598</v>
      </c>
      <c r="B606" s="14">
        <f>A606*Assumptions!$B$12</f>
        <v>5.98</v>
      </c>
      <c r="C606" s="15">
        <f>IF(A606&lt;=Assumptions!$B$13,IF(OR(A606=0,A606=Assumptions!$B$13),0.5,1),0)*Assumptions!$B$12</f>
        <v>0.01</v>
      </c>
      <c r="D606" s="12">
        <f>D605*(1-Assumptions!$B$12*(Assumptions!$B$5+Assumptions!$B$6))</f>
        <v>0.83574902910873439</v>
      </c>
      <c r="E606" s="12">
        <f>E605+Assumptions!$B$12*(D605*Assumptions!$B$5-E605*Assumptions!$B$7)</f>
        <v>9.4245067650598466E-2</v>
      </c>
      <c r="F606" s="12">
        <f t="shared" si="27"/>
        <v>7.0005903240667147E-2</v>
      </c>
      <c r="G606" s="12">
        <f>EXP(-Assumptions!$B$8*B606)</f>
        <v>0.74155940943501042</v>
      </c>
      <c r="H606" s="12">
        <f t="shared" si="28"/>
        <v>0.61975755646175645</v>
      </c>
      <c r="I606" s="12">
        <f t="shared" si="29"/>
        <v>6.9888316709140405E-2</v>
      </c>
      <c r="J606" s="12">
        <f>G606*(D606*Assumptions!$B$6+E606*Assumptions!$B$7)</f>
        <v>9.6919914000745851E-3</v>
      </c>
    </row>
    <row r="607" spans="1:10" x14ac:dyDescent="0.2">
      <c r="A607" s="2">
        <v>599</v>
      </c>
      <c r="B607" s="14">
        <f>A607*Assumptions!$B$12</f>
        <v>5.99</v>
      </c>
      <c r="C607" s="15">
        <f>IF(A607&lt;=Assumptions!$B$13,IF(OR(A607=0,A607=Assumptions!$B$13),0.5,1),0)*Assumptions!$B$12</f>
        <v>0.01</v>
      </c>
      <c r="D607" s="12">
        <f>D606*(1-Assumptions!$B$12*(Assumptions!$B$5+Assumptions!$B$6))</f>
        <v>0.83549830440000183</v>
      </c>
      <c r="E607" s="12">
        <f>E606+Assumptions!$B$12*(D606*Assumptions!$B$5-E606*Assumptions!$B$7)</f>
        <v>9.4365094922594914E-2</v>
      </c>
      <c r="F607" s="12">
        <f t="shared" si="27"/>
        <v>7.0136600677403252E-2</v>
      </c>
      <c r="G607" s="12">
        <f>EXP(-Assumptions!$B$8*B607)</f>
        <v>0.74118872240977196</v>
      </c>
      <c r="H607" s="12">
        <f t="shared" si="28"/>
        <v>0.61926192081376807</v>
      </c>
      <c r="I607" s="12">
        <f t="shared" si="29"/>
        <v>6.9942344145754981E-2</v>
      </c>
      <c r="J607" s="12">
        <f>G607*(D607*Assumptions!$B$6+E607*Assumptions!$B$7)</f>
        <v>9.689736415425431E-3</v>
      </c>
    </row>
    <row r="608" spans="1:10" x14ac:dyDescent="0.2">
      <c r="A608" s="2">
        <v>600</v>
      </c>
      <c r="B608" s="14">
        <f>A608*Assumptions!$B$12</f>
        <v>6</v>
      </c>
      <c r="C608" s="15">
        <f>IF(A608&lt;=Assumptions!$B$13,IF(OR(A608=0,A608=Assumptions!$B$13),0.5,1),0)*Assumptions!$B$12</f>
        <v>0.01</v>
      </c>
      <c r="D608" s="12">
        <f>D607*(1-Assumptions!$B$12*(Assumptions!$B$5+Assumptions!$B$6))</f>
        <v>0.83524765490868191</v>
      </c>
      <c r="E608" s="12">
        <f>E607+Assumptions!$B$12*(D607*Assumptions!$B$5-E607*Assumptions!$B$7)</f>
        <v>9.4485012036013616E-2</v>
      </c>
      <c r="F608" s="12">
        <f t="shared" si="27"/>
        <v>7.0267333055304471E-2</v>
      </c>
      <c r="G608" s="12">
        <f>EXP(-Assumptions!$B$8*B608)</f>
        <v>0.74081822068171788</v>
      </c>
      <c r="H608" s="12">
        <f t="shared" si="28"/>
        <v>0.61876668153802727</v>
      </c>
      <c r="I608" s="12">
        <f t="shared" si="29"/>
        <v>6.9996218497610299E-2</v>
      </c>
      <c r="J608" s="12">
        <f>G608*(D608*Assumptions!$B$6+E608*Assumptions!$B$7)</f>
        <v>9.6874777402607883E-3</v>
      </c>
    </row>
    <row r="609" spans="1:10" x14ac:dyDescent="0.2">
      <c r="A609" s="2">
        <v>601</v>
      </c>
      <c r="B609" s="14">
        <f>A609*Assumptions!$B$12</f>
        <v>6.01</v>
      </c>
      <c r="C609" s="15">
        <f>IF(A609&lt;=Assumptions!$B$13,IF(OR(A609=0,A609=Assumptions!$B$13),0.5,1),0)*Assumptions!$B$12</f>
        <v>0.01</v>
      </c>
      <c r="D609" s="12">
        <f>D608*(1-Assumptions!$B$12*(Assumptions!$B$5+Assumptions!$B$6))</f>
        <v>0.83499708061220934</v>
      </c>
      <c r="E609" s="12">
        <f>E608+Assumptions!$B$12*(D608*Assumptions!$B$5-E608*Assumptions!$B$7)</f>
        <v>9.4604819060977341E-2</v>
      </c>
      <c r="F609" s="12">
        <f t="shared" si="27"/>
        <v>7.0398100326813318E-2</v>
      </c>
      <c r="G609" s="12">
        <f>EXP(-Assumptions!$B$8*B609)</f>
        <v>0.74044790415822281</v>
      </c>
      <c r="H609" s="12">
        <f t="shared" si="28"/>
        <v>0.61827183831754506</v>
      </c>
      <c r="I609" s="12">
        <f t="shared" si="29"/>
        <v>7.0049939996968555E-2</v>
      </c>
      <c r="J609" s="12">
        <f>G609*(D609*Assumptions!$B$6+E609*Assumptions!$B$7)</f>
        <v>9.6852153830238787E-3</v>
      </c>
    </row>
    <row r="610" spans="1:10" x14ac:dyDescent="0.2">
      <c r="A610" s="2">
        <v>602</v>
      </c>
      <c r="B610" s="14">
        <f>A610*Assumptions!$B$12</f>
        <v>6.0200000000000005</v>
      </c>
      <c r="C610" s="15">
        <f>IF(A610&lt;=Assumptions!$B$13,IF(OR(A610=0,A610=Assumptions!$B$13),0.5,1),0)*Assumptions!$B$12</f>
        <v>0.01</v>
      </c>
      <c r="D610" s="12">
        <f>D609*(1-Assumptions!$B$12*(Assumptions!$B$5+Assumptions!$B$6))</f>
        <v>0.83474658148802572</v>
      </c>
      <c r="E610" s="12">
        <f>E609+Assumptions!$B$12*(D609*Assumptions!$B$5-E609*Assumptions!$B$7)</f>
        <v>9.4724516067569292E-2</v>
      </c>
      <c r="F610" s="12">
        <f t="shared" si="27"/>
        <v>7.0528902444404989E-2</v>
      </c>
      <c r="G610" s="12">
        <f>EXP(-Assumptions!$B$8*B610)</f>
        <v>0.74007777274670761</v>
      </c>
      <c r="H610" s="12">
        <f t="shared" si="28"/>
        <v>0.61777739083558614</v>
      </c>
      <c r="I610" s="12">
        <f t="shared" si="29"/>
        <v>7.0103508875796403E-2</v>
      </c>
      <c r="J610" s="12">
        <f>G610*(D610*Assumptions!$B$6+E610*Assumptions!$B$7)</f>
        <v>9.6829493521456821E-3</v>
      </c>
    </row>
    <row r="611" spans="1:10" x14ac:dyDescent="0.2">
      <c r="A611" s="2">
        <v>603</v>
      </c>
      <c r="B611" s="14">
        <f>A611*Assumptions!$B$12</f>
        <v>6.03</v>
      </c>
      <c r="C611" s="15">
        <f>IF(A611&lt;=Assumptions!$B$13,IF(OR(A611=0,A611=Assumptions!$B$13),0.5,1),0)*Assumptions!$B$12</f>
        <v>0.01</v>
      </c>
      <c r="D611" s="12">
        <f>D610*(1-Assumptions!$B$12*(Assumptions!$B$5+Assumptions!$B$6))</f>
        <v>0.83449615751357931</v>
      </c>
      <c r="E611" s="12">
        <f>E610+Assumptions!$B$12*(D610*Assumptions!$B$5-E610*Assumptions!$B$7)</f>
        <v>9.4844103125833107E-2</v>
      </c>
      <c r="F611" s="12">
        <f t="shared" si="27"/>
        <v>7.0659739360587587E-2</v>
      </c>
      <c r="G611" s="12">
        <f>EXP(-Assumptions!$B$8*B611)</f>
        <v>0.7397078263546395</v>
      </c>
      <c r="H611" s="12">
        <f t="shared" si="28"/>
        <v>0.61728333877566866</v>
      </c>
      <c r="I611" s="12">
        <f t="shared" si="29"/>
        <v>7.0156925365765274E-2</v>
      </c>
      <c r="J611" s="12">
        <f>G611*(D611*Assumptions!$B$6+E611*Assumptions!$B$7)</f>
        <v>9.6806796560449503E-3</v>
      </c>
    </row>
    <row r="612" spans="1:10" x14ac:dyDescent="0.2">
      <c r="A612" s="2">
        <v>604</v>
      </c>
      <c r="B612" s="14">
        <f>A612*Assumptions!$B$12</f>
        <v>6.04</v>
      </c>
      <c r="C612" s="15">
        <f>IF(A612&lt;=Assumptions!$B$13,IF(OR(A612=0,A612=Assumptions!$B$13),0.5,1),0)*Assumptions!$B$12</f>
        <v>0.01</v>
      </c>
      <c r="D612" s="12">
        <f>D611*(1-Assumptions!$B$12*(Assumptions!$B$5+Assumptions!$B$6))</f>
        <v>0.83424580866632525</v>
      </c>
      <c r="E612" s="12">
        <f>E611+Assumptions!$B$12*(D611*Assumptions!$B$5-E611*Assumptions!$B$7)</f>
        <v>9.4963580305772913E-2</v>
      </c>
      <c r="F612" s="12">
        <f t="shared" si="27"/>
        <v>7.0790611027901837E-2</v>
      </c>
      <c r="G612" s="12">
        <f>EXP(-Assumptions!$B$8*B612)</f>
        <v>0.7393380648895318</v>
      </c>
      <c r="H612" s="12">
        <f t="shared" si="28"/>
        <v>0.61678968182156346</v>
      </c>
      <c r="I612" s="12">
        <f t="shared" si="29"/>
        <v>7.0210189698251796E-2</v>
      </c>
      <c r="J612" s="12">
        <f>G612*(D612*Assumptions!$B$6+E612*Assumptions!$B$7)</f>
        <v>9.6784063031282262E-3</v>
      </c>
    </row>
    <row r="613" spans="1:10" x14ac:dyDescent="0.2">
      <c r="A613" s="2">
        <v>605</v>
      </c>
      <c r="B613" s="14">
        <f>A613*Assumptions!$B$12</f>
        <v>6.05</v>
      </c>
      <c r="C613" s="15">
        <f>IF(A613&lt;=Assumptions!$B$13,IF(OR(A613=0,A613=Assumptions!$B$13),0.5,1),0)*Assumptions!$B$12</f>
        <v>0.01</v>
      </c>
      <c r="D613" s="12">
        <f>D612*(1-Assumptions!$B$12*(Assumptions!$B$5+Assumptions!$B$6))</f>
        <v>0.83399553492372536</v>
      </c>
      <c r="E613" s="12">
        <f>E612+Assumptions!$B$12*(D612*Assumptions!$B$5-E612*Assumptions!$B$7)</f>
        <v>9.5082947677353286E-2</v>
      </c>
      <c r="F613" s="12">
        <f t="shared" si="27"/>
        <v>7.0921517398921358E-2</v>
      </c>
      <c r="G613" s="12">
        <f>EXP(-Assumptions!$B$8*B613)</f>
        <v>0.73896848825894423</v>
      </c>
      <c r="H613" s="12">
        <f t="shared" si="28"/>
        <v>0.61629641965729487</v>
      </c>
      <c r="I613" s="12">
        <f t="shared" si="29"/>
        <v>7.0263302104338052E-2</v>
      </c>
      <c r="J613" s="12">
        <f>G613*(D613*Assumptions!$B$6+E613*Assumptions!$B$7)</f>
        <v>9.6761293017898504E-3</v>
      </c>
    </row>
    <row r="614" spans="1:10" x14ac:dyDescent="0.2">
      <c r="A614" s="2">
        <v>606</v>
      </c>
      <c r="B614" s="14">
        <f>A614*Assumptions!$B$12</f>
        <v>6.0600000000000005</v>
      </c>
      <c r="C614" s="15">
        <f>IF(A614&lt;=Assumptions!$B$13,IF(OR(A614=0,A614=Assumptions!$B$13),0.5,1),0)*Assumptions!$B$12</f>
        <v>0.01</v>
      </c>
      <c r="D614" s="12">
        <f>D613*(1-Assumptions!$B$12*(Assumptions!$B$5+Assumptions!$B$6))</f>
        <v>0.83374533626324832</v>
      </c>
      <c r="E614" s="12">
        <f>E613+Assumptions!$B$12*(D613*Assumptions!$B$5-E613*Assumptions!$B$7)</f>
        <v>9.520220531049936E-2</v>
      </c>
      <c r="F614" s="12">
        <f t="shared" si="27"/>
        <v>7.1052458426252324E-2</v>
      </c>
      <c r="G614" s="12">
        <f>EXP(-Assumptions!$B$8*B614)</f>
        <v>0.73859909637048249</v>
      </c>
      <c r="H614" s="12">
        <f t="shared" si="28"/>
        <v>0.61580355196713932</v>
      </c>
      <c r="I614" s="12">
        <f t="shared" si="29"/>
        <v>7.0316262814811972E-2</v>
      </c>
      <c r="J614" s="12">
        <f>G614*(D614*Assumptions!$B$6+E614*Assumptions!$B$7)</f>
        <v>9.6738486604119912E-3</v>
      </c>
    </row>
    <row r="615" spans="1:10" x14ac:dyDescent="0.2">
      <c r="A615" s="2">
        <v>607</v>
      </c>
      <c r="B615" s="14">
        <f>A615*Assumptions!$B$12</f>
        <v>6.07</v>
      </c>
      <c r="C615" s="15">
        <f>IF(A615&lt;=Assumptions!$B$13,IF(OR(A615=0,A615=Assumptions!$B$13),0.5,1),0)*Assumptions!$B$12</f>
        <v>0.01</v>
      </c>
      <c r="D615" s="12">
        <f>D614*(1-Assumptions!$B$12*(Assumptions!$B$5+Assumptions!$B$6))</f>
        <v>0.83349521266236937</v>
      </c>
      <c r="E615" s="12">
        <f>E614+Assumptions!$B$12*(D614*Assumptions!$B$5-E614*Assumptions!$B$7)</f>
        <v>9.5321353275096762E-2</v>
      </c>
      <c r="F615" s="12">
        <f t="shared" si="27"/>
        <v>7.1183434062533871E-2</v>
      </c>
      <c r="G615" s="12">
        <f>EXP(-Assumptions!$B$8*B615)</f>
        <v>0.73822988913179877</v>
      </c>
      <c r="H615" s="12">
        <f t="shared" si="28"/>
        <v>0.61531107843562594</v>
      </c>
      <c r="I615" s="12">
        <f t="shared" si="29"/>
        <v>7.0369072060167709E-2</v>
      </c>
      <c r="J615" s="12">
        <f>G615*(D615*Assumptions!$B$6+E615*Assumptions!$B$7)</f>
        <v>9.6715643873646444E-3</v>
      </c>
    </row>
    <row r="616" spans="1:10" x14ac:dyDescent="0.2">
      <c r="A616" s="2">
        <v>608</v>
      </c>
      <c r="B616" s="14">
        <f>A616*Assumptions!$B$12</f>
        <v>6.08</v>
      </c>
      <c r="C616" s="15">
        <f>IF(A616&lt;=Assumptions!$B$13,IF(OR(A616=0,A616=Assumptions!$B$13),0.5,1),0)*Assumptions!$B$12</f>
        <v>0.01</v>
      </c>
      <c r="D616" s="12">
        <f>D615*(1-Assumptions!$B$12*(Assumptions!$B$5+Assumptions!$B$6))</f>
        <v>0.83324516409857063</v>
      </c>
      <c r="E616" s="12">
        <f>E615+Assumptions!$B$12*(D615*Assumptions!$B$5-E615*Assumptions!$B$7)</f>
        <v>9.544039164099169E-2</v>
      </c>
      <c r="F616" s="12">
        <f t="shared" si="27"/>
        <v>7.1314444260437676E-2</v>
      </c>
      <c r="G616" s="12">
        <f>EXP(-Assumptions!$B$8*B616)</f>
        <v>0.73786086645059112</v>
      </c>
      <c r="H616" s="12">
        <f t="shared" si="28"/>
        <v>0.61481899874753632</v>
      </c>
      <c r="I616" s="12">
        <f t="shared" si="29"/>
        <v>7.0421730070605884E-2</v>
      </c>
      <c r="J616" s="12">
        <f>G616*(D616*Assumptions!$B$6+E616*Assumptions!$B$7)</f>
        <v>9.6692764910056572E-3</v>
      </c>
    </row>
    <row r="617" spans="1:10" x14ac:dyDescent="0.2">
      <c r="A617" s="2">
        <v>609</v>
      </c>
      <c r="B617" s="14">
        <f>A617*Assumptions!$B$12</f>
        <v>6.09</v>
      </c>
      <c r="C617" s="15">
        <f>IF(A617&lt;=Assumptions!$B$13,IF(OR(A617=0,A617=Assumptions!$B$13),0.5,1),0)*Assumptions!$B$12</f>
        <v>0.01</v>
      </c>
      <c r="D617" s="12">
        <f>D616*(1-Assumptions!$B$12*(Assumptions!$B$5+Assumptions!$B$6))</f>
        <v>0.83299519054934112</v>
      </c>
      <c r="E617" s="12">
        <f>E616+Assumptions!$B$12*(D616*Assumptions!$B$5-E616*Assumptions!$B$7)</f>
        <v>9.5559320477990914E-2</v>
      </c>
      <c r="F617" s="12">
        <f t="shared" si="27"/>
        <v>7.1445488972667962E-2</v>
      </c>
      <c r="G617" s="12">
        <f>EXP(-Assumptions!$B$8*B617)</f>
        <v>0.73749202823460402</v>
      </c>
      <c r="H617" s="12">
        <f t="shared" si="28"/>
        <v>0.61432731258790407</v>
      </c>
      <c r="I617" s="12">
        <f t="shared" si="29"/>
        <v>7.0474237076034049E-2</v>
      </c>
      <c r="J617" s="12">
        <f>G617*(D617*Assumptions!$B$6+E617*Assumptions!$B$7)</f>
        <v>9.6669849796807445E-3</v>
      </c>
    </row>
    <row r="618" spans="1:10" x14ac:dyDescent="0.2">
      <c r="A618" s="2">
        <v>610</v>
      </c>
      <c r="B618" s="14">
        <f>A618*Assumptions!$B$12</f>
        <v>6.1000000000000005</v>
      </c>
      <c r="C618" s="15">
        <f>IF(A618&lt;=Assumptions!$B$13,IF(OR(A618=0,A618=Assumptions!$B$13),0.5,1),0)*Assumptions!$B$12</f>
        <v>0.01</v>
      </c>
      <c r="D618" s="12">
        <f>D617*(1-Assumptions!$B$12*(Assumptions!$B$5+Assumptions!$B$6))</f>
        <v>0.8327452919921764</v>
      </c>
      <c r="E618" s="12">
        <f>E617+Assumptions!$B$12*(D617*Assumptions!$B$5-E617*Assumptions!$B$7)</f>
        <v>9.5678139855861793E-2</v>
      </c>
      <c r="F618" s="12">
        <f t="shared" si="27"/>
        <v>7.1576568151961811E-2</v>
      </c>
      <c r="G618" s="12">
        <f>EXP(-Assumptions!$B$8*B618)</f>
        <v>0.73712337439162767</v>
      </c>
      <c r="H618" s="12">
        <f t="shared" si="28"/>
        <v>0.6138360196420144</v>
      </c>
      <c r="I618" s="12">
        <f t="shared" si="29"/>
        <v>7.052659330606692E-2</v>
      </c>
      <c r="J618" s="12">
        <f>G618*(D618*Assumptions!$B$6+E618*Assumptions!$B$7)</f>
        <v>9.6646898617234901E-3</v>
      </c>
    </row>
    <row r="619" spans="1:10" x14ac:dyDescent="0.2">
      <c r="A619" s="2">
        <v>611</v>
      </c>
      <c r="B619" s="14">
        <f>A619*Assumptions!$B$12</f>
        <v>6.11</v>
      </c>
      <c r="C619" s="15">
        <f>IF(A619&lt;=Assumptions!$B$13,IF(OR(A619=0,A619=Assumptions!$B$13),0.5,1),0)*Assumptions!$B$12</f>
        <v>0.01</v>
      </c>
      <c r="D619" s="12">
        <f>D618*(1-Assumptions!$B$12*(Assumptions!$B$5+Assumptions!$B$6))</f>
        <v>0.83249546840457878</v>
      </c>
      <c r="E619" s="12">
        <f>E618+Assumptions!$B$12*(D618*Assumptions!$B$5-E618*Assumptions!$B$7)</f>
        <v>9.5796849844332302E-2</v>
      </c>
      <c r="F619" s="12">
        <f t="shared" si="27"/>
        <v>7.1707681751088923E-2</v>
      </c>
      <c r="G619" s="12">
        <f>EXP(-Assumptions!$B$8*B619)</f>
        <v>0.7367549048294989</v>
      </c>
      <c r="H619" s="12">
        <f t="shared" si="28"/>
        <v>0.6133451195954045</v>
      </c>
      <c r="I619" s="12">
        <f t="shared" si="29"/>
        <v>7.0578798990026836E-2</v>
      </c>
      <c r="J619" s="12">
        <f>G619*(D619*Assumptions!$B$6+E619*Assumptions!$B$7)</f>
        <v>9.6623911454553884E-3</v>
      </c>
    </row>
    <row r="620" spans="1:10" x14ac:dyDescent="0.2">
      <c r="A620" s="2">
        <v>612</v>
      </c>
      <c r="B620" s="14">
        <f>A620*Assumptions!$B$12</f>
        <v>6.12</v>
      </c>
      <c r="C620" s="15">
        <f>IF(A620&lt;=Assumptions!$B$13,IF(OR(A620=0,A620=Assumptions!$B$13),0.5,1),0)*Assumptions!$B$12</f>
        <v>0.01</v>
      </c>
      <c r="D620" s="12">
        <f>D619*(1-Assumptions!$B$12*(Assumptions!$B$5+Assumptions!$B$6))</f>
        <v>0.83224571976405748</v>
      </c>
      <c r="E620" s="12">
        <f>E619+Assumptions!$B$12*(D619*Assumptions!$B$5-E619*Assumptions!$B$7)</f>
        <v>9.5915450513091055E-2</v>
      </c>
      <c r="F620" s="12">
        <f t="shared" si="27"/>
        <v>7.1838829722851466E-2</v>
      </c>
      <c r="G620" s="12">
        <f>EXP(-Assumptions!$B$8*B620)</f>
        <v>0.73638661945610007</v>
      </c>
      <c r="H620" s="12">
        <f t="shared" si="28"/>
        <v>0.61285461213386305</v>
      </c>
      <c r="I620" s="12">
        <f t="shared" si="29"/>
        <v>7.0630854356943981E-2</v>
      </c>
      <c r="J620" s="12">
        <f>G620*(D620*Assumptions!$B$6+E620*Assumptions!$B$7)</f>
        <v>9.6600888391858292E-3</v>
      </c>
    </row>
    <row r="621" spans="1:10" x14ac:dyDescent="0.2">
      <c r="A621" s="2">
        <v>613</v>
      </c>
      <c r="B621" s="14">
        <f>A621*Assumptions!$B$12</f>
        <v>6.13</v>
      </c>
      <c r="C621" s="15">
        <f>IF(A621&lt;=Assumptions!$B$13,IF(OR(A621=0,A621=Assumptions!$B$13),0.5,1),0)*Assumptions!$B$12</f>
        <v>0.01</v>
      </c>
      <c r="D621" s="12">
        <f>D620*(1-Assumptions!$B$12*(Assumptions!$B$5+Assumptions!$B$6))</f>
        <v>0.83199604604812827</v>
      </c>
      <c r="E621" s="12">
        <f>E620+Assumptions!$B$12*(D620*Assumptions!$B$5-E620*Assumptions!$B$7)</f>
        <v>9.6033941931787326E-2</v>
      </c>
      <c r="F621" s="12">
        <f t="shared" si="27"/>
        <v>7.1970012020084406E-2</v>
      </c>
      <c r="G621" s="12">
        <f>EXP(-Assumptions!$B$8*B621)</f>
        <v>0.73601851817936004</v>
      </c>
      <c r="H621" s="12">
        <f t="shared" si="28"/>
        <v>0.61236449694342998</v>
      </c>
      <c r="I621" s="12">
        <f t="shared" si="29"/>
        <v>7.0682759635556813E-2</v>
      </c>
      <c r="J621" s="12">
        <f>G621*(D621*Assumptions!$B$6+E621*Assumptions!$B$7)</f>
        <v>9.6577829512121405E-3</v>
      </c>
    </row>
    <row r="622" spans="1:10" x14ac:dyDescent="0.2">
      <c r="A622" s="2">
        <v>614</v>
      </c>
      <c r="B622" s="14">
        <f>A622*Assumptions!$B$12</f>
        <v>6.1400000000000006</v>
      </c>
      <c r="C622" s="15">
        <f>IF(A622&lt;=Assumptions!$B$13,IF(OR(A622=0,A622=Assumptions!$B$13),0.5,1),0)*Assumptions!$B$12</f>
        <v>0.01</v>
      </c>
      <c r="D622" s="12">
        <f>D621*(1-Assumptions!$B$12*(Assumptions!$B$5+Assumptions!$B$6))</f>
        <v>0.8317464472343139</v>
      </c>
      <c r="E622" s="12">
        <f>E621+Assumptions!$B$12*(D621*Assumptions!$B$5-E621*Assumptions!$B$7)</f>
        <v>9.6152324170031056E-2</v>
      </c>
      <c r="F622" s="12">
        <f t="shared" si="27"/>
        <v>7.2101228595655042E-2</v>
      </c>
      <c r="G622" s="12">
        <f>EXP(-Assumptions!$B$8*B622)</f>
        <v>0.73565060090725332</v>
      </c>
      <c r="H622" s="12">
        <f t="shared" si="28"/>
        <v>0.61187477371039611</v>
      </c>
      <c r="I622" s="12">
        <f t="shared" si="29"/>
        <v>7.0734515054312358E-2</v>
      </c>
      <c r="J622" s="12">
        <f>G622*(D622*Assumptions!$B$6+E622*Assumptions!$B$7)</f>
        <v>9.6554734898195785E-3</v>
      </c>
    </row>
    <row r="623" spans="1:10" x14ac:dyDescent="0.2">
      <c r="A623" s="2">
        <v>615</v>
      </c>
      <c r="B623" s="14">
        <f>A623*Assumptions!$B$12</f>
        <v>6.15</v>
      </c>
      <c r="C623" s="15">
        <f>IF(A623&lt;=Assumptions!$B$13,IF(OR(A623=0,A623=Assumptions!$B$13),0.5,1),0)*Assumptions!$B$12</f>
        <v>0.01</v>
      </c>
      <c r="D623" s="12">
        <f>D622*(1-Assumptions!$B$12*(Assumptions!$B$5+Assumptions!$B$6))</f>
        <v>0.83149692330014369</v>
      </c>
      <c r="E623" s="12">
        <f>E622+Assumptions!$B$12*(D622*Assumptions!$B$5-E622*Assumptions!$B$7)</f>
        <v>9.6270597297392901E-2</v>
      </c>
      <c r="F623" s="12">
        <f t="shared" si="27"/>
        <v>7.2232479402463412E-2</v>
      </c>
      <c r="G623" s="12">
        <f>EXP(-Assumptions!$B$8*B623)</f>
        <v>0.73528286754780059</v>
      </c>
      <c r="H623" s="12">
        <f t="shared" si="28"/>
        <v>0.6113854421213033</v>
      </c>
      <c r="I623" s="12">
        <f t="shared" si="29"/>
        <v>7.0786120841366595E-2</v>
      </c>
      <c r="J623" s="12">
        <f>G623*(D623*Assumptions!$B$6+E623*Assumptions!$B$7)</f>
        <v>9.6531604632813621E-3</v>
      </c>
    </row>
    <row r="624" spans="1:10" x14ac:dyDescent="0.2">
      <c r="A624" s="2">
        <v>616</v>
      </c>
      <c r="B624" s="14">
        <f>A624*Assumptions!$B$12</f>
        <v>6.16</v>
      </c>
      <c r="C624" s="15">
        <f>IF(A624&lt;=Assumptions!$B$13,IF(OR(A624=0,A624=Assumptions!$B$13),0.5,1),0)*Assumptions!$B$12</f>
        <v>0.01</v>
      </c>
      <c r="D624" s="12">
        <f>D623*(1-Assumptions!$B$12*(Assumptions!$B$5+Assumptions!$B$6))</f>
        <v>0.8312474742231537</v>
      </c>
      <c r="E624" s="12">
        <f>E623+Assumptions!$B$12*(D623*Assumptions!$B$5-E623*Assumptions!$B$7)</f>
        <v>9.6388761383404228E-2</v>
      </c>
      <c r="F624" s="12">
        <f t="shared" si="27"/>
        <v>7.2363764393442068E-2</v>
      </c>
      <c r="G624" s="12">
        <f>EXP(-Assumptions!$B$8*B624)</f>
        <v>0.73491531800906873</v>
      </c>
      <c r="H624" s="12">
        <f t="shared" si="28"/>
        <v>0.6108965018629442</v>
      </c>
      <c r="I624" s="12">
        <f t="shared" si="29"/>
        <v>7.0837577224584766E-2</v>
      </c>
      <c r="J624" s="12">
        <f>G624*(D624*Assumptions!$B$6+E624*Assumptions!$B$7)</f>
        <v>9.6508438798586799E-3</v>
      </c>
    </row>
    <row r="625" spans="1:10" x14ac:dyDescent="0.2">
      <c r="A625" s="2">
        <v>617</v>
      </c>
      <c r="B625" s="14">
        <f>A625*Assumptions!$B$12</f>
        <v>6.17</v>
      </c>
      <c r="C625" s="15">
        <f>IF(A625&lt;=Assumptions!$B$13,IF(OR(A625=0,A625=Assumptions!$B$13),0.5,1),0)*Assumptions!$B$12</f>
        <v>0.01</v>
      </c>
      <c r="D625" s="12">
        <f>D624*(1-Assumptions!$B$12*(Assumptions!$B$5+Assumptions!$B$6))</f>
        <v>0.83099809998088681</v>
      </c>
      <c r="E625" s="12">
        <f>E624+Assumptions!$B$12*(D624*Assumptions!$B$5-E624*Assumptions!$B$7)</f>
        <v>9.6506816497557157E-2</v>
      </c>
      <c r="F625" s="12">
        <f t="shared" si="27"/>
        <v>7.2495083521556036E-2</v>
      </c>
      <c r="G625" s="12">
        <f>EXP(-Assumptions!$B$8*B625)</f>
        <v>0.73454795219917013</v>
      </c>
      <c r="H625" s="12">
        <f t="shared" si="28"/>
        <v>0.61040795262236169</v>
      </c>
      <c r="I625" s="12">
        <f t="shared" si="29"/>
        <v>7.0888884431541704E-2</v>
      </c>
      <c r="J625" s="12">
        <f>G625*(D625*Assumptions!$B$6+E625*Assumptions!$B$7)</f>
        <v>9.6485237478007007E-3</v>
      </c>
    </row>
    <row r="626" spans="1:10" x14ac:dyDescent="0.2">
      <c r="A626" s="2">
        <v>618</v>
      </c>
      <c r="B626" s="14">
        <f>A626*Assumptions!$B$12</f>
        <v>6.18</v>
      </c>
      <c r="C626" s="15">
        <f>IF(A626&lt;=Assumptions!$B$13,IF(OR(A626=0,A626=Assumptions!$B$13),0.5,1),0)*Assumptions!$B$12</f>
        <v>0.01</v>
      </c>
      <c r="D626" s="12">
        <f>D625*(1-Assumptions!$B$12*(Assumptions!$B$5+Assumptions!$B$6))</f>
        <v>0.83074880055089262</v>
      </c>
      <c r="E626" s="12">
        <f>E625+Assumptions!$B$12*(D625*Assumptions!$B$5-E625*Assumptions!$B$7)</f>
        <v>9.6624762709304562E-2</v>
      </c>
      <c r="F626" s="12">
        <f t="shared" si="27"/>
        <v>7.2626436739802819E-2</v>
      </c>
      <c r="G626" s="12">
        <f>EXP(-Assumptions!$B$8*B626)</f>
        <v>0.73418077002626336</v>
      </c>
      <c r="H626" s="12">
        <f t="shared" si="28"/>
        <v>0.60991979408684904</v>
      </c>
      <c r="I626" s="12">
        <f t="shared" si="29"/>
        <v>7.0940042689522198E-2</v>
      </c>
      <c r="J626" s="12">
        <f>G626*(D626*Assumptions!$B$6+E626*Assumptions!$B$7)</f>
        <v>9.646200075344601E-3</v>
      </c>
    </row>
    <row r="627" spans="1:10" x14ac:dyDescent="0.2">
      <c r="A627" s="2">
        <v>619</v>
      </c>
      <c r="B627" s="14">
        <f>A627*Assumptions!$B$12</f>
        <v>6.19</v>
      </c>
      <c r="C627" s="15">
        <f>IF(A627&lt;=Assumptions!$B$13,IF(OR(A627=0,A627=Assumptions!$B$13),0.5,1),0)*Assumptions!$B$12</f>
        <v>0.01</v>
      </c>
      <c r="D627" s="12">
        <f>D626*(1-Assumptions!$B$12*(Assumptions!$B$5+Assumptions!$B$6))</f>
        <v>0.83049957591072743</v>
      </c>
      <c r="E627" s="12">
        <f>E626+Assumptions!$B$12*(D626*Assumptions!$B$5-E626*Assumptions!$B$7)</f>
        <v>9.6742600088060085E-2</v>
      </c>
      <c r="F627" s="12">
        <f t="shared" si="27"/>
        <v>7.2757824001212487E-2</v>
      </c>
      <c r="G627" s="12">
        <f>EXP(-Assumptions!$B$8*B627)</f>
        <v>0.73381377139855297</v>
      </c>
      <c r="H627" s="12">
        <f t="shared" si="28"/>
        <v>0.60943202594394974</v>
      </c>
      <c r="I627" s="12">
        <f t="shared" si="29"/>
        <v>7.0991052225521351E-2</v>
      </c>
      <c r="J627" s="12">
        <f>G627*(D627*Assumptions!$B$6+E627*Assumptions!$B$7)</f>
        <v>9.6438728707155651E-3</v>
      </c>
    </row>
    <row r="628" spans="1:10" x14ac:dyDescent="0.2">
      <c r="A628" s="2">
        <v>620</v>
      </c>
      <c r="B628" s="14">
        <f>A628*Assumptions!$B$12</f>
        <v>6.2</v>
      </c>
      <c r="C628" s="15">
        <f>IF(A628&lt;=Assumptions!$B$13,IF(OR(A628=0,A628=Assumptions!$B$13),0.5,1),0)*Assumptions!$B$12</f>
        <v>0.01</v>
      </c>
      <c r="D628" s="12">
        <f>D627*(1-Assumptions!$B$12*(Assumptions!$B$5+Assumptions!$B$6))</f>
        <v>0.83025042603795429</v>
      </c>
      <c r="E628" s="12">
        <f>E627+Assumptions!$B$12*(D627*Assumptions!$B$5-E627*Assumptions!$B$7)</f>
        <v>9.6860328703198204E-2</v>
      </c>
      <c r="F628" s="12">
        <f t="shared" si="27"/>
        <v>7.2889245258847504E-2</v>
      </c>
      <c r="G628" s="12">
        <f>EXP(-Assumptions!$B$8*B628)</f>
        <v>0.73344695622428924</v>
      </c>
      <c r="H628" s="12">
        <f t="shared" si="28"/>
        <v>0.60894464788145697</v>
      </c>
      <c r="I628" s="12">
        <f t="shared" si="29"/>
        <v>7.1041913266244885E-2</v>
      </c>
      <c r="J628" s="12">
        <f>G628*(D628*Assumptions!$B$6+E628*Assumptions!$B$7)</f>
        <v>9.6415421421268133E-3</v>
      </c>
    </row>
    <row r="629" spans="1:10" x14ac:dyDescent="0.2">
      <c r="A629" s="2">
        <v>621</v>
      </c>
      <c r="B629" s="14">
        <f>A629*Assumptions!$B$12</f>
        <v>6.21</v>
      </c>
      <c r="C629" s="15">
        <f>IF(A629&lt;=Assumptions!$B$13,IF(OR(A629=0,A629=Assumptions!$B$13),0.5,1),0)*Assumptions!$B$12</f>
        <v>0.01</v>
      </c>
      <c r="D629" s="12">
        <f>D628*(1-Assumptions!$B$12*(Assumptions!$B$5+Assumptions!$B$6))</f>
        <v>0.83000135091014293</v>
      </c>
      <c r="E629" s="12">
        <f>E628+Assumptions!$B$12*(D628*Assumptions!$B$5-E628*Assumptions!$B$7)</f>
        <v>9.6977948624054192E-2</v>
      </c>
      <c r="F629" s="12">
        <f t="shared" si="27"/>
        <v>7.3020700465802876E-2</v>
      </c>
      <c r="G629" s="12">
        <f>EXP(-Assumptions!$B$8*B629)</f>
        <v>0.7330803244117684</v>
      </c>
      <c r="H629" s="12">
        <f t="shared" si="28"/>
        <v>0.6084576595874136</v>
      </c>
      <c r="I629" s="12">
        <f t="shared" si="29"/>
        <v>7.1092626038109452E-2</v>
      </c>
      <c r="J629" s="12">
        <f>G629*(D629*Assumptions!$B$6+E629*Assumptions!$B$7)</f>
        <v>9.6392078977796097E-3</v>
      </c>
    </row>
    <row r="630" spans="1:10" x14ac:dyDescent="0.2">
      <c r="A630" s="2">
        <v>622</v>
      </c>
      <c r="B630" s="14">
        <f>A630*Assumptions!$B$12</f>
        <v>6.22</v>
      </c>
      <c r="C630" s="15">
        <f>IF(A630&lt;=Assumptions!$B$13,IF(OR(A630=0,A630=Assumptions!$B$13),0.5,1),0)*Assumptions!$B$12</f>
        <v>0.01</v>
      </c>
      <c r="D630" s="12">
        <f>D629*(1-Assumptions!$B$12*(Assumptions!$B$5+Assumptions!$B$6))</f>
        <v>0.82975235050486995</v>
      </c>
      <c r="E630" s="12">
        <f>E629+Assumptions!$B$12*(D629*Assumptions!$B$5-E629*Assumptions!$B$7)</f>
        <v>9.7095459919924187E-2</v>
      </c>
      <c r="F630" s="12">
        <f t="shared" si="27"/>
        <v>7.3152189575205862E-2</v>
      </c>
      <c r="G630" s="12">
        <f>EXP(-Assumptions!$B$8*B630)</f>
        <v>0.73271387586933245</v>
      </c>
      <c r="H630" s="12">
        <f t="shared" si="28"/>
        <v>0.60797106075011209</v>
      </c>
      <c r="I630" s="12">
        <f t="shared" si="29"/>
        <v>7.114319076724307E-2</v>
      </c>
      <c r="J630" s="12">
        <f>G630*(D630*Assumptions!$B$6+E630*Assumptions!$B$7)</f>
        <v>9.6368701458632751E-3</v>
      </c>
    </row>
    <row r="631" spans="1:10" x14ac:dyDescent="0.2">
      <c r="A631" s="2">
        <v>623</v>
      </c>
      <c r="B631" s="14">
        <f>A631*Assumptions!$B$12</f>
        <v>6.23</v>
      </c>
      <c r="C631" s="15">
        <f>IF(A631&lt;=Assumptions!$B$13,IF(OR(A631=0,A631=Assumptions!$B$13),0.5,1),0)*Assumptions!$B$12</f>
        <v>0.01</v>
      </c>
      <c r="D631" s="12">
        <f>D630*(1-Assumptions!$B$12*(Assumptions!$B$5+Assumptions!$B$6))</f>
        <v>0.8295034247997185</v>
      </c>
      <c r="E631" s="12">
        <f>E630+Assumptions!$B$12*(D630*Assumptions!$B$5-E630*Assumptions!$B$7)</f>
        <v>9.7212862660065194E-2</v>
      </c>
      <c r="F631" s="12">
        <f t="shared" si="27"/>
        <v>7.3283712540216303E-2</v>
      </c>
      <c r="G631" s="12">
        <f>EXP(-Assumptions!$B$8*B631)</f>
        <v>0.73234761050536934</v>
      </c>
      <c r="H631" s="12">
        <f t="shared" si="28"/>
        <v>0.60748485105809413</v>
      </c>
      <c r="I631" s="12">
        <f t="shared" si="29"/>
        <v>7.1193607679485391E-2</v>
      </c>
      <c r="J631" s="12">
        <f>G631*(D631*Assumptions!$B$6+E631*Assumptions!$B$7)</f>
        <v>9.634528894555211E-3</v>
      </c>
    </row>
    <row r="632" spans="1:10" x14ac:dyDescent="0.2">
      <c r="A632" s="2">
        <v>624</v>
      </c>
      <c r="B632" s="14">
        <f>A632*Assumptions!$B$12</f>
        <v>6.24</v>
      </c>
      <c r="C632" s="15">
        <f>IF(A632&lt;=Assumptions!$B$13,IF(OR(A632=0,A632=Assumptions!$B$13),0.5,1),0)*Assumptions!$B$12</f>
        <v>0.01</v>
      </c>
      <c r="D632" s="12">
        <f>D631*(1-Assumptions!$B$12*(Assumptions!$B$5+Assumptions!$B$6))</f>
        <v>0.82925457377227862</v>
      </c>
      <c r="E632" s="12">
        <f>E631+Assumptions!$B$12*(D631*Assumptions!$B$5-E631*Assumptions!$B$7)</f>
        <v>9.7330156913695107E-2</v>
      </c>
      <c r="F632" s="12">
        <f t="shared" si="27"/>
        <v>7.3415269314026269E-2</v>
      </c>
      <c r="G632" s="12">
        <f>EXP(-Assumptions!$B$8*B632)</f>
        <v>0.73198152822831264</v>
      </c>
      <c r="H632" s="12">
        <f t="shared" si="28"/>
        <v>0.60699903020015056</v>
      </c>
      <c r="I632" s="12">
        <f t="shared" si="29"/>
        <v>7.124387700038802E-2</v>
      </c>
      <c r="J632" s="12">
        <f>G632*(D632*Assumptions!$B$6+E632*Assumptions!$B$7)</f>
        <v>9.6321841520209065E-3</v>
      </c>
    </row>
    <row r="633" spans="1:10" x14ac:dyDescent="0.2">
      <c r="A633" s="2">
        <v>625</v>
      </c>
      <c r="B633" s="14">
        <f>A633*Assumptions!$B$12</f>
        <v>6.25</v>
      </c>
      <c r="C633" s="15">
        <f>IF(A633&lt;=Assumptions!$B$13,IF(OR(A633=0,A633=Assumptions!$B$13),0.5,1),0)*Assumptions!$B$12</f>
        <v>0.01</v>
      </c>
      <c r="D633" s="12">
        <f>D632*(1-Assumptions!$B$12*(Assumptions!$B$5+Assumptions!$B$6))</f>
        <v>0.82900579740014702</v>
      </c>
      <c r="E633" s="12">
        <f>E632+Assumptions!$B$12*(D632*Assumptions!$B$5-E632*Assumptions!$B$7)</f>
        <v>9.7447342749992713E-2</v>
      </c>
      <c r="F633" s="12">
        <f t="shared" si="27"/>
        <v>7.3546859849860272E-2</v>
      </c>
      <c r="G633" s="12">
        <f>EXP(-Assumptions!$B$8*B633)</f>
        <v>0.73161562894664178</v>
      </c>
      <c r="H633" s="12">
        <f t="shared" si="28"/>
        <v>0.60651359786532089</v>
      </c>
      <c r="I633" s="12">
        <f t="shared" si="29"/>
        <v>7.1293998955214891E-2</v>
      </c>
      <c r="J633" s="12">
        <f>G633*(D633*Assumptions!$B$6+E633*Assumptions!$B$7)</f>
        <v>9.6298359264139523E-3</v>
      </c>
    </row>
    <row r="634" spans="1:10" x14ac:dyDescent="0.2">
      <c r="A634" s="2">
        <v>626</v>
      </c>
      <c r="B634" s="14">
        <f>A634*Assumptions!$B$12</f>
        <v>6.26</v>
      </c>
      <c r="C634" s="15">
        <f>IF(A634&lt;=Assumptions!$B$13,IF(OR(A634=0,A634=Assumptions!$B$13),0.5,1),0)*Assumptions!$B$12</f>
        <v>0.01</v>
      </c>
      <c r="D634" s="12">
        <f>D633*(1-Assumptions!$B$12*(Assumptions!$B$5+Assumptions!$B$6))</f>
        <v>0.82875709566092703</v>
      </c>
      <c r="E634" s="12">
        <f>E633+Assumptions!$B$12*(D633*Assumptions!$B$5-E633*Assumptions!$B$7)</f>
        <v>9.7564420238097749E-2</v>
      </c>
      <c r="F634" s="12">
        <f t="shared" si="27"/>
        <v>7.3678484100975217E-2</v>
      </c>
      <c r="G634" s="12">
        <f>EXP(-Assumptions!$B$8*B634)</f>
        <v>0.73124991256888205</v>
      </c>
      <c r="H634" s="12">
        <f t="shared" si="28"/>
        <v>0.60602855374289355</v>
      </c>
      <c r="I634" s="12">
        <f t="shared" si="29"/>
        <v>7.1343973768942651E-2</v>
      </c>
      <c r="J634" s="12">
        <f>G634*(D634*Assumptions!$B$6+E634*Assumptions!$B$7)</f>
        <v>9.6274842258760665E-3</v>
      </c>
    </row>
    <row r="635" spans="1:10" x14ac:dyDescent="0.2">
      <c r="A635" s="2">
        <v>627</v>
      </c>
      <c r="B635" s="14">
        <f>A635*Assumptions!$B$12</f>
        <v>6.2700000000000005</v>
      </c>
      <c r="C635" s="15">
        <f>IF(A635&lt;=Assumptions!$B$13,IF(OR(A635=0,A635=Assumptions!$B$13),0.5,1),0)*Assumptions!$B$12</f>
        <v>0.01</v>
      </c>
      <c r="D635" s="12">
        <f>D634*(1-Assumptions!$B$12*(Assumptions!$B$5+Assumptions!$B$6))</f>
        <v>0.82850846853222881</v>
      </c>
      <c r="E635" s="12">
        <f>E634+Assumptions!$B$12*(D634*Assumptions!$B$5-E634*Assumptions!$B$7)</f>
        <v>9.7681389447110883E-2</v>
      </c>
      <c r="F635" s="12">
        <f t="shared" si="27"/>
        <v>7.3810142020660302E-2</v>
      </c>
      <c r="G635" s="12">
        <f>EXP(-Assumptions!$B$8*B635)</f>
        <v>0.73088437900360415</v>
      </c>
      <c r="H635" s="12">
        <f t="shared" si="28"/>
        <v>0.60554389752240512</v>
      </c>
      <c r="I635" s="12">
        <f t="shared" si="29"/>
        <v>7.1393801666260845E-2</v>
      </c>
      <c r="J635" s="12">
        <f>G635*(D635*Assumptions!$B$6+E635*Assumptions!$B$7)</f>
        <v>9.6251290585370949E-3</v>
      </c>
    </row>
    <row r="636" spans="1:10" x14ac:dyDescent="0.2">
      <c r="A636" s="2">
        <v>628</v>
      </c>
      <c r="B636" s="14">
        <f>A636*Assumptions!$B$12</f>
        <v>6.28</v>
      </c>
      <c r="C636" s="15">
        <f>IF(A636&lt;=Assumptions!$B$13,IF(OR(A636=0,A636=Assumptions!$B$13),0.5,1),0)*Assumptions!$B$12</f>
        <v>0.01</v>
      </c>
      <c r="D636" s="12">
        <f>D635*(1-Assumptions!$B$12*(Assumptions!$B$5+Assumptions!$B$6))</f>
        <v>0.82825991599166915</v>
      </c>
      <c r="E636" s="12">
        <f>E635+Assumptions!$B$12*(D635*Assumptions!$B$5-E635*Assumptions!$B$7)</f>
        <v>9.7798250446093776E-2</v>
      </c>
      <c r="F636" s="12">
        <f t="shared" si="27"/>
        <v>7.3941833562237075E-2</v>
      </c>
      <c r="G636" s="12">
        <f>EXP(-Assumptions!$B$8*B636)</f>
        <v>0.73051902815942482</v>
      </c>
      <c r="H636" s="12">
        <f t="shared" si="28"/>
        <v>0.60505962889364096</v>
      </c>
      <c r="I636" s="12">
        <f t="shared" si="29"/>
        <v>7.1443482871572456E-2</v>
      </c>
      <c r="J636" s="12">
        <f>G636*(D636*Assumptions!$B$6+E636*Assumptions!$B$7)</f>
        <v>9.6227704325150317E-3</v>
      </c>
    </row>
    <row r="637" spans="1:10" x14ac:dyDescent="0.2">
      <c r="A637" s="2">
        <v>629</v>
      </c>
      <c r="B637" s="14">
        <f>A637*Assumptions!$B$12</f>
        <v>6.29</v>
      </c>
      <c r="C637" s="15">
        <f>IF(A637&lt;=Assumptions!$B$13,IF(OR(A637=0,A637=Assumptions!$B$13),0.5,1),0)*Assumptions!$B$12</f>
        <v>0.01</v>
      </c>
      <c r="D637" s="12">
        <f>D636*(1-Assumptions!$B$12*(Assumptions!$B$5+Assumptions!$B$6))</f>
        <v>0.82801143801687171</v>
      </c>
      <c r="E637" s="12">
        <f>E636+Assumptions!$B$12*(D636*Assumptions!$B$5-E636*Assumptions!$B$7)</f>
        <v>9.7915003304069062E-2</v>
      </c>
      <c r="F637" s="12">
        <f t="shared" si="27"/>
        <v>7.4073558679059223E-2</v>
      </c>
      <c r="G637" s="12">
        <f>EXP(-Assumptions!$B$8*B637)</f>
        <v>0.73015385994500648</v>
      </c>
      <c r="H637" s="12">
        <f t="shared" si="28"/>
        <v>0.60457574754663435</v>
      </c>
      <c r="I637" s="12">
        <f t="shared" si="29"/>
        <v>7.1493017608994083E-2</v>
      </c>
      <c r="J637" s="12">
        <f>G637*(D637*Assumptions!$B$6+E637*Assumptions!$B$7)</f>
        <v>9.6204083559160471E-3</v>
      </c>
    </row>
    <row r="638" spans="1:10" x14ac:dyDescent="0.2">
      <c r="A638" s="2">
        <v>630</v>
      </c>
      <c r="B638" s="14">
        <f>A638*Assumptions!$B$12</f>
        <v>6.3</v>
      </c>
      <c r="C638" s="15">
        <f>IF(A638&lt;=Assumptions!$B$13,IF(OR(A638=0,A638=Assumptions!$B$13),0.5,1),0)*Assumptions!$B$12</f>
        <v>0.01</v>
      </c>
      <c r="D638" s="12">
        <f>D637*(1-Assumptions!$B$12*(Assumptions!$B$5+Assumptions!$B$6))</f>
        <v>0.82776303458546663</v>
      </c>
      <c r="E638" s="12">
        <f>E637+Assumptions!$B$12*(D637*Assumptions!$B$5-E637*Assumptions!$B$7)</f>
        <v>9.8031648090020407E-2</v>
      </c>
      <c r="F638" s="12">
        <f t="shared" si="27"/>
        <v>7.4205317324512965E-2</v>
      </c>
      <c r="G638" s="12">
        <f>EXP(-Assumptions!$B$8*B638)</f>
        <v>0.72978887426905681</v>
      </c>
      <c r="H638" s="12">
        <f t="shared" si="28"/>
        <v>0.60409225317166604</v>
      </c>
      <c r="I638" s="12">
        <f t="shared" si="29"/>
        <v>7.1542406102356321E-2</v>
      </c>
      <c r="J638" s="12">
        <f>G638*(D638*Assumptions!$B$6+E638*Assumptions!$B$7)</f>
        <v>9.618042836834477E-3</v>
      </c>
    </row>
    <row r="639" spans="1:10" x14ac:dyDescent="0.2">
      <c r="A639" s="2">
        <v>631</v>
      </c>
      <c r="B639" s="14">
        <f>A639*Assumptions!$B$12</f>
        <v>6.3100000000000005</v>
      </c>
      <c r="C639" s="15">
        <f>IF(A639&lt;=Assumptions!$B$13,IF(OR(A639=0,A639=Assumptions!$B$13),0.5,1),0)*Assumptions!$B$12</f>
        <v>0.01</v>
      </c>
      <c r="D639" s="12">
        <f>D638*(1-Assumptions!$B$12*(Assumptions!$B$5+Assumptions!$B$6))</f>
        <v>0.827514705675091</v>
      </c>
      <c r="E639" s="12">
        <f>E638+Assumptions!$B$12*(D638*Assumptions!$B$5-E638*Assumptions!$B$7)</f>
        <v>9.8148184872892494E-2</v>
      </c>
      <c r="F639" s="12">
        <f t="shared" si="27"/>
        <v>7.4337109452016506E-2</v>
      </c>
      <c r="G639" s="12">
        <f>EXP(-Assumptions!$B$8*B639)</f>
        <v>0.72942407104032947</v>
      </c>
      <c r="H639" s="12">
        <f t="shared" si="28"/>
        <v>0.60360914545926492</v>
      </c>
      <c r="I639" s="12">
        <f t="shared" si="29"/>
        <v>7.1591648575204128E-2</v>
      </c>
      <c r="J639" s="12">
        <f>G639*(D639*Assumptions!$B$6+E639*Assumptions!$B$7)</f>
        <v>9.6156738833528561E-3</v>
      </c>
    </row>
    <row r="640" spans="1:10" x14ac:dyDescent="0.2">
      <c r="A640" s="2">
        <v>632</v>
      </c>
      <c r="B640" s="14">
        <f>A640*Assumptions!$B$12</f>
        <v>6.32</v>
      </c>
      <c r="C640" s="15">
        <f>IF(A640&lt;=Assumptions!$B$13,IF(OR(A640=0,A640=Assumptions!$B$13),0.5,1),0)*Assumptions!$B$12</f>
        <v>0.01</v>
      </c>
      <c r="D640" s="12">
        <f>D639*(1-Assumptions!$B$12*(Assumptions!$B$5+Assumptions!$B$6))</f>
        <v>0.82726645126338849</v>
      </c>
      <c r="E640" s="12">
        <f>E639+Assumptions!$B$12*(D639*Assumptions!$B$5-E639*Assumptions!$B$7)</f>
        <v>9.8264613721591065E-2</v>
      </c>
      <c r="F640" s="12">
        <f t="shared" si="27"/>
        <v>7.4468935015020443E-2</v>
      </c>
      <c r="G640" s="12">
        <f>EXP(-Assumptions!$B$8*B640)</f>
        <v>0.72905945016762375</v>
      </c>
      <c r="H640" s="12">
        <f t="shared" si="28"/>
        <v>0.60312642410020734</v>
      </c>
      <c r="I640" s="12">
        <f t="shared" si="29"/>
        <v>7.1640745250797111E-2</v>
      </c>
      <c r="J640" s="12">
        <f>G640*(D640*Assumptions!$B$6+E640*Assumptions!$B$7)</f>
        <v>9.6133015035419298E-3</v>
      </c>
    </row>
    <row r="641" spans="1:10" x14ac:dyDescent="0.2">
      <c r="A641" s="2">
        <v>633</v>
      </c>
      <c r="B641" s="14">
        <f>A641*Assumptions!$B$12</f>
        <v>6.33</v>
      </c>
      <c r="C641" s="15">
        <f>IF(A641&lt;=Assumptions!$B$13,IF(OR(A641=0,A641=Assumptions!$B$13),0.5,1),0)*Assumptions!$B$12</f>
        <v>0.01</v>
      </c>
      <c r="D641" s="12">
        <f>D640*(1-Assumptions!$B$12*(Assumptions!$B$5+Assumptions!$B$6))</f>
        <v>0.82701827132800954</v>
      </c>
      <c r="E641" s="12">
        <f>E640+Assumptions!$B$12*(D640*Assumptions!$B$5-E640*Assumptions!$B$7)</f>
        <v>9.838093470498295E-2</v>
      </c>
      <c r="F641" s="12">
        <f t="shared" si="27"/>
        <v>7.4600793967007514E-2</v>
      </c>
      <c r="G641" s="12">
        <f>EXP(-Assumptions!$B$8*B641)</f>
        <v>0.72869501155978444</v>
      </c>
      <c r="H641" s="12">
        <f t="shared" si="28"/>
        <v>0.6026440887855169</v>
      </c>
      <c r="I641" s="12">
        <f t="shared" si="29"/>
        <v>7.168969635210995E-2</v>
      </c>
      <c r="J641" s="12">
        <f>G641*(D641*Assumptions!$B$6+E641*Assumptions!$B$7)</f>
        <v>9.6109257054606666E-3</v>
      </c>
    </row>
    <row r="642" spans="1:10" x14ac:dyDescent="0.2">
      <c r="A642" s="2">
        <v>634</v>
      </c>
      <c r="B642" s="14">
        <f>A642*Assumptions!$B$12</f>
        <v>6.34</v>
      </c>
      <c r="C642" s="15">
        <f>IF(A642&lt;=Assumptions!$B$13,IF(OR(A642=0,A642=Assumptions!$B$13),0.5,1),0)*Assumptions!$B$12</f>
        <v>0.01</v>
      </c>
      <c r="D642" s="12">
        <f>D641*(1-Assumptions!$B$12*(Assumptions!$B$5+Assumptions!$B$6))</f>
        <v>0.82677016584661112</v>
      </c>
      <c r="E642" s="12">
        <f>E641+Assumptions!$B$12*(D641*Assumptions!$B$5-E641*Assumptions!$B$7)</f>
        <v>9.8497147891896064E-2</v>
      </c>
      <c r="F642" s="12">
        <f t="shared" si="27"/>
        <v>7.473268626149282E-2</v>
      </c>
      <c r="G642" s="12">
        <f>EXP(-Assumptions!$B$8*B642)</f>
        <v>0.72833075512570167</v>
      </c>
      <c r="H642" s="12">
        <f t="shared" si="28"/>
        <v>0.60216213920646389</v>
      </c>
      <c r="I642" s="12">
        <f t="shared" si="29"/>
        <v>7.173850210183258E-2</v>
      </c>
      <c r="J642" s="12">
        <f>G642*(D642*Assumptions!$B$6+E642*Assumptions!$B$7)</f>
        <v>9.6085464971562683E-3</v>
      </c>
    </row>
    <row r="643" spans="1:10" x14ac:dyDescent="0.2">
      <c r="A643" s="2">
        <v>635</v>
      </c>
      <c r="B643" s="14">
        <f>A643*Assumptions!$B$12</f>
        <v>6.3500000000000005</v>
      </c>
      <c r="C643" s="15">
        <f>IF(A643&lt;=Assumptions!$B$13,IF(OR(A643=0,A643=Assumptions!$B$13),0.5,1),0)*Assumptions!$B$12</f>
        <v>0.01</v>
      </c>
      <c r="D643" s="12">
        <f>D642*(1-Assumptions!$B$12*(Assumptions!$B$5+Assumptions!$B$6))</f>
        <v>0.82652213479685721</v>
      </c>
      <c r="E643" s="12">
        <f>E642+Assumptions!$B$12*(D642*Assumptions!$B$5-E642*Assumptions!$B$7)</f>
        <v>9.8613253351119437E-2</v>
      </c>
      <c r="F643" s="12">
        <f t="shared" si="27"/>
        <v>7.4864611852023352E-2</v>
      </c>
      <c r="G643" s="12">
        <f>EXP(-Assumptions!$B$8*B643)</f>
        <v>0.72796668077431159</v>
      </c>
      <c r="H643" s="12">
        <f t="shared" si="28"/>
        <v>0.60168057505456629</v>
      </c>
      <c r="I643" s="12">
        <f t="shared" si="29"/>
        <v>7.1787162722370679E-2</v>
      </c>
      <c r="J643" s="12">
        <f>G643*(D643*Assumptions!$B$6+E643*Assumptions!$B$7)</f>
        <v>9.6061638866641978E-3</v>
      </c>
    </row>
    <row r="644" spans="1:10" x14ac:dyDescent="0.2">
      <c r="A644" s="2">
        <v>636</v>
      </c>
      <c r="B644" s="14">
        <f>A644*Assumptions!$B$12</f>
        <v>6.36</v>
      </c>
      <c r="C644" s="15">
        <f>IF(A644&lt;=Assumptions!$B$13,IF(OR(A644=0,A644=Assumptions!$B$13),0.5,1),0)*Assumptions!$B$12</f>
        <v>0.01</v>
      </c>
      <c r="D644" s="12">
        <f>D643*(1-Assumptions!$B$12*(Assumptions!$B$5+Assumptions!$B$6))</f>
        <v>0.82627417815641813</v>
      </c>
      <c r="E644" s="12">
        <f>E643+Assumptions!$B$12*(D643*Assumptions!$B$5-E643*Assumptions!$B$7)</f>
        <v>9.8729251151403255E-2</v>
      </c>
      <c r="F644" s="12">
        <f t="shared" si="27"/>
        <v>7.4996570692178618E-2</v>
      </c>
      <c r="G644" s="12">
        <f>EXP(-Assumptions!$B$8*B644)</f>
        <v>0.72760278841459547</v>
      </c>
      <c r="H644" s="12">
        <f t="shared" si="28"/>
        <v>0.60119939602158801</v>
      </c>
      <c r="I644" s="12">
        <f t="shared" si="29"/>
        <v>7.1835678435845915E-2</v>
      </c>
      <c r="J644" s="12">
        <f>G644*(D644*Assumptions!$B$6+E644*Assumptions!$B$7)</f>
        <v>9.6037778820081774E-3</v>
      </c>
    </row>
    <row r="645" spans="1:10" x14ac:dyDescent="0.2">
      <c r="A645" s="2">
        <v>637</v>
      </c>
      <c r="B645" s="14">
        <f>A645*Assumptions!$B$12</f>
        <v>6.37</v>
      </c>
      <c r="C645" s="15">
        <f>IF(A645&lt;=Assumptions!$B$13,IF(OR(A645=0,A645=Assumptions!$B$13),0.5,1),0)*Assumptions!$B$12</f>
        <v>0.01</v>
      </c>
      <c r="D645" s="12">
        <f>D644*(1-Assumptions!$B$12*(Assumptions!$B$5+Assumptions!$B$6))</f>
        <v>0.82602629590297127</v>
      </c>
      <c r="E645" s="12">
        <f>E644+Assumptions!$B$12*(D644*Assumptions!$B$5-E644*Assumptions!$B$7)</f>
        <v>9.8845141361458833E-2</v>
      </c>
      <c r="F645" s="12">
        <f t="shared" si="27"/>
        <v>7.5128562735569893E-2</v>
      </c>
      <c r="G645" s="12">
        <f>EXP(-Assumptions!$B$8*B645)</f>
        <v>0.72723907795558018</v>
      </c>
      <c r="H645" s="12">
        <f t="shared" si="28"/>
        <v>0.60071860179954006</v>
      </c>
      <c r="I645" s="12">
        <f t="shared" si="29"/>
        <v>7.1884049464096308E-2</v>
      </c>
      <c r="J645" s="12">
        <f>G645*(D645*Assumptions!$B$6+E645*Assumptions!$B$7)</f>
        <v>9.6013884912002148E-3</v>
      </c>
    </row>
    <row r="646" spans="1:10" x14ac:dyDescent="0.2">
      <c r="A646" s="2">
        <v>638</v>
      </c>
      <c r="B646" s="14">
        <f>A646*Assumptions!$B$12</f>
        <v>6.38</v>
      </c>
      <c r="C646" s="15">
        <f>IF(A646&lt;=Assumptions!$B$13,IF(OR(A646=0,A646=Assumptions!$B$13),0.5,1),0)*Assumptions!$B$12</f>
        <v>0.01</v>
      </c>
      <c r="D646" s="12">
        <f>D645*(1-Assumptions!$B$12*(Assumptions!$B$5+Assumptions!$B$6))</f>
        <v>0.8257784880142004</v>
      </c>
      <c r="E646" s="12">
        <f>E645+Assumptions!$B$12*(D645*Assumptions!$B$5-E645*Assumptions!$B$7)</f>
        <v>9.8960924049958696E-2</v>
      </c>
      <c r="F646" s="12">
        <f t="shared" si="27"/>
        <v>7.5260587935840909E-2</v>
      </c>
      <c r="G646" s="12">
        <f>EXP(-Assumptions!$B$8*B646)</f>
        <v>0.72687554930633824</v>
      </c>
      <c r="H646" s="12">
        <f t="shared" si="28"/>
        <v>0.60023819208067941</v>
      </c>
      <c r="I646" s="12">
        <f t="shared" si="29"/>
        <v>7.1932276028676551E-2</v>
      </c>
      <c r="J646" s="12">
        <f>G646*(D646*Assumptions!$B$6+E646*Assumptions!$B$7)</f>
        <v>9.5989957222406205E-3</v>
      </c>
    </row>
    <row r="647" spans="1:10" x14ac:dyDescent="0.2">
      <c r="A647" s="2">
        <v>639</v>
      </c>
      <c r="B647" s="14">
        <f>A647*Assumptions!$B$12</f>
        <v>6.3900000000000006</v>
      </c>
      <c r="C647" s="15">
        <f>IF(A647&lt;=Assumptions!$B$13,IF(OR(A647=0,A647=Assumptions!$B$13),0.5,1),0)*Assumptions!$B$12</f>
        <v>0.01</v>
      </c>
      <c r="D647" s="12">
        <f>D646*(1-Assumptions!$B$12*(Assumptions!$B$5+Assumptions!$B$6))</f>
        <v>0.82553075446779611</v>
      </c>
      <c r="E647" s="12">
        <f>E646+Assumptions!$B$12*(D646*Assumptions!$B$5-E646*Assumptions!$B$7)</f>
        <v>9.9076599285536554E-2</v>
      </c>
      <c r="F647" s="12">
        <f t="shared" si="27"/>
        <v>7.5392646246667333E-2</v>
      </c>
      <c r="G647" s="12">
        <f>EXP(-Assumptions!$B$8*B647)</f>
        <v>0.72651220237598735</v>
      </c>
      <c r="H647" s="12">
        <f t="shared" si="28"/>
        <v>0.59975816655750902</v>
      </c>
      <c r="I647" s="12">
        <f t="shared" si="29"/>
        <v>7.1980358350858337E-2</v>
      </c>
      <c r="J647" s="12">
        <f>G647*(D647*Assumptions!$B$6+E647*Assumptions!$B$7)</f>
        <v>9.5965995831180078E-3</v>
      </c>
    </row>
    <row r="648" spans="1:10" x14ac:dyDescent="0.2">
      <c r="A648" s="2">
        <v>640</v>
      </c>
      <c r="B648" s="14">
        <f>A648*Assumptions!$B$12</f>
        <v>6.4</v>
      </c>
      <c r="C648" s="15">
        <f>IF(A648&lt;=Assumptions!$B$13,IF(OR(A648=0,A648=Assumptions!$B$13),0.5,1),0)*Assumptions!$B$12</f>
        <v>0.01</v>
      </c>
      <c r="D648" s="12">
        <f>D647*(1-Assumptions!$B$12*(Assumptions!$B$5+Assumptions!$B$6))</f>
        <v>0.82528309524145582</v>
      </c>
      <c r="E648" s="12">
        <f>E647+Assumptions!$B$12*(D647*Assumptions!$B$5-E647*Assumptions!$B$7)</f>
        <v>9.9192167136787343E-2</v>
      </c>
      <c r="F648" s="12">
        <f t="shared" ref="F648:F711" si="30">1-D648-E648</f>
        <v>7.5524737621756835E-2</v>
      </c>
      <c r="G648" s="12">
        <f>EXP(-Assumptions!$B$8*B648)</f>
        <v>0.72614903707369083</v>
      </c>
      <c r="H648" s="12">
        <f t="shared" ref="H648:H711" si="31">G648*D648</f>
        <v>0.59927852492277822</v>
      </c>
      <c r="I648" s="12">
        <f t="shared" ref="I648:I711" si="32">G648*E648</f>
        <v>7.2028296651630727E-2</v>
      </c>
      <c r="J648" s="12">
        <f>G648*(D648*Assumptions!$B$6+E648*Assumptions!$B$7)</f>
        <v>9.5942000818093186E-3</v>
      </c>
    </row>
    <row r="649" spans="1:10" x14ac:dyDescent="0.2">
      <c r="A649" s="2">
        <v>641</v>
      </c>
      <c r="B649" s="14">
        <f>A649*Assumptions!$B$12</f>
        <v>6.41</v>
      </c>
      <c r="C649" s="15">
        <f>IF(A649&lt;=Assumptions!$B$13,IF(OR(A649=0,A649=Assumptions!$B$13),0.5,1),0)*Assumptions!$B$12</f>
        <v>0.01</v>
      </c>
      <c r="D649" s="12">
        <f>D648*(1-Assumptions!$B$12*(Assumptions!$B$5+Assumptions!$B$6))</f>
        <v>0.82503551031288336</v>
      </c>
      <c r="E649" s="12">
        <f>E648+Assumptions!$B$12*(D648*Assumptions!$B$5-E648*Assumptions!$B$7)</f>
        <v>9.9307627672267237E-2</v>
      </c>
      <c r="F649" s="12">
        <f t="shared" si="30"/>
        <v>7.5656862014849405E-2</v>
      </c>
      <c r="G649" s="12">
        <f>EXP(-Assumptions!$B$8*B649)</f>
        <v>0.72578605330865753</v>
      </c>
      <c r="H649" s="12">
        <f t="shared" si="31"/>
        <v>0.59879926686948182</v>
      </c>
      <c r="I649" s="12">
        <f t="shared" si="32"/>
        <v>7.2076091151700467E-2</v>
      </c>
      <c r="J649" s="12">
        <f>G649*(D649*Assumptions!$B$6+E649*Assumptions!$B$7)</f>
        <v>9.591797226279843E-3</v>
      </c>
    </row>
    <row r="650" spans="1:10" x14ac:dyDescent="0.2">
      <c r="A650" s="2">
        <v>642</v>
      </c>
      <c r="B650" s="14">
        <f>A650*Assumptions!$B$12</f>
        <v>6.42</v>
      </c>
      <c r="C650" s="15">
        <f>IF(A650&lt;=Assumptions!$B$13,IF(OR(A650=0,A650=Assumptions!$B$13),0.5,1),0)*Assumptions!$B$12</f>
        <v>0.01</v>
      </c>
      <c r="D650" s="12">
        <f>D649*(1-Assumptions!$B$12*(Assumptions!$B$5+Assumptions!$B$6))</f>
        <v>0.82478799965978955</v>
      </c>
      <c r="E650" s="12">
        <f>E649+Assumptions!$B$12*(D649*Assumptions!$B$5-E649*Assumptions!$B$7)</f>
        <v>9.9422980960493679E-2</v>
      </c>
      <c r="F650" s="12">
        <f t="shared" si="30"/>
        <v>7.5789019379716771E-2</v>
      </c>
      <c r="G650" s="12">
        <f>EXP(-Assumptions!$B$8*B650)</f>
        <v>0.72542325099014116</v>
      </c>
      <c r="H650" s="12">
        <f t="shared" si="31"/>
        <v>0.59832039209085996</v>
      </c>
      <c r="I650" s="12">
        <f t="shared" si="32"/>
        <v>7.2123742071492233E-2</v>
      </c>
      <c r="J650" s="12">
        <f>G650*(D650*Assumptions!$B$6+E650*Assumptions!$B$7)</f>
        <v>9.5893910244832115E-3</v>
      </c>
    </row>
    <row r="651" spans="1:10" x14ac:dyDescent="0.2">
      <c r="A651" s="2">
        <v>643</v>
      </c>
      <c r="B651" s="14">
        <f>A651*Assumptions!$B$12</f>
        <v>6.43</v>
      </c>
      <c r="C651" s="15">
        <f>IF(A651&lt;=Assumptions!$B$13,IF(OR(A651=0,A651=Assumptions!$B$13),0.5,1),0)*Assumptions!$B$12</f>
        <v>0.01</v>
      </c>
      <c r="D651" s="12">
        <f>D650*(1-Assumptions!$B$12*(Assumptions!$B$5+Assumptions!$B$6))</f>
        <v>0.82454056325989167</v>
      </c>
      <c r="E651" s="12">
        <f>E650+Assumptions!$B$12*(D650*Assumptions!$B$5-E650*Assumptions!$B$7)</f>
        <v>9.953822706994539E-2</v>
      </c>
      <c r="F651" s="12">
        <f t="shared" si="30"/>
        <v>7.5921209670162942E-2</v>
      </c>
      <c r="G651" s="12">
        <f>EXP(-Assumptions!$B$8*B651)</f>
        <v>0.72506063002744137</v>
      </c>
      <c r="H651" s="12">
        <f t="shared" si="31"/>
        <v>0.59784190028039841</v>
      </c>
      <c r="I651" s="12">
        <f t="shared" si="32"/>
        <v>7.2171249631149126E-2</v>
      </c>
      <c r="J651" s="12">
        <f>G651*(D651*Assumptions!$B$6+E651*Assumptions!$B$7)</f>
        <v>9.5869814843614412E-3</v>
      </c>
    </row>
    <row r="652" spans="1:10" x14ac:dyDescent="0.2">
      <c r="A652" s="2">
        <v>644</v>
      </c>
      <c r="B652" s="14">
        <f>A652*Assumptions!$B$12</f>
        <v>6.44</v>
      </c>
      <c r="C652" s="15">
        <f>IF(A652&lt;=Assumptions!$B$13,IF(OR(A652=0,A652=Assumptions!$B$13),0.5,1),0)*Assumptions!$B$12</f>
        <v>0.01</v>
      </c>
      <c r="D652" s="12">
        <f>D651*(1-Assumptions!$B$12*(Assumptions!$B$5+Assumptions!$B$6))</f>
        <v>0.82429320109091375</v>
      </c>
      <c r="E652" s="12">
        <f>E651+Assumptions!$B$12*(D651*Assumptions!$B$5-E651*Assumptions!$B$7)</f>
        <v>9.9653366069062402E-2</v>
      </c>
      <c r="F652" s="12">
        <f t="shared" si="30"/>
        <v>7.6053432840023846E-2</v>
      </c>
      <c r="G652" s="12">
        <f>EXP(-Assumptions!$B$8*B652)</f>
        <v>0.72469819032990279</v>
      </c>
      <c r="H652" s="12">
        <f t="shared" si="31"/>
        <v>0.5973637911318278</v>
      </c>
      <c r="I652" s="12">
        <f t="shared" si="32"/>
        <v>7.2218614050532856E-2</v>
      </c>
      <c r="J652" s="12">
        <f>G652*(D652*Assumptions!$B$6+E652*Assumptions!$B$7)</f>
        <v>9.5845686138449227E-3</v>
      </c>
    </row>
    <row r="653" spans="1:10" x14ac:dyDescent="0.2">
      <c r="A653" s="2">
        <v>645</v>
      </c>
      <c r="B653" s="14">
        <f>A653*Assumptions!$B$12</f>
        <v>6.45</v>
      </c>
      <c r="C653" s="15">
        <f>IF(A653&lt;=Assumptions!$B$13,IF(OR(A653=0,A653=Assumptions!$B$13),0.5,1),0)*Assumptions!$B$12</f>
        <v>0.01</v>
      </c>
      <c r="D653" s="12">
        <f>D652*(1-Assumptions!$B$12*(Assumptions!$B$5+Assumptions!$B$6))</f>
        <v>0.8240459131305865</v>
      </c>
      <c r="E653" s="12">
        <f>E652+Assumptions!$B$12*(D652*Assumptions!$B$5-E652*Assumptions!$B$7)</f>
        <v>9.9768398026246055E-2</v>
      </c>
      <c r="F653" s="12">
        <f t="shared" si="30"/>
        <v>7.618568884316744E-2</v>
      </c>
      <c r="G653" s="12">
        <f>EXP(-Assumptions!$B$8*B653)</f>
        <v>0.72433593180691569</v>
      </c>
      <c r="H653" s="12">
        <f t="shared" si="31"/>
        <v>0.59688606433912406</v>
      </c>
      <c r="I653" s="12">
        <f t="shared" si="32"/>
        <v>7.2265835549224181E-2</v>
      </c>
      <c r="J653" s="12">
        <f>G653*(D653*Assumptions!$B$6+E653*Assumptions!$B$7)</f>
        <v>9.5821524208524519E-3</v>
      </c>
    </row>
    <row r="654" spans="1:10" x14ac:dyDescent="0.2">
      <c r="A654" s="2">
        <v>646</v>
      </c>
      <c r="B654" s="14">
        <f>A654*Assumptions!$B$12</f>
        <v>6.46</v>
      </c>
      <c r="C654" s="15">
        <f>IF(A654&lt;=Assumptions!$B$13,IF(OR(A654=0,A654=Assumptions!$B$13),0.5,1),0)*Assumptions!$B$12</f>
        <v>0.01</v>
      </c>
      <c r="D654" s="12">
        <f>D653*(1-Assumptions!$B$12*(Assumptions!$B$5+Assumptions!$B$6))</f>
        <v>0.8237986993566474</v>
      </c>
      <c r="E654" s="12">
        <f>E653+Assumptions!$B$12*(D653*Assumptions!$B$5-E653*Assumptions!$B$7)</f>
        <v>9.9883323009859054E-2</v>
      </c>
      <c r="F654" s="12">
        <f t="shared" si="30"/>
        <v>7.6317977633493544E-2</v>
      </c>
      <c r="G654" s="12">
        <f>EXP(-Assumptions!$B$8*B654)</f>
        <v>0.72397385436791528</v>
      </c>
      <c r="H654" s="12">
        <f t="shared" si="31"/>
        <v>0.59640871959650743</v>
      </c>
      <c r="I654" s="12">
        <f t="shared" si="32"/>
        <v>7.2312914346523136E-2</v>
      </c>
      <c r="J654" s="12">
        <f>G654*(D654*Assumptions!$B$6+E654*Assumptions!$B$7)</f>
        <v>9.5797329132912331E-3</v>
      </c>
    </row>
    <row r="655" spans="1:10" x14ac:dyDescent="0.2">
      <c r="A655" s="2">
        <v>647</v>
      </c>
      <c r="B655" s="14">
        <f>A655*Assumptions!$B$12</f>
        <v>6.47</v>
      </c>
      <c r="C655" s="15">
        <f>IF(A655&lt;=Assumptions!$B$13,IF(OR(A655=0,A655=Assumptions!$B$13),0.5,1),0)*Assumptions!$B$12</f>
        <v>0.01</v>
      </c>
      <c r="D655" s="12">
        <f>D654*(1-Assumptions!$B$12*(Assumptions!$B$5+Assumptions!$B$6))</f>
        <v>0.82355155974684047</v>
      </c>
      <c r="E655" s="12">
        <f>E654+Assumptions!$B$12*(D654*Assumptions!$B$5-E654*Assumptions!$B$7)</f>
        <v>9.9998141088225453E-2</v>
      </c>
      <c r="F655" s="12">
        <f t="shared" si="30"/>
        <v>7.645029916493408E-2</v>
      </c>
      <c r="G655" s="12">
        <f>EXP(-Assumptions!$B$8*B655)</f>
        <v>0.7236119579223822</v>
      </c>
      <c r="H655" s="12">
        <f t="shared" si="31"/>
        <v>0.595931756598443</v>
      </c>
      <c r="I655" s="12">
        <f t="shared" si="32"/>
        <v>7.235985066144944E-2</v>
      </c>
      <c r="J655" s="12">
        <f>G655*(D655*Assumptions!$B$6+E655*Assumptions!$B$7)</f>
        <v>9.5773100990569019E-3</v>
      </c>
    </row>
    <row r="656" spans="1:10" x14ac:dyDescent="0.2">
      <c r="A656" s="2">
        <v>648</v>
      </c>
      <c r="B656" s="14">
        <f>A656*Assumptions!$B$12</f>
        <v>6.48</v>
      </c>
      <c r="C656" s="15">
        <f>IF(A656&lt;=Assumptions!$B$13,IF(OR(A656=0,A656=Assumptions!$B$13),0.5,1),0)*Assumptions!$B$12</f>
        <v>0.01</v>
      </c>
      <c r="D656" s="12">
        <f>D655*(1-Assumptions!$B$12*(Assumptions!$B$5+Assumptions!$B$6))</f>
        <v>0.82330449427891639</v>
      </c>
      <c r="E656" s="12">
        <f>E655+Assumptions!$B$12*(D655*Assumptions!$B$5-E655*Assumptions!$B$7)</f>
        <v>0.10011285232963071</v>
      </c>
      <c r="F656" s="12">
        <f t="shared" si="30"/>
        <v>7.6582653391452898E-2</v>
      </c>
      <c r="G656" s="12">
        <f>EXP(-Assumptions!$B$8*B656)</f>
        <v>0.72325024237984237</v>
      </c>
      <c r="H656" s="12">
        <f t="shared" si="31"/>
        <v>0.59545517503963985</v>
      </c>
      <c r="I656" s="12">
        <f t="shared" si="32"/>
        <v>7.2406644712742774E-2</v>
      </c>
      <c r="J656" s="12">
        <f>G656*(D656*Assumptions!$B$6+E656*Assumptions!$B$7)</f>
        <v>9.5748839860335389E-3</v>
      </c>
    </row>
    <row r="657" spans="1:10" x14ac:dyDescent="0.2">
      <c r="A657" s="2">
        <v>649</v>
      </c>
      <c r="B657" s="14">
        <f>A657*Assumptions!$B$12</f>
        <v>6.49</v>
      </c>
      <c r="C657" s="15">
        <f>IF(A657&lt;=Assumptions!$B$13,IF(OR(A657=0,A657=Assumptions!$B$13),0.5,1),0)*Assumptions!$B$12</f>
        <v>0.01</v>
      </c>
      <c r="D657" s="12">
        <f>D656*(1-Assumptions!$B$12*(Assumptions!$B$5+Assumptions!$B$6))</f>
        <v>0.82305750293063273</v>
      </c>
      <c r="E657" s="12">
        <f>E656+Assumptions!$B$12*(D656*Assumptions!$B$5-E656*Assumptions!$B$7)</f>
        <v>0.10022745680232169</v>
      </c>
      <c r="F657" s="12">
        <f t="shared" si="30"/>
        <v>7.6715040267045578E-2</v>
      </c>
      <c r="G657" s="12">
        <f>EXP(-Assumptions!$B$8*B657)</f>
        <v>0.72288870764986701</v>
      </c>
      <c r="H657" s="12">
        <f t="shared" si="31"/>
        <v>0.59497897461505178</v>
      </c>
      <c r="I657" s="12">
        <f t="shared" si="32"/>
        <v>7.2453296718863192E-2</v>
      </c>
      <c r="J657" s="12">
        <f>G657*(D657*Assumptions!$B$6+E657*Assumptions!$B$7)</f>
        <v>9.5724545820936764E-3</v>
      </c>
    </row>
    <row r="658" spans="1:10" x14ac:dyDescent="0.2">
      <c r="A658" s="2">
        <v>650</v>
      </c>
      <c r="B658" s="14">
        <f>A658*Assumptions!$B$12</f>
        <v>6.5</v>
      </c>
      <c r="C658" s="15">
        <f>IF(A658&lt;=Assumptions!$B$13,IF(OR(A658=0,A658=Assumptions!$B$13),0.5,1),0)*Assumptions!$B$12</f>
        <v>0.01</v>
      </c>
      <c r="D658" s="12">
        <f>D657*(1-Assumptions!$B$12*(Assumptions!$B$5+Assumptions!$B$6))</f>
        <v>0.82281058567975363</v>
      </c>
      <c r="E658" s="12">
        <f>E657+Assumptions!$B$12*(D657*Assumptions!$B$5-E657*Assumptions!$B$7)</f>
        <v>0.10034195457450665</v>
      </c>
      <c r="F658" s="12">
        <f t="shared" si="30"/>
        <v>7.6847459745739727E-2</v>
      </c>
      <c r="G658" s="12">
        <f>EXP(-Assumptions!$B$8*B658)</f>
        <v>0.72252735364207221</v>
      </c>
      <c r="H658" s="12">
        <f t="shared" si="31"/>
        <v>0.59450315501987594</v>
      </c>
      <c r="I658" s="12">
        <f t="shared" si="32"/>
        <v>7.2499806897991306E-2</v>
      </c>
      <c r="J658" s="12">
        <f>G658*(D658*Assumptions!$B$6+E658*Assumptions!$B$7)</f>
        <v>9.5700218950983251E-3</v>
      </c>
    </row>
    <row r="659" spans="1:10" x14ac:dyDescent="0.2">
      <c r="A659" s="2">
        <v>651</v>
      </c>
      <c r="B659" s="14">
        <f>A659*Assumptions!$B$12</f>
        <v>6.51</v>
      </c>
      <c r="C659" s="15">
        <f>IF(A659&lt;=Assumptions!$B$13,IF(OR(A659=0,A659=Assumptions!$B$13),0.5,1),0)*Assumptions!$B$12</f>
        <v>0.01</v>
      </c>
      <c r="D659" s="12">
        <f>D658*(1-Assumptions!$B$12*(Assumptions!$B$5+Assumptions!$B$6))</f>
        <v>0.82256374250404973</v>
      </c>
      <c r="E659" s="12">
        <f>E658+Assumptions!$B$12*(D658*Assumptions!$B$5-E658*Assumptions!$B$7)</f>
        <v>0.10045634571435534</v>
      </c>
      <c r="F659" s="12">
        <f t="shared" si="30"/>
        <v>7.6979911781594926E-2</v>
      </c>
      <c r="G659" s="12">
        <f>EXP(-Assumptions!$B$8*B659)</f>
        <v>0.72216618026611956</v>
      </c>
      <c r="H659" s="12">
        <f t="shared" si="31"/>
        <v>0.5940277159495535</v>
      </c>
      <c r="I659" s="12">
        <f t="shared" si="32"/>
        <v>7.2546175468028773E-2</v>
      </c>
      <c r="J659" s="12">
        <f>G659*(D659*Assumptions!$B$6+E659*Assumptions!$B$7)</f>
        <v>9.5675859328969732E-3</v>
      </c>
    </row>
    <row r="660" spans="1:10" x14ac:dyDescent="0.2">
      <c r="A660" s="2">
        <v>652</v>
      </c>
      <c r="B660" s="14">
        <f>A660*Assumptions!$B$12</f>
        <v>6.5200000000000005</v>
      </c>
      <c r="C660" s="15">
        <f>IF(A660&lt;=Assumptions!$B$13,IF(OR(A660=0,A660=Assumptions!$B$13),0.5,1),0)*Assumptions!$B$12</f>
        <v>0.01</v>
      </c>
      <c r="D660" s="12">
        <f>D659*(1-Assumptions!$B$12*(Assumptions!$B$5+Assumptions!$B$6))</f>
        <v>0.8223169733812985</v>
      </c>
      <c r="E660" s="12">
        <f>E659+Assumptions!$B$12*(D659*Assumptions!$B$5-E659*Assumptions!$B$7)</f>
        <v>0.10057063028999898</v>
      </c>
      <c r="F660" s="12">
        <f t="shared" si="30"/>
        <v>7.7112396328702523E-2</v>
      </c>
      <c r="G660" s="12">
        <f>EXP(-Assumptions!$B$8*B660)</f>
        <v>0.72180518743171573</v>
      </c>
      <c r="H660" s="12">
        <f t="shared" si="31"/>
        <v>0.59355265709976934</v>
      </c>
      <c r="I660" s="12">
        <f t="shared" si="32"/>
        <v>7.2592402646598497E-2</v>
      </c>
      <c r="J660" s="12">
        <f>G660*(D660*Assumptions!$B$6+E660*Assumptions!$B$7)</f>
        <v>9.5651467033276184E-3</v>
      </c>
    </row>
    <row r="661" spans="1:10" x14ac:dyDescent="0.2">
      <c r="A661" s="2">
        <v>653</v>
      </c>
      <c r="B661" s="14">
        <f>A661*Assumptions!$B$12</f>
        <v>6.53</v>
      </c>
      <c r="C661" s="15">
        <f>IF(A661&lt;=Assumptions!$B$13,IF(OR(A661=0,A661=Assumptions!$B$13),0.5,1),0)*Assumptions!$B$12</f>
        <v>0.01</v>
      </c>
      <c r="D661" s="12">
        <f>D660*(1-Assumptions!$B$12*(Assumptions!$B$5+Assumptions!$B$6))</f>
        <v>0.82207027828928414</v>
      </c>
      <c r="E661" s="12">
        <f>E660+Assumptions!$B$12*(D660*Assumptions!$B$5-E660*Assumptions!$B$7)</f>
        <v>0.10068480836953024</v>
      </c>
      <c r="F661" s="12">
        <f t="shared" si="30"/>
        <v>7.724491334118562E-2</v>
      </c>
      <c r="G661" s="12">
        <f>EXP(-Assumptions!$B$8*B661)</f>
        <v>0.7214443750486127</v>
      </c>
      <c r="H661" s="12">
        <f t="shared" si="31"/>
        <v>0.59307797816645169</v>
      </c>
      <c r="I661" s="12">
        <f t="shared" si="32"/>
        <v>7.263848865104508E-2</v>
      </c>
      <c r="J661" s="12">
        <f>G661*(D661*Assumptions!$B$6+E661*Assumptions!$B$7)</f>
        <v>9.5627042142167711E-3</v>
      </c>
    </row>
    <row r="662" spans="1:10" x14ac:dyDescent="0.2">
      <c r="A662" s="2">
        <v>654</v>
      </c>
      <c r="B662" s="14">
        <f>A662*Assumptions!$B$12</f>
        <v>6.54</v>
      </c>
      <c r="C662" s="15">
        <f>IF(A662&lt;=Assumptions!$B$13,IF(OR(A662=0,A662=Assumptions!$B$13),0.5,1),0)*Assumptions!$B$12</f>
        <v>0.01</v>
      </c>
      <c r="D662" s="12">
        <f>D661*(1-Assumptions!$B$12*(Assumptions!$B$5+Assumptions!$B$6))</f>
        <v>0.82182365720579742</v>
      </c>
      <c r="E662" s="12">
        <f>E661+Assumptions!$B$12*(D661*Assumptions!$B$5-E661*Assumptions!$B$7)</f>
        <v>0.10079888002100333</v>
      </c>
      <c r="F662" s="12">
        <f t="shared" si="30"/>
        <v>7.7377462773199249E-2</v>
      </c>
      <c r="G662" s="12">
        <f>EXP(-Assumptions!$B$8*B662)</f>
        <v>0.72108374302660705</v>
      </c>
      <c r="H662" s="12">
        <f t="shared" si="31"/>
        <v>0.59260367884577159</v>
      </c>
      <c r="I662" s="12">
        <f t="shared" si="32"/>
        <v>7.2684433698434955E-2</v>
      </c>
      <c r="J662" s="12">
        <f>G662*(D662*Assumptions!$B$6+E662*Assumptions!$B$7)</f>
        <v>9.5602584733794661E-3</v>
      </c>
    </row>
    <row r="663" spans="1:10" x14ac:dyDescent="0.2">
      <c r="A663" s="2">
        <v>655</v>
      </c>
      <c r="B663" s="14">
        <f>A663*Assumptions!$B$12</f>
        <v>6.55</v>
      </c>
      <c r="C663" s="15">
        <f>IF(A663&lt;=Assumptions!$B$13,IF(OR(A663=0,A663=Assumptions!$B$13),0.5,1),0)*Assumptions!$B$12</f>
        <v>0.01</v>
      </c>
      <c r="D663" s="12">
        <f>D662*(1-Assumptions!$B$12*(Assumptions!$B$5+Assumptions!$B$6))</f>
        <v>0.82157711010863566</v>
      </c>
      <c r="E663" s="12">
        <f>E662+Assumptions!$B$12*(D662*Assumptions!$B$5-E662*Assumptions!$B$7)</f>
        <v>0.10091284531243398</v>
      </c>
      <c r="F663" s="12">
        <f t="shared" si="30"/>
        <v>7.7510044578930362E-2</v>
      </c>
      <c r="G663" s="12">
        <f>EXP(-Assumptions!$B$8*B663)</f>
        <v>0.72072329127554091</v>
      </c>
      <c r="H663" s="12">
        <f t="shared" si="31"/>
        <v>0.59212975883414332</v>
      </c>
      <c r="I663" s="12">
        <f t="shared" si="32"/>
        <v>7.273023800555696E-2</v>
      </c>
      <c r="J663" s="12">
        <f>G663*(D663*Assumptions!$B$6+E663*Assumptions!$B$7)</f>
        <v>9.5578094886192826E-3</v>
      </c>
    </row>
    <row r="664" spans="1:10" x14ac:dyDescent="0.2">
      <c r="A664" s="2">
        <v>656</v>
      </c>
      <c r="B664" s="14">
        <f>A664*Assumptions!$B$12</f>
        <v>6.5600000000000005</v>
      </c>
      <c r="C664" s="15">
        <f>IF(A664&lt;=Assumptions!$B$13,IF(OR(A664=0,A664=Assumptions!$B$13),0.5,1),0)*Assumptions!$B$12</f>
        <v>0.01</v>
      </c>
      <c r="D664" s="12">
        <f>D663*(1-Assumptions!$B$12*(Assumptions!$B$5+Assumptions!$B$6))</f>
        <v>0.82133063697560305</v>
      </c>
      <c r="E664" s="12">
        <f>E663+Assumptions!$B$12*(D663*Assumptions!$B$5-E663*Assumptions!$B$7)</f>
        <v>0.1010267043117995</v>
      </c>
      <c r="F664" s="12">
        <f t="shared" si="30"/>
        <v>7.7642658712597457E-2</v>
      </c>
      <c r="G664" s="12">
        <f>EXP(-Assumptions!$B$8*B664)</f>
        <v>0.72036301970530126</v>
      </c>
      <c r="H664" s="12">
        <f t="shared" si="31"/>
        <v>0.59165621782822397</v>
      </c>
      <c r="I664" s="12">
        <f t="shared" si="32"/>
        <v>7.2775901788922459E-2</v>
      </c>
      <c r="J664" s="12">
        <f>G664*(D664*Assumptions!$B$6+E664*Assumptions!$B$7)</f>
        <v>9.5553572677283642E-3</v>
      </c>
    </row>
    <row r="665" spans="1:10" x14ac:dyDescent="0.2">
      <c r="A665" s="2">
        <v>657</v>
      </c>
      <c r="B665" s="14">
        <f>A665*Assumptions!$B$12</f>
        <v>6.57</v>
      </c>
      <c r="C665" s="15">
        <f>IF(A665&lt;=Assumptions!$B$13,IF(OR(A665=0,A665=Assumptions!$B$13),0.5,1),0)*Assumptions!$B$12</f>
        <v>0.01</v>
      </c>
      <c r="D665" s="12">
        <f>D664*(1-Assumptions!$B$12*(Assumptions!$B$5+Assumptions!$B$6))</f>
        <v>0.82108423778451034</v>
      </c>
      <c r="E665" s="12">
        <f>E664+Assumptions!$B$12*(D664*Assumptions!$B$5-E664*Assumptions!$B$7)</f>
        <v>0.10114045708703871</v>
      </c>
      <c r="F665" s="12">
        <f t="shared" si="30"/>
        <v>7.7775305128450947E-2</v>
      </c>
      <c r="G665" s="12">
        <f>EXP(-Assumptions!$B$8*B665)</f>
        <v>0.72000292822582046</v>
      </c>
      <c r="H665" s="12">
        <f t="shared" si="31"/>
        <v>0.59118305552491335</v>
      </c>
      <c r="I665" s="12">
        <f t="shared" si="32"/>
        <v>7.2821425264765802E-2</v>
      </c>
      <c r="J665" s="12">
        <f>G665*(D665*Assumptions!$B$6+E665*Assumptions!$B$7)</f>
        <v>9.5529018184874245E-3</v>
      </c>
    </row>
    <row r="666" spans="1:10" x14ac:dyDescent="0.2">
      <c r="A666" s="2">
        <v>658</v>
      </c>
      <c r="B666" s="14">
        <f>A666*Assumptions!$B$12</f>
        <v>6.58</v>
      </c>
      <c r="C666" s="15">
        <f>IF(A666&lt;=Assumptions!$B$13,IF(OR(A666=0,A666=Assumptions!$B$13),0.5,1),0)*Assumptions!$B$12</f>
        <v>0.01</v>
      </c>
      <c r="D666" s="12">
        <f>D665*(1-Assumptions!$B$12*(Assumptions!$B$5+Assumptions!$B$6))</f>
        <v>0.82083791251317506</v>
      </c>
      <c r="E666" s="12">
        <f>E665+Assumptions!$B$12*(D665*Assumptions!$B$5-E665*Assumptions!$B$7)</f>
        <v>0.10125410370605209</v>
      </c>
      <c r="F666" s="12">
        <f t="shared" si="30"/>
        <v>7.7907983780772849E-2</v>
      </c>
      <c r="G666" s="12">
        <f>EXP(-Assumptions!$B$8*B666)</f>
        <v>0.71964301674707543</v>
      </c>
      <c r="H666" s="12">
        <f t="shared" si="31"/>
        <v>0.59071027162135326</v>
      </c>
      <c r="I666" s="12">
        <f t="shared" si="32"/>
        <v>7.2866808649044559E-2</v>
      </c>
      <c r="J666" s="12">
        <f>G666*(D666*Assumptions!$B$6+E666*Assumptions!$B$7)</f>
        <v>9.5504431486657607E-3</v>
      </c>
    </row>
    <row r="667" spans="1:10" x14ac:dyDescent="0.2">
      <c r="A667" s="2">
        <v>659</v>
      </c>
      <c r="B667" s="14">
        <f>A667*Assumptions!$B$12</f>
        <v>6.59</v>
      </c>
      <c r="C667" s="15">
        <f>IF(A667&lt;=Assumptions!$B$13,IF(OR(A667=0,A667=Assumptions!$B$13),0.5,1),0)*Assumptions!$B$12</f>
        <v>0.01</v>
      </c>
      <c r="D667" s="12">
        <f>D666*(1-Assumptions!$B$12*(Assumptions!$B$5+Assumptions!$B$6))</f>
        <v>0.82059166113942117</v>
      </c>
      <c r="E667" s="12">
        <f>E666+Assumptions!$B$12*(D666*Assumptions!$B$5-E666*Assumptions!$B$7)</f>
        <v>0.10136764423670169</v>
      </c>
      <c r="F667" s="12">
        <f t="shared" si="30"/>
        <v>7.8040694623877138E-2</v>
      </c>
      <c r="G667" s="12">
        <f>EXP(-Assumptions!$B$8*B667)</f>
        <v>0.71928328517908824</v>
      </c>
      <c r="H667" s="12">
        <f t="shared" si="31"/>
        <v>0.59023786581492799</v>
      </c>
      <c r="I667" s="12">
        <f t="shared" si="32"/>
        <v>7.2912052157439858E-2</v>
      </c>
      <c r="J667" s="12">
        <f>G667*(D667*Assumptions!$B$6+E667*Assumptions!$B$7)</f>
        <v>9.547981266021275E-3</v>
      </c>
    </row>
    <row r="668" spans="1:10" x14ac:dyDescent="0.2">
      <c r="A668" s="2">
        <v>660</v>
      </c>
      <c r="B668" s="14">
        <f>A668*Assumptions!$B$12</f>
        <v>6.6000000000000005</v>
      </c>
      <c r="C668" s="15">
        <f>IF(A668&lt;=Assumptions!$B$13,IF(OR(A668=0,A668=Assumptions!$B$13),0.5,1),0)*Assumptions!$B$12</f>
        <v>0.01</v>
      </c>
      <c r="D668" s="12">
        <f>D667*(1-Assumptions!$B$12*(Assumptions!$B$5+Assumptions!$B$6))</f>
        <v>0.8203454836410794</v>
      </c>
      <c r="E668" s="12">
        <f>E667+Assumptions!$B$12*(D667*Assumptions!$B$5-E667*Assumptions!$B$7)</f>
        <v>0.10148107874681123</v>
      </c>
      <c r="F668" s="12">
        <f t="shared" si="30"/>
        <v>7.8173437612109375E-2</v>
      </c>
      <c r="G668" s="12">
        <f>EXP(-Assumptions!$B$8*B668)</f>
        <v>0.71892373343192617</v>
      </c>
      <c r="H668" s="12">
        <f t="shared" si="31"/>
        <v>0.58976583780326397</v>
      </c>
      <c r="I668" s="12">
        <f t="shared" si="32"/>
        <v>7.2957156005356821E-2</v>
      </c>
      <c r="J668" s="12">
        <f>G668*(D668*Assumptions!$B$6+E668*Assumptions!$B$7)</f>
        <v>9.5455161783004807E-3</v>
      </c>
    </row>
    <row r="669" spans="1:10" x14ac:dyDescent="0.2">
      <c r="A669" s="2">
        <v>661</v>
      </c>
      <c r="B669" s="14">
        <f>A669*Assumptions!$B$12</f>
        <v>6.61</v>
      </c>
      <c r="C669" s="15">
        <f>IF(A669&lt;=Assumptions!$B$13,IF(OR(A669=0,A669=Assumptions!$B$13),0.5,1),0)*Assumptions!$B$12</f>
        <v>0.01</v>
      </c>
      <c r="D669" s="12">
        <f>D668*(1-Assumptions!$B$12*(Assumptions!$B$5+Assumptions!$B$6))</f>
        <v>0.82009937999598714</v>
      </c>
      <c r="E669" s="12">
        <f>E668+Assumptions!$B$12*(D668*Assumptions!$B$5-E668*Assumptions!$B$7)</f>
        <v>0.10159440730416604</v>
      </c>
      <c r="F669" s="12">
        <f t="shared" si="30"/>
        <v>7.8306212699846819E-2</v>
      </c>
      <c r="G669" s="12">
        <f>EXP(-Assumptions!$B$8*B669)</f>
        <v>0.71856436141570112</v>
      </c>
      <c r="H669" s="12">
        <f t="shared" si="31"/>
        <v>0.58929418728422889</v>
      </c>
      <c r="I669" s="12">
        <f t="shared" si="32"/>
        <v>7.3002120407924712E-2</v>
      </c>
      <c r="J669" s="12">
        <f>G669*(D669*Assumptions!$B$6+E669*Assumptions!$B$7)</f>
        <v>9.5430478932385255E-3</v>
      </c>
    </row>
    <row r="670" spans="1:10" x14ac:dyDescent="0.2">
      <c r="A670" s="2">
        <v>662</v>
      </c>
      <c r="B670" s="14">
        <f>A670*Assumptions!$B$12</f>
        <v>6.62</v>
      </c>
      <c r="C670" s="15">
        <f>IF(A670&lt;=Assumptions!$B$13,IF(OR(A670=0,A670=Assumptions!$B$13),0.5,1),0)*Assumptions!$B$12</f>
        <v>0.01</v>
      </c>
      <c r="D670" s="12">
        <f>D669*(1-Assumptions!$B$12*(Assumptions!$B$5+Assumptions!$B$6))</f>
        <v>0.81985335018198835</v>
      </c>
      <c r="E670" s="12">
        <f>E669+Assumptions!$B$12*(D669*Assumptions!$B$5-E669*Assumptions!$B$7)</f>
        <v>0.10170762997651316</v>
      </c>
      <c r="F670" s="12">
        <f t="shared" si="30"/>
        <v>7.8439019841498495E-2</v>
      </c>
      <c r="G670" s="12">
        <f>EXP(-Assumptions!$B$8*B670)</f>
        <v>0.7182051690405703</v>
      </c>
      <c r="H670" s="12">
        <f t="shared" si="31"/>
        <v>0.58882291395593278</v>
      </c>
      <c r="I670" s="12">
        <f t="shared" si="32"/>
        <v>7.3046945579997413E-2</v>
      </c>
      <c r="J670" s="12">
        <f>G670*(D670*Assumptions!$B$6+E670*Assumptions!$B$7)</f>
        <v>9.540576418559198E-3</v>
      </c>
    </row>
    <row r="671" spans="1:10" x14ac:dyDescent="0.2">
      <c r="A671" s="2">
        <v>663</v>
      </c>
      <c r="B671" s="14">
        <f>A671*Assumptions!$B$12</f>
        <v>6.63</v>
      </c>
      <c r="C671" s="15">
        <f>IF(A671&lt;=Assumptions!$B$13,IF(OR(A671=0,A671=Assumptions!$B$13),0.5,1),0)*Assumptions!$B$12</f>
        <v>0.01</v>
      </c>
      <c r="D671" s="12">
        <f>D670*(1-Assumptions!$B$12*(Assumptions!$B$5+Assumptions!$B$6))</f>
        <v>0.81960739417693373</v>
      </c>
      <c r="E671" s="12">
        <f>E670+Assumptions!$B$12*(D670*Assumptions!$B$5-E670*Assumptions!$B$7)</f>
        <v>0.1018207468315613</v>
      </c>
      <c r="F671" s="12">
        <f t="shared" si="30"/>
        <v>7.857185899150497E-2</v>
      </c>
      <c r="G671" s="12">
        <f>EXP(-Assumptions!$B$8*B671)</f>
        <v>0.71784615621673542</v>
      </c>
      <c r="H671" s="12">
        <f t="shared" si="31"/>
        <v>0.58835201751672661</v>
      </c>
      <c r="I671" s="12">
        <f t="shared" si="32"/>
        <v>7.3091631736153614E-2</v>
      </c>
      <c r="J671" s="12">
        <f>G671*(D671*Assumptions!$B$6+E671*Assumptions!$B$7)</f>
        <v>9.5381017619749469E-3</v>
      </c>
    </row>
    <row r="672" spans="1:10" x14ac:dyDescent="0.2">
      <c r="A672" s="2">
        <v>664</v>
      </c>
      <c r="B672" s="14">
        <f>A672*Assumptions!$B$12</f>
        <v>6.6400000000000006</v>
      </c>
      <c r="C672" s="15">
        <f>IF(A672&lt;=Assumptions!$B$13,IF(OR(A672=0,A672=Assumptions!$B$13),0.5,1),0)*Assumptions!$B$12</f>
        <v>0.01</v>
      </c>
      <c r="D672" s="12">
        <f>D671*(1-Assumptions!$B$12*(Assumptions!$B$5+Assumptions!$B$6))</f>
        <v>0.81936151195868068</v>
      </c>
      <c r="E672" s="12">
        <f>E671+Assumptions!$B$12*(D671*Assumptions!$B$5-E671*Assumptions!$B$7)</f>
        <v>0.1019337579369809</v>
      </c>
      <c r="F672" s="12">
        <f t="shared" si="30"/>
        <v>7.8704730104338427E-2</v>
      </c>
      <c r="G672" s="12">
        <f>EXP(-Assumptions!$B$8*B672)</f>
        <v>0.71748732285444328</v>
      </c>
      <c r="H672" s="12">
        <f t="shared" si="31"/>
        <v>0.5878814976652027</v>
      </c>
      <c r="I672" s="12">
        <f t="shared" si="32"/>
        <v>7.3136179090697279E-2</v>
      </c>
      <c r="J672" s="12">
        <f>G672*(D672*Assumptions!$B$6+E672*Assumptions!$B$7)</f>
        <v>9.5356239311868915E-3</v>
      </c>
    </row>
    <row r="673" spans="1:10" x14ac:dyDescent="0.2">
      <c r="A673" s="2">
        <v>665</v>
      </c>
      <c r="B673" s="14">
        <f>A673*Assumptions!$B$12</f>
        <v>6.65</v>
      </c>
      <c r="C673" s="15">
        <f>IF(A673&lt;=Assumptions!$B$13,IF(OR(A673=0,A673=Assumptions!$B$13),0.5,1),0)*Assumptions!$B$12</f>
        <v>0.01</v>
      </c>
      <c r="D673" s="12">
        <f>D672*(1-Assumptions!$B$12*(Assumptions!$B$5+Assumptions!$B$6))</f>
        <v>0.81911570350509311</v>
      </c>
      <c r="E673" s="12">
        <f>E672+Assumptions!$B$12*(D672*Assumptions!$B$5-E672*Assumptions!$B$7)</f>
        <v>0.10204666336040415</v>
      </c>
      <c r="F673" s="12">
        <f t="shared" si="30"/>
        <v>7.8837633134502746E-2</v>
      </c>
      <c r="G673" s="12">
        <f>EXP(-Assumptions!$B$8*B673)</f>
        <v>0.71712866886398563</v>
      </c>
      <c r="H673" s="12">
        <f t="shared" si="31"/>
        <v>0.58741135410019452</v>
      </c>
      <c r="I673" s="12">
        <f t="shared" si="32"/>
        <v>7.3180587857657881E-2</v>
      </c>
      <c r="J673" s="12">
        <f>G673*(D673*Assumptions!$B$6+E673*Assumptions!$B$7)</f>
        <v>9.5331429338848406E-3</v>
      </c>
    </row>
    <row r="674" spans="1:10" x14ac:dyDescent="0.2">
      <c r="A674" s="2">
        <v>666</v>
      </c>
      <c r="B674" s="14">
        <f>A674*Assumptions!$B$12</f>
        <v>6.66</v>
      </c>
      <c r="C674" s="15">
        <f>IF(A674&lt;=Assumptions!$B$13,IF(OR(A674=0,A674=Assumptions!$B$13),0.5,1),0)*Assumptions!$B$12</f>
        <v>0.01</v>
      </c>
      <c r="D674" s="12">
        <f>D673*(1-Assumptions!$B$12*(Assumptions!$B$5+Assumptions!$B$6))</f>
        <v>0.81886996879404161</v>
      </c>
      <c r="E674" s="12">
        <f>E673+Assumptions!$B$12*(D673*Assumptions!$B$5-E673*Assumptions!$B$7)</f>
        <v>0.10215946316942497</v>
      </c>
      <c r="F674" s="12">
        <f t="shared" si="30"/>
        <v>7.897056803653342E-2</v>
      </c>
      <c r="G674" s="12">
        <f>EXP(-Assumptions!$B$8*B674)</f>
        <v>0.71677019415569898</v>
      </c>
      <c r="H674" s="12">
        <f t="shared" si="31"/>
        <v>0.58694158652077633</v>
      </c>
      <c r="I674" s="12">
        <f t="shared" si="32"/>
        <v>7.3224858250790711E-2</v>
      </c>
      <c r="J674" s="12">
        <f>G674*(D674*Assumptions!$B$6+E674*Assumptions!$B$7)</f>
        <v>9.5306587777472997E-3</v>
      </c>
    </row>
    <row r="675" spans="1:10" x14ac:dyDescent="0.2">
      <c r="A675" s="2">
        <v>667</v>
      </c>
      <c r="B675" s="14">
        <f>A675*Assumptions!$B$12</f>
        <v>6.67</v>
      </c>
      <c r="C675" s="15">
        <f>IF(A675&lt;=Assumptions!$B$13,IF(OR(A675=0,A675=Assumptions!$B$13),0.5,1),0)*Assumptions!$B$12</f>
        <v>0.01</v>
      </c>
      <c r="D675" s="12">
        <f>D674*(1-Assumptions!$B$12*(Assumptions!$B$5+Assumptions!$B$6))</f>
        <v>0.81862430780340345</v>
      </c>
      <c r="E675" s="12">
        <f>E674+Assumptions!$B$12*(D674*Assumptions!$B$5-E674*Assumptions!$B$7)</f>
        <v>0.10227215743159906</v>
      </c>
      <c r="F675" s="12">
        <f t="shared" si="30"/>
        <v>7.9103534764997485E-2</v>
      </c>
      <c r="G675" s="12">
        <f>EXP(-Assumptions!$B$8*B675)</f>
        <v>0.71641189863996446</v>
      </c>
      <c r="H675" s="12">
        <f t="shared" si="31"/>
        <v>0.58647219462626299</v>
      </c>
      <c r="I675" s="12">
        <f t="shared" si="32"/>
        <v>7.326899048357724E-2</v>
      </c>
      <c r="J675" s="12">
        <f>G675*(D675*Assumptions!$B$6+E675*Assumptions!$B$7)</f>
        <v>9.5281714704414915E-3</v>
      </c>
    </row>
    <row r="676" spans="1:10" x14ac:dyDescent="0.2">
      <c r="A676" s="2">
        <v>668</v>
      </c>
      <c r="B676" s="14">
        <f>A676*Assumptions!$B$12</f>
        <v>6.68</v>
      </c>
      <c r="C676" s="15">
        <f>IF(A676&lt;=Assumptions!$B$13,IF(OR(A676=0,A676=Assumptions!$B$13),0.5,1),0)*Assumptions!$B$12</f>
        <v>0.01</v>
      </c>
      <c r="D676" s="12">
        <f>D675*(1-Assumptions!$B$12*(Assumptions!$B$5+Assumptions!$B$6))</f>
        <v>0.81837872051106242</v>
      </c>
      <c r="E676" s="12">
        <f>E675+Assumptions!$B$12*(D675*Assumptions!$B$5-E675*Assumptions!$B$7)</f>
        <v>0.10238474621444395</v>
      </c>
      <c r="F676" s="12">
        <f t="shared" si="30"/>
        <v>7.9236533274493634E-2</v>
      </c>
      <c r="G676" s="12">
        <f>EXP(-Assumptions!$B$8*B676)</f>
        <v>0.7160537822272085</v>
      </c>
      <c r="H676" s="12">
        <f t="shared" si="31"/>
        <v>0.58600317811620983</v>
      </c>
      <c r="I676" s="12">
        <f t="shared" si="32"/>
        <v>7.3312984769225459E-2</v>
      </c>
      <c r="J676" s="12">
        <f>G676*(D676*Assumptions!$B$6+E676*Assumptions!$B$7)</f>
        <v>9.52568101962337E-3</v>
      </c>
    </row>
    <row r="677" spans="1:10" x14ac:dyDescent="0.2">
      <c r="A677" s="2">
        <v>669</v>
      </c>
      <c r="B677" s="14">
        <f>A677*Assumptions!$B$12</f>
        <v>6.69</v>
      </c>
      <c r="C677" s="15">
        <f>IF(A677&lt;=Assumptions!$B$13,IF(OR(A677=0,A677=Assumptions!$B$13),0.5,1),0)*Assumptions!$B$12</f>
        <v>0.01</v>
      </c>
      <c r="D677" s="12">
        <f>D676*(1-Assumptions!$B$12*(Assumptions!$B$5+Assumptions!$B$6))</f>
        <v>0.81813320689490909</v>
      </c>
      <c r="E677" s="12">
        <f>E676+Assumptions!$B$12*(D676*Assumptions!$B$5-E676*Assumptions!$B$7)</f>
        <v>0.10249722958543894</v>
      </c>
      <c r="F677" s="12">
        <f t="shared" si="30"/>
        <v>7.9369563519651964E-2</v>
      </c>
      <c r="G677" s="12">
        <f>EXP(-Assumptions!$B$8*B677)</f>
        <v>0.71569584482790172</v>
      </c>
      <c r="H677" s="12">
        <f t="shared" si="31"/>
        <v>0.58553453669041244</v>
      </c>
      <c r="I677" s="12">
        <f t="shared" si="32"/>
        <v>7.3356841320670121E-2</v>
      </c>
      <c r="J677" s="12">
        <f>G677*(D677*Assumptions!$B$6+E677*Assumptions!$B$7)</f>
        <v>9.5231874329376309E-3</v>
      </c>
    </row>
    <row r="678" spans="1:10" x14ac:dyDescent="0.2">
      <c r="A678" s="2">
        <v>670</v>
      </c>
      <c r="B678" s="14">
        <f>A678*Assumptions!$B$12</f>
        <v>6.7</v>
      </c>
      <c r="C678" s="15">
        <f>IF(A678&lt;=Assumptions!$B$13,IF(OR(A678=0,A678=Assumptions!$B$13),0.5,1),0)*Assumptions!$B$12</f>
        <v>0.01</v>
      </c>
      <c r="D678" s="12">
        <f>D677*(1-Assumptions!$B$12*(Assumptions!$B$5+Assumptions!$B$6))</f>
        <v>0.8178877669328406</v>
      </c>
      <c r="E678" s="12">
        <f>E677+Assumptions!$B$12*(D677*Assumptions!$B$5-E677*Assumptions!$B$7)</f>
        <v>0.1026096076120252</v>
      </c>
      <c r="F678" s="12">
        <f t="shared" si="30"/>
        <v>7.9502625455134202E-2</v>
      </c>
      <c r="G678" s="12">
        <f>EXP(-Assumptions!$B$8*B678)</f>
        <v>0.71533808635255991</v>
      </c>
      <c r="H678" s="12">
        <f t="shared" si="31"/>
        <v>0.58506627004890677</v>
      </c>
      <c r="I678" s="12">
        <f t="shared" si="32"/>
        <v>7.3400560350573171E-2</v>
      </c>
      <c r="J678" s="12">
        <f>G678*(D678*Assumptions!$B$6+E678*Assumptions!$B$7)</f>
        <v>9.5206907180177269E-3</v>
      </c>
    </row>
    <row r="679" spans="1:10" x14ac:dyDescent="0.2">
      <c r="A679" s="2">
        <v>671</v>
      </c>
      <c r="B679" s="14">
        <f>A679*Assumptions!$B$12</f>
        <v>6.71</v>
      </c>
      <c r="C679" s="15">
        <f>IF(A679&lt;=Assumptions!$B$13,IF(OR(A679=0,A679=Assumptions!$B$13),0.5,1),0)*Assumptions!$B$12</f>
        <v>0.01</v>
      </c>
      <c r="D679" s="12">
        <f>D678*(1-Assumptions!$B$12*(Assumptions!$B$5+Assumptions!$B$6))</f>
        <v>0.81764240060276072</v>
      </c>
      <c r="E679" s="12">
        <f>E678+Assumptions!$B$12*(D678*Assumptions!$B$5-E678*Assumptions!$B$7)</f>
        <v>0.10272188036160576</v>
      </c>
      <c r="F679" s="12">
        <f t="shared" si="30"/>
        <v>7.9635719035633518E-2</v>
      </c>
      <c r="G679" s="12">
        <f>EXP(-Assumptions!$B$8*B679)</f>
        <v>0.7149805067117434</v>
      </c>
      <c r="H679" s="12">
        <f t="shared" si="31"/>
        <v>0.58459837789196811</v>
      </c>
      <c r="I679" s="12">
        <f t="shared" si="32"/>
        <v>7.3444142071323965E-2</v>
      </c>
      <c r="J679" s="12">
        <f>G679*(D679*Assumptions!$B$6+E679*Assumptions!$B$7)</f>
        <v>9.5181908824858805E-3</v>
      </c>
    </row>
    <row r="680" spans="1:10" x14ac:dyDescent="0.2">
      <c r="A680" s="2">
        <v>672</v>
      </c>
      <c r="B680" s="14">
        <f>A680*Assumptions!$B$12</f>
        <v>6.72</v>
      </c>
      <c r="C680" s="15">
        <f>IF(A680&lt;=Assumptions!$B$13,IF(OR(A680=0,A680=Assumptions!$B$13),0.5,1),0)*Assumptions!$B$12</f>
        <v>0.01</v>
      </c>
      <c r="D680" s="12">
        <f>D679*(1-Assumptions!$B$12*(Assumptions!$B$5+Assumptions!$B$6))</f>
        <v>0.81739710788257991</v>
      </c>
      <c r="E680" s="12">
        <f>E679+Assumptions!$B$12*(D679*Assumptions!$B$5-E679*Assumptions!$B$7)</f>
        <v>0.10283404790154552</v>
      </c>
      <c r="F680" s="12">
        <f t="shared" si="30"/>
        <v>7.9768844215874574E-2</v>
      </c>
      <c r="G680" s="12">
        <f>EXP(-Assumptions!$B$8*B680)</f>
        <v>0.71462310581605726</v>
      </c>
      <c r="H680" s="12">
        <f t="shared" si="31"/>
        <v>0.58413085992011204</v>
      </c>
      <c r="I680" s="12">
        <f t="shared" si="32"/>
        <v>7.3487586695039658E-2</v>
      </c>
      <c r="J680" s="12">
        <f>G680*(D680*Assumptions!$B$6+E680*Assumptions!$B$7)</f>
        <v>9.5156879339531042E-3</v>
      </c>
    </row>
    <row r="681" spans="1:10" x14ac:dyDescent="0.2">
      <c r="A681" s="2">
        <v>673</v>
      </c>
      <c r="B681" s="14">
        <f>A681*Assumptions!$B$12</f>
        <v>6.73</v>
      </c>
      <c r="C681" s="15">
        <f>IF(A681&lt;=Assumptions!$B$13,IF(OR(A681=0,A681=Assumptions!$B$13),0.5,1),0)*Assumptions!$B$12</f>
        <v>0.01</v>
      </c>
      <c r="D681" s="12">
        <f>D680*(1-Assumptions!$B$12*(Assumptions!$B$5+Assumptions!$B$6))</f>
        <v>0.81715188875021516</v>
      </c>
      <c r="E681" s="12">
        <f>E680+Assumptions!$B$12*(D680*Assumptions!$B$5-E680*Assumptions!$B$7)</f>
        <v>0.10294611029917126</v>
      </c>
      <c r="F681" s="12">
        <f t="shared" si="30"/>
        <v>7.9902000950613575E-2</v>
      </c>
      <c r="G681" s="12">
        <f>EXP(-Assumptions!$B$8*B681)</f>
        <v>0.71426588357615139</v>
      </c>
      <c r="H681" s="12">
        <f t="shared" si="31"/>
        <v>0.58366371583409338</v>
      </c>
      <c r="I681" s="12">
        <f t="shared" si="32"/>
        <v>7.3530894433565502E-2</v>
      </c>
      <c r="J681" s="12">
        <f>G681*(D681*Assumptions!$B$6+E681*Assumptions!$B$7)</f>
        <v>9.5131818800192093E-3</v>
      </c>
    </row>
    <row r="682" spans="1:10" x14ac:dyDescent="0.2">
      <c r="A682" s="2">
        <v>674</v>
      </c>
      <c r="B682" s="14">
        <f>A682*Assumptions!$B$12</f>
        <v>6.74</v>
      </c>
      <c r="C682" s="15">
        <f>IF(A682&lt;=Assumptions!$B$13,IF(OR(A682=0,A682=Assumptions!$B$13),0.5,1),0)*Assumptions!$B$12</f>
        <v>0.01</v>
      </c>
      <c r="D682" s="12">
        <f>D681*(1-Assumptions!$B$12*(Assumptions!$B$5+Assumptions!$B$6))</f>
        <v>0.81690674318359013</v>
      </c>
      <c r="E682" s="12">
        <f>E681+Assumptions!$B$12*(D681*Assumptions!$B$5-E681*Assumptions!$B$7)</f>
        <v>0.10305806762177172</v>
      </c>
      <c r="F682" s="12">
        <f t="shared" si="30"/>
        <v>8.0035189194638146E-2</v>
      </c>
      <c r="G682" s="12">
        <f>EXP(-Assumptions!$B$8*B682)</f>
        <v>0.71390883990272003</v>
      </c>
      <c r="H682" s="12">
        <f t="shared" si="31"/>
        <v>0.58319694533490607</v>
      </c>
      <c r="I682" s="12">
        <f t="shared" si="32"/>
        <v>7.3574065498475116E-2</v>
      </c>
      <c r="J682" s="12">
        <f>G682*(D682*Assumptions!$B$6+E682*Assumptions!$B$7)</f>
        <v>9.5106727282728166E-3</v>
      </c>
    </row>
    <row r="683" spans="1:10" x14ac:dyDescent="0.2">
      <c r="A683" s="2">
        <v>675</v>
      </c>
      <c r="B683" s="14">
        <f>A683*Assumptions!$B$12</f>
        <v>6.75</v>
      </c>
      <c r="C683" s="15">
        <f>IF(A683&lt;=Assumptions!$B$13,IF(OR(A683=0,A683=Assumptions!$B$13),0.5,1),0)*Assumptions!$B$12</f>
        <v>0.01</v>
      </c>
      <c r="D683" s="12">
        <f>D682*(1-Assumptions!$B$12*(Assumptions!$B$5+Assumptions!$B$6))</f>
        <v>0.81666167116063504</v>
      </c>
      <c r="E683" s="12">
        <f>E682+Assumptions!$B$12*(D682*Assumptions!$B$5-E682*Assumptions!$B$7)</f>
        <v>0.10316991993659755</v>
      </c>
      <c r="F683" s="12">
        <f t="shared" si="30"/>
        <v>8.0168408902767413E-2</v>
      </c>
      <c r="G683" s="12">
        <f>EXP(-Assumptions!$B$8*B683)</f>
        <v>0.71355197470650245</v>
      </c>
      <c r="H683" s="12">
        <f t="shared" si="31"/>
        <v>0.58273054812378344</v>
      </c>
      <c r="I683" s="12">
        <f t="shared" si="32"/>
        <v>7.3617100101070934E-2</v>
      </c>
      <c r="J683" s="12">
        <f>G683*(D683*Assumptions!$B$6+E683*Assumptions!$B$7)</f>
        <v>9.508160486291382E-3</v>
      </c>
    </row>
    <row r="684" spans="1:10" x14ac:dyDescent="0.2">
      <c r="A684" s="2">
        <v>676</v>
      </c>
      <c r="B684" s="14">
        <f>A684*Assumptions!$B$12</f>
        <v>6.76</v>
      </c>
      <c r="C684" s="15">
        <f>IF(A684&lt;=Assumptions!$B$13,IF(OR(A684=0,A684=Assumptions!$B$13),0.5,1),0)*Assumptions!$B$12</f>
        <v>0.01</v>
      </c>
      <c r="D684" s="12">
        <f>D683*(1-Assumptions!$B$12*(Assumptions!$B$5+Assumptions!$B$6))</f>
        <v>0.81641667265928686</v>
      </c>
      <c r="E684" s="12">
        <f>E683+Assumptions!$B$12*(D683*Assumptions!$B$5-E683*Assumptions!$B$7)</f>
        <v>0.10328166731086137</v>
      </c>
      <c r="F684" s="12">
        <f t="shared" si="30"/>
        <v>8.0301660029851771E-2</v>
      </c>
      <c r="G684" s="12">
        <f>EXP(-Assumptions!$B$8*B684)</f>
        <v>0.71319528789828224</v>
      </c>
      <c r="H684" s="12">
        <f t="shared" si="31"/>
        <v>0.58226452390219774</v>
      </c>
      <c r="I684" s="12">
        <f t="shared" si="32"/>
        <v>7.3659998452384384E-2</v>
      </c>
      <c r="J684" s="12">
        <f>G684*(D684*Assumptions!$B$6+E684*Assumptions!$B$7)</f>
        <v>9.505645161641197E-3</v>
      </c>
    </row>
    <row r="685" spans="1:10" x14ac:dyDescent="0.2">
      <c r="A685" s="2">
        <v>677</v>
      </c>
      <c r="B685" s="14">
        <f>A685*Assumptions!$B$12</f>
        <v>6.7700000000000005</v>
      </c>
      <c r="C685" s="15">
        <f>IF(A685&lt;=Assumptions!$B$13,IF(OR(A685=0,A685=Assumptions!$B$13),0.5,1),0)*Assumptions!$B$12</f>
        <v>0.01</v>
      </c>
      <c r="D685" s="12">
        <f>D684*(1-Assumptions!$B$12*(Assumptions!$B$5+Assumptions!$B$6))</f>
        <v>0.81617174765748912</v>
      </c>
      <c r="E685" s="12">
        <f>E684+Assumptions!$B$12*(D684*Assumptions!$B$5-E684*Assumptions!$B$7)</f>
        <v>0.1033933098117378</v>
      </c>
      <c r="F685" s="12">
        <f t="shared" si="30"/>
        <v>8.0434942530773074E-2</v>
      </c>
      <c r="G685" s="12">
        <f>EXP(-Assumptions!$B$8*B685)</f>
        <v>0.71283877938888773</v>
      </c>
      <c r="H685" s="12">
        <f t="shared" si="31"/>
        <v>0.58179887237185979</v>
      </c>
      <c r="I685" s="12">
        <f t="shared" si="32"/>
        <v>7.3702760763176292E-2</v>
      </c>
      <c r="J685" s="12">
        <f>G685*(D685*Assumptions!$B$6+E685*Assumptions!$B$7)</f>
        <v>9.5031267618774125E-3</v>
      </c>
    </row>
    <row r="686" spans="1:10" x14ac:dyDescent="0.2">
      <c r="A686" s="2">
        <v>678</v>
      </c>
      <c r="B686" s="14">
        <f>A686*Assumptions!$B$12</f>
        <v>6.78</v>
      </c>
      <c r="C686" s="15">
        <f>IF(A686&lt;=Assumptions!$B$13,IF(OR(A686=0,A686=Assumptions!$B$13),0.5,1),0)*Assumptions!$B$12</f>
        <v>0.01</v>
      </c>
      <c r="D686" s="12">
        <f>D685*(1-Assumptions!$B$12*(Assumptions!$B$5+Assumptions!$B$6))</f>
        <v>0.81592689613319191</v>
      </c>
      <c r="E686" s="12">
        <f>E685+Assumptions!$B$12*(D685*Assumptions!$B$5-E685*Assumptions!$B$7)</f>
        <v>0.10350484750636343</v>
      </c>
      <c r="F686" s="12">
        <f t="shared" si="30"/>
        <v>8.0568256360444651E-2</v>
      </c>
      <c r="G686" s="12">
        <f>EXP(-Assumptions!$B$8*B686)</f>
        <v>0.71248244908919178</v>
      </c>
      <c r="H686" s="12">
        <f t="shared" si="31"/>
        <v>0.58133359323471923</v>
      </c>
      <c r="I686" s="12">
        <f t="shared" si="32"/>
        <v>7.3745387243937144E-2</v>
      </c>
      <c r="J686" s="12">
        <f>G686*(D686*Assumptions!$B$6+E686*Assumptions!$B$7)</f>
        <v>9.5006052945440494E-3</v>
      </c>
    </row>
    <row r="687" spans="1:10" x14ac:dyDescent="0.2">
      <c r="A687" s="2">
        <v>679</v>
      </c>
      <c r="B687" s="14">
        <f>A687*Assumptions!$B$12</f>
        <v>6.79</v>
      </c>
      <c r="C687" s="15">
        <f>IF(A687&lt;=Assumptions!$B$13,IF(OR(A687=0,A687=Assumptions!$B$13),0.5,1),0)*Assumptions!$B$12</f>
        <v>0.01</v>
      </c>
      <c r="D687" s="12">
        <f>D686*(1-Assumptions!$B$12*(Assumptions!$B$5+Assumptions!$B$6))</f>
        <v>0.81568211806435198</v>
      </c>
      <c r="E687" s="12">
        <f>E686+Assumptions!$B$12*(D686*Assumptions!$B$5-E686*Assumptions!$B$7)</f>
        <v>0.10361628046183689</v>
      </c>
      <c r="F687" s="12">
        <f t="shared" si="30"/>
        <v>8.0701601473811127E-2</v>
      </c>
      <c r="G687" s="12">
        <f>EXP(-Assumptions!$B$8*B687)</f>
        <v>0.71212629691011176</v>
      </c>
      <c r="H687" s="12">
        <f t="shared" si="31"/>
        <v>0.5808686861929635</v>
      </c>
      <c r="I687" s="12">
        <f t="shared" si="32"/>
        <v>7.3787878104887475E-2</v>
      </c>
      <c r="J687" s="12">
        <f>G687*(D687*Assumptions!$B$6+E687*Assumptions!$B$7)</f>
        <v>9.4980807671740091E-3</v>
      </c>
    </row>
    <row r="688" spans="1:10" x14ac:dyDescent="0.2">
      <c r="A688" s="2">
        <v>680</v>
      </c>
      <c r="B688" s="14">
        <f>A688*Assumptions!$B$12</f>
        <v>6.8</v>
      </c>
      <c r="C688" s="15">
        <f>IF(A688&lt;=Assumptions!$B$13,IF(OR(A688=0,A688=Assumptions!$B$13),0.5,1),0)*Assumptions!$B$12</f>
        <v>0.01</v>
      </c>
      <c r="D688" s="12">
        <f>D687*(1-Assumptions!$B$12*(Assumptions!$B$5+Assumptions!$B$6))</f>
        <v>0.81543741342893272</v>
      </c>
      <c r="E688" s="12">
        <f>E687+Assumptions!$B$12*(D687*Assumptions!$B$5-E687*Assumptions!$B$7)</f>
        <v>0.10372760874521884</v>
      </c>
      <c r="F688" s="12">
        <f t="shared" si="30"/>
        <v>8.0834977825848434E-2</v>
      </c>
      <c r="G688" s="12">
        <f>EXP(-Assumptions!$B$8*B688)</f>
        <v>0.71177032276260965</v>
      </c>
      <c r="H688" s="12">
        <f t="shared" si="31"/>
        <v>0.58040415094901898</v>
      </c>
      <c r="I688" s="12">
        <f t="shared" si="32"/>
        <v>7.3830233555978106E-2</v>
      </c>
      <c r="J688" s="12">
        <f>G688*(D688*Assumptions!$B$6+E688*Assumptions!$B$7)</f>
        <v>9.4955531872890943E-3</v>
      </c>
    </row>
    <row r="689" spans="1:10" x14ac:dyDescent="0.2">
      <c r="A689" s="2">
        <v>681</v>
      </c>
      <c r="B689" s="14">
        <f>A689*Assumptions!$B$12</f>
        <v>6.8100000000000005</v>
      </c>
      <c r="C689" s="15">
        <f>IF(A689&lt;=Assumptions!$B$13,IF(OR(A689=0,A689=Assumptions!$B$13),0.5,1),0)*Assumptions!$B$12</f>
        <v>0.01</v>
      </c>
      <c r="D689" s="12">
        <f>D688*(1-Assumptions!$B$12*(Assumptions!$B$5+Assumptions!$B$6))</f>
        <v>0.8151927822049041</v>
      </c>
      <c r="E689" s="12">
        <f>E688+Assumptions!$B$12*(D688*Assumptions!$B$5-E688*Assumptions!$B$7)</f>
        <v>0.10383883242353202</v>
      </c>
      <c r="F689" s="12">
        <f t="shared" si="30"/>
        <v>8.0968385371563881E-2</v>
      </c>
      <c r="G689" s="12">
        <f>EXP(-Assumptions!$B$8*B689)</f>
        <v>0.711414526557692</v>
      </c>
      <c r="H689" s="12">
        <f t="shared" si="31"/>
        <v>0.57993998720554962</v>
      </c>
      <c r="I689" s="12">
        <f t="shared" si="32"/>
        <v>7.3872453806890545E-2</v>
      </c>
      <c r="J689" s="12">
        <f>G689*(D689*Assumptions!$B$6+E689*Assumptions!$B$7)</f>
        <v>9.4930225624000244E-3</v>
      </c>
    </row>
    <row r="690" spans="1:10" x14ac:dyDescent="0.2">
      <c r="A690" s="2">
        <v>682</v>
      </c>
      <c r="B690" s="14">
        <f>A690*Assumptions!$B$12</f>
        <v>6.82</v>
      </c>
      <c r="C690" s="15">
        <f>IF(A690&lt;=Assumptions!$B$13,IF(OR(A690=0,A690=Assumptions!$B$13),0.5,1),0)*Assumptions!$B$12</f>
        <v>0.01</v>
      </c>
      <c r="D690" s="12">
        <f>D689*(1-Assumptions!$B$12*(Assumptions!$B$5+Assumptions!$B$6))</f>
        <v>0.81494822437024261</v>
      </c>
      <c r="E690" s="12">
        <f>E689+Assumptions!$B$12*(D689*Assumptions!$B$5-E689*Assumptions!$B$7)</f>
        <v>0.10394995156376123</v>
      </c>
      <c r="F690" s="12">
        <f t="shared" si="30"/>
        <v>8.1101824065996156E-2</v>
      </c>
      <c r="G690" s="12">
        <f>EXP(-Assumptions!$B$8*B690)</f>
        <v>0.71105890820640971</v>
      </c>
      <c r="H690" s="12">
        <f t="shared" si="31"/>
        <v>0.57947619466545697</v>
      </c>
      <c r="I690" s="12">
        <f t="shared" si="32"/>
        <v>7.3914539067037238E-2</v>
      </c>
      <c r="J690" s="12">
        <f>G690*(D690*Assumptions!$B$6+E690*Assumptions!$B$7)</f>
        <v>9.4904889000064305E-3</v>
      </c>
    </row>
    <row r="691" spans="1:10" x14ac:dyDescent="0.2">
      <c r="A691" s="2">
        <v>683</v>
      </c>
      <c r="B691" s="14">
        <f>A691*Assumptions!$B$12</f>
        <v>6.83</v>
      </c>
      <c r="C691" s="15">
        <f>IF(A691&lt;=Assumptions!$B$13,IF(OR(A691=0,A691=Assumptions!$B$13),0.5,1),0)*Assumptions!$B$12</f>
        <v>0.01</v>
      </c>
      <c r="D691" s="12">
        <f>D690*(1-Assumptions!$B$12*(Assumptions!$B$5+Assumptions!$B$6))</f>
        <v>0.81470373990293155</v>
      </c>
      <c r="E691" s="12">
        <f>E690+Assumptions!$B$12*(D690*Assumptions!$B$5-E690*Assumptions!$B$7)</f>
        <v>0.10406096623285339</v>
      </c>
      <c r="F691" s="12">
        <f t="shared" si="30"/>
        <v>8.1235293864215061E-2</v>
      </c>
      <c r="G691" s="12">
        <f>EXP(-Assumptions!$B$8*B691)</f>
        <v>0.71070346761985814</v>
      </c>
      <c r="H691" s="12">
        <f t="shared" si="31"/>
        <v>0.57901277303188048</v>
      </c>
      <c r="I691" s="12">
        <f t="shared" si="32"/>
        <v>7.3956489545561874E-2</v>
      </c>
      <c r="J691" s="12">
        <f>G691*(D691*Assumptions!$B$6+E691*Assumptions!$B$7)</f>
        <v>9.4879522075968989E-3</v>
      </c>
    </row>
    <row r="692" spans="1:10" x14ac:dyDescent="0.2">
      <c r="A692" s="2">
        <v>684</v>
      </c>
      <c r="B692" s="14">
        <f>A692*Assumptions!$B$12</f>
        <v>6.84</v>
      </c>
      <c r="C692" s="15">
        <f>IF(A692&lt;=Assumptions!$B$13,IF(OR(A692=0,A692=Assumptions!$B$13),0.5,1),0)*Assumptions!$B$12</f>
        <v>0.01</v>
      </c>
      <c r="D692" s="12">
        <f>D691*(1-Assumptions!$B$12*(Assumptions!$B$5+Assumptions!$B$6))</f>
        <v>0.81445932878096072</v>
      </c>
      <c r="E692" s="12">
        <f>E691+Assumptions!$B$12*(D691*Assumptions!$B$5-E691*Assumptions!$B$7)</f>
        <v>0.10417187649771756</v>
      </c>
      <c r="F692" s="12">
        <f t="shared" si="30"/>
        <v>8.1368794721321719E-2</v>
      </c>
      <c r="G692" s="12">
        <f>EXP(-Assumptions!$B$8*B692)</f>
        <v>0.71034820470917726</v>
      </c>
      <c r="H692" s="12">
        <f t="shared" si="31"/>
        <v>0.57854972200819699</v>
      </c>
      <c r="I692" s="12">
        <f t="shared" si="32"/>
        <v>7.3998305451339799E-2</v>
      </c>
      <c r="J692" s="12">
        <f>G692*(D692*Assumptions!$B$6+E692*Assumptions!$B$7)</f>
        <v>9.4854124926489619E-3</v>
      </c>
    </row>
    <row r="693" spans="1:10" x14ac:dyDescent="0.2">
      <c r="A693" s="2">
        <v>685</v>
      </c>
      <c r="B693" s="14">
        <f>A693*Assumptions!$B$12</f>
        <v>6.8500000000000005</v>
      </c>
      <c r="C693" s="15">
        <f>IF(A693&lt;=Assumptions!$B$13,IF(OR(A693=0,A693=Assumptions!$B$13),0.5,1),0)*Assumptions!$B$12</f>
        <v>0.01</v>
      </c>
      <c r="D693" s="12">
        <f>D692*(1-Assumptions!$B$12*(Assumptions!$B$5+Assumptions!$B$6))</f>
        <v>0.81421499098232641</v>
      </c>
      <c r="E693" s="12">
        <f>E692+Assumptions!$B$12*(D692*Assumptions!$B$5-E692*Assumptions!$B$7)</f>
        <v>0.1042826824252249</v>
      </c>
      <c r="F693" s="12">
        <f t="shared" si="30"/>
        <v>8.1502326592448687E-2</v>
      </c>
      <c r="G693" s="12">
        <f>EXP(-Assumptions!$B$8*B693)</f>
        <v>0.70999311938555121</v>
      </c>
      <c r="H693" s="12">
        <f t="shared" si="31"/>
        <v>0.57808704129802035</v>
      </c>
      <c r="I693" s="12">
        <f t="shared" si="32"/>
        <v>7.4039986992978229E-2</v>
      </c>
      <c r="J693" s="12">
        <f>G693*(D693*Assumptions!$B$6+E693*Assumptions!$B$7)</f>
        <v>9.4828697626291158E-3</v>
      </c>
    </row>
    <row r="694" spans="1:10" x14ac:dyDescent="0.2">
      <c r="A694" s="2">
        <v>686</v>
      </c>
      <c r="B694" s="14">
        <f>A694*Assumptions!$B$12</f>
        <v>6.86</v>
      </c>
      <c r="C694" s="15">
        <f>IF(A694&lt;=Assumptions!$B$13,IF(OR(A694=0,A694=Assumptions!$B$13),0.5,1),0)*Assumptions!$B$12</f>
        <v>0.01</v>
      </c>
      <c r="D694" s="12">
        <f>D693*(1-Assumptions!$B$12*(Assumptions!$B$5+Assumptions!$B$6))</f>
        <v>0.81397072648503177</v>
      </c>
      <c r="E694" s="12">
        <f>E693+Assumptions!$B$12*(D693*Assumptions!$B$5-E693*Assumptions!$B$7)</f>
        <v>0.10439338408220875</v>
      </c>
      <c r="F694" s="12">
        <f t="shared" si="30"/>
        <v>8.1635889432759484E-2</v>
      </c>
      <c r="G694" s="12">
        <f>EXP(-Assumptions!$B$8*B694)</f>
        <v>0.70963821156020868</v>
      </c>
      <c r="H694" s="12">
        <f t="shared" si="31"/>
        <v>0.5776247306052017</v>
      </c>
      <c r="I694" s="12">
        <f t="shared" si="32"/>
        <v>7.4081534378816566E-2</v>
      </c>
      <c r="J694" s="12">
        <f>G694*(D694*Assumptions!$B$6+E694*Assumptions!$B$7)</f>
        <v>9.4803240249928464E-3</v>
      </c>
    </row>
    <row r="695" spans="1:10" x14ac:dyDescent="0.2">
      <c r="A695" s="2">
        <v>687</v>
      </c>
      <c r="B695" s="14">
        <f>A695*Assumptions!$B$12</f>
        <v>6.87</v>
      </c>
      <c r="C695" s="15">
        <f>IF(A695&lt;=Assumptions!$B$13,IF(OR(A695=0,A695=Assumptions!$B$13),0.5,1),0)*Assumptions!$B$12</f>
        <v>0.01</v>
      </c>
      <c r="D695" s="12">
        <f>D694*(1-Assumptions!$B$12*(Assumptions!$B$5+Assumptions!$B$6))</f>
        <v>0.81372653526708627</v>
      </c>
      <c r="E695" s="12">
        <f>E694+Assumptions!$B$12*(D694*Assumptions!$B$5-E694*Assumptions!$B$7)</f>
        <v>0.10450398153546464</v>
      </c>
      <c r="F695" s="12">
        <f t="shared" si="30"/>
        <v>8.1769483197449089E-2</v>
      </c>
      <c r="G695" s="12">
        <f>EXP(-Assumptions!$B$8*B695)</f>
        <v>0.70928348114442263</v>
      </c>
      <c r="H695" s="12">
        <f t="shared" si="31"/>
        <v>0.57716278963382872</v>
      </c>
      <c r="I695" s="12">
        <f t="shared" si="32"/>
        <v>7.4122947816926826E-2</v>
      </c>
      <c r="J695" s="12">
        <f>G695*(D695*Assumptions!$B$6+E695*Assumptions!$B$7)</f>
        <v>9.4777752871846293E-3</v>
      </c>
    </row>
    <row r="696" spans="1:10" x14ac:dyDescent="0.2">
      <c r="A696" s="2">
        <v>688</v>
      </c>
      <c r="B696" s="14">
        <f>A696*Assumptions!$B$12</f>
        <v>6.88</v>
      </c>
      <c r="C696" s="15">
        <f>IF(A696&lt;=Assumptions!$B$13,IF(OR(A696=0,A696=Assumptions!$B$13),0.5,1),0)*Assumptions!$B$12</f>
        <v>0.01</v>
      </c>
      <c r="D696" s="12">
        <f>D695*(1-Assumptions!$B$12*(Assumptions!$B$5+Assumptions!$B$6))</f>
        <v>0.81348241730650617</v>
      </c>
      <c r="E696" s="12">
        <f>E695+Assumptions!$B$12*(D695*Assumptions!$B$5-E695*Assumptions!$B$7)</f>
        <v>0.10461447485175032</v>
      </c>
      <c r="F696" s="12">
        <f t="shared" si="30"/>
        <v>8.1903107841743511E-2</v>
      </c>
      <c r="G696" s="12">
        <f>EXP(-Assumptions!$B$8*B696)</f>
        <v>0.70892892804951069</v>
      </c>
      <c r="H696" s="12">
        <f t="shared" si="31"/>
        <v>0.57670121808822616</v>
      </c>
      <c r="I696" s="12">
        <f t="shared" si="32"/>
        <v>7.4164227515113854E-2</v>
      </c>
      <c r="J696" s="12">
        <f>G696*(D696*Assumptions!$B$6+E696*Assumptions!$B$7)</f>
        <v>9.4752235566379524E-3</v>
      </c>
    </row>
    <row r="697" spans="1:10" x14ac:dyDescent="0.2">
      <c r="A697" s="2">
        <v>689</v>
      </c>
      <c r="B697" s="14">
        <f>A697*Assumptions!$B$12</f>
        <v>6.8900000000000006</v>
      </c>
      <c r="C697" s="15">
        <f>IF(A697&lt;=Assumptions!$B$13,IF(OR(A697=0,A697=Assumptions!$B$13),0.5,1),0)*Assumptions!$B$12</f>
        <v>0.01</v>
      </c>
      <c r="D697" s="12">
        <f>D696*(1-Assumptions!$B$12*(Assumptions!$B$5+Assumptions!$B$6))</f>
        <v>0.81323837258131426</v>
      </c>
      <c r="E697" s="12">
        <f>E696+Assumptions!$B$12*(D696*Assumptions!$B$5-E696*Assumptions!$B$7)</f>
        <v>0.10472486409778575</v>
      </c>
      <c r="F697" s="12">
        <f t="shared" si="30"/>
        <v>8.2036763320899986E-2</v>
      </c>
      <c r="G697" s="12">
        <f>EXP(-Assumptions!$B$8*B697)</f>
        <v>0.70857455218683452</v>
      </c>
      <c r="H697" s="12">
        <f t="shared" si="31"/>
        <v>0.5762400156729548</v>
      </c>
      <c r="I697" s="12">
        <f t="shared" si="32"/>
        <v>7.4205373680915648E-2</v>
      </c>
      <c r="J697" s="12">
        <f>G697*(D697*Assumptions!$B$6+E697*Assumptions!$B$7)</f>
        <v>9.4726688407753296E-3</v>
      </c>
    </row>
    <row r="698" spans="1:10" x14ac:dyDescent="0.2">
      <c r="A698" s="2">
        <v>690</v>
      </c>
      <c r="B698" s="14">
        <f>A698*Assumptions!$B$12</f>
        <v>6.9</v>
      </c>
      <c r="C698" s="15">
        <f>IF(A698&lt;=Assumptions!$B$13,IF(OR(A698=0,A698=Assumptions!$B$13),0.5,1),0)*Assumptions!$B$12</f>
        <v>0.01</v>
      </c>
      <c r="D698" s="12">
        <f>D697*(1-Assumptions!$B$12*(Assumptions!$B$5+Assumptions!$B$6))</f>
        <v>0.81299440106953991</v>
      </c>
      <c r="E698" s="12">
        <f>E697+Assumptions!$B$12*(D697*Assumptions!$B$5-E697*Assumptions!$B$7)</f>
        <v>0.10483514934025312</v>
      </c>
      <c r="F698" s="12">
        <f t="shared" si="30"/>
        <v>8.2170449590206973E-2</v>
      </c>
      <c r="G698" s="12">
        <f>EXP(-Assumptions!$B$8*B698)</f>
        <v>0.70822035346779999</v>
      </c>
      <c r="H698" s="12">
        <f t="shared" si="31"/>
        <v>0.57577918209281187</v>
      </c>
      <c r="I698" s="12">
        <f t="shared" si="32"/>
        <v>7.4246386521603661E-2</v>
      </c>
      <c r="J698" s="12">
        <f>G698*(D698*Assumptions!$B$6+E698*Assumptions!$B$7)</f>
        <v>9.4701111470083029E-3</v>
      </c>
    </row>
    <row r="699" spans="1:10" x14ac:dyDescent="0.2">
      <c r="A699" s="2">
        <v>691</v>
      </c>
      <c r="B699" s="14">
        <f>A699*Assumptions!$B$12</f>
        <v>6.91</v>
      </c>
      <c r="C699" s="15">
        <f>IF(A699&lt;=Assumptions!$B$13,IF(OR(A699=0,A699=Assumptions!$B$13),0.5,1),0)*Assumptions!$B$12</f>
        <v>0.01</v>
      </c>
      <c r="D699" s="12">
        <f>D698*(1-Assumptions!$B$12*(Assumptions!$B$5+Assumptions!$B$6))</f>
        <v>0.81275050274921912</v>
      </c>
      <c r="E699" s="12">
        <f>E698+Assumptions!$B$12*(D698*Assumptions!$B$5-E698*Assumptions!$B$7)</f>
        <v>0.10494533064579691</v>
      </c>
      <c r="F699" s="12">
        <f t="shared" si="30"/>
        <v>8.2304166604983978E-2</v>
      </c>
      <c r="G699" s="12">
        <f>EXP(-Assumptions!$B$8*B699)</f>
        <v>0.7078663318038575</v>
      </c>
      <c r="H699" s="12">
        <f t="shared" si="31"/>
        <v>0.57531871705283077</v>
      </c>
      <c r="I699" s="12">
        <f t="shared" si="32"/>
        <v>7.4287266244183206E-2</v>
      </c>
      <c r="J699" s="12">
        <f>G699*(D699*Assumptions!$B$6+E699*Assumptions!$B$7)</f>
        <v>9.467550482737468E-3</v>
      </c>
    </row>
    <row r="700" spans="1:10" x14ac:dyDescent="0.2">
      <c r="A700" s="2">
        <v>692</v>
      </c>
      <c r="B700" s="14">
        <f>A700*Assumptions!$B$12</f>
        <v>6.92</v>
      </c>
      <c r="C700" s="15">
        <f>IF(A700&lt;=Assumptions!$B$13,IF(OR(A700=0,A700=Assumptions!$B$13),0.5,1),0)*Assumptions!$B$12</f>
        <v>0.01</v>
      </c>
      <c r="D700" s="12">
        <f>D699*(1-Assumptions!$B$12*(Assumptions!$B$5+Assumptions!$B$6))</f>
        <v>0.81250667759839434</v>
      </c>
      <c r="E700" s="12">
        <f>E699+Assumptions!$B$12*(D699*Assumptions!$B$5-E699*Assumptions!$B$7)</f>
        <v>0.10505540808102386</v>
      </c>
      <c r="F700" s="12">
        <f t="shared" si="30"/>
        <v>8.2437914320581798E-2</v>
      </c>
      <c r="G700" s="12">
        <f>EXP(-Assumptions!$B$8*B700)</f>
        <v>0.70751248710650161</v>
      </c>
      <c r="H700" s="12">
        <f t="shared" si="31"/>
        <v>0.57485862025828038</v>
      </c>
      <c r="I700" s="12">
        <f t="shared" si="32"/>
        <v>7.432801305539366E-2</v>
      </c>
      <c r="J700" s="12">
        <f>G700*(D700*Assumptions!$B$6+E700*Assumptions!$B$7)</f>
        <v>9.4649868553524866E-3</v>
      </c>
    </row>
    <row r="701" spans="1:10" x14ac:dyDescent="0.2">
      <c r="A701" s="2">
        <v>693</v>
      </c>
      <c r="B701" s="14">
        <f>A701*Assumptions!$B$12</f>
        <v>6.93</v>
      </c>
      <c r="C701" s="15">
        <f>IF(A701&lt;=Assumptions!$B$13,IF(OR(A701=0,A701=Assumptions!$B$13),0.5,1),0)*Assumptions!$B$12</f>
        <v>0.01</v>
      </c>
      <c r="D701" s="12">
        <f>D700*(1-Assumptions!$B$12*(Assumptions!$B$5+Assumptions!$B$6))</f>
        <v>0.81226292559511482</v>
      </c>
      <c r="E701" s="12">
        <f>E700+Assumptions!$B$12*(D700*Assumptions!$B$5-E700*Assumptions!$B$7)</f>
        <v>0.10516538171250303</v>
      </c>
      <c r="F701" s="12">
        <f t="shared" si="30"/>
        <v>8.2571692692382154E-2</v>
      </c>
      <c r="G701" s="12">
        <f>EXP(-Assumptions!$B$8*B701)</f>
        <v>0.70715881928727131</v>
      </c>
      <c r="H701" s="12">
        <f t="shared" si="31"/>
        <v>0.57439889141466605</v>
      </c>
      <c r="I701" s="12">
        <f t="shared" si="32"/>
        <v>7.4368627161708833E-2</v>
      </c>
      <c r="J701" s="12">
        <f>G701*(D701*Assumptions!$B$6+E701*Assumptions!$B$7)</f>
        <v>9.4624202722321041E-3</v>
      </c>
    </row>
    <row r="702" spans="1:10" x14ac:dyDescent="0.2">
      <c r="A702" s="2">
        <v>694</v>
      </c>
      <c r="B702" s="14">
        <f>A702*Assumptions!$B$12</f>
        <v>6.94</v>
      </c>
      <c r="C702" s="15">
        <f>IF(A702&lt;=Assumptions!$B$13,IF(OR(A702=0,A702=Assumptions!$B$13),0.5,1),0)*Assumptions!$B$12</f>
        <v>0.01</v>
      </c>
      <c r="D702" s="12">
        <f>D701*(1-Assumptions!$B$12*(Assumptions!$B$5+Assumptions!$B$6))</f>
        <v>0.8120192467174363</v>
      </c>
      <c r="E702" s="12">
        <f>E701+Assumptions!$B$12*(D701*Assumptions!$B$5-E701*Assumptions!$B$7)</f>
        <v>0.1052752516067658</v>
      </c>
      <c r="F702" s="12">
        <f t="shared" si="30"/>
        <v>8.2705501675797891E-2</v>
      </c>
      <c r="G702" s="12">
        <f>EXP(-Assumptions!$B$8*B702)</f>
        <v>0.70680532825774944</v>
      </c>
      <c r="H702" s="12">
        <f t="shared" si="31"/>
        <v>0.57393953022772803</v>
      </c>
      <c r="I702" s="12">
        <f t="shared" si="32"/>
        <v>7.4409108769337262E-2</v>
      </c>
      <c r="J702" s="12">
        <f>G702*(D702*Assumptions!$B$6+E702*Assumptions!$B$7)</f>
        <v>9.4598507407441437E-3</v>
      </c>
    </row>
    <row r="703" spans="1:10" x14ac:dyDescent="0.2">
      <c r="A703" s="2">
        <v>695</v>
      </c>
      <c r="B703" s="14">
        <f>A703*Assumptions!$B$12</f>
        <v>6.95</v>
      </c>
      <c r="C703" s="15">
        <f>IF(A703&lt;=Assumptions!$B$13,IF(OR(A703=0,A703=Assumptions!$B$13),0.5,1),0)*Assumptions!$B$12</f>
        <v>0.01</v>
      </c>
      <c r="D703" s="12">
        <f>D702*(1-Assumptions!$B$12*(Assumptions!$B$5+Assumptions!$B$6))</f>
        <v>0.81177564094342114</v>
      </c>
      <c r="E703" s="12">
        <f>E702+Assumptions!$B$12*(D702*Assumptions!$B$5-E702*Assumptions!$B$7)</f>
        <v>0.1053850178303059</v>
      </c>
      <c r="F703" s="12">
        <f t="shared" si="30"/>
        <v>8.2839341226272956E-2</v>
      </c>
      <c r="G703" s="12">
        <f>EXP(-Assumptions!$B$8*B703)</f>
        <v>0.70645201392956336</v>
      </c>
      <c r="H703" s="12">
        <f t="shared" si="31"/>
        <v>0.57348053640344199</v>
      </c>
      <c r="I703" s="12">
        <f t="shared" si="32"/>
        <v>7.4449458084222556E-2</v>
      </c>
      <c r="J703" s="12">
        <f>G703*(D703*Assumptions!$B$6+E703*Assumptions!$B$7)</f>
        <v>9.4572782682455468E-3</v>
      </c>
    </row>
    <row r="704" spans="1:10" x14ac:dyDescent="0.2">
      <c r="A704" s="2">
        <v>696</v>
      </c>
      <c r="B704" s="14">
        <f>A704*Assumptions!$B$12</f>
        <v>6.96</v>
      </c>
      <c r="C704" s="15">
        <f>IF(A704&lt;=Assumptions!$B$13,IF(OR(A704=0,A704=Assumptions!$B$13),0.5,1),0)*Assumptions!$B$12</f>
        <v>0.01</v>
      </c>
      <c r="D704" s="12">
        <f>D703*(1-Assumptions!$B$12*(Assumptions!$B$5+Assumptions!$B$6))</f>
        <v>0.81153210825113808</v>
      </c>
      <c r="E704" s="12">
        <f>E703+Assumptions!$B$12*(D703*Assumptions!$B$5-E703*Assumptions!$B$7)</f>
        <v>0.10549468044957944</v>
      </c>
      <c r="F704" s="12">
        <f t="shared" si="30"/>
        <v>8.2973211299282479E-2</v>
      </c>
      <c r="G704" s="12">
        <f>EXP(-Assumptions!$B$8*B704)</f>
        <v>0.70609887621438439</v>
      </c>
      <c r="H704" s="12">
        <f t="shared" si="31"/>
        <v>0.57302190964801869</v>
      </c>
      <c r="I704" s="12">
        <f t="shared" si="32"/>
        <v>7.4489675312043632E-2</v>
      </c>
      <c r="J704" s="12">
        <f>G704*(D704*Assumptions!$B$6+E704*Assumptions!$B$7)</f>
        <v>9.4547028620823696E-3</v>
      </c>
    </row>
    <row r="705" spans="1:10" x14ac:dyDescent="0.2">
      <c r="A705" s="2">
        <v>697</v>
      </c>
      <c r="B705" s="14">
        <f>A705*Assumptions!$B$12</f>
        <v>6.97</v>
      </c>
      <c r="C705" s="15">
        <f>IF(A705&lt;=Assumptions!$B$13,IF(OR(A705=0,A705=Assumptions!$B$13),0.5,1),0)*Assumptions!$B$12</f>
        <v>0.01</v>
      </c>
      <c r="D705" s="12">
        <f>D704*(1-Assumptions!$B$12*(Assumptions!$B$5+Assumptions!$B$6))</f>
        <v>0.81128864861866279</v>
      </c>
      <c r="E705" s="12">
        <f>E704+Assumptions!$B$12*(D704*Assumptions!$B$5-E704*Assumptions!$B$7)</f>
        <v>0.10560423953100487</v>
      </c>
      <c r="F705" s="12">
        <f t="shared" si="30"/>
        <v>8.3107111850332344E-2</v>
      </c>
      <c r="G705" s="12">
        <f>EXP(-Assumptions!$B$8*B705)</f>
        <v>0.70574591502392814</v>
      </c>
      <c r="H705" s="12">
        <f t="shared" si="31"/>
        <v>0.5725636496679043</v>
      </c>
      <c r="I705" s="12">
        <f t="shared" si="32"/>
        <v>7.4529760658215108E-2</v>
      </c>
      <c r="J705" s="12">
        <f>G705*(D705*Assumptions!$B$6+E705*Assumptions!$B$7)</f>
        <v>9.4521245295898001E-3</v>
      </c>
    </row>
    <row r="706" spans="1:10" x14ac:dyDescent="0.2">
      <c r="A706" s="2">
        <v>698</v>
      </c>
      <c r="B706" s="14">
        <f>A706*Assumptions!$B$12</f>
        <v>6.98</v>
      </c>
      <c r="C706" s="15">
        <f>IF(A706&lt;=Assumptions!$B$13,IF(OR(A706=0,A706=Assumptions!$B$13),0.5,1),0)*Assumptions!$B$12</f>
        <v>0.01</v>
      </c>
      <c r="D706" s="12">
        <f>D705*(1-Assumptions!$B$12*(Assumptions!$B$5+Assumptions!$B$6))</f>
        <v>0.81104526202407723</v>
      </c>
      <c r="E706" s="12">
        <f>E705+Assumptions!$B$12*(D705*Assumptions!$B$5-E705*Assumptions!$B$7)</f>
        <v>0.1057136951409631</v>
      </c>
      <c r="F706" s="12">
        <f t="shared" si="30"/>
        <v>8.3241042834959672E-2</v>
      </c>
      <c r="G706" s="12">
        <f>EXP(-Assumptions!$B$8*B706)</f>
        <v>0.70539313026995432</v>
      </c>
      <c r="H706" s="12">
        <f t="shared" si="31"/>
        <v>0.5721057561697791</v>
      </c>
      <c r="I706" s="12">
        <f t="shared" si="32"/>
        <v>7.4569714327887615E-2</v>
      </c>
      <c r="J706" s="12">
        <f>G706*(D706*Assumptions!$B$6+E706*Assumptions!$B$7)</f>
        <v>9.4495432780921738E-3</v>
      </c>
    </row>
    <row r="707" spans="1:10" x14ac:dyDescent="0.2">
      <c r="A707" s="2">
        <v>699</v>
      </c>
      <c r="B707" s="14">
        <f>A707*Assumptions!$B$12</f>
        <v>6.99</v>
      </c>
      <c r="C707" s="15">
        <f>IF(A707&lt;=Assumptions!$B$13,IF(OR(A707=0,A707=Assumptions!$B$13),0.5,1),0)*Assumptions!$B$12</f>
        <v>0.01</v>
      </c>
      <c r="D707" s="12">
        <f>D706*(1-Assumptions!$B$12*(Assumptions!$B$5+Assumptions!$B$6))</f>
        <v>0.81080194844547004</v>
      </c>
      <c r="E707" s="12">
        <f>E706+Assumptions!$B$12*(D706*Assumptions!$B$5-E706*Assumptions!$B$7)</f>
        <v>0.10582304734579744</v>
      </c>
      <c r="F707" s="12">
        <f t="shared" si="30"/>
        <v>8.337500420873252E-2</v>
      </c>
      <c r="G707" s="12">
        <f>EXP(-Assumptions!$B$8*B707)</f>
        <v>0.7050405218642668</v>
      </c>
      <c r="H707" s="12">
        <f t="shared" si="31"/>
        <v>0.57164822886055855</v>
      </c>
      <c r="I707" s="12">
        <f t="shared" si="32"/>
        <v>7.4609536525948039E-2</v>
      </c>
      <c r="J707" s="12">
        <f>G707*(D707*Assumptions!$B$6+E707*Assumptions!$B$7)</f>
        <v>9.4469591149029877E-3</v>
      </c>
    </row>
    <row r="708" spans="1:10" x14ac:dyDescent="0.2">
      <c r="A708" s="2">
        <v>700</v>
      </c>
      <c r="B708" s="14">
        <f>A708*Assumptions!$B$12</f>
        <v>7</v>
      </c>
      <c r="C708" s="15">
        <f>IF(A708&lt;=Assumptions!$B$13,IF(OR(A708=0,A708=Assumptions!$B$13),0.5,1),0)*Assumptions!$B$12</f>
        <v>0.01</v>
      </c>
      <c r="D708" s="12">
        <f>D707*(1-Assumptions!$B$12*(Assumptions!$B$5+Assumptions!$B$6))</f>
        <v>0.81055870786093642</v>
      </c>
      <c r="E708" s="12">
        <f>E707+Assumptions!$B$12*(D707*Assumptions!$B$5-E707*Assumptions!$B$7)</f>
        <v>0.10593229621181363</v>
      </c>
      <c r="F708" s="12">
        <f t="shared" si="30"/>
        <v>8.3508995927249946E-2</v>
      </c>
      <c r="G708" s="12">
        <f>EXP(-Assumptions!$B$8*B708)</f>
        <v>0.70468808971871344</v>
      </c>
      <c r="H708" s="12">
        <f t="shared" si="31"/>
        <v>0.57119106744739201</v>
      </c>
      <c r="I708" s="12">
        <f t="shared" si="32"/>
        <v>7.4649227457019851E-2</v>
      </c>
      <c r="J708" s="12">
        <f>G708*(D708*Assumptions!$B$6+E708*Assumptions!$B$7)</f>
        <v>9.4443720473249126E-3</v>
      </c>
    </row>
    <row r="709" spans="1:10" x14ac:dyDescent="0.2">
      <c r="A709" s="2">
        <v>701</v>
      </c>
      <c r="B709" s="14">
        <f>A709*Assumptions!$B$12</f>
        <v>7.01</v>
      </c>
      <c r="C709" s="15">
        <f>IF(A709&lt;=Assumptions!$B$13,IF(OR(A709=0,A709=Assumptions!$B$13),0.5,1),0)*Assumptions!$B$12</f>
        <v>0.01</v>
      </c>
      <c r="D709" s="12">
        <f>D708*(1-Assumptions!$B$12*(Assumptions!$B$5+Assumptions!$B$6))</f>
        <v>0.81031554024857821</v>
      </c>
      <c r="E709" s="12">
        <f>E708+Assumptions!$B$12*(D708*Assumptions!$B$5-E708*Assumptions!$B$7)</f>
        <v>0.10604144180527991</v>
      </c>
      <c r="F709" s="12">
        <f t="shared" si="30"/>
        <v>8.3643017946141873E-2</v>
      </c>
      <c r="G709" s="12">
        <f>EXP(-Assumptions!$B$8*B709)</f>
        <v>0.70433583374518605</v>
      </c>
      <c r="H709" s="12">
        <f t="shared" si="31"/>
        <v>0.57073427163766322</v>
      </c>
      <c r="I709" s="12">
        <f t="shared" si="32"/>
        <v>7.4688787325463454E-2</v>
      </c>
      <c r="J709" s="12">
        <f>G709*(D709*Assumptions!$B$6+E709*Assumptions!$B$7)</f>
        <v>9.4417820826498047E-3</v>
      </c>
    </row>
    <row r="710" spans="1:10" x14ac:dyDescent="0.2">
      <c r="A710" s="2">
        <v>702</v>
      </c>
      <c r="B710" s="14">
        <f>A710*Assumptions!$B$12</f>
        <v>7.0200000000000005</v>
      </c>
      <c r="C710" s="15">
        <f>IF(A710&lt;=Assumptions!$B$13,IF(OR(A710=0,A710=Assumptions!$B$13),0.5,1),0)*Assumptions!$B$12</f>
        <v>0.01</v>
      </c>
      <c r="D710" s="12">
        <f>D709*(1-Assumptions!$B$12*(Assumptions!$B$5+Assumptions!$B$6))</f>
        <v>0.81007244558650371</v>
      </c>
      <c r="E710" s="12">
        <f>E709+Assumptions!$B$12*(D709*Assumptions!$B$5-E709*Assumptions!$B$7)</f>
        <v>0.10615048419242699</v>
      </c>
      <c r="F710" s="12">
        <f t="shared" si="30"/>
        <v>8.3777070221069297E-2</v>
      </c>
      <c r="G710" s="12">
        <f>EXP(-Assumptions!$B$8*B710)</f>
        <v>0.70398375385562095</v>
      </c>
      <c r="H710" s="12">
        <f t="shared" si="31"/>
        <v>0.57027784113899016</v>
      </c>
      <c r="I710" s="12">
        <f t="shared" si="32"/>
        <v>7.4728216335376504E-2</v>
      </c>
      <c r="J710" s="12">
        <f>G710*(D710*Assumptions!$B$6+E710*Assumptions!$B$7)</f>
        <v>9.4391892281587252E-3</v>
      </c>
    </row>
    <row r="711" spans="1:10" x14ac:dyDescent="0.2">
      <c r="A711" s="2">
        <v>703</v>
      </c>
      <c r="B711" s="14">
        <f>A711*Assumptions!$B$12</f>
        <v>7.03</v>
      </c>
      <c r="C711" s="15">
        <f>IF(A711&lt;=Assumptions!$B$13,IF(OR(A711=0,A711=Assumptions!$B$13),0.5,1),0)*Assumptions!$B$12</f>
        <v>0.01</v>
      </c>
      <c r="D711" s="12">
        <f>D710*(1-Assumptions!$B$12*(Assumptions!$B$5+Assumptions!$B$6))</f>
        <v>0.80982942385282775</v>
      </c>
      <c r="E711" s="12">
        <f>E710+Assumptions!$B$12*(D710*Assumptions!$B$5-E710*Assumptions!$B$7)</f>
        <v>0.10625942343944808</v>
      </c>
      <c r="F711" s="12">
        <f t="shared" si="30"/>
        <v>8.3911152707724174E-2</v>
      </c>
      <c r="G711" s="12">
        <f>EXP(-Assumptions!$B$8*B711)</f>
        <v>0.70363184996199779</v>
      </c>
      <c r="H711" s="12">
        <f t="shared" si="31"/>
        <v>0.56982177565922398</v>
      </c>
      <c r="I711" s="12">
        <f t="shared" si="32"/>
        <v>7.4767514690594117E-2</v>
      </c>
      <c r="J711" s="12">
        <f>G711*(D711*Assumptions!$B$6+E711*Assumptions!$B$7)</f>
        <v>9.436593491121947E-3</v>
      </c>
    </row>
    <row r="712" spans="1:10" x14ac:dyDescent="0.2">
      <c r="A712" s="2">
        <v>704</v>
      </c>
      <c r="B712" s="14">
        <f>A712*Assumptions!$B$12</f>
        <v>7.04</v>
      </c>
      <c r="C712" s="15">
        <f>IF(A712&lt;=Assumptions!$B$13,IF(OR(A712=0,A712=Assumptions!$B$13),0.5,1),0)*Assumptions!$B$12</f>
        <v>0.01</v>
      </c>
      <c r="D712" s="12">
        <f>D711*(1-Assumptions!$B$12*(Assumptions!$B$5+Assumptions!$B$6))</f>
        <v>0.80958647502567194</v>
      </c>
      <c r="E712" s="12">
        <f>E711+Assumptions!$B$12*(D711*Assumptions!$B$5-E711*Assumptions!$B$7)</f>
        <v>0.10636825961249892</v>
      </c>
      <c r="F712" s="12">
        <f t="shared" ref="F712:F775" si="33">1-D712-E712</f>
        <v>8.4045265361829144E-2</v>
      </c>
      <c r="G712" s="12">
        <f>EXP(-Assumptions!$B$8*B712)</f>
        <v>0.70328012197634093</v>
      </c>
      <c r="H712" s="12">
        <f t="shared" ref="H712:H775" si="34">G712*D712</f>
        <v>0.56936607490645041</v>
      </c>
      <c r="I712" s="12">
        <f t="shared" ref="I712:I775" si="35">G712*E712</f>
        <v>7.4806682594689339E-2</v>
      </c>
      <c r="J712" s="12">
        <f>G712*(D712*Assumptions!$B$6+E712*Assumptions!$B$7)</f>
        <v>9.4339948787989722E-3</v>
      </c>
    </row>
    <row r="713" spans="1:10" x14ac:dyDescent="0.2">
      <c r="A713" s="2">
        <v>705</v>
      </c>
      <c r="B713" s="14">
        <f>A713*Assumptions!$B$12</f>
        <v>7.05</v>
      </c>
      <c r="C713" s="15">
        <f>IF(A713&lt;=Assumptions!$B$13,IF(OR(A713=0,A713=Assumptions!$B$13),0.5,1),0)*Assumptions!$B$12</f>
        <v>0.01</v>
      </c>
      <c r="D713" s="12">
        <f>D712*(1-Assumptions!$B$12*(Assumptions!$B$5+Assumptions!$B$6))</f>
        <v>0.80934359908316422</v>
      </c>
      <c r="E713" s="12">
        <f>E712+Assumptions!$B$12*(D712*Assumptions!$B$5-E712*Assumptions!$B$7)</f>
        <v>0.1064769927776978</v>
      </c>
      <c r="F713" s="12">
        <f t="shared" si="33"/>
        <v>8.4179408139137976E-2</v>
      </c>
      <c r="G713" s="12">
        <f>EXP(-Assumptions!$B$8*B713)</f>
        <v>0.70292856981071816</v>
      </c>
      <c r="H713" s="12">
        <f t="shared" si="34"/>
        <v>0.56891073858898789</v>
      </c>
      <c r="I713" s="12">
        <f t="shared" si="35"/>
        <v>7.4845720250973288E-2</v>
      </c>
      <c r="J713" s="12">
        <f>G713*(D713*Assumptions!$B$6+E713*Assumptions!$B$7)</f>
        <v>9.431393398438544E-3</v>
      </c>
    </row>
    <row r="714" spans="1:10" x14ac:dyDescent="0.2">
      <c r="A714" s="2">
        <v>706</v>
      </c>
      <c r="B714" s="14">
        <f>A714*Assumptions!$B$12</f>
        <v>7.0600000000000005</v>
      </c>
      <c r="C714" s="15">
        <f>IF(A714&lt;=Assumptions!$B$13,IF(OR(A714=0,A714=Assumptions!$B$13),0.5,1),0)*Assumptions!$B$12</f>
        <v>0.01</v>
      </c>
      <c r="D714" s="12">
        <f>D713*(1-Assumptions!$B$12*(Assumptions!$B$5+Assumptions!$B$6))</f>
        <v>0.80910079600343932</v>
      </c>
      <c r="E714" s="12">
        <f>E713+Assumptions!$B$12*(D713*Assumptions!$B$5-E713*Assumptions!$B$7)</f>
        <v>0.10658562300112559</v>
      </c>
      <c r="F714" s="12">
        <f t="shared" si="33"/>
        <v>8.4313580995435095E-2</v>
      </c>
      <c r="G714" s="12">
        <f>EXP(-Assumptions!$B$8*B714)</f>
        <v>0.70257719337724145</v>
      </c>
      <c r="H714" s="12">
        <f t="shared" si="34"/>
        <v>0.56845576641538842</v>
      </c>
      <c r="I714" s="12">
        <f t="shared" si="35"/>
        <v>7.488462786249557E-2</v>
      </c>
      <c r="J714" s="12">
        <f>G714*(D714*Assumptions!$B$6+E714*Assumptions!$B$7)</f>
        <v>9.4287890572786626E-3</v>
      </c>
    </row>
    <row r="715" spans="1:10" x14ac:dyDescent="0.2">
      <c r="A715" s="2">
        <v>707</v>
      </c>
      <c r="B715" s="14">
        <f>A715*Assumptions!$B$12</f>
        <v>7.07</v>
      </c>
      <c r="C715" s="15">
        <f>IF(A715&lt;=Assumptions!$B$13,IF(OR(A715=0,A715=Assumptions!$B$13),0.5,1),0)*Assumptions!$B$12</f>
        <v>0.01</v>
      </c>
      <c r="D715" s="12">
        <f>D714*(1-Assumptions!$B$12*(Assumptions!$B$5+Assumptions!$B$6))</f>
        <v>0.80885806576463826</v>
      </c>
      <c r="E715" s="12">
        <f>E714+Assumptions!$B$12*(D714*Assumptions!$B$5-E714*Assumptions!$B$7)</f>
        <v>0.10669415034882572</v>
      </c>
      <c r="F715" s="12">
        <f t="shared" si="33"/>
        <v>8.4447783886536024E-2</v>
      </c>
      <c r="G715" s="12">
        <f>EXP(-Assumptions!$B$8*B715)</f>
        <v>0.70222599258806684</v>
      </c>
      <c r="H715" s="12">
        <f t="shared" si="34"/>
        <v>0.56800115809443696</v>
      </c>
      <c r="I715" s="12">
        <f t="shared" si="35"/>
        <v>7.4923405632044582E-2</v>
      </c>
      <c r="J715" s="12">
        <f>G715*(D715*Assumptions!$B$6+E715*Assumptions!$B$7)</f>
        <v>9.4261818625465989E-3</v>
      </c>
    </row>
    <row r="716" spans="1:10" x14ac:dyDescent="0.2">
      <c r="A716" s="2">
        <v>708</v>
      </c>
      <c r="B716" s="14">
        <f>A716*Assumptions!$B$12</f>
        <v>7.08</v>
      </c>
      <c r="C716" s="15">
        <f>IF(A716&lt;=Assumptions!$B$13,IF(OR(A716=0,A716=Assumptions!$B$13),0.5,1),0)*Assumptions!$B$12</f>
        <v>0.01</v>
      </c>
      <c r="D716" s="12">
        <f>D715*(1-Assumptions!$B$12*(Assumptions!$B$5+Assumptions!$B$6))</f>
        <v>0.80861540834490886</v>
      </c>
      <c r="E716" s="12">
        <f>E715+Assumptions!$B$12*(D715*Assumptions!$B$5-E715*Assumptions!$B$7)</f>
        <v>0.10680257488680424</v>
      </c>
      <c r="F716" s="12">
        <f t="shared" si="33"/>
        <v>8.4582016768286902E-2</v>
      </c>
      <c r="G716" s="12">
        <f>EXP(-Assumptions!$B$8*B716)</f>
        <v>0.70187496735539401</v>
      </c>
      <c r="H716" s="12">
        <f t="shared" si="34"/>
        <v>0.5675469133351515</v>
      </c>
      <c r="I716" s="12">
        <f t="shared" si="35"/>
        <v>7.4962053762147748E-2</v>
      </c>
      <c r="J716" s="12">
        <f>G716*(D716*Assumptions!$B$6+E716*Assumptions!$B$7)</f>
        <v>9.423571821458903E-3</v>
      </c>
    </row>
    <row r="717" spans="1:10" x14ac:dyDescent="0.2">
      <c r="A717" s="2">
        <v>709</v>
      </c>
      <c r="B717" s="14">
        <f>A717*Assumptions!$B$12</f>
        <v>7.09</v>
      </c>
      <c r="C717" s="15">
        <f>IF(A717&lt;=Assumptions!$B$13,IF(OR(A717=0,A717=Assumptions!$B$13),0.5,1),0)*Assumptions!$B$12</f>
        <v>0.01</v>
      </c>
      <c r="D717" s="12">
        <f>D716*(1-Assumptions!$B$12*(Assumptions!$B$5+Assumptions!$B$6))</f>
        <v>0.80837282372240538</v>
      </c>
      <c r="E717" s="12">
        <f>E716+Assumptions!$B$12*(D716*Assumptions!$B$5-E716*Assumptions!$B$7)</f>
        <v>0.10691089668102982</v>
      </c>
      <c r="F717" s="12">
        <f t="shared" si="33"/>
        <v>8.4716279596564803E-2</v>
      </c>
      <c r="G717" s="12">
        <f>EXP(-Assumptions!$B$8*B717)</f>
        <v>0.70152411759146671</v>
      </c>
      <c r="H717" s="12">
        <f t="shared" si="34"/>
        <v>0.56709303184678272</v>
      </c>
      <c r="I717" s="12">
        <f t="shared" si="35"/>
        <v>7.5000572455071912E-2</v>
      </c>
      <c r="J717" s="12">
        <f>G717*(D717*Assumptions!$B$6+E717*Assumptions!$B$7)</f>
        <v>9.4209589412214238E-3</v>
      </c>
    </row>
    <row r="718" spans="1:10" x14ac:dyDescent="0.2">
      <c r="A718" s="2">
        <v>710</v>
      </c>
      <c r="B718" s="14">
        <f>A718*Assumptions!$B$12</f>
        <v>7.1000000000000005</v>
      </c>
      <c r="C718" s="15">
        <f>IF(A718&lt;=Assumptions!$B$13,IF(OR(A718=0,A718=Assumptions!$B$13),0.5,1),0)*Assumptions!$B$12</f>
        <v>0.01</v>
      </c>
      <c r="D718" s="12">
        <f>D717*(1-Assumptions!$B$12*(Assumptions!$B$5+Assumptions!$B$6))</f>
        <v>0.80813031187528872</v>
      </c>
      <c r="E718" s="12">
        <f>E717+Assumptions!$B$12*(D717*Assumptions!$B$5-E717*Assumptions!$B$7)</f>
        <v>0.10701911579743378</v>
      </c>
      <c r="F718" s="12">
        <f t="shared" si="33"/>
        <v>8.4850572327277496E-2</v>
      </c>
      <c r="G718" s="12">
        <f>EXP(-Assumptions!$B$8*B718)</f>
        <v>0.70117344320857233</v>
      </c>
      <c r="H718" s="12">
        <f t="shared" si="34"/>
        <v>0.56663951333881357</v>
      </c>
      <c r="I718" s="12">
        <f t="shared" si="35"/>
        <v>7.5038961912823568E-2</v>
      </c>
      <c r="J718" s="12">
        <f>G718*(D718*Assumptions!$B$6+E718*Assumptions!$B$7)</f>
        <v>9.4183432290293155E-3</v>
      </c>
    </row>
    <row r="719" spans="1:10" x14ac:dyDescent="0.2">
      <c r="A719" s="2">
        <v>711</v>
      </c>
      <c r="B719" s="14">
        <f>A719*Assumptions!$B$12</f>
        <v>7.11</v>
      </c>
      <c r="C719" s="15">
        <f>IF(A719&lt;=Assumptions!$B$13,IF(OR(A719=0,A719=Assumptions!$B$13),0.5,1),0)*Assumptions!$B$12</f>
        <v>0.01</v>
      </c>
      <c r="D719" s="12">
        <f>D718*(1-Assumptions!$B$12*(Assumptions!$B$5+Assumptions!$B$6))</f>
        <v>0.80788787278172614</v>
      </c>
      <c r="E719" s="12">
        <f>E718+Assumptions!$B$12*(D718*Assumptions!$B$5-E718*Assumptions!$B$7)</f>
        <v>0.10712723230191012</v>
      </c>
      <c r="F719" s="12">
        <f t="shared" si="33"/>
        <v>8.498489491636374E-2</v>
      </c>
      <c r="G719" s="12">
        <f>EXP(-Assumptions!$B$8*B719)</f>
        <v>0.70082294411904256</v>
      </c>
      <c r="H719" s="12">
        <f t="shared" si="34"/>
        <v>0.5661863575209598</v>
      </c>
      <c r="I719" s="12">
        <f t="shared" si="35"/>
        <v>7.5077222337149252E-2</v>
      </c>
      <c r="J719" s="12">
        <f>G719*(D719*Assumptions!$B$6+E719*Assumptions!$B$7)</f>
        <v>9.4157246920670602E-3</v>
      </c>
    </row>
    <row r="720" spans="1:10" x14ac:dyDescent="0.2">
      <c r="A720" s="2">
        <v>712</v>
      </c>
      <c r="B720" s="14">
        <f>A720*Assumptions!$B$12</f>
        <v>7.12</v>
      </c>
      <c r="C720" s="15">
        <f>IF(A720&lt;=Assumptions!$B$13,IF(OR(A720=0,A720=Assumptions!$B$13),0.5,1),0)*Assumptions!$B$12</f>
        <v>0.01</v>
      </c>
      <c r="D720" s="12">
        <f>D719*(1-Assumptions!$B$12*(Assumptions!$B$5+Assumptions!$B$6))</f>
        <v>0.80764550641989163</v>
      </c>
      <c r="E720" s="12">
        <f>E719+Assumptions!$B$12*(D719*Assumptions!$B$5-E719*Assumptions!$B$7)</f>
        <v>0.10723524626031551</v>
      </c>
      <c r="F720" s="12">
        <f t="shared" si="33"/>
        <v>8.5119247319792854E-2</v>
      </c>
      <c r="G720" s="12">
        <f>EXP(-Assumptions!$B$8*B720)</f>
        <v>0.70047262023525236</v>
      </c>
      <c r="H720" s="12">
        <f t="shared" si="34"/>
        <v>0.56573356410316877</v>
      </c>
      <c r="I720" s="12">
        <f t="shared" si="35"/>
        <v>7.511535392953575E-2</v>
      </c>
      <c r="J720" s="12">
        <f>G720*(D720*Assumptions!$B$6+E720*Assumptions!$B$7)</f>
        <v>9.4131033375084768E-3</v>
      </c>
    </row>
    <row r="721" spans="1:10" x14ac:dyDescent="0.2">
      <c r="A721" s="2">
        <v>713</v>
      </c>
      <c r="B721" s="14">
        <f>A721*Assumptions!$B$12</f>
        <v>7.13</v>
      </c>
      <c r="C721" s="15">
        <f>IF(A721&lt;=Assumptions!$B$13,IF(OR(A721=0,A721=Assumptions!$B$13),0.5,1),0)*Assumptions!$B$12</f>
        <v>0.01</v>
      </c>
      <c r="D721" s="12">
        <f>D720*(1-Assumptions!$B$12*(Assumptions!$B$5+Assumptions!$B$6))</f>
        <v>0.80740321276796567</v>
      </c>
      <c r="E721" s="12">
        <f>E720+Assumptions!$B$12*(D720*Assumptions!$B$5-E720*Assumptions!$B$7)</f>
        <v>0.10734315773846934</v>
      </c>
      <c r="F721" s="12">
        <f t="shared" si="33"/>
        <v>8.5253629493564992E-2</v>
      </c>
      <c r="G721" s="12">
        <f>EXP(-Assumptions!$B$8*B721)</f>
        <v>0.70012247146962092</v>
      </c>
      <c r="H721" s="12">
        <f t="shared" si="34"/>
        <v>0.56528113279562031</v>
      </c>
      <c r="I721" s="12">
        <f t="shared" si="35"/>
        <v>7.5153356891210513E-2</v>
      </c>
      <c r="J721" s="12">
        <f>G721*(D721*Assumptions!$B$6+E721*Assumptions!$B$7)</f>
        <v>9.4104791725167294E-3</v>
      </c>
    </row>
    <row r="722" spans="1:10" x14ac:dyDescent="0.2">
      <c r="A722" s="2">
        <v>714</v>
      </c>
      <c r="B722" s="14">
        <f>A722*Assumptions!$B$12</f>
        <v>7.1400000000000006</v>
      </c>
      <c r="C722" s="15">
        <f>IF(A722&lt;=Assumptions!$B$13,IF(OR(A722=0,A722=Assumptions!$B$13),0.5,1),0)*Assumptions!$B$12</f>
        <v>0.01</v>
      </c>
      <c r="D722" s="12">
        <f>D721*(1-Assumptions!$B$12*(Assumptions!$B$5+Assumptions!$B$6))</f>
        <v>0.80716099180413536</v>
      </c>
      <c r="E722" s="12">
        <f>E721+Assumptions!$B$12*(D721*Assumptions!$B$5-E721*Assumptions!$B$7)</f>
        <v>0.1074509668021537</v>
      </c>
      <c r="F722" s="12">
        <f t="shared" si="33"/>
        <v>8.5388041393710937E-2</v>
      </c>
      <c r="G722" s="12">
        <f>EXP(-Assumptions!$B$8*B722)</f>
        <v>0.69977249773461103</v>
      </c>
      <c r="H722" s="12">
        <f t="shared" si="34"/>
        <v>0.56482906330872573</v>
      </c>
      <c r="I722" s="12">
        <f t="shared" si="35"/>
        <v>7.5191231423141866E-2</v>
      </c>
      <c r="J722" s="12">
        <f>G722*(D722*Assumptions!$B$6+E722*Assumptions!$B$7)</f>
        <v>9.4078522042443501E-3</v>
      </c>
    </row>
    <row r="723" spans="1:10" x14ac:dyDescent="0.2">
      <c r="A723" s="2">
        <v>715</v>
      </c>
      <c r="B723" s="14">
        <f>A723*Assumptions!$B$12</f>
        <v>7.15</v>
      </c>
      <c r="C723" s="15">
        <f>IF(A723&lt;=Assumptions!$B$13,IF(OR(A723=0,A723=Assumptions!$B$13),0.5,1),0)*Assumptions!$B$12</f>
        <v>0.01</v>
      </c>
      <c r="D723" s="12">
        <f>D722*(1-Assumptions!$B$12*(Assumptions!$B$5+Assumptions!$B$6))</f>
        <v>0.80691884350659415</v>
      </c>
      <c r="E723" s="12">
        <f>E722+Assumptions!$B$12*(D722*Assumptions!$B$5-E722*Assumptions!$B$7)</f>
        <v>0.10755867351711346</v>
      </c>
      <c r="F723" s="12">
        <f t="shared" si="33"/>
        <v>8.5522482976292391E-2</v>
      </c>
      <c r="G723" s="12">
        <f>EXP(-Assumptions!$B$8*B723)</f>
        <v>0.69942269894272913</v>
      </c>
      <c r="H723" s="12">
        <f t="shared" si="34"/>
        <v>0.56437735535312772</v>
      </c>
      <c r="I723" s="12">
        <f t="shared" si="35"/>
        <v>7.5228977726039342E-2</v>
      </c>
      <c r="J723" s="12">
        <f>G723*(D723*Assumptions!$B$6+E723*Assumptions!$B$7)</f>
        <v>9.405222439833244E-3</v>
      </c>
    </row>
    <row r="724" spans="1:10" x14ac:dyDescent="0.2">
      <c r="A724" s="2">
        <v>716</v>
      </c>
      <c r="B724" s="14">
        <f>A724*Assumptions!$B$12</f>
        <v>7.16</v>
      </c>
      <c r="C724" s="15">
        <f>IF(A724&lt;=Assumptions!$B$13,IF(OR(A724=0,A724=Assumptions!$B$13),0.5,1),0)*Assumptions!$B$12</f>
        <v>0.01</v>
      </c>
      <c r="D724" s="12">
        <f>D723*(1-Assumptions!$B$12*(Assumptions!$B$5+Assumptions!$B$6))</f>
        <v>0.80667676785354225</v>
      </c>
      <c r="E724" s="12">
        <f>E723+Assumptions!$B$12*(D723*Assumptions!$B$5-E723*Assumptions!$B$7)</f>
        <v>0.10766627794905621</v>
      </c>
      <c r="F724" s="12">
        <f t="shared" si="33"/>
        <v>8.5656954197401533E-2</v>
      </c>
      <c r="G724" s="12">
        <f>EXP(-Assumptions!$B$8*B724)</f>
        <v>0.6990730750065256</v>
      </c>
      <c r="H724" s="12">
        <f t="shared" si="34"/>
        <v>0.56392600863970099</v>
      </c>
      <c r="I724" s="12">
        <f t="shared" si="35"/>
        <v>7.5266596000354014E-2</v>
      </c>
      <c r="J724" s="12">
        <f>G724*(D724*Assumptions!$B$6+E724*Assumptions!$B$7)</f>
        <v>9.4025898864147101E-3</v>
      </c>
    </row>
    <row r="725" spans="1:10" x14ac:dyDescent="0.2">
      <c r="A725" s="2">
        <v>717</v>
      </c>
      <c r="B725" s="14">
        <f>A725*Assumptions!$B$12</f>
        <v>7.17</v>
      </c>
      <c r="C725" s="15">
        <f>IF(A725&lt;=Assumptions!$B$13,IF(OR(A725=0,A725=Assumptions!$B$13),0.5,1),0)*Assumptions!$B$12</f>
        <v>0.01</v>
      </c>
      <c r="D725" s="12">
        <f>D724*(1-Assumptions!$B$12*(Assumptions!$B$5+Assumptions!$B$6))</f>
        <v>0.80643476482318621</v>
      </c>
      <c r="E725" s="12">
        <f>E724+Assumptions!$B$12*(D724*Assumptions!$B$5-E724*Assumptions!$B$7)</f>
        <v>0.1077737801636524</v>
      </c>
      <c r="F725" s="12">
        <f t="shared" si="33"/>
        <v>8.5791455013161391E-2</v>
      </c>
      <c r="G725" s="12">
        <f>EXP(-Assumptions!$B$8*B725)</f>
        <v>0.6987236258385946</v>
      </c>
      <c r="H725" s="12">
        <f t="shared" si="34"/>
        <v>0.56347502287955098</v>
      </c>
      <c r="I725" s="12">
        <f t="shared" si="35"/>
        <v>7.5304086446278812E-2</v>
      </c>
      <c r="J725" s="12">
        <f>G725*(D725*Assumptions!$B$6+E725*Assumptions!$B$7)</f>
        <v>9.39995455110945E-3</v>
      </c>
    </row>
    <row r="726" spans="1:10" x14ac:dyDescent="0.2">
      <c r="A726" s="2">
        <v>718</v>
      </c>
      <c r="B726" s="14">
        <f>A726*Assumptions!$B$12</f>
        <v>7.18</v>
      </c>
      <c r="C726" s="15">
        <f>IF(A726&lt;=Assumptions!$B$13,IF(OR(A726=0,A726=Assumptions!$B$13),0.5,1),0)*Assumptions!$B$12</f>
        <v>0.01</v>
      </c>
      <c r="D726" s="12">
        <f>D725*(1-Assumptions!$B$12*(Assumptions!$B$5+Assumptions!$B$6))</f>
        <v>0.80619283439373923</v>
      </c>
      <c r="E726" s="12">
        <f>E725+Assumptions!$B$12*(D725*Assumptions!$B$5-E725*Assumptions!$B$7)</f>
        <v>0.10788118022653521</v>
      </c>
      <c r="F726" s="12">
        <f t="shared" si="33"/>
        <v>8.5925985379725553E-2</v>
      </c>
      <c r="G726" s="12">
        <f>EXP(-Assumptions!$B$8*B726)</f>
        <v>0.69837435135157355</v>
      </c>
      <c r="H726" s="12">
        <f t="shared" si="34"/>
        <v>0.56302439778401414</v>
      </c>
      <c r="I726" s="12">
        <f t="shared" si="35"/>
        <v>7.5341449263748736E-2</v>
      </c>
      <c r="J726" s="12">
        <f>G726*(D726*Assumptions!$B$6+E726*Assumptions!$B$7)</f>
        <v>9.3973164410275801E-3</v>
      </c>
    </row>
    <row r="727" spans="1:10" x14ac:dyDescent="0.2">
      <c r="A727" s="2">
        <v>719</v>
      </c>
      <c r="B727" s="14">
        <f>A727*Assumptions!$B$12</f>
        <v>7.19</v>
      </c>
      <c r="C727" s="15">
        <f>IF(A727&lt;=Assumptions!$B$13,IF(OR(A727=0,A727=Assumptions!$B$13),0.5,1),0)*Assumptions!$B$12</f>
        <v>0.01</v>
      </c>
      <c r="D727" s="12">
        <f>D726*(1-Assumptions!$B$12*(Assumptions!$B$5+Assumptions!$B$6))</f>
        <v>0.80595097654342118</v>
      </c>
      <c r="E727" s="12">
        <f>E726+Assumptions!$B$12*(D726*Assumptions!$B$5-E726*Assumptions!$B$7)</f>
        <v>0.10798847820330069</v>
      </c>
      <c r="F727" s="12">
        <f t="shared" si="33"/>
        <v>8.6060545253278123E-2</v>
      </c>
      <c r="G727" s="12">
        <f>EXP(-Assumptions!$B$8*B727)</f>
        <v>0.69802525145814409</v>
      </c>
      <c r="H727" s="12">
        <f t="shared" si="34"/>
        <v>0.56257413306465831</v>
      </c>
      <c r="I727" s="12">
        <f t="shared" si="35"/>
        <v>7.5378684652441283E-2</v>
      </c>
      <c r="J727" s="12">
        <f>G727*(D727*Assumptions!$B$6+E727*Assumptions!$B$7)</f>
        <v>9.3946755632686469E-3</v>
      </c>
    </row>
    <row r="728" spans="1:10" x14ac:dyDescent="0.2">
      <c r="A728" s="2">
        <v>720</v>
      </c>
      <c r="B728" s="14">
        <f>A728*Assumptions!$B$12</f>
        <v>7.2</v>
      </c>
      <c r="C728" s="15">
        <f>IF(A728&lt;=Assumptions!$B$13,IF(OR(A728=0,A728=Assumptions!$B$13),0.5,1),0)*Assumptions!$B$12</f>
        <v>0.01</v>
      </c>
      <c r="D728" s="12">
        <f>D727*(1-Assumptions!$B$12*(Assumptions!$B$5+Assumptions!$B$6))</f>
        <v>0.80570919125045815</v>
      </c>
      <c r="E728" s="12">
        <f>E727+Assumptions!$B$12*(D727*Assumptions!$B$5-E727*Assumptions!$B$7)</f>
        <v>0.10809567415950773</v>
      </c>
      <c r="F728" s="12">
        <f t="shared" si="33"/>
        <v>8.6195134590034125E-2</v>
      </c>
      <c r="G728" s="12">
        <f>EXP(-Assumptions!$B$8*B728)</f>
        <v>0.69767632607103103</v>
      </c>
      <c r="H728" s="12">
        <f t="shared" si="34"/>
        <v>0.56212422843328136</v>
      </c>
      <c r="I728" s="12">
        <f t="shared" si="35"/>
        <v>7.5415792811776641E-2</v>
      </c>
      <c r="J728" s="12">
        <f>G728*(D728*Assumptions!$B$6+E728*Assumptions!$B$7)</f>
        <v>9.3920319249216448E-3</v>
      </c>
    </row>
    <row r="729" spans="1:10" x14ac:dyDescent="0.2">
      <c r="A729" s="2">
        <v>721</v>
      </c>
      <c r="B729" s="14">
        <f>A729*Assumptions!$B$12</f>
        <v>7.21</v>
      </c>
      <c r="C729" s="15">
        <f>IF(A729&lt;=Assumptions!$B$13,IF(OR(A729=0,A729=Assumptions!$B$13),0.5,1),0)*Assumptions!$B$12</f>
        <v>0.01</v>
      </c>
      <c r="D729" s="12">
        <f>D728*(1-Assumptions!$B$12*(Assumptions!$B$5+Assumptions!$B$6))</f>
        <v>0.80546747849308309</v>
      </c>
      <c r="E729" s="12">
        <f>E728+Assumptions!$B$12*(D728*Assumptions!$B$5-E728*Assumptions!$B$7)</f>
        <v>0.10820276816067807</v>
      </c>
      <c r="F729" s="12">
        <f t="shared" si="33"/>
        <v>8.6329753346238838E-2</v>
      </c>
      <c r="G729" s="12">
        <f>EXP(-Assumptions!$B$8*B729)</f>
        <v>0.69732757510300314</v>
      </c>
      <c r="H729" s="12">
        <f t="shared" si="34"/>
        <v>0.56167468360191197</v>
      </c>
      <c r="I729" s="12">
        <f t="shared" si="35"/>
        <v>7.545277394091808E-2</v>
      </c>
      <c r="J729" s="12">
        <f>G729*(D729*Assumptions!$B$6+E729*Assumptions!$B$7)</f>
        <v>9.3893855330650245E-3</v>
      </c>
    </row>
    <row r="730" spans="1:10" x14ac:dyDescent="0.2">
      <c r="A730" s="2">
        <v>722</v>
      </c>
      <c r="B730" s="14">
        <f>A730*Assumptions!$B$12</f>
        <v>7.22</v>
      </c>
      <c r="C730" s="15">
        <f>IF(A730&lt;=Assumptions!$B$13,IF(OR(A730=0,A730=Assumptions!$B$13),0.5,1),0)*Assumptions!$B$12</f>
        <v>0.01</v>
      </c>
      <c r="D730" s="12">
        <f>D729*(1-Assumptions!$B$12*(Assumptions!$B$5+Assumptions!$B$6))</f>
        <v>0.8052258382495352</v>
      </c>
      <c r="E730" s="12">
        <f>E729+Assumptions!$B$12*(D729*Assumptions!$B$5-E729*Assumptions!$B$7)</f>
        <v>0.10830976027229636</v>
      </c>
      <c r="F730" s="12">
        <f t="shared" si="33"/>
        <v>8.6464401478168446E-2</v>
      </c>
      <c r="G730" s="12">
        <f>EXP(-Assumptions!$B$8*B730)</f>
        <v>0.69697899846687272</v>
      </c>
      <c r="H730" s="12">
        <f t="shared" si="34"/>
        <v>0.5612254982828091</v>
      </c>
      <c r="I730" s="12">
        <f t="shared" si="35"/>
        <v>7.54896282387722E-2</v>
      </c>
      <c r="J730" s="12">
        <f>G730*(D730*Assumptions!$B$6+E730*Assumptions!$B$7)</f>
        <v>9.3867363947667017E-3</v>
      </c>
    </row>
    <row r="731" spans="1:10" x14ac:dyDescent="0.2">
      <c r="A731" s="2">
        <v>723</v>
      </c>
      <c r="B731" s="14">
        <f>A731*Assumptions!$B$12</f>
        <v>7.23</v>
      </c>
      <c r="C731" s="15">
        <f>IF(A731&lt;=Assumptions!$B$13,IF(OR(A731=0,A731=Assumptions!$B$13),0.5,1),0)*Assumptions!$B$12</f>
        <v>0.01</v>
      </c>
      <c r="D731" s="12">
        <f>D730*(1-Assumptions!$B$12*(Assumptions!$B$5+Assumptions!$B$6))</f>
        <v>0.80498427049806032</v>
      </c>
      <c r="E731" s="12">
        <f>E730+Assumptions!$B$12*(D730*Assumptions!$B$5-E730*Assumptions!$B$7)</f>
        <v>0.10841665055981012</v>
      </c>
      <c r="F731" s="12">
        <f t="shared" si="33"/>
        <v>8.6599078942129565E-2</v>
      </c>
      <c r="G731" s="12">
        <f>EXP(-Assumptions!$B$8*B731)</f>
        <v>0.69663059607549549</v>
      </c>
      <c r="H731" s="12">
        <f t="shared" si="34"/>
        <v>0.56077667218846161</v>
      </c>
      <c r="I731" s="12">
        <f t="shared" si="35"/>
        <v>7.552635590398922E-2</v>
      </c>
      <c r="J731" s="12">
        <f>G731*(D731*Assumptions!$B$6+E731*Assumptions!$B$7)</f>
        <v>9.3840845170840778E-3</v>
      </c>
    </row>
    <row r="732" spans="1:10" x14ac:dyDescent="0.2">
      <c r="A732" s="2">
        <v>724</v>
      </c>
      <c r="B732" s="14">
        <f>A732*Assumptions!$B$12</f>
        <v>7.24</v>
      </c>
      <c r="C732" s="15">
        <f>IF(A732&lt;=Assumptions!$B$13,IF(OR(A732=0,A732=Assumptions!$B$13),0.5,1),0)*Assumptions!$B$12</f>
        <v>0.01</v>
      </c>
      <c r="D732" s="12">
        <f>D731*(1-Assumptions!$B$12*(Assumptions!$B$5+Assumptions!$B$6))</f>
        <v>0.80474277521691095</v>
      </c>
      <c r="E732" s="12">
        <f>E731+Assumptions!$B$12*(D731*Assumptions!$B$5-E731*Assumptions!$B$7)</f>
        <v>0.10852343908862983</v>
      </c>
      <c r="F732" s="12">
        <f t="shared" si="33"/>
        <v>8.673378569445922E-2</v>
      </c>
      <c r="G732" s="12">
        <f>EXP(-Assumptions!$B$8*B732)</f>
        <v>0.69628236784177089</v>
      </c>
      <c r="H732" s="12">
        <f t="shared" si="34"/>
        <v>0.56032820503158876</v>
      </c>
      <c r="I732" s="12">
        <f t="shared" si="35"/>
        <v>7.5562957134963374E-2</v>
      </c>
      <c r="J732" s="12">
        <f>G732*(D732*Assumptions!$B$6+E732*Assumptions!$B$7)</f>
        <v>9.381429907064056E-3</v>
      </c>
    </row>
    <row r="733" spans="1:10" x14ac:dyDescent="0.2">
      <c r="A733" s="2">
        <v>725</v>
      </c>
      <c r="B733" s="14">
        <f>A733*Assumptions!$B$12</f>
        <v>7.25</v>
      </c>
      <c r="C733" s="15">
        <f>IF(A733&lt;=Assumptions!$B$13,IF(OR(A733=0,A733=Assumptions!$B$13),0.5,1),0)*Assumptions!$B$12</f>
        <v>0.01</v>
      </c>
      <c r="D733" s="12">
        <f>D732*(1-Assumptions!$B$12*(Assumptions!$B$5+Assumptions!$B$6))</f>
        <v>0.80450135238434595</v>
      </c>
      <c r="E733" s="12">
        <f>E732+Assumptions!$B$12*(D732*Assumptions!$B$5-E732*Assumptions!$B$7)</f>
        <v>0.10863012592412889</v>
      </c>
      <c r="F733" s="12">
        <f t="shared" si="33"/>
        <v>8.6868521691525161E-2</v>
      </c>
      <c r="G733" s="12">
        <f>EXP(-Assumptions!$B$8*B733)</f>
        <v>0.695934313678642</v>
      </c>
      <c r="H733" s="12">
        <f t="shared" si="34"/>
        <v>0.55988009652513915</v>
      </c>
      <c r="I733" s="12">
        <f t="shared" si="35"/>
        <v>7.5599432129833097E-2</v>
      </c>
      <c r="J733" s="12">
        <f>G733*(D733*Assumptions!$B$6+E733*Assumptions!$B$7)</f>
        <v>9.3787725717430475E-3</v>
      </c>
    </row>
    <row r="734" spans="1:10" x14ac:dyDescent="0.2">
      <c r="A734" s="2">
        <v>726</v>
      </c>
      <c r="B734" s="14">
        <f>A734*Assumptions!$B$12</f>
        <v>7.26</v>
      </c>
      <c r="C734" s="15">
        <f>IF(A734&lt;=Assumptions!$B$13,IF(OR(A734=0,A734=Assumptions!$B$13),0.5,1),0)*Assumptions!$B$12</f>
        <v>0.01</v>
      </c>
      <c r="D734" s="12">
        <f>D733*(1-Assumptions!$B$12*(Assumptions!$B$5+Assumptions!$B$6))</f>
        <v>0.80426000197863068</v>
      </c>
      <c r="E734" s="12">
        <f>E733+Assumptions!$B$12*(D733*Assumptions!$B$5-E733*Assumptions!$B$7)</f>
        <v>0.1087367111316437</v>
      </c>
      <c r="F734" s="12">
        <f t="shared" si="33"/>
        <v>8.7003286889725626E-2</v>
      </c>
      <c r="G734" s="12">
        <f>EXP(-Assumptions!$B$8*B734)</f>
        <v>0.6955864334990951</v>
      </c>
      <c r="H734" s="12">
        <f t="shared" si="34"/>
        <v>0.55943234638229089</v>
      </c>
      <c r="I734" s="12">
        <f t="shared" si="35"/>
        <v>7.5635781086481391E-2</v>
      </c>
      <c r="J734" s="12">
        <f>G734*(D734*Assumptions!$B$6+E734*Assumptions!$B$7)</f>
        <v>9.3761125181469791E-3</v>
      </c>
    </row>
    <row r="735" spans="1:10" x14ac:dyDescent="0.2">
      <c r="A735" s="2">
        <v>727</v>
      </c>
      <c r="B735" s="14">
        <f>A735*Assumptions!$B$12</f>
        <v>7.2700000000000005</v>
      </c>
      <c r="C735" s="15">
        <f>IF(A735&lt;=Assumptions!$B$13,IF(OR(A735=0,A735=Assumptions!$B$13),0.5,1),0)*Assumptions!$B$12</f>
        <v>0.01</v>
      </c>
      <c r="D735" s="12">
        <f>D734*(1-Assumptions!$B$12*(Assumptions!$B$5+Assumptions!$B$6))</f>
        <v>0.80401872397803709</v>
      </c>
      <c r="E735" s="12">
        <f>E734+Assumptions!$B$12*(D734*Assumptions!$B$5-E734*Assumptions!$B$7)</f>
        <v>0.1088431947764736</v>
      </c>
      <c r="F735" s="12">
        <f t="shared" si="33"/>
        <v>8.7138081245489316E-2</v>
      </c>
      <c r="G735" s="12">
        <f>EXP(-Assumptions!$B$8*B735)</f>
        <v>0.69523872721616009</v>
      </c>
      <c r="H735" s="12">
        <f t="shared" si="34"/>
        <v>0.55898495431645168</v>
      </c>
      <c r="I735" s="12">
        <f t="shared" si="35"/>
        <v>7.5672004202536114E-2</v>
      </c>
      <c r="J735" s="12">
        <f>G735*(D735*Assumptions!$B$6+E735*Assumptions!$B$7)</f>
        <v>9.3734497532913224E-3</v>
      </c>
    </row>
    <row r="736" spans="1:10" x14ac:dyDescent="0.2">
      <c r="A736" s="2">
        <v>728</v>
      </c>
      <c r="B736" s="14">
        <f>A736*Assumptions!$B$12</f>
        <v>7.28</v>
      </c>
      <c r="C736" s="15">
        <f>IF(A736&lt;=Assumptions!$B$13,IF(OR(A736=0,A736=Assumptions!$B$13),0.5,1),0)*Assumptions!$B$12</f>
        <v>0.01</v>
      </c>
      <c r="D736" s="12">
        <f>D735*(1-Assumptions!$B$12*(Assumptions!$B$5+Assumptions!$B$6))</f>
        <v>0.80377751836084366</v>
      </c>
      <c r="E736" s="12">
        <f>E735+Assumptions!$B$12*(D735*Assumptions!$B$5-E735*Assumptions!$B$7)</f>
        <v>0.10894957692388096</v>
      </c>
      <c r="F736" s="12">
        <f t="shared" si="33"/>
        <v>8.7272904715275379E-2</v>
      </c>
      <c r="G736" s="12">
        <f>EXP(-Assumptions!$B$8*B736)</f>
        <v>0.69489119474291061</v>
      </c>
      <c r="H736" s="12">
        <f t="shared" si="34"/>
        <v>0.55853792004125846</v>
      </c>
      <c r="I736" s="12">
        <f t="shared" si="35"/>
        <v>7.5708101675370287E-2</v>
      </c>
      <c r="J736" s="12">
        <f>G736*(D736*Assumptions!$B$6+E736*Assumptions!$B$7)</f>
        <v>9.3707842841810988E-3</v>
      </c>
    </row>
    <row r="737" spans="1:10" x14ac:dyDescent="0.2">
      <c r="A737" s="2">
        <v>729</v>
      </c>
      <c r="B737" s="14">
        <f>A737*Assumptions!$B$12</f>
        <v>7.29</v>
      </c>
      <c r="C737" s="15">
        <f>IF(A737&lt;=Assumptions!$B$13,IF(OR(A737=0,A737=Assumptions!$B$13),0.5,1),0)*Assumptions!$B$12</f>
        <v>0.01</v>
      </c>
      <c r="D737" s="12">
        <f>D736*(1-Assumptions!$B$12*(Assumptions!$B$5+Assumptions!$B$6))</f>
        <v>0.80353638510533543</v>
      </c>
      <c r="E737" s="12">
        <f>E736+Assumptions!$B$12*(D736*Assumptions!$B$5-E736*Assumptions!$B$7)</f>
        <v>0.10905585763909119</v>
      </c>
      <c r="F737" s="12">
        <f t="shared" si="33"/>
        <v>8.7407757255573384E-2</v>
      </c>
      <c r="G737" s="12">
        <f>EXP(-Assumptions!$B$8*B737)</f>
        <v>0.69454383599246339</v>
      </c>
      <c r="H737" s="12">
        <f t="shared" si="34"/>
        <v>0.55809124327057702</v>
      </c>
      <c r="I737" s="12">
        <f t="shared" si="35"/>
        <v>7.5744073702102385E-2</v>
      </c>
      <c r="J737" s="12">
        <f>G737*(D737*Assumptions!$B$6+E737*Assumptions!$B$7)</f>
        <v>9.3681161178108888E-3</v>
      </c>
    </row>
    <row r="738" spans="1:10" x14ac:dyDescent="0.2">
      <c r="A738" s="2">
        <v>730</v>
      </c>
      <c r="B738" s="14">
        <f>A738*Assumptions!$B$12</f>
        <v>7.3</v>
      </c>
      <c r="C738" s="15">
        <f>IF(A738&lt;=Assumptions!$B$13,IF(OR(A738=0,A738=Assumptions!$B$13),0.5,1),0)*Assumptions!$B$12</f>
        <v>0.01</v>
      </c>
      <c r="D738" s="12">
        <f>D737*(1-Assumptions!$B$12*(Assumptions!$B$5+Assumptions!$B$6))</f>
        <v>0.80329532418980387</v>
      </c>
      <c r="E738" s="12">
        <f>E737+Assumptions!$B$12*(D737*Assumptions!$B$5-E737*Assumptions!$B$7)</f>
        <v>0.10916203698729271</v>
      </c>
      <c r="F738" s="12">
        <f t="shared" si="33"/>
        <v>8.7542638822903418E-2</v>
      </c>
      <c r="G738" s="12">
        <f>EXP(-Assumptions!$B$8*B738)</f>
        <v>0.69419665087797888</v>
      </c>
      <c r="H738" s="12">
        <f t="shared" si="34"/>
        <v>0.55764492371850216</v>
      </c>
      <c r="I738" s="12">
        <f t="shared" si="35"/>
        <v>7.5779920479596655E-2</v>
      </c>
      <c r="J738" s="12">
        <f>G738*(D738*Assumptions!$B$6+E738*Assumptions!$B$7)</f>
        <v>9.3654452611648537E-3</v>
      </c>
    </row>
    <row r="739" spans="1:10" x14ac:dyDescent="0.2">
      <c r="A739" s="2">
        <v>731</v>
      </c>
      <c r="B739" s="14">
        <f>A739*Assumptions!$B$12</f>
        <v>7.3100000000000005</v>
      </c>
      <c r="C739" s="15">
        <f>IF(A739&lt;=Assumptions!$B$13,IF(OR(A739=0,A739=Assumptions!$B$13),0.5,1),0)*Assumptions!$B$12</f>
        <v>0.01</v>
      </c>
      <c r="D739" s="12">
        <f>D738*(1-Assumptions!$B$12*(Assumptions!$B$5+Assumptions!$B$6))</f>
        <v>0.80305433559254691</v>
      </c>
      <c r="E739" s="12">
        <f>E738+Assumptions!$B$12*(D738*Assumptions!$B$5-E738*Assumptions!$B$7)</f>
        <v>0.10926811503363702</v>
      </c>
      <c r="F739" s="12">
        <f t="shared" si="33"/>
        <v>8.7677549373816069E-2</v>
      </c>
      <c r="G739" s="12">
        <f>EXP(-Assumptions!$B$8*B739)</f>
        <v>0.69384963931266053</v>
      </c>
      <c r="H739" s="12">
        <f t="shared" si="34"/>
        <v>0.55719896109935696</v>
      </c>
      <c r="I739" s="12">
        <f t="shared" si="35"/>
        <v>7.5815642204463352E-2</v>
      </c>
      <c r="J739" s="12">
        <f>G739*(D739*Assumptions!$B$6+E739*Assumptions!$B$7)</f>
        <v>9.3627717212167363E-3</v>
      </c>
    </row>
    <row r="740" spans="1:10" x14ac:dyDescent="0.2">
      <c r="A740" s="2">
        <v>732</v>
      </c>
      <c r="B740" s="14">
        <f>A740*Assumptions!$B$12</f>
        <v>7.32</v>
      </c>
      <c r="C740" s="15">
        <f>IF(A740&lt;=Assumptions!$B$13,IF(OR(A740=0,A740=Assumptions!$B$13),0.5,1),0)*Assumptions!$B$12</f>
        <v>0.01</v>
      </c>
      <c r="D740" s="12">
        <f>D739*(1-Assumptions!$B$12*(Assumptions!$B$5+Assumptions!$B$6))</f>
        <v>0.80281341929186922</v>
      </c>
      <c r="E740" s="12">
        <f>E739+Assumptions!$B$12*(D739*Assumptions!$B$5-E739*Assumptions!$B$7)</f>
        <v>0.10937409184323871</v>
      </c>
      <c r="F740" s="12">
        <f t="shared" si="33"/>
        <v>8.7812488864892069E-2</v>
      </c>
      <c r="G740" s="12">
        <f>EXP(-Assumptions!$B$8*B740)</f>
        <v>0.69350280120975571</v>
      </c>
      <c r="H740" s="12">
        <f t="shared" si="34"/>
        <v>0.55675335512769342</v>
      </c>
      <c r="I740" s="12">
        <f t="shared" si="35"/>
        <v>7.5851239073059143E-2</v>
      </c>
      <c r="J740" s="12">
        <f>G740*(D740*Assumptions!$B$6+E740*Assumptions!$B$7)</f>
        <v>9.3600955049298919E-3</v>
      </c>
    </row>
    <row r="741" spans="1:10" x14ac:dyDescent="0.2">
      <c r="A741" s="2">
        <v>733</v>
      </c>
      <c r="B741" s="14">
        <f>A741*Assumptions!$B$12</f>
        <v>7.33</v>
      </c>
      <c r="C741" s="15">
        <f>IF(A741&lt;=Assumptions!$B$13,IF(OR(A741=0,A741=Assumptions!$B$13),0.5,1),0)*Assumptions!$B$12</f>
        <v>0.01</v>
      </c>
      <c r="D741" s="12">
        <f>D740*(1-Assumptions!$B$12*(Assumptions!$B$5+Assumptions!$B$6))</f>
        <v>0.80257257526608172</v>
      </c>
      <c r="E741" s="12">
        <f>E740+Assumptions!$B$12*(D740*Assumptions!$B$5-E740*Assumptions!$B$7)</f>
        <v>0.10947996748117546</v>
      </c>
      <c r="F741" s="12">
        <f t="shared" si="33"/>
        <v>8.7947457252742819E-2</v>
      </c>
      <c r="G741" s="12">
        <f>EXP(-Assumptions!$B$8*B741)</f>
        <v>0.69315613648255481</v>
      </c>
      <c r="H741" s="12">
        <f t="shared" si="34"/>
        <v>0.55630810551829168</v>
      </c>
      <c r="I741" s="12">
        <f t="shared" si="35"/>
        <v>7.5886711281487315E-2</v>
      </c>
      <c r="J741" s="12">
        <f>G741*(D741*Assumptions!$B$6+E741*Assumptions!$B$7)</f>
        <v>9.3574166192572829E-3</v>
      </c>
    </row>
    <row r="742" spans="1:10" x14ac:dyDescent="0.2">
      <c r="A742" s="2">
        <v>734</v>
      </c>
      <c r="B742" s="14">
        <f>A742*Assumptions!$B$12</f>
        <v>7.34</v>
      </c>
      <c r="C742" s="15">
        <f>IF(A742&lt;=Assumptions!$B$13,IF(OR(A742=0,A742=Assumptions!$B$13),0.5,1),0)*Assumptions!$B$12</f>
        <v>0.01</v>
      </c>
      <c r="D742" s="12">
        <f>D741*(1-Assumptions!$B$12*(Assumptions!$B$5+Assumptions!$B$6))</f>
        <v>0.80233180349350197</v>
      </c>
      <c r="E742" s="12">
        <f>E741+Assumptions!$B$12*(D741*Assumptions!$B$5-E741*Assumptions!$B$7)</f>
        <v>0.10958574201248808</v>
      </c>
      <c r="F742" s="12">
        <f t="shared" si="33"/>
        <v>8.8082454494009949E-2</v>
      </c>
      <c r="G742" s="12">
        <f>EXP(-Assumptions!$B$8*B742)</f>
        <v>0.69280964504439169</v>
      </c>
      <c r="H742" s="12">
        <f t="shared" si="34"/>
        <v>0.55586321198615973</v>
      </c>
      <c r="I742" s="12">
        <f t="shared" si="35"/>
        <v>7.5922059025598149E-2</v>
      </c>
      <c r="J742" s="12">
        <f>G742*(D742*Assumptions!$B$6+E742*Assumptions!$B$7)</f>
        <v>9.3547350711415053E-3</v>
      </c>
    </row>
    <row r="743" spans="1:10" x14ac:dyDescent="0.2">
      <c r="A743" s="2">
        <v>735</v>
      </c>
      <c r="B743" s="14">
        <f>A743*Assumptions!$B$12</f>
        <v>7.3500000000000005</v>
      </c>
      <c r="C743" s="15">
        <f>IF(A743&lt;=Assumptions!$B$13,IF(OR(A743=0,A743=Assumptions!$B$13),0.5,1),0)*Assumptions!$B$12</f>
        <v>0.01</v>
      </c>
      <c r="D743" s="12">
        <f>D742*(1-Assumptions!$B$12*(Assumptions!$B$5+Assumptions!$B$6))</f>
        <v>0.80209110395245398</v>
      </c>
      <c r="E743" s="12">
        <f>E742+Assumptions!$B$12*(D742*Assumptions!$B$5-E742*Assumptions!$B$7)</f>
        <v>0.10969141550218053</v>
      </c>
      <c r="F743" s="12">
        <f t="shared" si="33"/>
        <v>8.821748054536549E-2</v>
      </c>
      <c r="G743" s="12">
        <f>EXP(-Assumptions!$B$8*B743)</f>
        <v>0.69246332680864342</v>
      </c>
      <c r="H743" s="12">
        <f t="shared" si="34"/>
        <v>0.55541867424653368</v>
      </c>
      <c r="I743" s="12">
        <f t="shared" si="35"/>
        <v>7.595728250098914E-2</v>
      </c>
      <c r="J743" s="12">
        <f>G743*(D743*Assumptions!$B$6+E743*Assumptions!$B$7)</f>
        <v>9.352050867514795E-3</v>
      </c>
    </row>
    <row r="744" spans="1:10" x14ac:dyDescent="0.2">
      <c r="A744" s="2">
        <v>736</v>
      </c>
      <c r="B744" s="14">
        <f>A744*Assumptions!$B$12</f>
        <v>7.36</v>
      </c>
      <c r="C744" s="15">
        <f>IF(A744&lt;=Assumptions!$B$13,IF(OR(A744=0,A744=Assumptions!$B$13),0.5,1),0)*Assumptions!$B$12</f>
        <v>0.01</v>
      </c>
      <c r="D744" s="12">
        <f>D743*(1-Assumptions!$B$12*(Assumptions!$B$5+Assumptions!$B$6))</f>
        <v>0.80185047662126829</v>
      </c>
      <c r="E744" s="12">
        <f>E743+Assumptions!$B$12*(D743*Assumptions!$B$5-E743*Assumptions!$B$7)</f>
        <v>0.10979698801521993</v>
      </c>
      <c r="F744" s="12">
        <f t="shared" si="33"/>
        <v>8.8352535363511772E-2</v>
      </c>
      <c r="G744" s="12">
        <f>EXP(-Assumptions!$B$8*B744)</f>
        <v>0.69211718168873038</v>
      </c>
      <c r="H744" s="12">
        <f t="shared" si="34"/>
        <v>0.55497449201487736</v>
      </c>
      <c r="I744" s="12">
        <f t="shared" si="35"/>
        <v>7.5992381903005321E-2</v>
      </c>
      <c r="J744" s="12">
        <f>G744*(D744*Assumptions!$B$6+E744*Assumptions!$B$7)</f>
        <v>9.3493640152990404E-3</v>
      </c>
    </row>
    <row r="745" spans="1:10" x14ac:dyDescent="0.2">
      <c r="A745" s="2">
        <v>737</v>
      </c>
      <c r="B745" s="14">
        <f>A745*Assumptions!$B$12</f>
        <v>7.37</v>
      </c>
      <c r="C745" s="15">
        <f>IF(A745&lt;=Assumptions!$B$13,IF(OR(A745=0,A745=Assumptions!$B$13),0.5,1),0)*Assumptions!$B$12</f>
        <v>0.01</v>
      </c>
      <c r="D745" s="12">
        <f>D744*(1-Assumptions!$B$12*(Assumptions!$B$5+Assumptions!$B$6))</f>
        <v>0.80160992147828192</v>
      </c>
      <c r="E745" s="12">
        <f>E744+Assumptions!$B$12*(D744*Assumptions!$B$5-E744*Assumptions!$B$7)</f>
        <v>0.10990245961653658</v>
      </c>
      <c r="F745" s="12">
        <f t="shared" si="33"/>
        <v>8.8487618905181503E-2</v>
      </c>
      <c r="G745" s="12">
        <f>EXP(-Assumptions!$B$8*B745)</f>
        <v>0.69177120959811644</v>
      </c>
      <c r="H745" s="12">
        <f t="shared" si="34"/>
        <v>0.5545306650068822</v>
      </c>
      <c r="I745" s="12">
        <f t="shared" si="35"/>
        <v>7.6027357426739661E-2</v>
      </c>
      <c r="J745" s="12">
        <f>G745*(D745*Assumptions!$B$6+E745*Assumptions!$B$7)</f>
        <v>9.3466745214058049E-3</v>
      </c>
    </row>
    <row r="746" spans="1:10" x14ac:dyDescent="0.2">
      <c r="A746" s="2">
        <v>738</v>
      </c>
      <c r="B746" s="14">
        <f>A746*Assumptions!$B$12</f>
        <v>7.38</v>
      </c>
      <c r="C746" s="15">
        <f>IF(A746&lt;=Assumptions!$B$13,IF(OR(A746=0,A746=Assumptions!$B$13),0.5,1),0)*Assumptions!$B$12</f>
        <v>0.01</v>
      </c>
      <c r="D746" s="12">
        <f>D745*(1-Assumptions!$B$12*(Assumptions!$B$5+Assumptions!$B$6))</f>
        <v>0.8013694385018385</v>
      </c>
      <c r="E746" s="12">
        <f>E745+Assumptions!$B$12*(D745*Assumptions!$B$5-E745*Assumptions!$B$7)</f>
        <v>0.11000783037102396</v>
      </c>
      <c r="F746" s="12">
        <f t="shared" si="33"/>
        <v>8.8622731127137533E-2</v>
      </c>
      <c r="G746" s="12">
        <f>EXP(-Assumptions!$B$8*B746)</f>
        <v>0.69142541045030848</v>
      </c>
      <c r="H746" s="12">
        <f t="shared" si="34"/>
        <v>0.55408719293846698</v>
      </c>
      <c r="I746" s="12">
        <f t="shared" si="35"/>
        <v>7.6062209267033151E-2</v>
      </c>
      <c r="J746" s="12">
        <f>G746*(D746*Assumptions!$B$6+E746*Assumptions!$B$7)</f>
        <v>9.3439823927363268E-3</v>
      </c>
    </row>
    <row r="747" spans="1:10" x14ac:dyDescent="0.2">
      <c r="A747" s="2">
        <v>739</v>
      </c>
      <c r="B747" s="14">
        <f>A747*Assumptions!$B$12</f>
        <v>7.3900000000000006</v>
      </c>
      <c r="C747" s="15">
        <f>IF(A747&lt;=Assumptions!$B$13,IF(OR(A747=0,A747=Assumptions!$B$13),0.5,1),0)*Assumptions!$B$12</f>
        <v>0.01</v>
      </c>
      <c r="D747" s="12">
        <f>D746*(1-Assumptions!$B$12*(Assumptions!$B$5+Assumptions!$B$6))</f>
        <v>0.80112902767028793</v>
      </c>
      <c r="E747" s="12">
        <f>E746+Assumptions!$B$12*(D746*Assumptions!$B$5-E746*Assumptions!$B$7)</f>
        <v>0.11011310034353881</v>
      </c>
      <c r="F747" s="12">
        <f t="shared" si="33"/>
        <v>8.8757871986173256E-2</v>
      </c>
      <c r="G747" s="12">
        <f>EXP(-Assumptions!$B$8*B747)</f>
        <v>0.69107978415885674</v>
      </c>
      <c r="H747" s="12">
        <f t="shared" si="34"/>
        <v>0.55364407552577732</v>
      </c>
      <c r="I747" s="12">
        <f t="shared" si="35"/>
        <v>7.6096937618475344E-2</v>
      </c>
      <c r="J747" s="12">
        <f>G747*(D747*Assumptions!$B$6+E747*Assumptions!$B$7)</f>
        <v>9.3412876361815417E-3</v>
      </c>
    </row>
    <row r="748" spans="1:10" x14ac:dyDescent="0.2">
      <c r="A748" s="2">
        <v>740</v>
      </c>
      <c r="B748" s="14">
        <f>A748*Assumptions!$B$12</f>
        <v>7.4</v>
      </c>
      <c r="C748" s="15">
        <f>IF(A748&lt;=Assumptions!$B$13,IF(OR(A748=0,A748=Assumptions!$B$13),0.5,1),0)*Assumptions!$B$12</f>
        <v>0.01</v>
      </c>
      <c r="D748" s="12">
        <f>D747*(1-Assumptions!$B$12*(Assumptions!$B$5+Assumptions!$B$6))</f>
        <v>0.80088868896198684</v>
      </c>
      <c r="E748" s="12">
        <f>E747+Assumptions!$B$12*(D747*Assumptions!$B$5-E747*Assumptions!$B$7)</f>
        <v>0.1102182695989011</v>
      </c>
      <c r="F748" s="12">
        <f t="shared" si="33"/>
        <v>8.8893041439112058E-2</v>
      </c>
      <c r="G748" s="12">
        <f>EXP(-Assumptions!$B$8*B748)</f>
        <v>0.69073433063735468</v>
      </c>
      <c r="H748" s="12">
        <f t="shared" si="34"/>
        <v>0.55320131248518656</v>
      </c>
      <c r="I748" s="12">
        <f t="shared" si="35"/>
        <v>7.6131542675404451E-2</v>
      </c>
      <c r="J748" s="12">
        <f>G748*(D748*Assumptions!$B$6+E748*Assumptions!$B$7)</f>
        <v>9.3385902586220881E-3</v>
      </c>
    </row>
    <row r="749" spans="1:10" x14ac:dyDescent="0.2">
      <c r="A749" s="2">
        <v>741</v>
      </c>
      <c r="B749" s="14">
        <f>A749*Assumptions!$B$12</f>
        <v>7.41</v>
      </c>
      <c r="C749" s="15">
        <f>IF(A749&lt;=Assumptions!$B$13,IF(OR(A749=0,A749=Assumptions!$B$13),0.5,1),0)*Assumptions!$B$12</f>
        <v>0.01</v>
      </c>
      <c r="D749" s="12">
        <f>D748*(1-Assumptions!$B$12*(Assumptions!$B$5+Assumptions!$B$6))</f>
        <v>0.80064842235529832</v>
      </c>
      <c r="E749" s="12">
        <f>E748+Assumptions!$B$12*(D748*Assumptions!$B$5-E748*Assumptions!$B$7)</f>
        <v>0.11032333820189405</v>
      </c>
      <c r="F749" s="12">
        <f t="shared" si="33"/>
        <v>8.9028239442807633E-2</v>
      </c>
      <c r="G749" s="12">
        <f>EXP(-Assumptions!$B$8*B749)</f>
        <v>0.69038904979943883</v>
      </c>
      <c r="H749" s="12">
        <f t="shared" si="34"/>
        <v>0.55275890353329415</v>
      </c>
      <c r="I749" s="12">
        <f t="shared" si="35"/>
        <v>7.6166024631907761E-2</v>
      </c>
      <c r="J749" s="12">
        <f>G749*(D749*Assumptions!$B$6+E749*Assumptions!$B$7)</f>
        <v>9.3358902669283313E-3</v>
      </c>
    </row>
    <row r="750" spans="1:10" x14ac:dyDescent="0.2">
      <c r="A750" s="2">
        <v>742</v>
      </c>
      <c r="B750" s="14">
        <f>A750*Assumptions!$B$12</f>
        <v>7.42</v>
      </c>
      <c r="C750" s="15">
        <f>IF(A750&lt;=Assumptions!$B$13,IF(OR(A750=0,A750=Assumptions!$B$13),0.5,1),0)*Assumptions!$B$12</f>
        <v>0.01</v>
      </c>
      <c r="D750" s="12">
        <f>D749*(1-Assumptions!$B$12*(Assumptions!$B$5+Assumptions!$B$6))</f>
        <v>0.80040822782859178</v>
      </c>
      <c r="E750" s="12">
        <f>E749+Assumptions!$B$12*(D749*Assumptions!$B$5-E749*Assumptions!$B$7)</f>
        <v>0.11042830621726417</v>
      </c>
      <c r="F750" s="12">
        <f t="shared" si="33"/>
        <v>8.9163465954144053E-2</v>
      </c>
      <c r="G750" s="12">
        <f>EXP(-Assumptions!$B$8*B750)</f>
        <v>0.69004394155878901</v>
      </c>
      <c r="H750" s="12">
        <f t="shared" si="34"/>
        <v>0.55231684838692663</v>
      </c>
      <c r="I750" s="12">
        <f t="shared" si="35"/>
        <v>7.6200383681821887E-2</v>
      </c>
      <c r="J750" s="12">
        <f>G750*(D750*Assumptions!$B$6+E750*Assumptions!$B$7)</f>
        <v>9.3331876679603621E-3</v>
      </c>
    </row>
    <row r="751" spans="1:10" x14ac:dyDescent="0.2">
      <c r="A751" s="2">
        <v>743</v>
      </c>
      <c r="B751" s="14">
        <f>A751*Assumptions!$B$12</f>
        <v>7.43</v>
      </c>
      <c r="C751" s="15">
        <f>IF(A751&lt;=Assumptions!$B$13,IF(OR(A751=0,A751=Assumptions!$B$13),0.5,1),0)*Assumptions!$B$12</f>
        <v>0.01</v>
      </c>
      <c r="D751" s="12">
        <f>D750*(1-Assumptions!$B$12*(Assumptions!$B$5+Assumptions!$B$6))</f>
        <v>0.80016810536024319</v>
      </c>
      <c r="E751" s="12">
        <f>E750+Assumptions!$B$12*(D750*Assumptions!$B$5-E750*Assumptions!$B$7)</f>
        <v>0.11053317370972125</v>
      </c>
      <c r="F751" s="12">
        <f t="shared" si="33"/>
        <v>8.9298720930035561E-2</v>
      </c>
      <c r="G751" s="12">
        <f>EXP(-Assumptions!$B$8*B751)</f>
        <v>0.68969900582912824</v>
      </c>
      <c r="H751" s="12">
        <f t="shared" si="34"/>
        <v>0.55187514676313687</v>
      </c>
      <c r="I751" s="12">
        <f t="shared" si="35"/>
        <v>7.6234620018733087E-2</v>
      </c>
      <c r="J751" s="12">
        <f>G751*(D751*Assumptions!$B$6+E751*Assumptions!$B$7)</f>
        <v>9.330482468568024E-3</v>
      </c>
    </row>
    <row r="752" spans="1:10" x14ac:dyDescent="0.2">
      <c r="A752" s="2">
        <v>744</v>
      </c>
      <c r="B752" s="14">
        <f>A752*Assumptions!$B$12</f>
        <v>7.44</v>
      </c>
      <c r="C752" s="15">
        <f>IF(A752&lt;=Assumptions!$B$13,IF(OR(A752=0,A752=Assumptions!$B$13),0.5,1),0)*Assumptions!$B$12</f>
        <v>0.01</v>
      </c>
      <c r="D752" s="12">
        <f>D751*(1-Assumptions!$B$12*(Assumptions!$B$5+Assumptions!$B$6))</f>
        <v>0.79992805492863517</v>
      </c>
      <c r="E752" s="12">
        <f>E751+Assumptions!$B$12*(D751*Assumptions!$B$5-E751*Assumptions!$B$7)</f>
        <v>0.11063794074393844</v>
      </c>
      <c r="F752" s="12">
        <f t="shared" si="33"/>
        <v>8.9434004327426389E-2</v>
      </c>
      <c r="G752" s="12">
        <f>EXP(-Assumptions!$B$8*B752)</f>
        <v>0.68935424252422239</v>
      </c>
      <c r="H752" s="12">
        <f t="shared" si="34"/>
        <v>0.55143379837920381</v>
      </c>
      <c r="I752" s="12">
        <f t="shared" si="35"/>
        <v>7.6268733835977487E-2</v>
      </c>
      <c r="J752" s="12">
        <f>G752*(D752*Assumptions!$B$6+E752*Assumptions!$B$7)</f>
        <v>9.3277746755909136E-3</v>
      </c>
    </row>
    <row r="753" spans="1:10" x14ac:dyDescent="0.2">
      <c r="A753" s="2">
        <v>745</v>
      </c>
      <c r="B753" s="14">
        <f>A753*Assumptions!$B$12</f>
        <v>7.45</v>
      </c>
      <c r="C753" s="15">
        <f>IF(A753&lt;=Assumptions!$B$13,IF(OR(A753=0,A753=Assumptions!$B$13),0.5,1),0)*Assumptions!$B$12</f>
        <v>0.01</v>
      </c>
      <c r="D753" s="12">
        <f>D752*(1-Assumptions!$B$12*(Assumptions!$B$5+Assumptions!$B$6))</f>
        <v>0.79968807651215656</v>
      </c>
      <c r="E753" s="12">
        <f>E752+Assumptions!$B$12*(D752*Assumptions!$B$5-E752*Assumptions!$B$7)</f>
        <v>0.1107426073845522</v>
      </c>
      <c r="F753" s="12">
        <f t="shared" si="33"/>
        <v>8.9569316103291233E-2</v>
      </c>
      <c r="G753" s="12">
        <f>EXP(-Assumptions!$B$8*B753)</f>
        <v>0.68900965155788085</v>
      </c>
      <c r="H753" s="12">
        <f t="shared" si="34"/>
        <v>0.55099280295263298</v>
      </c>
      <c r="I753" s="12">
        <f t="shared" si="35"/>
        <v>7.6302725326641521E-2</v>
      </c>
      <c r="J753" s="12">
        <f>G753*(D753*Assumptions!$B$6+E753*Assumptions!$B$7)</f>
        <v>9.3250642958584064E-3</v>
      </c>
    </row>
    <row r="754" spans="1:10" x14ac:dyDescent="0.2">
      <c r="A754" s="2">
        <v>746</v>
      </c>
      <c r="B754" s="14">
        <f>A754*Assumptions!$B$12</f>
        <v>7.46</v>
      </c>
      <c r="C754" s="15">
        <f>IF(A754&lt;=Assumptions!$B$13,IF(OR(A754=0,A754=Assumptions!$B$13),0.5,1),0)*Assumptions!$B$12</f>
        <v>0.01</v>
      </c>
      <c r="D754" s="12">
        <f>D753*(1-Assumptions!$B$12*(Assumptions!$B$5+Assumptions!$B$6))</f>
        <v>0.79944817008920299</v>
      </c>
      <c r="E754" s="12">
        <f>E753+Assumptions!$B$12*(D753*Assumptions!$B$5-E753*Assumptions!$B$7)</f>
        <v>0.11084717369616236</v>
      </c>
      <c r="F754" s="12">
        <f t="shared" si="33"/>
        <v>8.9704656214634651E-2</v>
      </c>
      <c r="G754" s="12">
        <f>EXP(-Assumptions!$B$8*B754)</f>
        <v>0.68866523284395575</v>
      </c>
      <c r="H754" s="12">
        <f t="shared" si="34"/>
        <v>0.55055216020115527</v>
      </c>
      <c r="I754" s="12">
        <f t="shared" si="35"/>
        <v>7.6336594683562062E-2</v>
      </c>
      <c r="J754" s="12">
        <f>G754*(D754*Assumptions!$B$6+E754*Assumptions!$B$7)</f>
        <v>9.3223513361896555E-3</v>
      </c>
    </row>
    <row r="755" spans="1:10" x14ac:dyDescent="0.2">
      <c r="A755" s="2">
        <v>747</v>
      </c>
      <c r="B755" s="14">
        <f>A755*Assumptions!$B$12</f>
        <v>7.47</v>
      </c>
      <c r="C755" s="15">
        <f>IF(A755&lt;=Assumptions!$B$13,IF(OR(A755=0,A755=Assumptions!$B$13),0.5,1),0)*Assumptions!$B$12</f>
        <v>0.01</v>
      </c>
      <c r="D755" s="12">
        <f>D754*(1-Assumptions!$B$12*(Assumptions!$B$5+Assumptions!$B$6))</f>
        <v>0.79920833563817628</v>
      </c>
      <c r="E755" s="12">
        <f>E754+Assumptions!$B$12*(D754*Assumptions!$B$5-E754*Assumptions!$B$7)</f>
        <v>0.11095163974333212</v>
      </c>
      <c r="F755" s="12">
        <f t="shared" si="33"/>
        <v>8.9840024618491596E-2</v>
      </c>
      <c r="G755" s="12">
        <f>EXP(-Assumptions!$B$8*B755)</f>
        <v>0.68832098629634253</v>
      </c>
      <c r="H755" s="12">
        <f t="shared" si="34"/>
        <v>0.55011186984272786</v>
      </c>
      <c r="I755" s="12">
        <f t="shared" si="35"/>
        <v>7.6370342099326846E-2</v>
      </c>
      <c r="J755" s="12">
        <f>G755*(D755*Assumptions!$B$6+E755*Assumptions!$B$7)</f>
        <v>9.3196358033936205E-3</v>
      </c>
    </row>
    <row r="756" spans="1:10" x14ac:dyDescent="0.2">
      <c r="A756" s="2">
        <v>748</v>
      </c>
      <c r="B756" s="14">
        <f>A756*Assumptions!$B$12</f>
        <v>7.48</v>
      </c>
      <c r="C756" s="15">
        <f>IF(A756&lt;=Assumptions!$B$13,IF(OR(A756=0,A756=Assumptions!$B$13),0.5,1),0)*Assumptions!$B$12</f>
        <v>0.01</v>
      </c>
      <c r="D756" s="12">
        <f>D755*(1-Assumptions!$B$12*(Assumptions!$B$5+Assumptions!$B$6))</f>
        <v>0.79896857313748482</v>
      </c>
      <c r="E756" s="12">
        <f>E755+Assumptions!$B$12*(D755*Assumptions!$B$5-E755*Assumptions!$B$7)</f>
        <v>0.11105600559058809</v>
      </c>
      <c r="F756" s="12">
        <f t="shared" si="33"/>
        <v>8.9975421271927092E-2</v>
      </c>
      <c r="G756" s="12">
        <f>EXP(-Assumptions!$B$8*B756)</f>
        <v>0.68797691182897935</v>
      </c>
      <c r="H756" s="12">
        <f t="shared" si="34"/>
        <v>0.54967193159553285</v>
      </c>
      <c r="I756" s="12">
        <f t="shared" si="35"/>
        <v>7.6403967766274658E-2</v>
      </c>
      <c r="J756" s="12">
        <f>G756*(D756*Assumptions!$B$6+E756*Assumptions!$B$7)</f>
        <v>9.3169177042690607E-3</v>
      </c>
    </row>
    <row r="757" spans="1:10" x14ac:dyDescent="0.2">
      <c r="A757" s="2">
        <v>749</v>
      </c>
      <c r="B757" s="14">
        <f>A757*Assumptions!$B$12</f>
        <v>7.49</v>
      </c>
      <c r="C757" s="15">
        <f>IF(A757&lt;=Assumptions!$B$13,IF(OR(A757=0,A757=Assumptions!$B$13),0.5,1),0)*Assumptions!$B$12</f>
        <v>0.01</v>
      </c>
      <c r="D757" s="12">
        <f>D756*(1-Assumptions!$B$12*(Assumptions!$B$5+Assumptions!$B$6))</f>
        <v>0.79872888256554364</v>
      </c>
      <c r="E757" s="12">
        <f>E756+Assumptions!$B$12*(D756*Assumptions!$B$5-E756*Assumptions!$B$7)</f>
        <v>0.11116027130242029</v>
      </c>
      <c r="F757" s="12">
        <f t="shared" si="33"/>
        <v>9.0110846132036071E-2</v>
      </c>
      <c r="G757" s="12">
        <f>EXP(-Assumptions!$B$8*B757)</f>
        <v>0.68763300935584781</v>
      </c>
      <c r="H757" s="12">
        <f t="shared" si="34"/>
        <v>0.54923234517797836</v>
      </c>
      <c r="I757" s="12">
        <f t="shared" si="35"/>
        <v>7.6437471876495758E-2</v>
      </c>
      <c r="J757" s="12">
        <f>G757*(D757*Assumptions!$B$6+E757*Assumptions!$B$7)</f>
        <v>9.314197045604572E-3</v>
      </c>
    </row>
    <row r="758" spans="1:10" x14ac:dyDescent="0.2">
      <c r="A758" s="2">
        <v>750</v>
      </c>
      <c r="B758" s="14">
        <f>A758*Assumptions!$B$12</f>
        <v>7.5</v>
      </c>
      <c r="C758" s="15">
        <f>IF(A758&lt;=Assumptions!$B$13,IF(OR(A758=0,A758=Assumptions!$B$13),0.5,1),0)*Assumptions!$B$12</f>
        <v>0.01</v>
      </c>
      <c r="D758" s="12">
        <f>D757*(1-Assumptions!$B$12*(Assumptions!$B$5+Assumptions!$B$6))</f>
        <v>0.79848926390077402</v>
      </c>
      <c r="E758" s="12">
        <f>E757+Assumptions!$B$12*(D757*Assumptions!$B$5-E757*Assumptions!$B$7)</f>
        <v>0.11126443694328218</v>
      </c>
      <c r="F758" s="12">
        <f t="shared" si="33"/>
        <v>9.0246299155943802E-2</v>
      </c>
      <c r="G758" s="12">
        <f>EXP(-Assumptions!$B$8*B758)</f>
        <v>0.68728927879097224</v>
      </c>
      <c r="H758" s="12">
        <f t="shared" si="34"/>
        <v>0.54879311030869726</v>
      </c>
      <c r="I758" s="12">
        <f t="shared" si="35"/>
        <v>7.6470854621832021E-2</v>
      </c>
      <c r="J758" s="12">
        <f>G758*(D758*Assumptions!$B$6+E758*Assumptions!$B$7)</f>
        <v>9.3114738341785741E-3</v>
      </c>
    </row>
    <row r="759" spans="1:10" x14ac:dyDescent="0.2">
      <c r="A759" s="2">
        <v>751</v>
      </c>
      <c r="B759" s="14">
        <f>A759*Assumptions!$B$12</f>
        <v>7.51</v>
      </c>
      <c r="C759" s="15">
        <f>IF(A759&lt;=Assumptions!$B$13,IF(OR(A759=0,A759=Assumptions!$B$13),0.5,1),0)*Assumptions!$B$12</f>
        <v>0.01</v>
      </c>
      <c r="D759" s="12">
        <f>D758*(1-Assumptions!$B$12*(Assumptions!$B$5+Assumptions!$B$6))</f>
        <v>0.79824971712160386</v>
      </c>
      <c r="E759" s="12">
        <f>E758+Assumptions!$B$12*(D758*Assumptions!$B$5-E758*Assumptions!$B$7)</f>
        <v>0.11136850257759069</v>
      </c>
      <c r="F759" s="12">
        <f t="shared" si="33"/>
        <v>9.0381780300805445E-2</v>
      </c>
      <c r="G759" s="12">
        <f>EXP(-Assumptions!$B$8*B759)</f>
        <v>0.68694572004841981</v>
      </c>
      <c r="H759" s="12">
        <f t="shared" si="34"/>
        <v>0.54835422670654754</v>
      </c>
      <c r="I759" s="12">
        <f t="shared" si="35"/>
        <v>7.6504116193877342E-2</v>
      </c>
      <c r="J759" s="12">
        <f>G759*(D759*Assumptions!$B$6+E759*Assumptions!$B$7)</f>
        <v>9.3087480767593423E-3</v>
      </c>
    </row>
    <row r="760" spans="1:10" x14ac:dyDescent="0.2">
      <c r="A760" s="2">
        <v>752</v>
      </c>
      <c r="B760" s="14">
        <f>A760*Assumptions!$B$12</f>
        <v>7.5200000000000005</v>
      </c>
      <c r="C760" s="15">
        <f>IF(A760&lt;=Assumptions!$B$13,IF(OR(A760=0,A760=Assumptions!$B$13),0.5,1),0)*Assumptions!$B$12</f>
        <v>0.01</v>
      </c>
      <c r="D760" s="12">
        <f>D759*(1-Assumptions!$B$12*(Assumptions!$B$5+Assumptions!$B$6))</f>
        <v>0.79801024220646744</v>
      </c>
      <c r="E760" s="12">
        <f>E759+Assumptions!$B$12*(D759*Assumptions!$B$5-E759*Assumptions!$B$7)</f>
        <v>0.11147246826972622</v>
      </c>
      <c r="F760" s="12">
        <f t="shared" si="33"/>
        <v>9.0517289523806346E-2</v>
      </c>
      <c r="G760" s="12">
        <f>EXP(-Assumptions!$B$8*B760)</f>
        <v>0.68660233304230101</v>
      </c>
      <c r="H760" s="12">
        <f t="shared" si="34"/>
        <v>0.54791569409061225</v>
      </c>
      <c r="I760" s="12">
        <f t="shared" si="35"/>
        <v>7.6537256783977894E-2</v>
      </c>
      <c r="J760" s="12">
        <f>G760*(D760*Assumptions!$B$6+E760*Assumptions!$B$7)</f>
        <v>9.3060197801050175E-3</v>
      </c>
    </row>
    <row r="761" spans="1:10" x14ac:dyDescent="0.2">
      <c r="A761" s="2">
        <v>753</v>
      </c>
      <c r="B761" s="14">
        <f>A761*Assumptions!$B$12</f>
        <v>7.53</v>
      </c>
      <c r="C761" s="15">
        <f>IF(A761&lt;=Assumptions!$B$13,IF(OR(A761=0,A761=Assumptions!$B$13),0.5,1),0)*Assumptions!$B$12</f>
        <v>0.01</v>
      </c>
      <c r="D761" s="12">
        <f>D760*(1-Assumptions!$B$12*(Assumptions!$B$5+Assumptions!$B$6))</f>
        <v>0.79777083913380553</v>
      </c>
      <c r="E761" s="12">
        <f>E760+Assumptions!$B$12*(D760*Assumptions!$B$5-E760*Assumptions!$B$7)</f>
        <v>0.11157633408403266</v>
      </c>
      <c r="F761" s="12">
        <f t="shared" si="33"/>
        <v>9.0652826782161813E-2</v>
      </c>
      <c r="G761" s="12">
        <f>EXP(-Assumptions!$B$8*B761)</f>
        <v>0.68625911768676906</v>
      </c>
      <c r="H761" s="12">
        <f t="shared" si="34"/>
        <v>0.5474775121801988</v>
      </c>
      <c r="I761" s="12">
        <f t="shared" si="35"/>
        <v>7.6570276583232427E-2</v>
      </c>
      <c r="J761" s="12">
        <f>G761*(D761*Assumptions!$B$6+E761*Assumptions!$B$7)</f>
        <v>9.3032889509636098E-3</v>
      </c>
    </row>
    <row r="762" spans="1:10" x14ac:dyDescent="0.2">
      <c r="A762" s="2">
        <v>754</v>
      </c>
      <c r="B762" s="14">
        <f>A762*Assumptions!$B$12</f>
        <v>7.54</v>
      </c>
      <c r="C762" s="15">
        <f>IF(A762&lt;=Assumptions!$B$13,IF(OR(A762=0,A762=Assumptions!$B$13),0.5,1),0)*Assumptions!$B$12</f>
        <v>0.01</v>
      </c>
      <c r="D762" s="12">
        <f>D761*(1-Assumptions!$B$12*(Assumptions!$B$5+Assumptions!$B$6))</f>
        <v>0.79753150788206539</v>
      </c>
      <c r="E762" s="12">
        <f>E761+Assumptions!$B$12*(D761*Assumptions!$B$5-E761*Assumptions!$B$7)</f>
        <v>0.11168010008481739</v>
      </c>
      <c r="F762" s="12">
        <f t="shared" si="33"/>
        <v>9.0788392033117213E-2</v>
      </c>
      <c r="G762" s="12">
        <f>EXP(-Assumptions!$B$8*B762)</f>
        <v>0.68591607389602016</v>
      </c>
      <c r="H762" s="12">
        <f t="shared" si="34"/>
        <v>0.5470396806948391</v>
      </c>
      <c r="I762" s="12">
        <f t="shared" si="35"/>
        <v>7.6603175782492539E-2</v>
      </c>
      <c r="J762" s="12">
        <f>G762*(D762*Assumptions!$B$6+E762*Assumptions!$B$7)</f>
        <v>9.3005555960730176E-3</v>
      </c>
    </row>
    <row r="763" spans="1:10" x14ac:dyDescent="0.2">
      <c r="A763" s="2">
        <v>755</v>
      </c>
      <c r="B763" s="14">
        <f>A763*Assumptions!$B$12</f>
        <v>7.55</v>
      </c>
      <c r="C763" s="15">
        <f>IF(A763&lt;=Assumptions!$B$13,IF(OR(A763=0,A763=Assumptions!$B$13),0.5,1),0)*Assumptions!$B$12</f>
        <v>0.01</v>
      </c>
      <c r="D763" s="12">
        <f>D762*(1-Assumptions!$B$12*(Assumptions!$B$5+Assumptions!$B$6))</f>
        <v>0.79729224842970081</v>
      </c>
      <c r="E763" s="12">
        <f>E762+Assumptions!$B$12*(D762*Assumptions!$B$5-E762*Assumptions!$B$7)</f>
        <v>0.1117837663363514</v>
      </c>
      <c r="F763" s="12">
        <f t="shared" si="33"/>
        <v>9.0923985233947791E-2</v>
      </c>
      <c r="G763" s="12">
        <f>EXP(-Assumptions!$B$8*B763)</f>
        <v>0.68557320158429325</v>
      </c>
      <c r="H763" s="12">
        <f t="shared" si="34"/>
        <v>0.54660219935428966</v>
      </c>
      <c r="I763" s="12">
        <f t="shared" si="35"/>
        <v>7.6635954572362969E-2</v>
      </c>
      <c r="J763" s="12">
        <f>G763*(D763*Assumptions!$B$6+E763*Assumptions!$B$7)</f>
        <v>9.2978197221610468E-3</v>
      </c>
    </row>
    <row r="764" spans="1:10" x14ac:dyDescent="0.2">
      <c r="A764" s="2">
        <v>756</v>
      </c>
      <c r="B764" s="14">
        <f>A764*Assumptions!$B$12</f>
        <v>7.5600000000000005</v>
      </c>
      <c r="C764" s="15">
        <f>IF(A764&lt;=Assumptions!$B$13,IF(OR(A764=0,A764=Assumptions!$B$13),0.5,1),0)*Assumptions!$B$12</f>
        <v>0.01</v>
      </c>
      <c r="D764" s="12">
        <f>D763*(1-Assumptions!$B$12*(Assumptions!$B$5+Assumptions!$B$6))</f>
        <v>0.7970530607551719</v>
      </c>
      <c r="E764" s="12">
        <f>E763+Assumptions!$B$12*(D763*Assumptions!$B$5-E763*Assumptions!$B$7)</f>
        <v>0.11188733290286916</v>
      </c>
      <c r="F764" s="12">
        <f t="shared" si="33"/>
        <v>9.1059606341958935E-2</v>
      </c>
      <c r="G764" s="12">
        <f>EXP(-Assumptions!$B$8*B764)</f>
        <v>0.68523050066587021</v>
      </c>
      <c r="H764" s="12">
        <f t="shared" si="34"/>
        <v>0.5461650678785307</v>
      </c>
      <c r="I764" s="12">
        <f t="shared" si="35"/>
        <v>7.6668613143201933E-2</v>
      </c>
      <c r="J764" s="12">
        <f>G764*(D764*Assumptions!$B$6+E764*Assumptions!$B$7)</f>
        <v>9.2950813359454036E-3</v>
      </c>
    </row>
    <row r="765" spans="1:10" x14ac:dyDescent="0.2">
      <c r="A765" s="2">
        <v>757</v>
      </c>
      <c r="B765" s="14">
        <f>A765*Assumptions!$B$12</f>
        <v>7.57</v>
      </c>
      <c r="C765" s="15">
        <f>IF(A765&lt;=Assumptions!$B$13,IF(OR(A765=0,A765=Assumptions!$B$13),0.5,1),0)*Assumptions!$B$12</f>
        <v>0.01</v>
      </c>
      <c r="D765" s="12">
        <f>D764*(1-Assumptions!$B$12*(Assumptions!$B$5+Assumptions!$B$6))</f>
        <v>0.79681394483694534</v>
      </c>
      <c r="E765" s="12">
        <f>E764+Assumptions!$B$12*(D764*Assumptions!$B$5-E764*Assumptions!$B$7)</f>
        <v>0.11199079984856876</v>
      </c>
      <c r="F765" s="12">
        <f t="shared" si="33"/>
        <v>9.1195255314485899E-2</v>
      </c>
      <c r="G765" s="12">
        <f>EXP(-Assumptions!$B$8*B765)</f>
        <v>0.68488797105507604</v>
      </c>
      <c r="H765" s="12">
        <f t="shared" si="34"/>
        <v>0.54572828598776679</v>
      </c>
      <c r="I765" s="12">
        <f t="shared" si="35"/>
        <v>7.6701151685121371E-2</v>
      </c>
      <c r="J765" s="12">
        <f>G765*(D765*Assumptions!$B$6+E765*Assumptions!$B$7)</f>
        <v>9.2923404441337364E-3</v>
      </c>
    </row>
    <row r="766" spans="1:10" x14ac:dyDescent="0.2">
      <c r="A766" s="2">
        <v>758</v>
      </c>
      <c r="B766" s="14">
        <f>A766*Assumptions!$B$12</f>
        <v>7.58</v>
      </c>
      <c r="C766" s="15">
        <f>IF(A766&lt;=Assumptions!$B$13,IF(OR(A766=0,A766=Assumptions!$B$13),0.5,1),0)*Assumptions!$B$12</f>
        <v>0.01</v>
      </c>
      <c r="D766" s="12">
        <f>D765*(1-Assumptions!$B$12*(Assumptions!$B$5+Assumptions!$B$6))</f>
        <v>0.79657490065349423</v>
      </c>
      <c r="E766" s="12">
        <f>E765+Assumptions!$B$12*(D765*Assumptions!$B$5-E765*Assumptions!$B$7)</f>
        <v>0.11209416723761187</v>
      </c>
      <c r="F766" s="12">
        <f t="shared" si="33"/>
        <v>9.1330932108893897E-2</v>
      </c>
      <c r="G766" s="12">
        <f>EXP(-Assumptions!$B$8*B766)</f>
        <v>0.68454561266627822</v>
      </c>
      <c r="H766" s="12">
        <f t="shared" si="34"/>
        <v>0.54529185340242592</v>
      </c>
      <c r="I766" s="12">
        <f t="shared" si="35"/>
        <v>7.6733570387987268E-2</v>
      </c>
      <c r="J766" s="12">
        <f>G766*(D766*Assumptions!$B$6+E766*Assumptions!$B$7)</f>
        <v>9.2895970534236216E-3</v>
      </c>
    </row>
    <row r="767" spans="1:10" x14ac:dyDescent="0.2">
      <c r="A767" s="2">
        <v>759</v>
      </c>
      <c r="B767" s="14">
        <f>A767*Assumptions!$B$12</f>
        <v>7.59</v>
      </c>
      <c r="C767" s="15">
        <f>IF(A767&lt;=Assumptions!$B$13,IF(OR(A767=0,A767=Assumptions!$B$13),0.5,1),0)*Assumptions!$B$12</f>
        <v>0.01</v>
      </c>
      <c r="D767" s="12">
        <f>D766*(1-Assumptions!$B$12*(Assumptions!$B$5+Assumptions!$B$6))</f>
        <v>0.79633592818329824</v>
      </c>
      <c r="E767" s="12">
        <f>E766+Assumptions!$B$12*(D766*Assumptions!$B$5-E766*Assumptions!$B$7)</f>
        <v>0.11219743513412377</v>
      </c>
      <c r="F767" s="12">
        <f t="shared" si="33"/>
        <v>9.1466636682577998E-2</v>
      </c>
      <c r="G767" s="12">
        <f>EXP(-Assumptions!$B$8*B767)</f>
        <v>0.68420342541388712</v>
      </c>
      <c r="H767" s="12">
        <f t="shared" si="34"/>
        <v>0.54485576984315987</v>
      </c>
      <c r="I767" s="12">
        <f t="shared" si="35"/>
        <v>7.6765869441419887E-2</v>
      </c>
      <c r="J767" s="12">
        <f>G767*(D767*Assumptions!$B$6+E767*Assumptions!$B$7)</f>
        <v>9.2868511705025934E-3</v>
      </c>
    </row>
    <row r="768" spans="1:10" x14ac:dyDescent="0.2">
      <c r="A768" s="2">
        <v>760</v>
      </c>
      <c r="B768" s="14">
        <f>A768*Assumptions!$B$12</f>
        <v>7.6000000000000005</v>
      </c>
      <c r="C768" s="15">
        <f>IF(A768&lt;=Assumptions!$B$13,IF(OR(A768=0,A768=Assumptions!$B$13),0.5,1),0)*Assumptions!$B$12</f>
        <v>0.01</v>
      </c>
      <c r="D768" s="12">
        <f>D767*(1-Assumptions!$B$12*(Assumptions!$B$5+Assumptions!$B$6))</f>
        <v>0.79609702740484323</v>
      </c>
      <c r="E768" s="12">
        <f>E767+Assumptions!$B$12*(D767*Assumptions!$B$5-E767*Assumptions!$B$7)</f>
        <v>0.11230060360219336</v>
      </c>
      <c r="F768" s="12">
        <f t="shared" si="33"/>
        <v>9.1602368992963409E-2</v>
      </c>
      <c r="G768" s="12">
        <f>EXP(-Assumptions!$B$8*B768)</f>
        <v>0.68386140921235583</v>
      </c>
      <c r="H768" s="12">
        <f t="shared" si="34"/>
        <v>0.54442003503084357</v>
      </c>
      <c r="I768" s="12">
        <f t="shared" si="35"/>
        <v>7.6798049034794119E-2</v>
      </c>
      <c r="J768" s="12">
        <f>G768*(D768*Assumptions!$B$6+E768*Assumptions!$B$7)</f>
        <v>9.2841028020481421E-3</v>
      </c>
    </row>
    <row r="769" spans="1:10" x14ac:dyDescent="0.2">
      <c r="A769" s="2">
        <v>761</v>
      </c>
      <c r="B769" s="14">
        <f>A769*Assumptions!$B$12</f>
        <v>7.61</v>
      </c>
      <c r="C769" s="15">
        <f>IF(A769&lt;=Assumptions!$B$13,IF(OR(A769=0,A769=Assumptions!$B$13),0.5,1),0)*Assumptions!$B$12</f>
        <v>0.01</v>
      </c>
      <c r="D769" s="12">
        <f>D768*(1-Assumptions!$B$12*(Assumptions!$B$5+Assumptions!$B$6))</f>
        <v>0.79585819829662185</v>
      </c>
      <c r="E769" s="12">
        <f>E768+Assumptions!$B$12*(D768*Assumptions!$B$5-E768*Assumptions!$B$7)</f>
        <v>0.11240367270587323</v>
      </c>
      <c r="F769" s="12">
        <f t="shared" si="33"/>
        <v>9.1738128997504914E-2</v>
      </c>
      <c r="G769" s="12">
        <f>EXP(-Assumptions!$B$8*B769)</f>
        <v>0.68351956397618041</v>
      </c>
      <c r="H769" s="12">
        <f t="shared" si="34"/>
        <v>0.54398464868657548</v>
      </c>
      <c r="I769" s="12">
        <f t="shared" si="35"/>
        <v>7.6830109357239759E-2</v>
      </c>
      <c r="J769" s="12">
        <f>G769*(D769*Assumptions!$B$6+E769*Assumptions!$B$7)</f>
        <v>9.2813519547277432E-3</v>
      </c>
    </row>
    <row r="770" spans="1:10" x14ac:dyDescent="0.2">
      <c r="A770" s="2">
        <v>762</v>
      </c>
      <c r="B770" s="14">
        <f>A770*Assumptions!$B$12</f>
        <v>7.62</v>
      </c>
      <c r="C770" s="15">
        <f>IF(A770&lt;=Assumptions!$B$13,IF(OR(A770=0,A770=Assumptions!$B$13),0.5,1),0)*Assumptions!$B$12</f>
        <v>0.01</v>
      </c>
      <c r="D770" s="12">
        <f>D769*(1-Assumptions!$B$12*(Assumptions!$B$5+Assumptions!$B$6))</f>
        <v>0.79561944083713287</v>
      </c>
      <c r="E770" s="12">
        <f>E769+Assumptions!$B$12*(D769*Assumptions!$B$5-E769*Assumptions!$B$7)</f>
        <v>0.11250664250917962</v>
      </c>
      <c r="F770" s="12">
        <f t="shared" si="33"/>
        <v>9.1873916653687507E-2</v>
      </c>
      <c r="G770" s="12">
        <f>EXP(-Assumptions!$B$8*B770)</f>
        <v>0.68317788961989967</v>
      </c>
      <c r="H770" s="12">
        <f t="shared" si="34"/>
        <v>0.54354961053167705</v>
      </c>
      <c r="I770" s="12">
        <f t="shared" si="35"/>
        <v>7.6862050597641826E-2</v>
      </c>
      <c r="J770" s="12">
        <f>G770*(D770*Assumptions!$B$6+E770*Assumptions!$B$7)</f>
        <v>9.2785986351988613E-3</v>
      </c>
    </row>
    <row r="771" spans="1:10" x14ac:dyDescent="0.2">
      <c r="A771" s="2">
        <v>763</v>
      </c>
      <c r="B771" s="14">
        <f>A771*Assumptions!$B$12</f>
        <v>7.63</v>
      </c>
      <c r="C771" s="15">
        <f>IF(A771&lt;=Assumptions!$B$13,IF(OR(A771=0,A771=Assumptions!$B$13),0.5,1),0)*Assumptions!$B$12</f>
        <v>0.01</v>
      </c>
      <c r="D771" s="12">
        <f>D770*(1-Assumptions!$B$12*(Assumptions!$B$5+Assumptions!$B$6))</f>
        <v>0.79538075500488181</v>
      </c>
      <c r="E771" s="12">
        <f>E770+Assumptions!$B$12*(D770*Assumptions!$B$5-E770*Assumptions!$B$7)</f>
        <v>0.11260951307609246</v>
      </c>
      <c r="F771" s="12">
        <f t="shared" si="33"/>
        <v>9.2009731919025728E-2</v>
      </c>
      <c r="G771" s="12">
        <f>EXP(-Assumptions!$B$8*B771)</f>
        <v>0.68283638605809482</v>
      </c>
      <c r="H771" s="12">
        <f t="shared" si="34"/>
        <v>0.54311492028769237</v>
      </c>
      <c r="I771" s="12">
        <f t="shared" si="35"/>
        <v>7.6893872944640743E-2</v>
      </c>
      <c r="J771" s="12">
        <f>G771*(D771*Assumptions!$B$6+E771*Assumptions!$B$7)</f>
        <v>9.2758428501089601E-3</v>
      </c>
    </row>
    <row r="772" spans="1:10" x14ac:dyDescent="0.2">
      <c r="A772" s="2">
        <v>764</v>
      </c>
      <c r="B772" s="14">
        <f>A772*Assumptions!$B$12</f>
        <v>7.6400000000000006</v>
      </c>
      <c r="C772" s="15">
        <f>IF(A772&lt;=Assumptions!$B$13,IF(OR(A772=0,A772=Assumptions!$B$13),0.5,1),0)*Assumptions!$B$12</f>
        <v>0.01</v>
      </c>
      <c r="D772" s="12">
        <f>D771*(1-Assumptions!$B$12*(Assumptions!$B$5+Assumptions!$B$6))</f>
        <v>0.79514214077838041</v>
      </c>
      <c r="E772" s="12">
        <f>E771+Assumptions!$B$12*(D771*Assumptions!$B$5-E771*Assumptions!$B$7)</f>
        <v>0.1127122844705554</v>
      </c>
      <c r="F772" s="12">
        <f t="shared" si="33"/>
        <v>9.2145574751064191E-2</v>
      </c>
      <c r="G772" s="12">
        <f>EXP(-Assumptions!$B$8*B772)</f>
        <v>0.68249505320539006</v>
      </c>
      <c r="H772" s="12">
        <f t="shared" si="34"/>
        <v>0.54268057767638844</v>
      </c>
      <c r="I772" s="12">
        <f t="shared" si="35"/>
        <v>7.6925576586632766E-2</v>
      </c>
      <c r="J772" s="12">
        <f>G772*(D772*Assumptions!$B$6+E772*Assumptions!$B$7)</f>
        <v>9.2730846060955219E-3</v>
      </c>
    </row>
    <row r="773" spans="1:10" x14ac:dyDescent="0.2">
      <c r="A773" s="2">
        <v>765</v>
      </c>
      <c r="B773" s="14">
        <f>A773*Assumptions!$B$12</f>
        <v>7.65</v>
      </c>
      <c r="C773" s="15">
        <f>IF(A773&lt;=Assumptions!$B$13,IF(OR(A773=0,A773=Assumptions!$B$13),0.5,1),0)*Assumptions!$B$12</f>
        <v>0.01</v>
      </c>
      <c r="D773" s="12">
        <f>D772*(1-Assumptions!$B$12*(Assumptions!$B$5+Assumptions!$B$6))</f>
        <v>0.79490359813614697</v>
      </c>
      <c r="E773" s="12">
        <f>E772+Assumptions!$B$12*(D772*Assumptions!$B$5-E772*Assumptions!$B$7)</f>
        <v>0.11281495675647579</v>
      </c>
      <c r="F773" s="12">
        <f t="shared" si="33"/>
        <v>9.2281445107377236E-2</v>
      </c>
      <c r="G773" s="12">
        <f>EXP(-Assumptions!$B$8*B773)</f>
        <v>0.68215389097645218</v>
      </c>
      <c r="H773" s="12">
        <f t="shared" si="34"/>
        <v>0.54224658241975476</v>
      </c>
      <c r="I773" s="12">
        <f t="shared" si="35"/>
        <v>7.6957161711770153E-2</v>
      </c>
      <c r="J773" s="12">
        <f>G773*(D773*Assumptions!$B$6+E773*Assumptions!$B$7)</f>
        <v>9.2703239097860542E-3</v>
      </c>
    </row>
    <row r="774" spans="1:10" x14ac:dyDescent="0.2">
      <c r="A774" s="2">
        <v>766</v>
      </c>
      <c r="B774" s="14">
        <f>A774*Assumptions!$B$12</f>
        <v>7.66</v>
      </c>
      <c r="C774" s="15">
        <f>IF(A774&lt;=Assumptions!$B$13,IF(OR(A774=0,A774=Assumptions!$B$13),0.5,1),0)*Assumptions!$B$12</f>
        <v>0.01</v>
      </c>
      <c r="D774" s="12">
        <f>D773*(1-Assumptions!$B$12*(Assumptions!$B$5+Assumptions!$B$6))</f>
        <v>0.79466512705670611</v>
      </c>
      <c r="E774" s="12">
        <f>E773+Assumptions!$B$12*(D773*Assumptions!$B$5-E773*Assumptions!$B$7)</f>
        <v>0.11291752999772478</v>
      </c>
      <c r="F774" s="12">
        <f t="shared" si="33"/>
        <v>9.2417342945569109E-2</v>
      </c>
      <c r="G774" s="12">
        <f>EXP(-Assumptions!$B$8*B774)</f>
        <v>0.68181289928599054</v>
      </c>
      <c r="H774" s="12">
        <f t="shared" si="34"/>
        <v>0.54181293424000287</v>
      </c>
      <c r="I774" s="12">
        <f t="shared" si="35"/>
        <v>7.6988628507961537E-2</v>
      </c>
      <c r="J774" s="12">
        <f>G774*(D774*Assumptions!$B$6+E774*Assumptions!$B$7)</f>
        <v>9.2675607677981057E-3</v>
      </c>
    </row>
    <row r="775" spans="1:10" x14ac:dyDescent="0.2">
      <c r="A775" s="2">
        <v>767</v>
      </c>
      <c r="B775" s="14">
        <f>A775*Assumptions!$B$12</f>
        <v>7.67</v>
      </c>
      <c r="C775" s="15">
        <f>IF(A775&lt;=Assumptions!$B$13,IF(OR(A775=0,A775=Assumptions!$B$13),0.5,1),0)*Assumptions!$B$12</f>
        <v>0.01</v>
      </c>
      <c r="D775" s="12">
        <f>D774*(1-Assumptions!$B$12*(Assumptions!$B$5+Assumptions!$B$6))</f>
        <v>0.79442672751858912</v>
      </c>
      <c r="E775" s="12">
        <f>E774+Assumptions!$B$12*(D774*Assumptions!$B$5-E774*Assumptions!$B$7)</f>
        <v>0.11302000425813725</v>
      </c>
      <c r="F775" s="12">
        <f t="shared" si="33"/>
        <v>9.255326822327363E-2</v>
      </c>
      <c r="G775" s="12">
        <f>EXP(-Assumptions!$B$8*B775)</f>
        <v>0.68147207804875731</v>
      </c>
      <c r="H775" s="12">
        <f t="shared" si="34"/>
        <v>0.54137963285956681</v>
      </c>
      <c r="I775" s="12">
        <f t="shared" si="35"/>
        <v>7.7019977162872191E-2</v>
      </c>
      <c r="J775" s="12">
        <f>G775*(D775*Assumptions!$B$6+E775*Assumptions!$B$7)</f>
        <v>9.2647951867392778E-3</v>
      </c>
    </row>
    <row r="776" spans="1:10" x14ac:dyDescent="0.2">
      <c r="A776" s="2">
        <v>768</v>
      </c>
      <c r="B776" s="14">
        <f>A776*Assumptions!$B$12</f>
        <v>7.68</v>
      </c>
      <c r="C776" s="15">
        <f>IF(A776&lt;=Assumptions!$B$13,IF(OR(A776=0,A776=Assumptions!$B$13),0.5,1),0)*Assumptions!$B$12</f>
        <v>0.01</v>
      </c>
      <c r="D776" s="12">
        <f>D775*(1-Assumptions!$B$12*(Assumptions!$B$5+Assumptions!$B$6))</f>
        <v>0.7941883995003336</v>
      </c>
      <c r="E776" s="12">
        <f>E775+Assumptions!$B$12*(D775*Assumptions!$B$5-E775*Assumptions!$B$7)</f>
        <v>0.1131223796015119</v>
      </c>
      <c r="F776" s="12">
        <f t="shared" ref="F776:F839" si="36">1-D776-E776</f>
        <v>9.2689220898154498E-2</v>
      </c>
      <c r="G776" s="12">
        <f>EXP(-Assumptions!$B$8*B776)</f>
        <v>0.68113142717954711</v>
      </c>
      <c r="H776" s="12">
        <f t="shared" ref="H776:H839" si="37">G776*D776</f>
        <v>0.54094667800110252</v>
      </c>
      <c r="I776" s="12">
        <f t="shared" ref="I776:I839" si="38">G776*E776</f>
        <v>7.705120786392429E-2</v>
      </c>
      <c r="J776" s="12">
        <f>G776*(D776*Assumptions!$B$6+E776*Assumptions!$B$7)</f>
        <v>9.262027173207241E-3</v>
      </c>
    </row>
    <row r="777" spans="1:10" x14ac:dyDescent="0.2">
      <c r="A777" s="2">
        <v>769</v>
      </c>
      <c r="B777" s="14">
        <f>A777*Assumptions!$B$12</f>
        <v>7.69</v>
      </c>
      <c r="C777" s="15">
        <f>IF(A777&lt;=Assumptions!$B$13,IF(OR(A777=0,A777=Assumptions!$B$13),0.5,1),0)*Assumptions!$B$12</f>
        <v>0.01</v>
      </c>
      <c r="D777" s="12">
        <f>D776*(1-Assumptions!$B$12*(Assumptions!$B$5+Assumptions!$B$6))</f>
        <v>0.7939501429804835</v>
      </c>
      <c r="E777" s="12">
        <f>E776+Assumptions!$B$12*(D776*Assumptions!$B$5-E776*Assumptions!$B$7)</f>
        <v>0.11322465609161121</v>
      </c>
      <c r="F777" s="12">
        <f t="shared" si="36"/>
        <v>9.2825200927905291E-2</v>
      </c>
      <c r="G777" s="12">
        <f>EXP(-Assumptions!$B$8*B777)</f>
        <v>0.68079094659319728</v>
      </c>
      <c r="H777" s="12">
        <f t="shared" si="37"/>
        <v>0.54051406938748769</v>
      </c>
      <c r="I777" s="12">
        <f t="shared" si="38"/>
        <v>7.7082320798297216E-2</v>
      </c>
      <c r="J777" s="12">
        <f>G777*(D777*Assumptions!$B$6+E777*Assumptions!$B$7)</f>
        <v>9.2592567337897377E-3</v>
      </c>
    </row>
    <row r="778" spans="1:10" x14ac:dyDescent="0.2">
      <c r="A778" s="2">
        <v>770</v>
      </c>
      <c r="B778" s="14">
        <f>A778*Assumptions!$B$12</f>
        <v>7.7</v>
      </c>
      <c r="C778" s="15">
        <f>IF(A778&lt;=Assumptions!$B$13,IF(OR(A778=0,A778=Assumptions!$B$13),0.5,1),0)*Assumptions!$B$12</f>
        <v>0.01</v>
      </c>
      <c r="D778" s="12">
        <f>D777*(1-Assumptions!$B$12*(Assumptions!$B$5+Assumptions!$B$6))</f>
        <v>0.79371195793758942</v>
      </c>
      <c r="E778" s="12">
        <f>E777+Assumptions!$B$12*(D777*Assumptions!$B$5-E777*Assumptions!$B$7)</f>
        <v>0.1133268337921615</v>
      </c>
      <c r="F778" s="12">
        <f t="shared" si="36"/>
        <v>9.2961208270249077E-2</v>
      </c>
      <c r="G778" s="12">
        <f>EXP(-Assumptions!$B$8*B778)</f>
        <v>0.68045063620458768</v>
      </c>
      <c r="H778" s="12">
        <f t="shared" si="37"/>
        <v>0.5400818067418216</v>
      </c>
      <c r="I778" s="12">
        <f t="shared" si="38"/>
        <v>7.7113316152927866E-2</v>
      </c>
      <c r="J778" s="12">
        <f>G778*(D778*Assumptions!$B$6+E778*Assumptions!$B$7)</f>
        <v>9.2564838750646104E-3</v>
      </c>
    </row>
    <row r="779" spans="1:10" x14ac:dyDescent="0.2">
      <c r="A779" s="2">
        <v>771</v>
      </c>
      <c r="B779" s="14">
        <f>A779*Assumptions!$B$12</f>
        <v>7.71</v>
      </c>
      <c r="C779" s="15">
        <f>IF(A779&lt;=Assumptions!$B$13,IF(OR(A779=0,A779=Assumptions!$B$13),0.5,1),0)*Assumptions!$B$12</f>
        <v>0.01</v>
      </c>
      <c r="D779" s="12">
        <f>D778*(1-Assumptions!$B$12*(Assumptions!$B$5+Assumptions!$B$6))</f>
        <v>0.79347384435020818</v>
      </c>
      <c r="E779" s="12">
        <f>E778+Assumptions!$B$12*(D778*Assumptions!$B$5-E778*Assumptions!$B$7)</f>
        <v>0.11342891276685294</v>
      </c>
      <c r="F779" s="12">
        <f t="shared" si="36"/>
        <v>9.3097242882938885E-2</v>
      </c>
      <c r="G779" s="12">
        <f>EXP(-Assumptions!$B$8*B779)</f>
        <v>0.68011049592864059</v>
      </c>
      <c r="H779" s="12">
        <f t="shared" si="37"/>
        <v>0.53964988978742501</v>
      </c>
      <c r="I779" s="12">
        <f t="shared" si="38"/>
        <v>7.7144194114510858E-2</v>
      </c>
      <c r="J779" s="12">
        <f>G779*(D779*Assumptions!$B$6+E779*Assumptions!$B$7)</f>
        <v>9.2537086035997945E-3</v>
      </c>
    </row>
    <row r="780" spans="1:10" x14ac:dyDescent="0.2">
      <c r="A780" s="2">
        <v>772</v>
      </c>
      <c r="B780" s="14">
        <f>A780*Assumptions!$B$12</f>
        <v>7.72</v>
      </c>
      <c r="C780" s="15">
        <f>IF(A780&lt;=Assumptions!$B$13,IF(OR(A780=0,A780=Assumptions!$B$13),0.5,1),0)*Assumptions!$B$12</f>
        <v>0.01</v>
      </c>
      <c r="D780" s="12">
        <f>D779*(1-Assumptions!$B$12*(Assumptions!$B$5+Assumptions!$B$6))</f>
        <v>0.79323580219690315</v>
      </c>
      <c r="E780" s="12">
        <f>E779+Assumptions!$B$12*(D779*Assumptions!$B$5-E779*Assumptions!$B$7)</f>
        <v>0.11353089307933956</v>
      </c>
      <c r="F780" s="12">
        <f t="shared" si="36"/>
        <v>9.3233304723757293E-2</v>
      </c>
      <c r="G780" s="12">
        <f>EXP(-Assumptions!$B$8*B780)</f>
        <v>0.67977052568032104</v>
      </c>
      <c r="H780" s="12">
        <f t="shared" si="37"/>
        <v>0.53921831824784006</v>
      </c>
      <c r="I780" s="12">
        <f t="shared" si="38"/>
        <v>7.7174954869498977E-2</v>
      </c>
      <c r="J780" s="12">
        <f>G780*(D780*Assumptions!$B$6+E780*Assumptions!$B$7)</f>
        <v>9.2509309259533479E-3</v>
      </c>
    </row>
    <row r="781" spans="1:10" x14ac:dyDescent="0.2">
      <c r="A781" s="2">
        <v>773</v>
      </c>
      <c r="B781" s="14">
        <f>A781*Assumptions!$B$12</f>
        <v>7.73</v>
      </c>
      <c r="C781" s="15">
        <f>IF(A781&lt;=Assumptions!$B$13,IF(OR(A781=0,A781=Assumptions!$B$13),0.5,1),0)*Assumptions!$B$12</f>
        <v>0.01</v>
      </c>
      <c r="D781" s="12">
        <f>D780*(1-Assumptions!$B$12*(Assumptions!$B$5+Assumptions!$B$6))</f>
        <v>0.79299783145624414</v>
      </c>
      <c r="E781" s="12">
        <f>E780+Assumptions!$B$12*(D780*Assumptions!$B$5-E780*Assumptions!$B$7)</f>
        <v>0.11363277479323927</v>
      </c>
      <c r="F781" s="12">
        <f t="shared" si="36"/>
        <v>9.3369393750516588E-2</v>
      </c>
      <c r="G781" s="12">
        <f>EXP(-Assumptions!$B$8*B781)</f>
        <v>0.67943072537463645</v>
      </c>
      <c r="H781" s="12">
        <f t="shared" si="37"/>
        <v>0.5387870918468296</v>
      </c>
      <c r="I781" s="12">
        <f t="shared" si="38"/>
        <v>7.7205598604103268E-2</v>
      </c>
      <c r="J781" s="12">
        <f>G781*(D781*Assumptions!$B$6+E781*Assumptions!$B$7)</f>
        <v>9.2481508486734598E-3</v>
      </c>
    </row>
    <row r="782" spans="1:10" x14ac:dyDescent="0.2">
      <c r="A782" s="2">
        <v>774</v>
      </c>
      <c r="B782" s="14">
        <f>A782*Assumptions!$B$12</f>
        <v>7.74</v>
      </c>
      <c r="C782" s="15">
        <f>IF(A782&lt;=Assumptions!$B$13,IF(OR(A782=0,A782=Assumptions!$B$13),0.5,1),0)*Assumptions!$B$12</f>
        <v>0.01</v>
      </c>
      <c r="D782" s="12">
        <f>D781*(1-Assumptions!$B$12*(Assumptions!$B$5+Assumptions!$B$6))</f>
        <v>0.79275993210680729</v>
      </c>
      <c r="E782" s="12">
        <f>E781+Assumptions!$B$12*(D781*Assumptions!$B$5-E781*Assumptions!$B$7)</f>
        <v>0.1137345579721339</v>
      </c>
      <c r="F782" s="12">
        <f t="shared" si="36"/>
        <v>9.3505509921058813E-2</v>
      </c>
      <c r="G782" s="12">
        <f>EXP(-Assumptions!$B$8*B782)</f>
        <v>0.67909109492663677</v>
      </c>
      <c r="H782" s="12">
        <f t="shared" si="37"/>
        <v>0.53835621030837799</v>
      </c>
      <c r="I782" s="12">
        <f t="shared" si="38"/>
        <v>7.7236125504293457E-2</v>
      </c>
      <c r="J782" s="12">
        <f>G782*(D782*Assumptions!$B$6+E782*Assumptions!$B$7)</f>
        <v>9.2453683782984537E-3</v>
      </c>
    </row>
    <row r="783" spans="1:10" x14ac:dyDescent="0.2">
      <c r="A783" s="2">
        <v>775</v>
      </c>
      <c r="B783" s="14">
        <f>A783*Assumptions!$B$12</f>
        <v>7.75</v>
      </c>
      <c r="C783" s="15">
        <f>IF(A783&lt;=Assumptions!$B$13,IF(OR(A783=0,A783=Assumptions!$B$13),0.5,1),0)*Assumptions!$B$12</f>
        <v>0.01</v>
      </c>
      <c r="D783" s="12">
        <f>D782*(1-Assumptions!$B$12*(Assumptions!$B$5+Assumptions!$B$6))</f>
        <v>0.79252210412717528</v>
      </c>
      <c r="E783" s="12">
        <f>E782+Assumptions!$B$12*(D782*Assumptions!$B$5-E782*Assumptions!$B$7)</f>
        <v>0.1138362426795692</v>
      </c>
      <c r="F783" s="12">
        <f t="shared" si="36"/>
        <v>9.3641653193255528E-2</v>
      </c>
      <c r="G783" s="12">
        <f>EXP(-Assumptions!$B$8*B783)</f>
        <v>0.67875163425141438</v>
      </c>
      <c r="H783" s="12">
        <f t="shared" si="37"/>
        <v>0.53792567335668984</v>
      </c>
      <c r="I783" s="12">
        <f t="shared" si="38"/>
        <v>7.7266535755798199E-2</v>
      </c>
      <c r="J783" s="12">
        <f>G783*(D783*Assumptions!$B$6+E783*Assumptions!$B$7)</f>
        <v>9.2425835213568088E-3</v>
      </c>
    </row>
    <row r="784" spans="1:10" x14ac:dyDescent="0.2">
      <c r="A784" s="2">
        <v>776</v>
      </c>
      <c r="B784" s="14">
        <f>A784*Assumptions!$B$12</f>
        <v>7.76</v>
      </c>
      <c r="C784" s="15">
        <f>IF(A784&lt;=Assumptions!$B$13,IF(OR(A784=0,A784=Assumptions!$B$13),0.5,1),0)*Assumptions!$B$12</f>
        <v>0.01</v>
      </c>
      <c r="D784" s="12">
        <f>D783*(1-Assumptions!$B$12*(Assumptions!$B$5+Assumptions!$B$6))</f>
        <v>0.79228434749593712</v>
      </c>
      <c r="E784" s="12">
        <f>E783+Assumptions!$B$12*(D783*Assumptions!$B$5-E783*Assumptions!$B$7)</f>
        <v>0.11393782897905484</v>
      </c>
      <c r="F784" s="12">
        <f t="shared" si="36"/>
        <v>9.3777823525008033E-2</v>
      </c>
      <c r="G784" s="12">
        <f>EXP(-Assumptions!$B$8*B784)</f>
        <v>0.67841234326410405</v>
      </c>
      <c r="H784" s="12">
        <f t="shared" si="37"/>
        <v>0.53749548071619035</v>
      </c>
      <c r="I784" s="12">
        <f t="shared" si="38"/>
        <v>7.7296829544105342E-2</v>
      </c>
      <c r="J784" s="12">
        <f>G784*(D784*Assumptions!$B$6+E784*Assumptions!$B$7)</f>
        <v>9.2397962843671702E-3</v>
      </c>
    </row>
    <row r="785" spans="1:10" x14ac:dyDescent="0.2">
      <c r="A785" s="2">
        <v>777</v>
      </c>
      <c r="B785" s="14">
        <f>A785*Assumptions!$B$12</f>
        <v>7.7700000000000005</v>
      </c>
      <c r="C785" s="15">
        <f>IF(A785&lt;=Assumptions!$B$13,IF(OR(A785=0,A785=Assumptions!$B$13),0.5,1),0)*Assumptions!$B$12</f>
        <v>0.01</v>
      </c>
      <c r="D785" s="12">
        <f>D784*(1-Assumptions!$B$12*(Assumptions!$B$5+Assumptions!$B$6))</f>
        <v>0.7920466621916884</v>
      </c>
      <c r="E785" s="12">
        <f>E784+Assumptions!$B$12*(D784*Assumptions!$B$5-E784*Assumptions!$B$7)</f>
        <v>0.11403931693406451</v>
      </c>
      <c r="F785" s="12">
        <f t="shared" si="36"/>
        <v>9.3914020874247092E-2</v>
      </c>
      <c r="G785" s="12">
        <f>EXP(-Assumptions!$B$8*B785)</f>
        <v>0.67807322187988306</v>
      </c>
      <c r="H785" s="12">
        <f t="shared" si="37"/>
        <v>0.53706563211152547</v>
      </c>
      <c r="I785" s="12">
        <f t="shared" si="38"/>
        <v>7.732700705446223E-2</v>
      </c>
      <c r="J785" s="12">
        <f>G785*(D785*Assumptions!$B$6+E785*Assumptions!$B$7)</f>
        <v>9.237006673838366E-3</v>
      </c>
    </row>
    <row r="786" spans="1:10" x14ac:dyDescent="0.2">
      <c r="A786" s="2">
        <v>778</v>
      </c>
      <c r="B786" s="14">
        <f>A786*Assumptions!$B$12</f>
        <v>7.78</v>
      </c>
      <c r="C786" s="15">
        <f>IF(A786&lt;=Assumptions!$B$13,IF(OR(A786=0,A786=Assumptions!$B$13),0.5,1),0)*Assumptions!$B$12</f>
        <v>0.01</v>
      </c>
      <c r="D786" s="12">
        <f>D785*(1-Assumptions!$B$12*(Assumptions!$B$5+Assumptions!$B$6))</f>
        <v>0.79180904819303088</v>
      </c>
      <c r="E786" s="12">
        <f>E785+Assumptions!$B$12*(D785*Assumptions!$B$5-E785*Assumptions!$B$7)</f>
        <v>0.11414070660803581</v>
      </c>
      <c r="F786" s="12">
        <f t="shared" si="36"/>
        <v>9.4050245198933305E-2</v>
      </c>
      <c r="G786" s="12">
        <f>EXP(-Assumptions!$B$8*B786)</f>
        <v>0.67773427001397113</v>
      </c>
      <c r="H786" s="12">
        <f t="shared" si="37"/>
        <v>0.53663612726756105</v>
      </c>
      <c r="I786" s="12">
        <f t="shared" si="38"/>
        <v>7.7357068471875998E-2</v>
      </c>
      <c r="J786" s="12">
        <f>G786*(D786*Assumptions!$B$6+E786*Assumptions!$B$7)</f>
        <v>9.2342146962694112E-3</v>
      </c>
    </row>
    <row r="787" spans="1:10" x14ac:dyDescent="0.2">
      <c r="A787" s="2">
        <v>779</v>
      </c>
      <c r="B787" s="14">
        <f>A787*Assumptions!$B$12</f>
        <v>7.79</v>
      </c>
      <c r="C787" s="15">
        <f>IF(A787&lt;=Assumptions!$B$13,IF(OR(A787=0,A787=Assumptions!$B$13),0.5,1),0)*Assumptions!$B$12</f>
        <v>0.01</v>
      </c>
      <c r="D787" s="12">
        <f>D786*(1-Assumptions!$B$12*(Assumptions!$B$5+Assumptions!$B$6))</f>
        <v>0.79157150547857302</v>
      </c>
      <c r="E787" s="12">
        <f>E786+Assumptions!$B$12*(D786*Assumptions!$B$5-E786*Assumptions!$B$7)</f>
        <v>0.1142419980643704</v>
      </c>
      <c r="F787" s="12">
        <f t="shared" si="36"/>
        <v>9.4186496457056582E-2</v>
      </c>
      <c r="G787" s="12">
        <f>EXP(-Assumptions!$B$8*B787)</f>
        <v>0.67739548758163015</v>
      </c>
      <c r="H787" s="12">
        <f t="shared" si="37"/>
        <v>0.53620696590938299</v>
      </c>
      <c r="I787" s="12">
        <f t="shared" si="38"/>
        <v>7.7387013981113834E-2</v>
      </c>
      <c r="J787" s="12">
        <f>G787*(D787*Assumptions!$B$6+E787*Assumptions!$B$7)</f>
        <v>9.2314203581495228E-3</v>
      </c>
    </row>
    <row r="788" spans="1:10" x14ac:dyDescent="0.2">
      <c r="A788" s="2">
        <v>780</v>
      </c>
      <c r="B788" s="14">
        <f>A788*Assumptions!$B$12</f>
        <v>7.8</v>
      </c>
      <c r="C788" s="15">
        <f>IF(A788&lt;=Assumptions!$B$13,IF(OR(A788=0,A788=Assumptions!$B$13),0.5,1),0)*Assumptions!$B$12</f>
        <v>0.01</v>
      </c>
      <c r="D788" s="12">
        <f>D787*(1-Assumptions!$B$12*(Assumptions!$B$5+Assumptions!$B$6))</f>
        <v>0.79133403402692948</v>
      </c>
      <c r="E788" s="12">
        <f>E787+Assumptions!$B$12*(D787*Assumptions!$B$5-E787*Assumptions!$B$7)</f>
        <v>0.11434319136643392</v>
      </c>
      <c r="F788" s="12">
        <f t="shared" si="36"/>
        <v>9.43227746066366E-2</v>
      </c>
      <c r="G788" s="12">
        <f>EXP(-Assumptions!$B$8*B788)</f>
        <v>0.67705687449816465</v>
      </c>
      <c r="H788" s="12">
        <f t="shared" si="37"/>
        <v>0.53577814776229715</v>
      </c>
      <c r="I788" s="12">
        <f t="shared" si="38"/>
        <v>7.7416843766703269E-2</v>
      </c>
      <c r="J788" s="12">
        <f>G788*(D788*Assumptions!$B$6+E788*Assumptions!$B$7)</f>
        <v>9.2286236659581359E-3</v>
      </c>
    </row>
    <row r="789" spans="1:10" x14ac:dyDescent="0.2">
      <c r="A789" s="2">
        <v>781</v>
      </c>
      <c r="B789" s="14">
        <f>A789*Assumptions!$B$12</f>
        <v>7.8100000000000005</v>
      </c>
      <c r="C789" s="15">
        <f>IF(A789&lt;=Assumptions!$B$13,IF(OR(A789=0,A789=Assumptions!$B$13),0.5,1),0)*Assumptions!$B$12</f>
        <v>0.01</v>
      </c>
      <c r="D789" s="12">
        <f>D788*(1-Assumptions!$B$12*(Assumptions!$B$5+Assumptions!$B$6))</f>
        <v>0.79109663381672146</v>
      </c>
      <c r="E789" s="12">
        <f>E788+Assumptions!$B$12*(D788*Assumptions!$B$5-E788*Assumptions!$B$7)</f>
        <v>0.11444428657755609</v>
      </c>
      <c r="F789" s="12">
        <f t="shared" si="36"/>
        <v>9.4459079605722446E-2</v>
      </c>
      <c r="G789" s="12">
        <f>EXP(-Assumptions!$B$8*B789)</f>
        <v>0.67671843067892135</v>
      </c>
      <c r="H789" s="12">
        <f t="shared" si="37"/>
        <v>0.53534967255182908</v>
      </c>
      <c r="I789" s="12">
        <f t="shared" si="38"/>
        <v>7.7446558012932501E-2</v>
      </c>
      <c r="J789" s="12">
        <f>G789*(D789*Assumptions!$B$6+E789*Assumptions!$B$7)</f>
        <v>9.2258246261649156E-3</v>
      </c>
    </row>
    <row r="790" spans="1:10" x14ac:dyDescent="0.2">
      <c r="A790" s="2">
        <v>782</v>
      </c>
      <c r="B790" s="14">
        <f>A790*Assumptions!$B$12</f>
        <v>7.82</v>
      </c>
      <c r="C790" s="15">
        <f>IF(A790&lt;=Assumptions!$B$13,IF(OR(A790=0,A790=Assumptions!$B$13),0.5,1),0)*Assumptions!$B$12</f>
        <v>0.01</v>
      </c>
      <c r="D790" s="12">
        <f>D789*(1-Assumptions!$B$12*(Assumptions!$B$5+Assumptions!$B$6))</f>
        <v>0.79085930482657651</v>
      </c>
      <c r="E790" s="12">
        <f>E789+Assumptions!$B$12*(D789*Assumptions!$B$5-E789*Assumptions!$B$7)</f>
        <v>0.11454528376103065</v>
      </c>
      <c r="F790" s="12">
        <f t="shared" si="36"/>
        <v>9.4595411412392832E-2</v>
      </c>
      <c r="G790" s="12">
        <f>EXP(-Assumptions!$B$8*B790)</f>
        <v>0.67638015603928914</v>
      </c>
      <c r="H790" s="12">
        <f t="shared" si="37"/>
        <v>0.53492154000372361</v>
      </c>
      <c r="I790" s="12">
        <f t="shared" si="38"/>
        <v>7.7476156903850568E-2</v>
      </c>
      <c r="J790" s="12">
        <f>G790*(D790*Assumptions!$B$6+E790*Assumptions!$B$7)</f>
        <v>9.2230232452297639E-3</v>
      </c>
    </row>
    <row r="791" spans="1:10" x14ac:dyDescent="0.2">
      <c r="A791" s="2">
        <v>783</v>
      </c>
      <c r="B791" s="14">
        <f>A791*Assumptions!$B$12</f>
        <v>7.83</v>
      </c>
      <c r="C791" s="15">
        <f>IF(A791&lt;=Assumptions!$B$13,IF(OR(A791=0,A791=Assumptions!$B$13),0.5,1),0)*Assumptions!$B$12</f>
        <v>0.01</v>
      </c>
      <c r="D791" s="12">
        <f>D790*(1-Assumptions!$B$12*(Assumptions!$B$5+Assumptions!$B$6))</f>
        <v>0.79062204703512862</v>
      </c>
      <c r="E791" s="12">
        <f>E790+Assumptions!$B$12*(D790*Assumptions!$B$5-E790*Assumptions!$B$7)</f>
        <v>0.11464618298011545</v>
      </c>
      <c r="F791" s="12">
        <f t="shared" si="36"/>
        <v>9.4731769984755937E-2</v>
      </c>
      <c r="G791" s="12">
        <f>EXP(-Assumptions!$B$8*B791)</f>
        <v>0.67604205049469956</v>
      </c>
      <c r="H791" s="12">
        <f t="shared" si="37"/>
        <v>0.53449374984394515</v>
      </c>
      <c r="I791" s="12">
        <f t="shared" si="38"/>
        <v>7.7505640623267771E-2</v>
      </c>
      <c r="J791" s="12">
        <f>G791*(D791*Assumptions!$B$6+E791*Assumptions!$B$7)</f>
        <v>9.2202195296028407E-3</v>
      </c>
    </row>
    <row r="792" spans="1:10" x14ac:dyDescent="0.2">
      <c r="A792" s="2">
        <v>784</v>
      </c>
      <c r="B792" s="14">
        <f>A792*Assumptions!$B$12</f>
        <v>7.84</v>
      </c>
      <c r="C792" s="15">
        <f>IF(A792&lt;=Assumptions!$B$13,IF(OR(A792=0,A792=Assumptions!$B$13),0.5,1),0)*Assumptions!$B$12</f>
        <v>0.01</v>
      </c>
      <c r="D792" s="12">
        <f>D791*(1-Assumptions!$B$12*(Assumptions!$B$5+Assumptions!$B$6))</f>
        <v>0.79038486042101808</v>
      </c>
      <c r="E792" s="12">
        <f>E791+Assumptions!$B$12*(D791*Assumptions!$B$5-E791*Assumptions!$B$7)</f>
        <v>0.11474698429803241</v>
      </c>
      <c r="F792" s="12">
        <f t="shared" si="36"/>
        <v>9.4868155280949509E-2</v>
      </c>
      <c r="G792" s="12">
        <f>EXP(-Assumptions!$B$8*B792)</f>
        <v>0.67570411396062602</v>
      </c>
      <c r="H792" s="12">
        <f t="shared" si="37"/>
        <v>0.53406630179867709</v>
      </c>
      <c r="I792" s="12">
        <f t="shared" si="38"/>
        <v>7.7535009354755866E-2</v>
      </c>
      <c r="J792" s="12">
        <f>G792*(D792*Assumptions!$B$6+E792*Assumptions!$B$7)</f>
        <v>9.2174134857245654E-3</v>
      </c>
    </row>
    <row r="793" spans="1:10" x14ac:dyDescent="0.2">
      <c r="A793" s="2">
        <v>785</v>
      </c>
      <c r="B793" s="14">
        <f>A793*Assumptions!$B$12</f>
        <v>7.8500000000000005</v>
      </c>
      <c r="C793" s="15">
        <f>IF(A793&lt;=Assumptions!$B$13,IF(OR(A793=0,A793=Assumptions!$B$13),0.5,1),0)*Assumptions!$B$12</f>
        <v>0.01</v>
      </c>
      <c r="D793" s="12">
        <f>D792*(1-Assumptions!$B$12*(Assumptions!$B$5+Assumptions!$B$6))</f>
        <v>0.79014774496289175</v>
      </c>
      <c r="E793" s="12">
        <f>E792+Assumptions!$B$12*(D792*Assumptions!$B$5-E792*Assumptions!$B$7)</f>
        <v>0.1148476877779676</v>
      </c>
      <c r="F793" s="12">
        <f t="shared" si="36"/>
        <v>9.5004567259140651E-2</v>
      </c>
      <c r="G793" s="12">
        <f>EXP(-Assumptions!$B$8*B793)</f>
        <v>0.67536634635258452</v>
      </c>
      <c r="H793" s="12">
        <f t="shared" si="37"/>
        <v>0.53363919559432194</v>
      </c>
      <c r="I793" s="12">
        <f t="shared" si="38"/>
        <v>7.7564263281648352E-2</v>
      </c>
      <c r="J793" s="12">
        <f>G793*(D793*Assumptions!$B$6+E793*Assumptions!$B$7)</f>
        <v>9.2146051200256377E-3</v>
      </c>
    </row>
    <row r="794" spans="1:10" x14ac:dyDescent="0.2">
      <c r="A794" s="2">
        <v>786</v>
      </c>
      <c r="B794" s="14">
        <f>A794*Assumptions!$B$12</f>
        <v>7.86</v>
      </c>
      <c r="C794" s="15">
        <f>IF(A794&lt;=Assumptions!$B$13,IF(OR(A794=0,A794=Assumptions!$B$13),0.5,1),0)*Assumptions!$B$12</f>
        <v>0.01</v>
      </c>
      <c r="D794" s="12">
        <f>D793*(1-Assumptions!$B$12*(Assumptions!$B$5+Assumptions!$B$6))</f>
        <v>0.78991070063940294</v>
      </c>
      <c r="E794" s="12">
        <f>E793+Assumptions!$B$12*(D793*Assumptions!$B$5-E793*Assumptions!$B$7)</f>
        <v>0.11494829348307119</v>
      </c>
      <c r="F794" s="12">
        <f t="shared" si="36"/>
        <v>9.5141005877525872E-2</v>
      </c>
      <c r="G794" s="12">
        <f>EXP(-Assumptions!$B$8*B794)</f>
        <v>0.67502874758613318</v>
      </c>
      <c r="H794" s="12">
        <f t="shared" si="37"/>
        <v>0.53321243095750115</v>
      </c>
      <c r="I794" s="12">
        <f t="shared" si="38"/>
        <v>7.7593402587040824E-2</v>
      </c>
      <c r="J794" s="12">
        <f>G794*(D794*Assumptions!$B$6+E794*Assumptions!$B$7)</f>
        <v>9.2117944389270515E-3</v>
      </c>
    </row>
    <row r="795" spans="1:10" x14ac:dyDescent="0.2">
      <c r="A795" s="2">
        <v>787</v>
      </c>
      <c r="B795" s="14">
        <f>A795*Assumptions!$B$12</f>
        <v>7.87</v>
      </c>
      <c r="C795" s="15">
        <f>IF(A795&lt;=Assumptions!$B$13,IF(OR(A795=0,A795=Assumptions!$B$13),0.5,1),0)*Assumptions!$B$12</f>
        <v>0.01</v>
      </c>
      <c r="D795" s="12">
        <f>D794*(1-Assumptions!$B$12*(Assumptions!$B$5+Assumptions!$B$6))</f>
        <v>0.78967372742921116</v>
      </c>
      <c r="E795" s="12">
        <f>E794+Assumptions!$B$12*(D794*Assumptions!$B$5-E794*Assumptions!$B$7)</f>
        <v>0.11504880147645753</v>
      </c>
      <c r="F795" s="12">
        <f t="shared" si="36"/>
        <v>9.5277471094331309E-2</v>
      </c>
      <c r="G795" s="12">
        <f>EXP(-Assumptions!$B$8*B795)</f>
        <v>0.67469131757687228</v>
      </c>
      <c r="H795" s="12">
        <f t="shared" si="37"/>
        <v>0.53278600761505435</v>
      </c>
      <c r="I795" s="12">
        <f t="shared" si="38"/>
        <v>7.7622427453791137E-2</v>
      </c>
      <c r="J795" s="12">
        <f>G795*(D795*Assumptions!$B$6+E795*Assumptions!$B$7)</f>
        <v>9.208981448840102E-3</v>
      </c>
    </row>
    <row r="796" spans="1:10" x14ac:dyDescent="0.2">
      <c r="A796" s="2">
        <v>788</v>
      </c>
      <c r="B796" s="14">
        <f>A796*Assumptions!$B$12</f>
        <v>7.88</v>
      </c>
      <c r="C796" s="15">
        <f>IF(A796&lt;=Assumptions!$B$13,IF(OR(A796=0,A796=Assumptions!$B$13),0.5,1),0)*Assumptions!$B$12</f>
        <v>0.01</v>
      </c>
      <c r="D796" s="12">
        <f>D795*(1-Assumptions!$B$12*(Assumptions!$B$5+Assumptions!$B$6))</f>
        <v>0.78943682531098247</v>
      </c>
      <c r="E796" s="12">
        <f>E795+Assumptions!$B$12*(D795*Assumptions!$B$5-E795*Assumptions!$B$7)</f>
        <v>0.11514921182120515</v>
      </c>
      <c r="F796" s="12">
        <f t="shared" si="36"/>
        <v>9.5413962867812382E-2</v>
      </c>
      <c r="G796" s="12">
        <f>EXP(-Assumptions!$B$8*B796)</f>
        <v>0.6743540562404442</v>
      </c>
      <c r="H796" s="12">
        <f t="shared" si="37"/>
        <v>0.53235992529403997</v>
      </c>
      <c r="I796" s="12">
        <f t="shared" si="38"/>
        <v>7.7651338064519793E-2</v>
      </c>
      <c r="J796" s="12">
        <f>G796*(D796*Assumptions!$B$6+E796*Assumptions!$B$7)</f>
        <v>9.2061661561663906E-3</v>
      </c>
    </row>
    <row r="797" spans="1:10" x14ac:dyDescent="0.2">
      <c r="A797" s="2">
        <v>789</v>
      </c>
      <c r="B797" s="14">
        <f>A797*Assumptions!$B$12</f>
        <v>7.8900000000000006</v>
      </c>
      <c r="C797" s="15">
        <f>IF(A797&lt;=Assumptions!$B$13,IF(OR(A797=0,A797=Assumptions!$B$13),0.5,1),0)*Assumptions!$B$12</f>
        <v>0.01</v>
      </c>
      <c r="D797" s="12">
        <f>D796*(1-Assumptions!$B$12*(Assumptions!$B$5+Assumptions!$B$6))</f>
        <v>0.78919999426338916</v>
      </c>
      <c r="E797" s="12">
        <f>E796+Assumptions!$B$12*(D796*Assumptions!$B$5-E796*Assumptions!$B$7)</f>
        <v>0.11524952458035674</v>
      </c>
      <c r="F797" s="12">
        <f t="shared" si="36"/>
        <v>9.55504811562541E-2</v>
      </c>
      <c r="G797" s="12">
        <f>EXP(-Assumptions!$B$8*B797)</f>
        <v>0.6740169634925337</v>
      </c>
      <c r="H797" s="12">
        <f t="shared" si="37"/>
        <v>0.53193418372173462</v>
      </c>
      <c r="I797" s="12">
        <f t="shared" si="38"/>
        <v>7.7680134601610176E-2</v>
      </c>
      <c r="J797" s="12">
        <f>G797*(D797*Assumptions!$B$6+E797*Assumptions!$B$7)</f>
        <v>9.2033485672978546E-3</v>
      </c>
    </row>
    <row r="798" spans="1:10" x14ac:dyDescent="0.2">
      <c r="A798" s="2">
        <v>790</v>
      </c>
      <c r="B798" s="14">
        <f>A798*Assumptions!$B$12</f>
        <v>7.9</v>
      </c>
      <c r="C798" s="15">
        <f>IF(A798&lt;=Assumptions!$B$13,IF(OR(A798=0,A798=Assumptions!$B$13),0.5,1),0)*Assumptions!$B$12</f>
        <v>0.01</v>
      </c>
      <c r="D798" s="12">
        <f>D797*(1-Assumptions!$B$12*(Assumptions!$B$5+Assumptions!$B$6))</f>
        <v>0.78896323426511017</v>
      </c>
      <c r="E798" s="12">
        <f>E797+Assumptions!$B$12*(D797*Assumptions!$B$5-E797*Assumptions!$B$7)</f>
        <v>0.11534973981691923</v>
      </c>
      <c r="F798" s="12">
        <f t="shared" si="36"/>
        <v>9.5687025917970597E-2</v>
      </c>
      <c r="G798" s="12">
        <f>EXP(-Assumptions!$B$8*B798)</f>
        <v>0.67368003924886766</v>
      </c>
      <c r="H798" s="12">
        <f t="shared" si="37"/>
        <v>0.53150878262563295</v>
      </c>
      <c r="I798" s="12">
        <f t="shared" si="38"/>
        <v>7.7708817247208822E-2</v>
      </c>
      <c r="J798" s="12">
        <f>G798*(D798*Assumptions!$B$6+E798*Assumptions!$B$7)</f>
        <v>9.2005286886167725E-3</v>
      </c>
    </row>
    <row r="799" spans="1:10" x14ac:dyDescent="0.2">
      <c r="A799" s="2">
        <v>791</v>
      </c>
      <c r="B799" s="14">
        <f>A799*Assumptions!$B$12</f>
        <v>7.91</v>
      </c>
      <c r="C799" s="15">
        <f>IF(A799&lt;=Assumptions!$B$13,IF(OR(A799=0,A799=Assumptions!$B$13),0.5,1),0)*Assumptions!$B$12</f>
        <v>0.01</v>
      </c>
      <c r="D799" s="12">
        <f>D798*(1-Assumptions!$B$12*(Assumptions!$B$5+Assumptions!$B$6))</f>
        <v>0.78872654529483066</v>
      </c>
      <c r="E799" s="12">
        <f>E798+Assumptions!$B$12*(D798*Assumptions!$B$5-E798*Assumptions!$B$7)</f>
        <v>0.11544985759386379</v>
      </c>
      <c r="F799" s="12">
        <f t="shared" si="36"/>
        <v>9.5823597111305545E-2</v>
      </c>
      <c r="G799" s="12">
        <f>EXP(-Assumptions!$B$8*B799)</f>
        <v>0.67334328342521488</v>
      </c>
      <c r="H799" s="12">
        <f t="shared" si="37"/>
        <v>0.53108372173344776</v>
      </c>
      <c r="I799" s="12">
        <f t="shared" si="38"/>
        <v>7.7737386183225732E-2</v>
      </c>
      <c r="J799" s="12">
        <f>G799*(D799*Assumptions!$B$6+E799*Assumptions!$B$7)</f>
        <v>9.1977065264957636E-3</v>
      </c>
    </row>
    <row r="800" spans="1:10" x14ac:dyDescent="0.2">
      <c r="A800" s="2">
        <v>792</v>
      </c>
      <c r="B800" s="14">
        <f>A800*Assumptions!$B$12</f>
        <v>7.92</v>
      </c>
      <c r="C800" s="15">
        <f>IF(A800&lt;=Assumptions!$B$13,IF(OR(A800=0,A800=Assumptions!$B$13),0.5,1),0)*Assumptions!$B$12</f>
        <v>0.01</v>
      </c>
      <c r="D800" s="12">
        <f>D799*(1-Assumptions!$B$12*(Assumptions!$B$5+Assumptions!$B$6))</f>
        <v>0.78848992733124224</v>
      </c>
      <c r="E800" s="12">
        <f>E799+Assumptions!$B$12*(D799*Assumptions!$B$5-E799*Assumptions!$B$7)</f>
        <v>0.11554987797412583</v>
      </c>
      <c r="F800" s="12">
        <f t="shared" si="36"/>
        <v>9.5960194694631934E-2</v>
      </c>
      <c r="G800" s="12">
        <f>EXP(-Assumptions!$B$8*B800)</f>
        <v>0.67300669593738638</v>
      </c>
      <c r="H800" s="12">
        <f t="shared" si="37"/>
        <v>0.53065900077310924</v>
      </c>
      <c r="I800" s="12">
        <f t="shared" si="38"/>
        <v>7.7765841591334608E-2</v>
      </c>
      <c r="J800" s="12">
        <f>G800*(D800*Assumptions!$B$6+E800*Assumptions!$B$7)</f>
        <v>9.1948820872978215E-3</v>
      </c>
    </row>
    <row r="801" spans="1:10" x14ac:dyDescent="0.2">
      <c r="A801" s="2">
        <v>793</v>
      </c>
      <c r="B801" s="14">
        <f>A801*Assumptions!$B$12</f>
        <v>7.9300000000000006</v>
      </c>
      <c r="C801" s="15">
        <f>IF(A801&lt;=Assumptions!$B$13,IF(OR(A801=0,A801=Assumptions!$B$13),0.5,1),0)*Assumptions!$B$12</f>
        <v>0.01</v>
      </c>
      <c r="D801" s="12">
        <f>D800*(1-Assumptions!$B$12*(Assumptions!$B$5+Assumptions!$B$6))</f>
        <v>0.78825338035304293</v>
      </c>
      <c r="E801" s="12">
        <f>E800+Assumptions!$B$12*(D800*Assumptions!$B$5-E800*Assumptions!$B$7)</f>
        <v>0.11564980102060501</v>
      </c>
      <c r="F801" s="12">
        <f t="shared" si="36"/>
        <v>9.6096818626352054E-2</v>
      </c>
      <c r="G801" s="12">
        <f>EXP(-Assumptions!$B$8*B801)</f>
        <v>0.67267027670123547</v>
      </c>
      <c r="H801" s="12">
        <f t="shared" si="37"/>
        <v>0.53023461947276562</v>
      </c>
      <c r="I801" s="12">
        <f t="shared" si="38"/>
        <v>7.7794183652973192E-2</v>
      </c>
      <c r="J801" s="12">
        <f>G801*(D801*Assumptions!$B$6+E801*Assumptions!$B$7)</f>
        <v>9.192055377376317E-3</v>
      </c>
    </row>
    <row r="802" spans="1:10" x14ac:dyDescent="0.2">
      <c r="A802" s="2">
        <v>794</v>
      </c>
      <c r="B802" s="14">
        <f>A802*Assumptions!$B$12</f>
        <v>7.94</v>
      </c>
      <c r="C802" s="15">
        <f>IF(A802&lt;=Assumptions!$B$13,IF(OR(A802=0,A802=Assumptions!$B$13),0.5,1),0)*Assumptions!$B$12</f>
        <v>0.01</v>
      </c>
      <c r="D802" s="12">
        <f>D801*(1-Assumptions!$B$12*(Assumptions!$B$5+Assumptions!$B$6))</f>
        <v>0.78801690433893701</v>
      </c>
      <c r="E802" s="12">
        <f>E801+Assumptions!$B$12*(D801*Assumptions!$B$5-E801*Assumptions!$B$7)</f>
        <v>0.11574962679616532</v>
      </c>
      <c r="F802" s="12">
        <f t="shared" si="36"/>
        <v>9.623346886489767E-2</v>
      </c>
      <c r="G802" s="12">
        <f>EXP(-Assumptions!$B$8*B802)</f>
        <v>0.67233402563265721</v>
      </c>
      <c r="H802" s="12">
        <f t="shared" si="37"/>
        <v>0.52981057756078209</v>
      </c>
      <c r="I802" s="12">
        <f t="shared" si="38"/>
        <v>7.7822412549343523E-2</v>
      </c>
      <c r="J802" s="12">
        <f>G802*(D802*Assumptions!$B$6+E802*Assumptions!$B$7)</f>
        <v>9.189226403074997E-3</v>
      </c>
    </row>
    <row r="803" spans="1:10" x14ac:dyDescent="0.2">
      <c r="A803" s="2">
        <v>795</v>
      </c>
      <c r="B803" s="14">
        <f>A803*Assumptions!$B$12</f>
        <v>7.95</v>
      </c>
      <c r="C803" s="15">
        <f>IF(A803&lt;=Assumptions!$B$13,IF(OR(A803=0,A803=Assumptions!$B$13),0.5,1),0)*Assumptions!$B$12</f>
        <v>0.01</v>
      </c>
      <c r="D803" s="12">
        <f>D802*(1-Assumptions!$B$12*(Assumptions!$B$5+Assumptions!$B$6))</f>
        <v>0.78778049926763538</v>
      </c>
      <c r="E803" s="12">
        <f>E802+Assumptions!$B$12*(D802*Assumptions!$B$5-E802*Assumptions!$B$7)</f>
        <v>0.11584935536363503</v>
      </c>
      <c r="F803" s="12">
        <f t="shared" si="36"/>
        <v>9.6370145368729593E-2</v>
      </c>
      <c r="G803" s="12">
        <f>EXP(-Assumptions!$B$8*B803)</f>
        <v>0.67199794264758894</v>
      </c>
      <c r="H803" s="12">
        <f t="shared" si="37"/>
        <v>0.52938687476574142</v>
      </c>
      <c r="I803" s="12">
        <f t="shared" si="38"/>
        <v>7.7850528461412161E-2</v>
      </c>
      <c r="J803" s="12">
        <f>G803*(D803*Assumptions!$B$6+E803*Assumptions!$B$7)</f>
        <v>9.1863951707280237E-3</v>
      </c>
    </row>
    <row r="804" spans="1:10" x14ac:dyDescent="0.2">
      <c r="A804" s="2">
        <v>796</v>
      </c>
      <c r="B804" s="14">
        <f>A804*Assumptions!$B$12</f>
        <v>7.96</v>
      </c>
      <c r="C804" s="15">
        <f>IF(A804&lt;=Assumptions!$B$13,IF(OR(A804=0,A804=Assumptions!$B$13),0.5,1),0)*Assumptions!$B$12</f>
        <v>0.01</v>
      </c>
      <c r="D804" s="12">
        <f>D803*(1-Assumptions!$B$12*(Assumptions!$B$5+Assumptions!$B$6))</f>
        <v>0.78754416511785508</v>
      </c>
      <c r="E804" s="12">
        <f>E803+Assumptions!$B$12*(D803*Assumptions!$B$5-E803*Assumptions!$B$7)</f>
        <v>0.11594898678580673</v>
      </c>
      <c r="F804" s="12">
        <f t="shared" si="36"/>
        <v>9.6506848096338194E-2</v>
      </c>
      <c r="G804" s="12">
        <f>EXP(-Assumptions!$B$8*B804)</f>
        <v>0.67166202766200978</v>
      </c>
      <c r="H804" s="12">
        <f t="shared" si="37"/>
        <v>0.52896351081644322</v>
      </c>
      <c r="I804" s="12">
        <f t="shared" si="38"/>
        <v>7.7878531569910522E-2</v>
      </c>
      <c r="J804" s="12">
        <f>G804*(D804*Assumptions!$B$6+E804*Assumptions!$B$7)</f>
        <v>9.1835616866599579E-3</v>
      </c>
    </row>
    <row r="805" spans="1:10" x14ac:dyDescent="0.2">
      <c r="A805" s="2">
        <v>797</v>
      </c>
      <c r="B805" s="14">
        <f>A805*Assumptions!$B$12</f>
        <v>7.97</v>
      </c>
      <c r="C805" s="15">
        <f>IF(A805&lt;=Assumptions!$B$13,IF(OR(A805=0,A805=Assumptions!$B$13),0.5,1),0)*Assumptions!$B$12</f>
        <v>0.01</v>
      </c>
      <c r="D805" s="12">
        <f>D804*(1-Assumptions!$B$12*(Assumptions!$B$5+Assumptions!$B$6))</f>
        <v>0.78730790186831978</v>
      </c>
      <c r="E805" s="12">
        <f>E804+Assumptions!$B$12*(D804*Assumptions!$B$5-E804*Assumptions!$B$7)</f>
        <v>0.1160485211254374</v>
      </c>
      <c r="F805" s="12">
        <f t="shared" si="36"/>
        <v>9.664357700624282E-2</v>
      </c>
      <c r="G805" s="12">
        <f>EXP(-Assumptions!$B$8*B805)</f>
        <v>0.67132628059194099</v>
      </c>
      <c r="H805" s="12">
        <f t="shared" si="37"/>
        <v>0.52854048544190402</v>
      </c>
      <c r="I805" s="12">
        <f t="shared" si="38"/>
        <v>7.7906422055335184E-2</v>
      </c>
      <c r="J805" s="12">
        <f>G805*(D805*Assumptions!$B$6+E805*Assumptions!$B$7)</f>
        <v>9.1807259571857983E-3</v>
      </c>
    </row>
    <row r="806" spans="1:10" x14ac:dyDescent="0.2">
      <c r="A806" s="2">
        <v>798</v>
      </c>
      <c r="B806" s="14">
        <f>A806*Assumptions!$B$12</f>
        <v>7.98</v>
      </c>
      <c r="C806" s="15">
        <f>IF(A806&lt;=Assumptions!$B$13,IF(OR(A806=0,A806=Assumptions!$B$13),0.5,1),0)*Assumptions!$B$12</f>
        <v>0.01</v>
      </c>
      <c r="D806" s="12">
        <f>D805*(1-Assumptions!$B$12*(Assumptions!$B$5+Assumptions!$B$6))</f>
        <v>0.78707170949775929</v>
      </c>
      <c r="E806" s="12">
        <f>E805+Assumptions!$B$12*(D805*Assumptions!$B$5-E805*Assumptions!$B$7)</f>
        <v>0.11614795844524835</v>
      </c>
      <c r="F806" s="12">
        <f t="shared" si="36"/>
        <v>9.6780332056992366E-2</v>
      </c>
      <c r="G806" s="12">
        <f>EXP(-Assumptions!$B$8*B806)</f>
        <v>0.67099070135344585</v>
      </c>
      <c r="H806" s="12">
        <f t="shared" si="37"/>
        <v>0.52811779837135708</v>
      </c>
      <c r="I806" s="12">
        <f t="shared" si="38"/>
        <v>7.7934200097948075E-2</v>
      </c>
      <c r="J806" s="12">
        <f>G806*(D806*Assumptions!$B$6+E806*Assumptions!$B$7)</f>
        <v>9.1778879886109752E-3</v>
      </c>
    </row>
    <row r="807" spans="1:10" x14ac:dyDescent="0.2">
      <c r="A807" s="2">
        <v>799</v>
      </c>
      <c r="B807" s="14">
        <f>A807*Assumptions!$B$12</f>
        <v>7.99</v>
      </c>
      <c r="C807" s="15">
        <f>IF(A807&lt;=Assumptions!$B$13,IF(OR(A807=0,A807=Assumptions!$B$13),0.5,1),0)*Assumptions!$B$12</f>
        <v>0.01</v>
      </c>
      <c r="D807" s="12">
        <f>D806*(1-Assumptions!$B$12*(Assumptions!$B$5+Assumptions!$B$6))</f>
        <v>0.78683558798490993</v>
      </c>
      <c r="E807" s="12">
        <f>E806+Assumptions!$B$12*(D806*Assumptions!$B$5-E806*Assumptions!$B$7)</f>
        <v>0.11624729880792528</v>
      </c>
      <c r="F807" s="12">
        <f t="shared" si="36"/>
        <v>9.6917113207164785E-2</v>
      </c>
      <c r="G807" s="12">
        <f>EXP(-Assumptions!$B$8*B807)</f>
        <v>0.67065528986262957</v>
      </c>
      <c r="H807" s="12">
        <f t="shared" si="37"/>
        <v>0.52769544933425239</v>
      </c>
      <c r="I807" s="12">
        <f t="shared" si="38"/>
        <v>7.7961865877776843E-2</v>
      </c>
      <c r="J807" s="12">
        <f>G807*(D807*Assumptions!$B$6+E807*Assumptions!$B$7)</f>
        <v>9.1750477872313673E-3</v>
      </c>
    </row>
    <row r="808" spans="1:10" x14ac:dyDescent="0.2">
      <c r="A808" s="2">
        <v>800</v>
      </c>
      <c r="B808" s="14">
        <f>A808*Assumptions!$B$12</f>
        <v>8</v>
      </c>
      <c r="C808" s="15">
        <f>IF(A808&lt;=Assumptions!$B$13,IF(OR(A808=0,A808=Assumptions!$B$13),0.5,1),0)*Assumptions!$B$12</f>
        <v>0.01</v>
      </c>
      <c r="D808" s="12">
        <f>D807*(1-Assumptions!$B$12*(Assumptions!$B$5+Assumptions!$B$6))</f>
        <v>0.78659953730851451</v>
      </c>
      <c r="E808" s="12">
        <f>E807+Assumptions!$B$12*(D807*Assumptions!$B$5-E807*Assumptions!$B$7)</f>
        <v>0.11634654227611831</v>
      </c>
      <c r="F808" s="12">
        <f t="shared" si="36"/>
        <v>9.7053920415367187E-2</v>
      </c>
      <c r="G808" s="12">
        <f>EXP(-Assumptions!$B$8*B808)</f>
        <v>0.67032004603563933</v>
      </c>
      <c r="H808" s="12">
        <f t="shared" si="37"/>
        <v>0.52727343806025606</v>
      </c>
      <c r="I808" s="12">
        <f t="shared" si="38"/>
        <v>7.7989419574615082E-2</v>
      </c>
      <c r="J808" s="12">
        <f>G808*(D808*Assumptions!$B$6+E808*Assumptions!$B$7)</f>
        <v>9.1722053593333141E-3</v>
      </c>
    </row>
    <row r="809" spans="1:10" x14ac:dyDescent="0.2">
      <c r="A809" s="2">
        <v>801</v>
      </c>
      <c r="B809" s="14">
        <f>A809*Assumptions!$B$12</f>
        <v>8.01</v>
      </c>
      <c r="C809" s="15">
        <f>IF(A809&lt;=Assumptions!$B$13,IF(OR(A809=0,A809=Assumptions!$B$13),0.5,1),0)*Assumptions!$B$12</f>
        <v>0.01</v>
      </c>
      <c r="D809" s="12">
        <f>D808*(1-Assumptions!$B$12*(Assumptions!$B$5+Assumptions!$B$6))</f>
        <v>0.786363557447322</v>
      </c>
      <c r="E809" s="12">
        <f>E808+Assumptions!$B$12*(D808*Assumptions!$B$5-E808*Assumptions!$B$7)</f>
        <v>0.11644568891244195</v>
      </c>
      <c r="F809" s="12">
        <f t="shared" si="36"/>
        <v>9.7190753640236049E-2</v>
      </c>
      <c r="G809" s="12">
        <f>EXP(-Assumptions!$B$8*B809)</f>
        <v>0.66998496978866395</v>
      </c>
      <c r="H809" s="12">
        <f t="shared" si="37"/>
        <v>0.52685176427925029</v>
      </c>
      <c r="I809" s="12">
        <f t="shared" si="38"/>
        <v>7.8016861368022578E-2</v>
      </c>
      <c r="J809" s="12">
        <f>G809*(D809*Assumptions!$B$6+E809*Assumptions!$B$7)</f>
        <v>9.1693607111936332E-3</v>
      </c>
    </row>
    <row r="810" spans="1:10" x14ac:dyDescent="0.2">
      <c r="A810" s="2">
        <v>802</v>
      </c>
      <c r="B810" s="14">
        <f>A810*Assumptions!$B$12</f>
        <v>8.02</v>
      </c>
      <c r="C810" s="15">
        <f>IF(A810&lt;=Assumptions!$B$13,IF(OR(A810=0,A810=Assumptions!$B$13),0.5,1),0)*Assumptions!$B$12</f>
        <v>0.01</v>
      </c>
      <c r="D810" s="12">
        <f>D809*(1-Assumptions!$B$12*(Assumptions!$B$5+Assumptions!$B$6))</f>
        <v>0.78612764838008786</v>
      </c>
      <c r="E810" s="12">
        <f>E809+Assumptions!$B$12*(D809*Assumptions!$B$5-E809*Assumptions!$B$7)</f>
        <v>0.11654473877947519</v>
      </c>
      <c r="F810" s="12">
        <f t="shared" si="36"/>
        <v>9.732761284043695E-2</v>
      </c>
      <c r="G810" s="12">
        <f>EXP(-Assumptions!$B$8*B810)</f>
        <v>0.66965006103793456</v>
      </c>
      <c r="H810" s="12">
        <f t="shared" si="37"/>
        <v>0.52643042772133375</v>
      </c>
      <c r="I810" s="12">
        <f t="shared" si="38"/>
        <v>7.8044191437325702E-2</v>
      </c>
      <c r="J810" s="12">
        <f>G810*(D810*Assumptions!$B$6+E810*Assumptions!$B$7)</f>
        <v>9.166513849079622E-3</v>
      </c>
    </row>
    <row r="811" spans="1:10" x14ac:dyDescent="0.2">
      <c r="A811" s="2">
        <v>803</v>
      </c>
      <c r="B811" s="14">
        <f>A811*Assumptions!$B$12</f>
        <v>8.0299999999999994</v>
      </c>
      <c r="C811" s="15">
        <f>IF(A811&lt;=Assumptions!$B$13,IF(OR(A811=0,A811=Assumptions!$B$13),0.5,1),0)*Assumptions!$B$12</f>
        <v>0.01</v>
      </c>
      <c r="D811" s="12">
        <f>D810*(1-Assumptions!$B$12*(Assumptions!$B$5+Assumptions!$B$6))</f>
        <v>0.78589181008557385</v>
      </c>
      <c r="E811" s="12">
        <f>E810+Assumptions!$B$12*(D810*Assumptions!$B$5-E810*Assumptions!$B$7)</f>
        <v>0.11664369193976147</v>
      </c>
      <c r="F811" s="12">
        <f t="shared" si="36"/>
        <v>9.7464497974664679E-2</v>
      </c>
      <c r="G811" s="12">
        <f>EXP(-Assumptions!$B$8*B811)</f>
        <v>0.66931531969972402</v>
      </c>
      <c r="H811" s="12">
        <f t="shared" si="37"/>
        <v>0.52600942811682061</v>
      </c>
      <c r="I811" s="12">
        <f t="shared" si="38"/>
        <v>7.8071409961617572E-2</v>
      </c>
      <c r="J811" s="12">
        <f>G811*(D811*Assumptions!$B$6+E811*Assumptions!$B$7)</f>
        <v>9.1636647792490856E-3</v>
      </c>
    </row>
    <row r="812" spans="1:10" x14ac:dyDescent="0.2">
      <c r="A812" s="2">
        <v>804</v>
      </c>
      <c r="B812" s="14">
        <f>A812*Assumptions!$B$12</f>
        <v>8.0400000000000009</v>
      </c>
      <c r="C812" s="15">
        <f>IF(A812&lt;=Assumptions!$B$13,IF(OR(A812=0,A812=Assumptions!$B$13),0.5,1),0)*Assumptions!$B$12</f>
        <v>0.01</v>
      </c>
      <c r="D812" s="12">
        <f>D811*(1-Assumptions!$B$12*(Assumptions!$B$5+Assumptions!$B$6))</f>
        <v>0.78565604254254817</v>
      </c>
      <c r="E812" s="12">
        <f>E811+Assumptions!$B$12*(D811*Assumptions!$B$5-E811*Assumptions!$B$7)</f>
        <v>0.1167425484558087</v>
      </c>
      <c r="F812" s="12">
        <f t="shared" si="36"/>
        <v>9.760140900164313E-2</v>
      </c>
      <c r="G812" s="12">
        <f>EXP(-Assumptions!$B$8*B812)</f>
        <v>0.66898074569034671</v>
      </c>
      <c r="H812" s="12">
        <f t="shared" si="37"/>
        <v>0.52558876519624065</v>
      </c>
      <c r="I812" s="12">
        <f t="shared" si="38"/>
        <v>7.8098517119758334E-2</v>
      </c>
      <c r="J812" s="12">
        <f>G812*(D812*Assumptions!$B$6+E812*Assumptions!$B$7)</f>
        <v>9.1608135079503227E-3</v>
      </c>
    </row>
    <row r="813" spans="1:10" x14ac:dyDescent="0.2">
      <c r="A813" s="2">
        <v>805</v>
      </c>
      <c r="B813" s="14">
        <f>A813*Assumptions!$B$12</f>
        <v>8.0500000000000007</v>
      </c>
      <c r="C813" s="15">
        <f>IF(A813&lt;=Assumptions!$B$13,IF(OR(A813=0,A813=Assumptions!$B$13),0.5,1),0)*Assumptions!$B$12</f>
        <v>0.01</v>
      </c>
      <c r="D813" s="12">
        <f>D812*(1-Assumptions!$B$12*(Assumptions!$B$5+Assumptions!$B$6))</f>
        <v>0.78542034572978547</v>
      </c>
      <c r="E813" s="12">
        <f>E812+Assumptions!$B$12*(D812*Assumptions!$B$5-E812*Assumptions!$B$7)</f>
        <v>0.1168413083900893</v>
      </c>
      <c r="F813" s="12">
        <f t="shared" si="36"/>
        <v>9.7738345880125227E-2</v>
      </c>
      <c r="G813" s="12">
        <f>EXP(-Assumptions!$B$8*B813)</f>
        <v>0.66864633892615932</v>
      </c>
      <c r="H813" s="12">
        <f t="shared" si="37"/>
        <v>0.52516843869033936</v>
      </c>
      <c r="I813" s="12">
        <f t="shared" si="38"/>
        <v>7.8125513090375548E-2</v>
      </c>
      <c r="J813" s="12">
        <f>G813*(D813*Assumptions!$B$6+E813*Assumptions!$B$7)</f>
        <v>9.157960041422171E-3</v>
      </c>
    </row>
    <row r="814" spans="1:10" x14ac:dyDescent="0.2">
      <c r="A814" s="2">
        <v>806</v>
      </c>
      <c r="B814" s="14">
        <f>A814*Assumptions!$B$12</f>
        <v>8.06</v>
      </c>
      <c r="C814" s="15">
        <f>IF(A814&lt;=Assumptions!$B$13,IF(OR(A814=0,A814=Assumptions!$B$13),0.5,1),0)*Assumptions!$B$12</f>
        <v>0.01</v>
      </c>
      <c r="D814" s="12">
        <f>D813*(1-Assumptions!$B$12*(Assumptions!$B$5+Assumptions!$B$6))</f>
        <v>0.78518471962606662</v>
      </c>
      <c r="E814" s="12">
        <f>E813+Assumptions!$B$12*(D813*Assumptions!$B$5-E813*Assumptions!$B$7)</f>
        <v>0.1169399718050402</v>
      </c>
      <c r="F814" s="12">
        <f t="shared" si="36"/>
        <v>9.7875308568893177E-2</v>
      </c>
      <c r="G814" s="12">
        <f>EXP(-Assumptions!$B$8*B814)</f>
        <v>0.66831209932356028</v>
      </c>
      <c r="H814" s="12">
        <f t="shared" si="37"/>
        <v>0.52474844833007772</v>
      </c>
      <c r="I814" s="12">
        <f t="shared" si="38"/>
        <v>7.8152398051864372E-2</v>
      </c>
      <c r="J814" s="12">
        <f>G814*(D814*Assumptions!$B$6+E814*Assumptions!$B$7)</f>
        <v>9.1551043858939946E-3</v>
      </c>
    </row>
    <row r="815" spans="1:10" x14ac:dyDescent="0.2">
      <c r="A815" s="2">
        <v>807</v>
      </c>
      <c r="B815" s="14">
        <f>A815*Assumptions!$B$12</f>
        <v>8.07</v>
      </c>
      <c r="C815" s="15">
        <f>IF(A815&lt;=Assumptions!$B$13,IF(OR(A815=0,A815=Assumptions!$B$13),0.5,1),0)*Assumptions!$B$12</f>
        <v>0.01</v>
      </c>
      <c r="D815" s="12">
        <f>D814*(1-Assumptions!$B$12*(Assumptions!$B$5+Assumptions!$B$6))</f>
        <v>0.7849491642101788</v>
      </c>
      <c r="E815" s="12">
        <f>E814+Assumptions!$B$12*(D814*Assumptions!$B$5-E814*Assumptions!$B$7)</f>
        <v>0.1170385387630629</v>
      </c>
      <c r="F815" s="12">
        <f t="shared" si="36"/>
        <v>9.8012297026758302E-2</v>
      </c>
      <c r="G815" s="12">
        <f>EXP(-Assumptions!$B$8*B815)</f>
        <v>0.66797802679898954</v>
      </c>
      <c r="H815" s="12">
        <f t="shared" si="37"/>
        <v>0.52432879384663122</v>
      </c>
      <c r="I815" s="12">
        <f t="shared" si="38"/>
        <v>7.8179172182387804E-2</v>
      </c>
      <c r="J815" s="12">
        <f>G815*(D815*Assumptions!$B$6+E815*Assumptions!$B$7)</f>
        <v>9.1522465475857035E-3</v>
      </c>
    </row>
    <row r="816" spans="1:10" x14ac:dyDescent="0.2">
      <c r="A816" s="2">
        <v>808</v>
      </c>
      <c r="B816" s="14">
        <f>A816*Assumptions!$B$12</f>
        <v>8.08</v>
      </c>
      <c r="C816" s="15">
        <f>IF(A816&lt;=Assumptions!$B$13,IF(OR(A816=0,A816=Assumptions!$B$13),0.5,1),0)*Assumptions!$B$12</f>
        <v>0.01</v>
      </c>
      <c r="D816" s="12">
        <f>D815*(1-Assumptions!$B$12*(Assumptions!$B$5+Assumptions!$B$6))</f>
        <v>0.78471367946091575</v>
      </c>
      <c r="E816" s="12">
        <f>E815+Assumptions!$B$12*(D815*Assumptions!$B$5-E815*Assumptions!$B$7)</f>
        <v>0.11713700932652341</v>
      </c>
      <c r="F816" s="12">
        <f t="shared" si="36"/>
        <v>9.8149311212560847E-2</v>
      </c>
      <c r="G816" s="12">
        <f>EXP(-Assumptions!$B$8*B816)</f>
        <v>0.66764412126892891</v>
      </c>
      <c r="H816" s="12">
        <f t="shared" si="37"/>
        <v>0.52390947497139106</v>
      </c>
      <c r="I816" s="12">
        <f t="shared" si="38"/>
        <v>7.8205835659877043E-2</v>
      </c>
      <c r="J816" s="12">
        <f>G816*(D816*Assumptions!$B$6+E816*Assumptions!$B$7)</f>
        <v>9.1493865327077623E-3</v>
      </c>
    </row>
    <row r="817" spans="1:10" x14ac:dyDescent="0.2">
      <c r="A817" s="2">
        <v>809</v>
      </c>
      <c r="B817" s="14">
        <f>A817*Assumptions!$B$12</f>
        <v>8.09</v>
      </c>
      <c r="C817" s="15">
        <f>IF(A817&lt;=Assumptions!$B$13,IF(OR(A817=0,A817=Assumptions!$B$13),0.5,1),0)*Assumptions!$B$12</f>
        <v>0.01</v>
      </c>
      <c r="D817" s="12">
        <f>D816*(1-Assumptions!$B$12*(Assumptions!$B$5+Assumptions!$B$6))</f>
        <v>0.78447826535707754</v>
      </c>
      <c r="E817" s="12">
        <f>E816+Assumptions!$B$12*(D816*Assumptions!$B$5-E816*Assumptions!$B$7)</f>
        <v>0.11723538355775233</v>
      </c>
      <c r="F817" s="12">
        <f t="shared" si="36"/>
        <v>9.8286351085170129E-2</v>
      </c>
      <c r="G817" s="12">
        <f>EXP(-Assumptions!$B$8*B817)</f>
        <v>0.66731038264990206</v>
      </c>
      <c r="H817" s="12">
        <f t="shared" si="37"/>
        <v>0.52349049143596282</v>
      </c>
      <c r="I817" s="12">
        <f t="shared" si="38"/>
        <v>7.8232388662031749E-2</v>
      </c>
      <c r="J817" s="12">
        <f>G817*(D817*Assumptions!$B$6+E817*Assumptions!$B$7)</f>
        <v>9.1465243474612157E-3</v>
      </c>
    </row>
    <row r="818" spans="1:10" x14ac:dyDescent="0.2">
      <c r="A818" s="2">
        <v>810</v>
      </c>
      <c r="B818" s="14">
        <f>A818*Assumptions!$B$12</f>
        <v>8.1</v>
      </c>
      <c r="C818" s="15">
        <f>IF(A818&lt;=Assumptions!$B$13,IF(OR(A818=0,A818=Assumptions!$B$13),0.5,1),0)*Assumptions!$B$12</f>
        <v>0.01</v>
      </c>
      <c r="D818" s="12">
        <f>D817*(1-Assumptions!$B$12*(Assumptions!$B$5+Assumptions!$B$6))</f>
        <v>0.78424292187747047</v>
      </c>
      <c r="E818" s="12">
        <f>E817+Assumptions!$B$12*(D817*Assumptions!$B$5-E817*Assumptions!$B$7)</f>
        <v>0.11733366151904487</v>
      </c>
      <c r="F818" s="12">
        <f t="shared" si="36"/>
        <v>9.8423416603484665E-2</v>
      </c>
      <c r="G818" s="12">
        <f>EXP(-Assumptions!$B$8*B818)</f>
        <v>0.66697681085847438</v>
      </c>
      <c r="H818" s="12">
        <f t="shared" si="37"/>
        <v>0.52307184297216691</v>
      </c>
      <c r="I818" s="12">
        <f t="shared" si="38"/>
        <v>7.8258831366320239E-2</v>
      </c>
      <c r="J818" s="12">
        <f>G818*(D818*Assumptions!$B$6+E818*Assumptions!$B$7)</f>
        <v>9.1436599980376822E-3</v>
      </c>
    </row>
    <row r="819" spans="1:10" x14ac:dyDescent="0.2">
      <c r="A819" s="2">
        <v>811</v>
      </c>
      <c r="B819" s="14">
        <f>A819*Assumptions!$B$12</f>
        <v>8.11</v>
      </c>
      <c r="C819" s="15">
        <f>IF(A819&lt;=Assumptions!$B$13,IF(OR(A819=0,A819=Assumptions!$B$13),0.5,1),0)*Assumptions!$B$12</f>
        <v>0.01</v>
      </c>
      <c r="D819" s="12">
        <f>D818*(1-Assumptions!$B$12*(Assumptions!$B$5+Assumptions!$B$6))</f>
        <v>0.78400764900090725</v>
      </c>
      <c r="E819" s="12">
        <f>E818+Assumptions!$B$12*(D818*Assumptions!$B$5-E818*Assumptions!$B$7)</f>
        <v>0.11743184327266085</v>
      </c>
      <c r="F819" s="12">
        <f t="shared" si="36"/>
        <v>9.8560507726431906E-2</v>
      </c>
      <c r="G819" s="12">
        <f>EXP(-Assumptions!$B$8*B819)</f>
        <v>0.66664340581125292</v>
      </c>
      <c r="H819" s="12">
        <f t="shared" si="37"/>
        <v>0.52265352931203812</v>
      </c>
      <c r="I819" s="12">
        <f t="shared" si="38"/>
        <v>7.8285163949979891E-2</v>
      </c>
      <c r="J819" s="12">
        <f>G819*(D819*Assumptions!$B$6+E819*Assumptions!$B$7)</f>
        <v>9.1407934906193762E-3</v>
      </c>
    </row>
    <row r="820" spans="1:10" x14ac:dyDescent="0.2">
      <c r="A820" s="2">
        <v>812</v>
      </c>
      <c r="B820" s="14">
        <f>A820*Assumptions!$B$12</f>
        <v>8.120000000000001</v>
      </c>
      <c r="C820" s="15">
        <f>IF(A820&lt;=Assumptions!$B$13,IF(OR(A820=0,A820=Assumptions!$B$13),0.5,1),0)*Assumptions!$B$12</f>
        <v>0.01</v>
      </c>
      <c r="D820" s="12">
        <f>D819*(1-Assumptions!$B$12*(Assumptions!$B$5+Assumptions!$B$6))</f>
        <v>0.78377244670620705</v>
      </c>
      <c r="E820" s="12">
        <f>E819+Assumptions!$B$12*(D819*Assumptions!$B$5-E819*Assumptions!$B$7)</f>
        <v>0.1175299288808247</v>
      </c>
      <c r="F820" s="12">
        <f t="shared" si="36"/>
        <v>9.8697624412968255E-2</v>
      </c>
      <c r="G820" s="12">
        <f>EXP(-Assumptions!$B$8*B820)</f>
        <v>0.66631016742488625</v>
      </c>
      <c r="H820" s="12">
        <f t="shared" si="37"/>
        <v>0.52223555018782553</v>
      </c>
      <c r="I820" s="12">
        <f t="shared" si="38"/>
        <v>7.8311386590017282E-2</v>
      </c>
      <c r="J820" s="12">
        <f>G820*(D820*Assumptions!$B$6+E820*Assumptions!$B$7)</f>
        <v>9.1379248313791205E-3</v>
      </c>
    </row>
    <row r="821" spans="1:10" x14ac:dyDescent="0.2">
      <c r="A821" s="2">
        <v>813</v>
      </c>
      <c r="B821" s="14">
        <f>A821*Assumptions!$B$12</f>
        <v>8.1300000000000008</v>
      </c>
      <c r="C821" s="15">
        <f>IF(A821&lt;=Assumptions!$B$13,IF(OR(A821=0,A821=Assumptions!$B$13),0.5,1),0)*Assumptions!$B$12</f>
        <v>0.01</v>
      </c>
      <c r="D821" s="12">
        <f>D820*(1-Assumptions!$B$12*(Assumptions!$B$5+Assumptions!$B$6))</f>
        <v>0.78353731497219525</v>
      </c>
      <c r="E821" s="12">
        <f>E820+Assumptions!$B$12*(D820*Assumptions!$B$5-E820*Assumptions!$B$7)</f>
        <v>0.11762791840572552</v>
      </c>
      <c r="F821" s="12">
        <f t="shared" si="36"/>
        <v>9.8834766622079226E-2</v>
      </c>
      <c r="G821" s="12">
        <f>EXP(-Assumptions!$B$8*B821)</f>
        <v>0.665977095616065</v>
      </c>
      <c r="H821" s="12">
        <f t="shared" si="37"/>
        <v>0.52181790533199246</v>
      </c>
      <c r="I821" s="12">
        <f t="shared" si="38"/>
        <v>7.833749946320856E-2</v>
      </c>
      <c r="J821" s="12">
        <f>G821*(D821*Assumptions!$B$6+E821*Assumptions!$B$7)</f>
        <v>9.1350540264803527E-3</v>
      </c>
    </row>
    <row r="822" spans="1:10" x14ac:dyDescent="0.2">
      <c r="A822" s="2">
        <v>814</v>
      </c>
      <c r="B822" s="14">
        <f>A822*Assumptions!$B$12</f>
        <v>8.14</v>
      </c>
      <c r="C822" s="15">
        <f>IF(A822&lt;=Assumptions!$B$13,IF(OR(A822=0,A822=Assumptions!$B$13),0.5,1),0)*Assumptions!$B$12</f>
        <v>0.01</v>
      </c>
      <c r="D822" s="12">
        <f>D821*(1-Assumptions!$B$12*(Assumptions!$B$5+Assumptions!$B$6))</f>
        <v>0.78330225377770357</v>
      </c>
      <c r="E822" s="12">
        <f>E821+Assumptions!$B$12*(D821*Assumptions!$B$5-E821*Assumptions!$B$7)</f>
        <v>0.1177258119095171</v>
      </c>
      <c r="F822" s="12">
        <f t="shared" si="36"/>
        <v>9.8971934312779328E-2</v>
      </c>
      <c r="G822" s="12">
        <f>EXP(-Assumptions!$B$8*B822)</f>
        <v>0.66564419030152122</v>
      </c>
      <c r="H822" s="12">
        <f t="shared" si="37"/>
        <v>0.52140059447721621</v>
      </c>
      <c r="I822" s="12">
        <f t="shared" si="38"/>
        <v>7.8363502746099697E-2</v>
      </c>
      <c r="J822" s="12">
        <f>G822*(D822*Assumptions!$B$6+E822*Assumptions!$B$7)</f>
        <v>9.1321810820771468E-3</v>
      </c>
    </row>
    <row r="823" spans="1:10" x14ac:dyDescent="0.2">
      <c r="A823" s="2">
        <v>815</v>
      </c>
      <c r="B823" s="14">
        <f>A823*Assumptions!$B$12</f>
        <v>8.15</v>
      </c>
      <c r="C823" s="15">
        <f>IF(A823&lt;=Assumptions!$B$13,IF(OR(A823=0,A823=Assumptions!$B$13),0.5,1),0)*Assumptions!$B$12</f>
        <v>0.01</v>
      </c>
      <c r="D823" s="12">
        <f>D822*(1-Assumptions!$B$12*(Assumptions!$B$5+Assumptions!$B$6))</f>
        <v>0.78306726310157027</v>
      </c>
      <c r="E823" s="12">
        <f>E822+Assumptions!$B$12*(D822*Assumptions!$B$5-E822*Assumptions!$B$7)</f>
        <v>0.11782360945431788</v>
      </c>
      <c r="F823" s="12">
        <f t="shared" si="36"/>
        <v>9.910912744411185E-2</v>
      </c>
      <c r="G823" s="12">
        <f>EXP(-Assumptions!$B$8*B823)</f>
        <v>0.66531145139802839</v>
      </c>
      <c r="H823" s="12">
        <f t="shared" si="37"/>
        <v>0.52098361735638743</v>
      </c>
      <c r="I823" s="12">
        <f t="shared" si="38"/>
        <v>7.8389396615006685E-2</v>
      </c>
      <c r="J823" s="12">
        <f>G823*(D823*Assumptions!$B$6+E823*Assumptions!$B$7)</f>
        <v>9.1293060043142107E-3</v>
      </c>
    </row>
    <row r="824" spans="1:10" x14ac:dyDescent="0.2">
      <c r="A824" s="2">
        <v>816</v>
      </c>
      <c r="B824" s="14">
        <f>A824*Assumptions!$B$12</f>
        <v>8.16</v>
      </c>
      <c r="C824" s="15">
        <f>IF(A824&lt;=Assumptions!$B$13,IF(OR(A824=0,A824=Assumptions!$B$13),0.5,1),0)*Assumptions!$B$12</f>
        <v>0.01</v>
      </c>
      <c r="D824" s="12">
        <f>D823*(1-Assumptions!$B$12*(Assumptions!$B$5+Assumptions!$B$6))</f>
        <v>0.78283234292263981</v>
      </c>
      <c r="E824" s="12">
        <f>E823+Assumptions!$B$12*(D823*Assumptions!$B$5-E823*Assumptions!$B$7)</f>
        <v>0.11792131110221105</v>
      </c>
      <c r="F824" s="12">
        <f t="shared" si="36"/>
        <v>9.9246345975149142E-2</v>
      </c>
      <c r="G824" s="12">
        <f>EXP(-Assumptions!$B$8*B824)</f>
        <v>0.66497887882240192</v>
      </c>
      <c r="H824" s="12">
        <f t="shared" si="37"/>
        <v>0.52056697370261107</v>
      </c>
      <c r="I824" s="12">
        <f t="shared" si="38"/>
        <v>7.8415181246015958E-2</v>
      </c>
      <c r="J824" s="12">
        <f>G824*(D824*Assumptions!$B$6+E824*Assumptions!$B$7)</f>
        <v>9.1264287993269109E-3</v>
      </c>
    </row>
    <row r="825" spans="1:10" x14ac:dyDescent="0.2">
      <c r="A825" s="2">
        <v>817</v>
      </c>
      <c r="B825" s="14">
        <f>A825*Assumptions!$B$12</f>
        <v>8.17</v>
      </c>
      <c r="C825" s="15">
        <f>IF(A825&lt;=Assumptions!$B$13,IF(OR(A825=0,A825=Assumptions!$B$13),0.5,1),0)*Assumptions!$B$12</f>
        <v>0.01</v>
      </c>
      <c r="D825" s="12">
        <f>D824*(1-Assumptions!$B$12*(Assumptions!$B$5+Assumptions!$B$6))</f>
        <v>0.78259749321976302</v>
      </c>
      <c r="E825" s="12">
        <f>E824+Assumptions!$B$12*(D824*Assumptions!$B$5-E824*Assumptions!$B$7)</f>
        <v>0.11801891691524447</v>
      </c>
      <c r="F825" s="12">
        <f t="shared" si="36"/>
        <v>9.9383589864992516E-2</v>
      </c>
      <c r="G825" s="12">
        <f>EXP(-Assumptions!$B$8*B825)</f>
        <v>0.66464647249149855</v>
      </c>
      <c r="H825" s="12">
        <f t="shared" si="37"/>
        <v>0.52015066324920489</v>
      </c>
      <c r="I825" s="12">
        <f t="shared" si="38"/>
        <v>7.8440856814984486E-2</v>
      </c>
      <c r="J825" s="12">
        <f>G825*(D825*Assumptions!$B$6+E825*Assumptions!$B$7)</f>
        <v>9.1235494732412742E-3</v>
      </c>
    </row>
    <row r="826" spans="1:10" x14ac:dyDescent="0.2">
      <c r="A826" s="2">
        <v>818</v>
      </c>
      <c r="B826" s="14">
        <f>A826*Assumptions!$B$12</f>
        <v>8.18</v>
      </c>
      <c r="C826" s="15">
        <f>IF(A826&lt;=Assumptions!$B$13,IF(OR(A826=0,A826=Assumptions!$B$13),0.5,1),0)*Assumptions!$B$12</f>
        <v>0.01</v>
      </c>
      <c r="D826" s="12">
        <f>D825*(1-Assumptions!$B$12*(Assumptions!$B$5+Assumptions!$B$6))</f>
        <v>0.78236271397179713</v>
      </c>
      <c r="E826" s="12">
        <f>E825+Assumptions!$B$12*(D825*Assumptions!$B$5-E825*Assumptions!$B$7)</f>
        <v>0.1181164269554308</v>
      </c>
      <c r="F826" s="12">
        <f t="shared" si="36"/>
        <v>9.9520859072772069E-2</v>
      </c>
      <c r="G826" s="12">
        <f>EXP(-Assumptions!$B$8*B826)</f>
        <v>0.66431423232221676</v>
      </c>
      <c r="H826" s="12">
        <f t="shared" si="37"/>
        <v>0.5197346857297005</v>
      </c>
      <c r="I826" s="12">
        <f t="shared" si="38"/>
        <v>7.8466423497540197E-2</v>
      </c>
      <c r="J826" s="12">
        <f>G826*(D826*Assumptions!$B$6+E826*Assumptions!$B$7)</f>
        <v>9.1206680321740154E-3</v>
      </c>
    </row>
    <row r="827" spans="1:10" x14ac:dyDescent="0.2">
      <c r="A827" s="2">
        <v>819</v>
      </c>
      <c r="B827" s="14">
        <f>A827*Assumptions!$B$12</f>
        <v>8.19</v>
      </c>
      <c r="C827" s="15">
        <f>IF(A827&lt;=Assumptions!$B$13,IF(OR(A827=0,A827=Assumptions!$B$13),0.5,1),0)*Assumptions!$B$12</f>
        <v>0.01</v>
      </c>
      <c r="D827" s="12">
        <f>D826*(1-Assumptions!$B$12*(Assumptions!$B$5+Assumptions!$B$6))</f>
        <v>0.78212800515760561</v>
      </c>
      <c r="E827" s="12">
        <f>E826+Assumptions!$B$12*(D826*Assumptions!$B$5-E826*Assumptions!$B$7)</f>
        <v>0.11821384128474745</v>
      </c>
      <c r="F827" s="12">
        <f t="shared" si="36"/>
        <v>9.9658153557646942E-2</v>
      </c>
      <c r="G827" s="12">
        <f>EXP(-Assumptions!$B$8*B827)</f>
        <v>0.66398215823149653</v>
      </c>
      <c r="H827" s="12">
        <f t="shared" si="37"/>
        <v>0.51931904087784198</v>
      </c>
      <c r="I827" s="12">
        <f t="shared" si="38"/>
        <v>7.8491881469082203E-2</v>
      </c>
      <c r="J827" s="12">
        <f>G827*(D827*Assumptions!$B$6+E827*Assumptions!$B$7)</f>
        <v>9.1177844822325303E-3</v>
      </c>
    </row>
    <row r="828" spans="1:10" x14ac:dyDescent="0.2">
      <c r="A828" s="2">
        <v>820</v>
      </c>
      <c r="B828" s="14">
        <f>A828*Assumptions!$B$12</f>
        <v>8.1999999999999993</v>
      </c>
      <c r="C828" s="15">
        <f>IF(A828&lt;=Assumptions!$B$13,IF(OR(A828=0,A828=Assumptions!$B$13),0.5,1),0)*Assumptions!$B$12</f>
        <v>0.01</v>
      </c>
      <c r="D828" s="12">
        <f>D827*(1-Assumptions!$B$12*(Assumptions!$B$5+Assumptions!$B$6))</f>
        <v>0.78189336675605836</v>
      </c>
      <c r="E828" s="12">
        <f>E827+Assumptions!$B$12*(D827*Assumptions!$B$5-E827*Assumptions!$B$7)</f>
        <v>0.11831115996513659</v>
      </c>
      <c r="F828" s="12">
        <f t="shared" si="36"/>
        <v>9.9795473278805044E-2</v>
      </c>
      <c r="G828" s="12">
        <f>EXP(-Assumptions!$B$8*B828)</f>
        <v>0.6636502501363194</v>
      </c>
      <c r="H828" s="12">
        <f t="shared" si="37"/>
        <v>0.51890372842758703</v>
      </c>
      <c r="I828" s="12">
        <f t="shared" si="38"/>
        <v>7.8517230904780994E-2</v>
      </c>
      <c r="J828" s="12">
        <f>G828*(D828*Assumptions!$B$6+E828*Assumptions!$B$7)</f>
        <v>9.11489882951492E-3</v>
      </c>
    </row>
    <row r="829" spans="1:10" x14ac:dyDescent="0.2">
      <c r="A829" s="2">
        <v>821</v>
      </c>
      <c r="B829" s="14">
        <f>A829*Assumptions!$B$12</f>
        <v>8.2100000000000009</v>
      </c>
      <c r="C829" s="15">
        <f>IF(A829&lt;=Assumptions!$B$13,IF(OR(A829=0,A829=Assumptions!$B$13),0.5,1),0)*Assumptions!$B$12</f>
        <v>0.01</v>
      </c>
      <c r="D829" s="12">
        <f>D828*(1-Assumptions!$B$12*(Assumptions!$B$5+Assumptions!$B$6))</f>
        <v>0.78165879874603161</v>
      </c>
      <c r="E829" s="12">
        <f>E828+Assumptions!$B$12*(D828*Assumptions!$B$5-E828*Assumptions!$B$7)</f>
        <v>0.11840838305850523</v>
      </c>
      <c r="F829" s="12">
        <f t="shared" si="36"/>
        <v>9.9932818195463152E-2</v>
      </c>
      <c r="G829" s="12">
        <f>EXP(-Assumptions!$B$8*B829)</f>
        <v>0.66331850795370806</v>
      </c>
      <c r="H829" s="12">
        <f t="shared" si="37"/>
        <v>0.51848874811310541</v>
      </c>
      <c r="I829" s="12">
        <f t="shared" si="38"/>
        <v>7.854247197957881E-2</v>
      </c>
      <c r="J829" s="12">
        <f>G829*(D829*Assumptions!$B$6+E829*Assumptions!$B$7)</f>
        <v>9.1120110801099965E-3</v>
      </c>
    </row>
    <row r="830" spans="1:10" x14ac:dyDescent="0.2">
      <c r="A830" s="2">
        <v>822</v>
      </c>
      <c r="B830" s="14">
        <f>A830*Assumptions!$B$12</f>
        <v>8.2200000000000006</v>
      </c>
      <c r="C830" s="15">
        <f>IF(A830&lt;=Assumptions!$B$13,IF(OR(A830=0,A830=Assumptions!$B$13),0.5,1),0)*Assumptions!$B$12</f>
        <v>0.01</v>
      </c>
      <c r="D830" s="12">
        <f>D829*(1-Assumptions!$B$12*(Assumptions!$B$5+Assumptions!$B$6))</f>
        <v>0.78142430110640781</v>
      </c>
      <c r="E830" s="12">
        <f>E829+Assumptions!$B$12*(D829*Assumptions!$B$5-E829*Assumptions!$B$7)</f>
        <v>0.11850551062672519</v>
      </c>
      <c r="F830" s="12">
        <f t="shared" si="36"/>
        <v>0.10007018826686699</v>
      </c>
      <c r="G830" s="12">
        <f>EXP(-Assumptions!$B$8*B830)</f>
        <v>0.66298693160072741</v>
      </c>
      <c r="H830" s="12">
        <f t="shared" si="37"/>
        <v>0.51807409966878026</v>
      </c>
      <c r="I830" s="12">
        <f t="shared" si="38"/>
        <v>7.8567604868189936E-2</v>
      </c>
      <c r="J830" s="12">
        <f>G830*(D830*Assumptions!$B$6+E830*Assumptions!$B$7)</f>
        <v>9.1091212400972992E-3</v>
      </c>
    </row>
    <row r="831" spans="1:10" x14ac:dyDescent="0.2">
      <c r="A831" s="2">
        <v>823</v>
      </c>
      <c r="B831" s="14">
        <f>A831*Assumptions!$B$12</f>
        <v>8.23</v>
      </c>
      <c r="C831" s="15">
        <f>IF(A831&lt;=Assumptions!$B$13,IF(OR(A831=0,A831=Assumptions!$B$13),0.5,1),0)*Assumptions!$B$12</f>
        <v>0.01</v>
      </c>
      <c r="D831" s="12">
        <f>D830*(1-Assumptions!$B$12*(Assumptions!$B$5+Assumptions!$B$6))</f>
        <v>0.78118987381607596</v>
      </c>
      <c r="E831" s="12">
        <f>E830+Assumptions!$B$12*(D830*Assumptions!$B$5-E830*Assumptions!$B$7)</f>
        <v>0.11860254273163311</v>
      </c>
      <c r="F831" s="12">
        <f t="shared" si="36"/>
        <v>0.10020758345229093</v>
      </c>
      <c r="G831" s="12">
        <f>EXP(-Assumptions!$B$8*B831)</f>
        <v>0.66265552099448299</v>
      </c>
      <c r="H831" s="12">
        <f t="shared" si="37"/>
        <v>0.51765978282920622</v>
      </c>
      <c r="I831" s="12">
        <f t="shared" si="38"/>
        <v>7.859262974510077E-2</v>
      </c>
      <c r="J831" s="12">
        <f>G831*(D831*Assumptions!$B$6+E831*Assumptions!$B$7)</f>
        <v>9.106229315547101E-3</v>
      </c>
    </row>
    <row r="832" spans="1:10" x14ac:dyDescent="0.2">
      <c r="A832" s="2">
        <v>824</v>
      </c>
      <c r="B832" s="14">
        <f>A832*Assumptions!$B$12</f>
        <v>8.24</v>
      </c>
      <c r="C832" s="15">
        <f>IF(A832&lt;=Assumptions!$B$13,IF(OR(A832=0,A832=Assumptions!$B$13),0.5,1),0)*Assumptions!$B$12</f>
        <v>0.01</v>
      </c>
      <c r="D832" s="12">
        <f>D831*(1-Assumptions!$B$12*(Assumptions!$B$5+Assumptions!$B$6))</f>
        <v>0.78095551685393116</v>
      </c>
      <c r="E832" s="12">
        <f>E831+Assumptions!$B$12*(D831*Assumptions!$B$5-E831*Assumptions!$B$7)</f>
        <v>0.11869947943503051</v>
      </c>
      <c r="F832" s="12">
        <f t="shared" si="36"/>
        <v>0.10034500371103833</v>
      </c>
      <c r="G832" s="12">
        <f>EXP(-Assumptions!$B$8*B832)</f>
        <v>0.66232427605212219</v>
      </c>
      <c r="H832" s="12">
        <f t="shared" si="37"/>
        <v>0.51724579732919085</v>
      </c>
      <c r="I832" s="12">
        <f t="shared" si="38"/>
        <v>7.861754678457035E-2</v>
      </c>
      <c r="J832" s="12">
        <f>G832*(D832*Assumptions!$B$6+E832*Assumptions!$B$7)</f>
        <v>9.1033353125204268E-3</v>
      </c>
    </row>
    <row r="833" spans="1:10" x14ac:dyDescent="0.2">
      <c r="A833" s="2">
        <v>825</v>
      </c>
      <c r="B833" s="14">
        <f>A833*Assumptions!$B$12</f>
        <v>8.25</v>
      </c>
      <c r="C833" s="15">
        <f>IF(A833&lt;=Assumptions!$B$13,IF(OR(A833=0,A833=Assumptions!$B$13),0.5,1),0)*Assumptions!$B$12</f>
        <v>0.01</v>
      </c>
      <c r="D833" s="12">
        <f>D832*(1-Assumptions!$B$12*(Assumptions!$B$5+Assumptions!$B$6))</f>
        <v>0.78072123019887496</v>
      </c>
      <c r="E833" s="12">
        <f>E832+Assumptions!$B$12*(D832*Assumptions!$B$5-E832*Assumptions!$B$7)</f>
        <v>0.11879632079868378</v>
      </c>
      <c r="F833" s="12">
        <f t="shared" si="36"/>
        <v>0.10048244900244126</v>
      </c>
      <c r="G833" s="12">
        <f>EXP(-Assumptions!$B$8*B833)</f>
        <v>0.66199319669083401</v>
      </c>
      <c r="H833" s="12">
        <f t="shared" si="37"/>
        <v>0.51683214290375368</v>
      </c>
      <c r="I833" s="12">
        <f t="shared" si="38"/>
        <v>7.8642356160630492E-2</v>
      </c>
      <c r="J833" s="12">
        <f>G833*(D833*Assumptions!$B$6+E833*Assumptions!$B$7)</f>
        <v>9.1004392370690624E-3</v>
      </c>
    </row>
    <row r="834" spans="1:10" x14ac:dyDescent="0.2">
      <c r="A834" s="2">
        <v>826</v>
      </c>
      <c r="B834" s="14">
        <f>A834*Assumptions!$B$12</f>
        <v>8.26</v>
      </c>
      <c r="C834" s="15">
        <f>IF(A834&lt;=Assumptions!$B$13,IF(OR(A834=0,A834=Assumptions!$B$13),0.5,1),0)*Assumptions!$B$12</f>
        <v>0.01</v>
      </c>
      <c r="D834" s="12">
        <f>D833*(1-Assumptions!$B$12*(Assumptions!$B$5+Assumptions!$B$6))</f>
        <v>0.78048701382981533</v>
      </c>
      <c r="E834" s="12">
        <f>E833+Assumptions!$B$12*(D833*Assumptions!$B$5-E833*Assumptions!$B$7)</f>
        <v>0.11889306688432422</v>
      </c>
      <c r="F834" s="12">
        <f t="shared" si="36"/>
        <v>0.10061991928586045</v>
      </c>
      <c r="G834" s="12">
        <f>EXP(-Assumptions!$B$8*B834)</f>
        <v>0.66166228282784834</v>
      </c>
      <c r="H834" s="12">
        <f t="shared" si="37"/>
        <v>0.51641881928812605</v>
      </c>
      <c r="I834" s="12">
        <f t="shared" si="38"/>
        <v>7.8667058047086014E-2</v>
      </c>
      <c r="J834" s="12">
        <f>G834*(D834*Assumptions!$B$6+E834*Assumptions!$B$7)</f>
        <v>9.0975410952355614E-3</v>
      </c>
    </row>
    <row r="835" spans="1:10" x14ac:dyDescent="0.2">
      <c r="A835" s="2">
        <v>827</v>
      </c>
      <c r="B835" s="14">
        <f>A835*Assumptions!$B$12</f>
        <v>8.27</v>
      </c>
      <c r="C835" s="15">
        <f>IF(A835&lt;=Assumptions!$B$13,IF(OR(A835=0,A835=Assumptions!$B$13),0.5,1),0)*Assumptions!$B$12</f>
        <v>0.01</v>
      </c>
      <c r="D835" s="12">
        <f>D834*(1-Assumptions!$B$12*(Assumptions!$B$5+Assumptions!$B$6))</f>
        <v>0.78025286772566638</v>
      </c>
      <c r="E835" s="12">
        <f>E834+Assumptions!$B$12*(D834*Assumptions!$B$5-E834*Assumptions!$B$7)</f>
        <v>0.11898971775364801</v>
      </c>
      <c r="F835" s="12">
        <f t="shared" si="36"/>
        <v>0.10075741452068561</v>
      </c>
      <c r="G835" s="12">
        <f>EXP(-Assumptions!$B$8*B835)</f>
        <v>0.6613315343804369</v>
      </c>
      <c r="H835" s="12">
        <f t="shared" si="37"/>
        <v>0.51600582621775104</v>
      </c>
      <c r="I835" s="12">
        <f t="shared" si="38"/>
        <v>7.8691652617515151E-2</v>
      </c>
      <c r="J835" s="12">
        <f>G835*(D835*Assumptions!$B$6+E835*Assumptions!$B$7)</f>
        <v>9.0946408930532678E-3</v>
      </c>
    </row>
    <row r="836" spans="1:10" x14ac:dyDescent="0.2">
      <c r="A836" s="2">
        <v>828</v>
      </c>
      <c r="B836" s="14">
        <f>A836*Assumptions!$B$12</f>
        <v>8.2799999999999994</v>
      </c>
      <c r="C836" s="15">
        <f>IF(A836&lt;=Assumptions!$B$13,IF(OR(A836=0,A836=Assumptions!$B$13),0.5,1),0)*Assumptions!$B$12</f>
        <v>0.01</v>
      </c>
      <c r="D836" s="12">
        <f>D835*(1-Assumptions!$B$12*(Assumptions!$B$5+Assumptions!$B$6))</f>
        <v>0.78001879186534873</v>
      </c>
      <c r="E836" s="12">
        <f>E835+Assumptions!$B$12*(D835*Assumptions!$B$5-E835*Assumptions!$B$7)</f>
        <v>0.11908627346831632</v>
      </c>
      <c r="F836" s="12">
        <f t="shared" si="36"/>
        <v>0.10089493466633495</v>
      </c>
      <c r="G836" s="12">
        <f>EXP(-Assumptions!$B$8*B836)</f>
        <v>0.66100095126591252</v>
      </c>
      <c r="H836" s="12">
        <f t="shared" si="37"/>
        <v>0.51559316342828332</v>
      </c>
      <c r="I836" s="12">
        <f t="shared" si="38"/>
        <v>7.8716140045269695E-2</v>
      </c>
      <c r="J836" s="12">
        <f>G836*(D836*Assumptions!$B$6+E836*Assumptions!$B$7)</f>
        <v>9.0917386365463176E-3</v>
      </c>
    </row>
    <row r="837" spans="1:10" x14ac:dyDescent="0.2">
      <c r="A837" s="2">
        <v>829</v>
      </c>
      <c r="B837" s="14">
        <f>A837*Assumptions!$B$12</f>
        <v>8.2900000000000009</v>
      </c>
      <c r="C837" s="15">
        <f>IF(A837&lt;=Assumptions!$B$13,IF(OR(A837=0,A837=Assumptions!$B$13),0.5,1),0)*Assumptions!$B$12</f>
        <v>0.01</v>
      </c>
      <c r="D837" s="12">
        <f>D836*(1-Assumptions!$B$12*(Assumptions!$B$5+Assumptions!$B$6))</f>
        <v>0.77978478622778913</v>
      </c>
      <c r="E837" s="12">
        <f>E836+Assumptions!$B$12*(D836*Assumptions!$B$5-E836*Assumptions!$B$7)</f>
        <v>0.11918273408995524</v>
      </c>
      <c r="F837" s="12">
        <f t="shared" si="36"/>
        <v>0.10103247968225564</v>
      </c>
      <c r="G837" s="12">
        <f>EXP(-Assumptions!$B$8*B837)</f>
        <v>0.66067053340162918</v>
      </c>
      <c r="H837" s="12">
        <f t="shared" si="37"/>
        <v>0.51518083065558884</v>
      </c>
      <c r="I837" s="12">
        <f t="shared" si="38"/>
        <v>7.8740520503475256E-2</v>
      </c>
      <c r="J837" s="12">
        <f>G837*(D837*Assumptions!$B$6+E837*Assumptions!$B$7)</f>
        <v>9.0888343317296512E-3</v>
      </c>
    </row>
    <row r="838" spans="1:10" x14ac:dyDescent="0.2">
      <c r="A838" s="2">
        <v>830</v>
      </c>
      <c r="B838" s="14">
        <f>A838*Assumptions!$B$12</f>
        <v>8.3000000000000007</v>
      </c>
      <c r="C838" s="15">
        <f>IF(A838&lt;=Assumptions!$B$13,IF(OR(A838=0,A838=Assumptions!$B$13),0.5,1),0)*Assumptions!$B$12</f>
        <v>0.01</v>
      </c>
      <c r="D838" s="12">
        <f>D837*(1-Assumptions!$B$12*(Assumptions!$B$5+Assumptions!$B$6))</f>
        <v>0.77955085079192077</v>
      </c>
      <c r="E838" s="12">
        <f>E837+Assumptions!$B$12*(D837*Assumptions!$B$5-E837*Assumptions!$B$7)</f>
        <v>0.11927909968015582</v>
      </c>
      <c r="F838" s="12">
        <f t="shared" si="36"/>
        <v>0.10117004952792341</v>
      </c>
      <c r="G838" s="12">
        <f>EXP(-Assumptions!$B$8*B838)</f>
        <v>0.66034028070498285</v>
      </c>
      <c r="H838" s="12">
        <f t="shared" si="37"/>
        <v>0.51476882763574516</v>
      </c>
      <c r="I838" s="12">
        <f t="shared" si="38"/>
        <v>7.8764794165031723E-2</v>
      </c>
      <c r="J838" s="12">
        <f>G838*(D838*Assumptions!$B$6+E838*Assumptions!$B$7)</f>
        <v>9.0859279846090373E-3</v>
      </c>
    </row>
    <row r="839" spans="1:10" x14ac:dyDescent="0.2">
      <c r="A839" s="2">
        <v>831</v>
      </c>
      <c r="B839" s="14">
        <f>A839*Assumptions!$B$12</f>
        <v>8.31</v>
      </c>
      <c r="C839" s="15">
        <f>IF(A839&lt;=Assumptions!$B$13,IF(OR(A839=0,A839=Assumptions!$B$13),0.5,1),0)*Assumptions!$B$12</f>
        <v>0.01</v>
      </c>
      <c r="D839" s="12">
        <f>D838*(1-Assumptions!$B$12*(Assumptions!$B$5+Assumptions!$B$6))</f>
        <v>0.77931698553668327</v>
      </c>
      <c r="E839" s="12">
        <f>E838+Assumptions!$B$12*(D838*Assumptions!$B$5-E838*Assumptions!$B$7)</f>
        <v>0.11937537030047413</v>
      </c>
      <c r="F839" s="12">
        <f t="shared" si="36"/>
        <v>0.1013076441628426</v>
      </c>
      <c r="G839" s="12">
        <f>EXP(-Assumptions!$B$8*B839)</f>
        <v>0.66001019309341014</v>
      </c>
      <c r="H839" s="12">
        <f t="shared" si="37"/>
        <v>0.51435715410504068</v>
      </c>
      <c r="I839" s="12">
        <f t="shared" si="38"/>
        <v>7.8788961202613264E-2</v>
      </c>
      <c r="J839" s="12">
        <f>G839*(D839*Assumptions!$B$6+E839*Assumptions!$B$7)</f>
        <v>9.0830196011810697E-3</v>
      </c>
    </row>
    <row r="840" spans="1:10" x14ac:dyDescent="0.2">
      <c r="A840" s="2">
        <v>832</v>
      </c>
      <c r="B840" s="14">
        <f>A840*Assumptions!$B$12</f>
        <v>8.32</v>
      </c>
      <c r="C840" s="15">
        <f>IF(A840&lt;=Assumptions!$B$13,IF(OR(A840=0,A840=Assumptions!$B$13),0.5,1),0)*Assumptions!$B$12</f>
        <v>0.01</v>
      </c>
      <c r="D840" s="12">
        <f>D839*(1-Assumptions!$B$12*(Assumptions!$B$5+Assumptions!$B$6))</f>
        <v>0.77908319044102226</v>
      </c>
      <c r="E840" s="12">
        <f>E839+Assumptions!$B$12*(D839*Assumptions!$B$5-E839*Assumptions!$B$7)</f>
        <v>0.11947154601243122</v>
      </c>
      <c r="F840" s="12">
        <f t="shared" ref="F840:F903" si="39">1-D840-E840</f>
        <v>0.10144526354654652</v>
      </c>
      <c r="G840" s="12">
        <f>EXP(-Assumptions!$B$8*B840)</f>
        <v>0.65968027048438904</v>
      </c>
      <c r="H840" s="12">
        <f t="shared" ref="H840:H903" si="40">G840*D840</f>
        <v>0.5139458097999744</v>
      </c>
      <c r="I840" s="12">
        <f t="shared" ref="I840:I903" si="41">G840*E840</f>
        <v>7.8813021788668752E-2</v>
      </c>
      <c r="J840" s="12">
        <f>G840*(D840*Assumptions!$B$6+E840*Assumptions!$B$7)</f>
        <v>9.080109187433183E-3</v>
      </c>
    </row>
    <row r="841" spans="1:10" x14ac:dyDescent="0.2">
      <c r="A841" s="2">
        <v>833</v>
      </c>
      <c r="B841" s="14">
        <f>A841*Assumptions!$B$12</f>
        <v>8.33</v>
      </c>
      <c r="C841" s="15">
        <f>IF(A841&lt;=Assumptions!$B$13,IF(OR(A841=0,A841=Assumptions!$B$13),0.5,1),0)*Assumptions!$B$12</f>
        <v>0.01</v>
      </c>
      <c r="D841" s="12">
        <f>D840*(1-Assumptions!$B$12*(Assumptions!$B$5+Assumptions!$B$6))</f>
        <v>0.77884946548389</v>
      </c>
      <c r="E841" s="12">
        <f>E840+Assumptions!$B$12*(D840*Assumptions!$B$5-E840*Assumptions!$B$7)</f>
        <v>0.11956762687751321</v>
      </c>
      <c r="F841" s="12">
        <f t="shared" si="39"/>
        <v>0.10158290763859679</v>
      </c>
      <c r="G841" s="12">
        <f>EXP(-Assumptions!$B$8*B841)</f>
        <v>0.65935051279543899</v>
      </c>
      <c r="H841" s="12">
        <f t="shared" si="40"/>
        <v>0.51353479445725647</v>
      </c>
      <c r="I841" s="12">
        <f t="shared" si="41"/>
        <v>7.8836976095422048E-2</v>
      </c>
      <c r="J841" s="12">
        <f>G841*(D841*Assumptions!$B$6+E841*Assumptions!$B$7)</f>
        <v>9.0771967493436662E-3</v>
      </c>
    </row>
    <row r="842" spans="1:10" x14ac:dyDescent="0.2">
      <c r="A842" s="2">
        <v>834</v>
      </c>
      <c r="B842" s="14">
        <f>A842*Assumptions!$B$12</f>
        <v>8.34</v>
      </c>
      <c r="C842" s="15">
        <f>IF(A842&lt;=Assumptions!$B$13,IF(OR(A842=0,A842=Assumptions!$B$13),0.5,1),0)*Assumptions!$B$12</f>
        <v>0.01</v>
      </c>
      <c r="D842" s="12">
        <f>D841*(1-Assumptions!$B$12*(Assumptions!$B$5+Assumptions!$B$6))</f>
        <v>0.7786158106442449</v>
      </c>
      <c r="E842" s="12">
        <f>E841+Assumptions!$B$12*(D841*Assumptions!$B$5-E841*Assumptions!$B$7)</f>
        <v>0.11966361295717123</v>
      </c>
      <c r="F842" s="12">
        <f t="shared" si="39"/>
        <v>0.10172057639858387</v>
      </c>
      <c r="G842" s="12">
        <f>EXP(-Assumptions!$B$8*B842)</f>
        <v>0.6590209199441206</v>
      </c>
      <c r="H842" s="12">
        <f t="shared" si="40"/>
        <v>0.51312410781380746</v>
      </c>
      <c r="I842" s="12">
        <f t="shared" si="41"/>
        <v>7.8860824294872178E-2</v>
      </c>
      <c r="J842" s="12">
        <f>G842*(D842*Assumptions!$B$6+E842*Assumptions!$B$7)</f>
        <v>9.0742822928816837E-3</v>
      </c>
    </row>
    <row r="843" spans="1:10" x14ac:dyDescent="0.2">
      <c r="A843" s="2">
        <v>835</v>
      </c>
      <c r="B843" s="14">
        <f>A843*Assumptions!$B$12</f>
        <v>8.35</v>
      </c>
      <c r="C843" s="15">
        <f>IF(A843&lt;=Assumptions!$B$13,IF(OR(A843=0,A843=Assumptions!$B$13),0.5,1),0)*Assumptions!$B$12</f>
        <v>0.01</v>
      </c>
      <c r="D843" s="12">
        <f>D842*(1-Assumptions!$B$12*(Assumptions!$B$5+Assumptions!$B$6))</f>
        <v>0.77838222590105166</v>
      </c>
      <c r="E843" s="12">
        <f>E842+Assumptions!$B$12*(D842*Assumptions!$B$5-E842*Assumptions!$B$7)</f>
        <v>0.11975950431282149</v>
      </c>
      <c r="F843" s="12">
        <f t="shared" si="39"/>
        <v>0.10185826978612685</v>
      </c>
      <c r="G843" s="12">
        <f>EXP(-Assumptions!$B$8*B843)</f>
        <v>0.65869149184803577</v>
      </c>
      <c r="H843" s="12">
        <f t="shared" si="40"/>
        <v>0.51271374960675853</v>
      </c>
      <c r="I843" s="12">
        <f t="shared" si="41"/>
        <v>7.8884566558793667E-2</v>
      </c>
      <c r="J843" s="12">
        <f>G843*(D843*Assumptions!$B$6+E843*Assumptions!$B$7)</f>
        <v>9.0713658240072683E-3</v>
      </c>
    </row>
    <row r="844" spans="1:10" x14ac:dyDescent="0.2">
      <c r="A844" s="2">
        <v>836</v>
      </c>
      <c r="B844" s="14">
        <f>A844*Assumptions!$B$12</f>
        <v>8.36</v>
      </c>
      <c r="C844" s="15">
        <f>IF(A844&lt;=Assumptions!$B$13,IF(OR(A844=0,A844=Assumptions!$B$13),0.5,1),0)*Assumptions!$B$12</f>
        <v>0.01</v>
      </c>
      <c r="D844" s="12">
        <f>D843*(1-Assumptions!$B$12*(Assumptions!$B$5+Assumptions!$B$6))</f>
        <v>0.77814871123328133</v>
      </c>
      <c r="E844" s="12">
        <f>E843+Assumptions!$B$12*(D843*Assumptions!$B$5-E843*Assumptions!$B$7)</f>
        <v>0.11985530100584529</v>
      </c>
      <c r="F844" s="12">
        <f t="shared" si="39"/>
        <v>0.10199598776087337</v>
      </c>
      <c r="G844" s="12">
        <f>EXP(-Assumptions!$B$8*B844)</f>
        <v>0.65836222842482717</v>
      </c>
      <c r="H844" s="12">
        <f t="shared" si="40"/>
        <v>0.51230371957345044</v>
      </c>
      <c r="I844" s="12">
        <f t="shared" si="41"/>
        <v>7.8908203058736734E-2</v>
      </c>
      <c r="J844" s="12">
        <f>G844*(D844*Assumptions!$B$6+E844*Assumptions!$B$7)</f>
        <v>9.0684473486713404E-3</v>
      </c>
    </row>
    <row r="845" spans="1:10" x14ac:dyDescent="0.2">
      <c r="A845" s="2">
        <v>837</v>
      </c>
      <c r="B845" s="14">
        <f>A845*Assumptions!$B$12</f>
        <v>8.370000000000001</v>
      </c>
      <c r="C845" s="15">
        <f>IF(A845&lt;=Assumptions!$B$13,IF(OR(A845=0,A845=Assumptions!$B$13),0.5,1),0)*Assumptions!$B$12</f>
        <v>0.01</v>
      </c>
      <c r="D845" s="12">
        <f>D844*(1-Assumptions!$B$12*(Assumptions!$B$5+Assumptions!$B$6))</f>
        <v>0.77791526661991139</v>
      </c>
      <c r="E845" s="12">
        <f>E844+Assumptions!$B$12*(D844*Assumptions!$B$5-E844*Assumptions!$B$7)</f>
        <v>0.11995100309758902</v>
      </c>
      <c r="F845" s="12">
        <f t="shared" si="39"/>
        <v>0.10213373028249959</v>
      </c>
      <c r="G845" s="12">
        <f>EXP(-Assumptions!$B$8*B845)</f>
        <v>0.65803312959217908</v>
      </c>
      <c r="H845" s="12">
        <f t="shared" si="40"/>
        <v>0.5118940174514347</v>
      </c>
      <c r="I845" s="12">
        <f t="shared" si="41"/>
        <v>7.8931733966027665E-2</v>
      </c>
      <c r="J845" s="12">
        <f>G845*(D845*Assumptions!$B$6+E845*Assumptions!$B$7)</f>
        <v>9.0655268728157302E-3</v>
      </c>
    </row>
    <row r="846" spans="1:10" x14ac:dyDescent="0.2">
      <c r="A846" s="2">
        <v>838</v>
      </c>
      <c r="B846" s="14">
        <f>A846*Assumptions!$B$12</f>
        <v>8.3800000000000008</v>
      </c>
      <c r="C846" s="15">
        <f>IF(A846&lt;=Assumptions!$B$13,IF(OR(A846=0,A846=Assumptions!$B$13),0.5,1),0)*Assumptions!$B$12</f>
        <v>0.01</v>
      </c>
      <c r="D846" s="12">
        <f>D845*(1-Assumptions!$B$12*(Assumptions!$B$5+Assumptions!$B$6))</f>
        <v>0.77768189203992544</v>
      </c>
      <c r="E846" s="12">
        <f>E845+Assumptions!$B$12*(D845*Assumptions!$B$5-E845*Assumptions!$B$7)</f>
        <v>0.12004661064936421</v>
      </c>
      <c r="F846" s="12">
        <f t="shared" si="39"/>
        <v>0.10227149731071035</v>
      </c>
      <c r="G846" s="12">
        <f>EXP(-Assumptions!$B$8*B846)</f>
        <v>0.65770419526781687</v>
      </c>
      <c r="H846" s="12">
        <f t="shared" si="40"/>
        <v>0.5114846429784724</v>
      </c>
      <c r="I846" s="12">
        <f t="shared" si="41"/>
        <v>7.8955159451769022E-2</v>
      </c>
      <c r="J846" s="12">
        <f>G846*(D846*Assumptions!$B$6+E846*Assumptions!$B$7)</f>
        <v>9.0626044023731766E-3</v>
      </c>
    </row>
    <row r="847" spans="1:10" x14ac:dyDescent="0.2">
      <c r="A847" s="2">
        <v>839</v>
      </c>
      <c r="B847" s="14">
        <f>A847*Assumptions!$B$12</f>
        <v>8.39</v>
      </c>
      <c r="C847" s="15">
        <f>IF(A847&lt;=Assumptions!$B$13,IF(OR(A847=0,A847=Assumptions!$B$13),0.5,1),0)*Assumptions!$B$12</f>
        <v>0.01</v>
      </c>
      <c r="D847" s="12">
        <f>D846*(1-Assumptions!$B$12*(Assumptions!$B$5+Assumptions!$B$6))</f>
        <v>0.77744858747231349</v>
      </c>
      <c r="E847" s="12">
        <f>E846+Assumptions!$B$12*(D846*Assumptions!$B$5-E846*Assumptions!$B$7)</f>
        <v>0.12014212372244752</v>
      </c>
      <c r="F847" s="12">
        <f t="shared" si="39"/>
        <v>0.10240928880523899</v>
      </c>
      <c r="G847" s="12">
        <f>EXP(-Assumptions!$B$8*B847)</f>
        <v>0.65737542536950699</v>
      </c>
      <c r="H847" s="12">
        <f t="shared" si="40"/>
        <v>0.51107559589253448</v>
      </c>
      <c r="I847" s="12">
        <f t="shared" si="41"/>
        <v>7.8978479686839881E-2</v>
      </c>
      <c r="J847" s="12">
        <f>G847*(D847*Assumptions!$B$6+E847*Assumptions!$B$7)</f>
        <v>9.0596799432673385E-3</v>
      </c>
    </row>
    <row r="848" spans="1:10" x14ac:dyDescent="0.2">
      <c r="A848" s="2">
        <v>840</v>
      </c>
      <c r="B848" s="14">
        <f>A848*Assumptions!$B$12</f>
        <v>8.4</v>
      </c>
      <c r="C848" s="15">
        <f>IF(A848&lt;=Assumptions!$B$13,IF(OR(A848=0,A848=Assumptions!$B$13),0.5,1),0)*Assumptions!$B$12</f>
        <v>0.01</v>
      </c>
      <c r="D848" s="12">
        <f>D847*(1-Assumptions!$B$12*(Assumptions!$B$5+Assumptions!$B$6))</f>
        <v>0.7772153528960718</v>
      </c>
      <c r="E848" s="12">
        <f>E847+Assumptions!$B$12*(D847*Assumptions!$B$5-E847*Assumptions!$B$7)</f>
        <v>0.12023754237808076</v>
      </c>
      <c r="F848" s="12">
        <f t="shared" si="39"/>
        <v>0.10254710472584744</v>
      </c>
      <c r="G848" s="12">
        <f>EXP(-Assumptions!$B$8*B848)</f>
        <v>0.65704681981505675</v>
      </c>
      <c r="H848" s="12">
        <f t="shared" si="40"/>
        <v>0.51066687593180105</v>
      </c>
      <c r="I848" s="12">
        <f t="shared" si="41"/>
        <v>7.9001694841896078E-2</v>
      </c>
      <c r="J848" s="12">
        <f>G848*(D848*Assumptions!$B$6+E848*Assumptions!$B$7)</f>
        <v>9.0567535014128148E-3</v>
      </c>
    </row>
    <row r="849" spans="1:10" x14ac:dyDescent="0.2">
      <c r="A849" s="2">
        <v>841</v>
      </c>
      <c r="B849" s="14">
        <f>A849*Assumptions!$B$12</f>
        <v>8.41</v>
      </c>
      <c r="C849" s="15">
        <f>IF(A849&lt;=Assumptions!$B$13,IF(OR(A849=0,A849=Assumptions!$B$13),0.5,1),0)*Assumptions!$B$12</f>
        <v>0.01</v>
      </c>
      <c r="D849" s="12">
        <f>D848*(1-Assumptions!$B$12*(Assumptions!$B$5+Assumptions!$B$6))</f>
        <v>0.77698218829020305</v>
      </c>
      <c r="E849" s="12">
        <f>E848+Assumptions!$B$12*(D848*Assumptions!$B$5-E848*Assumptions!$B$7)</f>
        <v>0.12033286667747094</v>
      </c>
      <c r="F849" s="12">
        <f t="shared" si="39"/>
        <v>0.10268494503232602</v>
      </c>
      <c r="G849" s="12">
        <f>EXP(-Assumptions!$B$8*B849)</f>
        <v>0.65671837852231496</v>
      </c>
      <c r="H849" s="12">
        <f t="shared" si="40"/>
        <v>0.51025848283466213</v>
      </c>
      <c r="I849" s="12">
        <f t="shared" si="41"/>
        <v>7.9024805087370614E-2</v>
      </c>
      <c r="J849" s="12">
        <f>G849*(D849*Assumptions!$B$6+E849*Assumptions!$B$7)</f>
        <v>9.0538250827151522E-3</v>
      </c>
    </row>
    <row r="850" spans="1:10" x14ac:dyDescent="0.2">
      <c r="A850" s="2">
        <v>842</v>
      </c>
      <c r="B850" s="14">
        <f>A850*Assumptions!$B$12</f>
        <v>8.42</v>
      </c>
      <c r="C850" s="15">
        <f>IF(A850&lt;=Assumptions!$B$13,IF(OR(A850=0,A850=Assumptions!$B$13),0.5,1),0)*Assumptions!$B$12</f>
        <v>0.01</v>
      </c>
      <c r="D850" s="12">
        <f>D849*(1-Assumptions!$B$12*(Assumptions!$B$5+Assumptions!$B$6))</f>
        <v>0.77674909363371603</v>
      </c>
      <c r="E850" s="12">
        <f>E849+Assumptions!$B$12*(D849*Assumptions!$B$5-E849*Assumptions!$B$7)</f>
        <v>0.12042809668179025</v>
      </c>
      <c r="F850" s="12">
        <f t="shared" si="39"/>
        <v>0.10282280968449373</v>
      </c>
      <c r="G850" s="12">
        <f>EXP(-Assumptions!$B$8*B850)</f>
        <v>0.6563901014091712</v>
      </c>
      <c r="H850" s="12">
        <f t="shared" si="40"/>
        <v>0.50985041633971673</v>
      </c>
      <c r="I850" s="12">
        <f t="shared" si="41"/>
        <v>7.904781059347378E-2</v>
      </c>
      <c r="J850" s="12">
        <f>G850*(D850*Assumptions!$B$6+E850*Assumptions!$B$7)</f>
        <v>9.0508946930708562E-3</v>
      </c>
    </row>
    <row r="851" spans="1:10" x14ac:dyDescent="0.2">
      <c r="A851" s="2">
        <v>843</v>
      </c>
      <c r="B851" s="14">
        <f>A851*Assumptions!$B$12</f>
        <v>8.43</v>
      </c>
      <c r="C851" s="15">
        <f>IF(A851&lt;=Assumptions!$B$13,IF(OR(A851=0,A851=Assumptions!$B$13),0.5,1),0)*Assumptions!$B$12</f>
        <v>0.01</v>
      </c>
      <c r="D851" s="12">
        <f>D850*(1-Assumptions!$B$12*(Assumptions!$B$5+Assumptions!$B$6))</f>
        <v>0.77651606890562597</v>
      </c>
      <c r="E851" s="12">
        <f>E850+Assumptions!$B$12*(D850*Assumptions!$B$5-E850*Assumptions!$B$7)</f>
        <v>0.1205232324521761</v>
      </c>
      <c r="F851" s="12">
        <f t="shared" si="39"/>
        <v>0.10296069864219794</v>
      </c>
      <c r="G851" s="12">
        <f>EXP(-Assumptions!$B$8*B851)</f>
        <v>0.65606198839355623</v>
      </c>
      <c r="H851" s="12">
        <f t="shared" si="40"/>
        <v>0.50944267618577266</v>
      </c>
      <c r="I851" s="12">
        <f t="shared" si="41"/>
        <v>7.9070711530193433E-2</v>
      </c>
      <c r="J851" s="12">
        <f>G851*(D851*Assumptions!$B$6+E851*Assumptions!$B$7)</f>
        <v>9.0479623383673997E-3</v>
      </c>
    </row>
    <row r="852" spans="1:10" x14ac:dyDescent="0.2">
      <c r="A852" s="2">
        <v>844</v>
      </c>
      <c r="B852" s="14">
        <f>A852*Assumptions!$B$12</f>
        <v>8.44</v>
      </c>
      <c r="C852" s="15">
        <f>IF(A852&lt;=Assumptions!$B$13,IF(OR(A852=0,A852=Assumptions!$B$13),0.5,1),0)*Assumptions!$B$12</f>
        <v>0.01</v>
      </c>
      <c r="D852" s="12">
        <f>D851*(1-Assumptions!$B$12*(Assumptions!$B$5+Assumptions!$B$6))</f>
        <v>0.77628311408495432</v>
      </c>
      <c r="E852" s="12">
        <f>E851+Assumptions!$B$12*(D851*Assumptions!$B$5-E851*Assumptions!$B$7)</f>
        <v>0.12061827404973113</v>
      </c>
      <c r="F852" s="12">
        <f t="shared" si="39"/>
        <v>0.10309861186531455</v>
      </c>
      <c r="G852" s="12">
        <f>EXP(-Assumptions!$B$8*B852)</f>
        <v>0.65573403939344177</v>
      </c>
      <c r="H852" s="12">
        <f t="shared" si="40"/>
        <v>0.50903526211184713</v>
      </c>
      <c r="I852" s="12">
        <f t="shared" si="41"/>
        <v>7.9093508067295357E-2</v>
      </c>
      <c r="J852" s="12">
        <f>G852*(D852*Assumptions!$B$6+E852*Assumptions!$B$7)</f>
        <v>9.0450280244832384E-3</v>
      </c>
    </row>
    <row r="853" spans="1:10" x14ac:dyDescent="0.2">
      <c r="A853" s="2">
        <v>845</v>
      </c>
      <c r="B853" s="14">
        <f>A853*Assumptions!$B$12</f>
        <v>8.4499999999999993</v>
      </c>
      <c r="C853" s="15">
        <f>IF(A853&lt;=Assumptions!$B$13,IF(OR(A853=0,A853=Assumptions!$B$13),0.5,1),0)*Assumptions!$B$12</f>
        <v>0.01</v>
      </c>
      <c r="D853" s="12">
        <f>D852*(1-Assumptions!$B$12*(Assumptions!$B$5+Assumptions!$B$6))</f>
        <v>0.77605022915072885</v>
      </c>
      <c r="E853" s="12">
        <f>E852+Assumptions!$B$12*(D852*Assumptions!$B$5-E852*Assumptions!$B$7)</f>
        <v>0.12071322153552326</v>
      </c>
      <c r="F853" s="12">
        <f t="shared" si="39"/>
        <v>0.10323654931374789</v>
      </c>
      <c r="G853" s="12">
        <f>EXP(-Assumptions!$B$8*B853)</f>
        <v>0.65540625432684052</v>
      </c>
      <c r="H853" s="12">
        <f t="shared" si="40"/>
        <v>0.50862817385716541</v>
      </c>
      <c r="I853" s="12">
        <f t="shared" si="41"/>
        <v>7.9116200374323403E-2</v>
      </c>
      <c r="J853" s="12">
        <f>G853*(D853*Assumptions!$B$6+E853*Assumptions!$B$7)</f>
        <v>9.0420917572878248E-3</v>
      </c>
    </row>
    <row r="854" spans="1:10" x14ac:dyDescent="0.2">
      <c r="A854" s="2">
        <v>846</v>
      </c>
      <c r="B854" s="14">
        <f>A854*Assumptions!$B$12</f>
        <v>8.4600000000000009</v>
      </c>
      <c r="C854" s="15">
        <f>IF(A854&lt;=Assumptions!$B$13,IF(OR(A854=0,A854=Assumptions!$B$13),0.5,1),0)*Assumptions!$B$12</f>
        <v>0.01</v>
      </c>
      <c r="D854" s="12">
        <f>D853*(1-Assumptions!$B$12*(Assumptions!$B$5+Assumptions!$B$6))</f>
        <v>0.77581741408198368</v>
      </c>
      <c r="E854" s="12">
        <f>E853+Assumptions!$B$12*(D853*Assumptions!$B$5-E853*Assumptions!$B$7)</f>
        <v>0.12080807497058564</v>
      </c>
      <c r="F854" s="12">
        <f t="shared" si="39"/>
        <v>0.10337451094743068</v>
      </c>
      <c r="G854" s="12">
        <f>EXP(-Assumptions!$B$8*B854)</f>
        <v>0.65507863311180625</v>
      </c>
      <c r="H854" s="12">
        <f t="shared" si="40"/>
        <v>0.50822141116116204</v>
      </c>
      <c r="I854" s="12">
        <f t="shared" si="41"/>
        <v>7.9138788620599851E-2</v>
      </c>
      <c r="J854" s="12">
        <f>G854*(D854*Assumptions!$B$6+E854*Assumptions!$B$7)</f>
        <v>9.0391535426416134E-3</v>
      </c>
    </row>
    <row r="855" spans="1:10" x14ac:dyDescent="0.2">
      <c r="A855" s="2">
        <v>847</v>
      </c>
      <c r="B855" s="14">
        <f>A855*Assumptions!$B$12</f>
        <v>8.4700000000000006</v>
      </c>
      <c r="C855" s="15">
        <f>IF(A855&lt;=Assumptions!$B$13,IF(OR(A855=0,A855=Assumptions!$B$13),0.5,1),0)*Assumptions!$B$12</f>
        <v>0.01</v>
      </c>
      <c r="D855" s="12">
        <f>D854*(1-Assumptions!$B$12*(Assumptions!$B$5+Assumptions!$B$6))</f>
        <v>0.77558466885775912</v>
      </c>
      <c r="E855" s="12">
        <f>E854+Assumptions!$B$12*(D854*Assumptions!$B$5-E854*Assumptions!$B$7)</f>
        <v>0.12090283441591675</v>
      </c>
      <c r="F855" s="12">
        <f t="shared" si="39"/>
        <v>0.10351249672632414</v>
      </c>
      <c r="G855" s="12">
        <f>EXP(-Assumptions!$B$8*B855)</f>
        <v>0.6547511756664337</v>
      </c>
      <c r="H855" s="12">
        <f t="shared" si="40"/>
        <v>0.5078149737634795</v>
      </c>
      <c r="I855" s="12">
        <f t="shared" si="41"/>
        <v>7.9161272975225655E-2</v>
      </c>
      <c r="J855" s="12">
        <f>G855*(D855*Assumptions!$B$6+E855*Assumptions!$B$7)</f>
        <v>9.0362133863960761E-3</v>
      </c>
    </row>
    <row r="856" spans="1:10" x14ac:dyDescent="0.2">
      <c r="A856" s="2">
        <v>848</v>
      </c>
      <c r="B856" s="14">
        <f>A856*Assumptions!$B$12</f>
        <v>8.48</v>
      </c>
      <c r="C856" s="15">
        <f>IF(A856&lt;=Assumptions!$B$13,IF(OR(A856=0,A856=Assumptions!$B$13),0.5,1),0)*Assumptions!$B$12</f>
        <v>0.01</v>
      </c>
      <c r="D856" s="12">
        <f>D855*(1-Assumptions!$B$12*(Assumptions!$B$5+Assumptions!$B$6))</f>
        <v>0.77535199345710182</v>
      </c>
      <c r="E856" s="12">
        <f>E855+Assumptions!$B$12*(D855*Assumptions!$B$5-E855*Assumptions!$B$7)</f>
        <v>0.12099749993248034</v>
      </c>
      <c r="F856" s="12">
        <f t="shared" si="39"/>
        <v>0.10365050661041784</v>
      </c>
      <c r="G856" s="12">
        <f>EXP(-Assumptions!$B$8*B856)</f>
        <v>0.65442388190885858</v>
      </c>
      <c r="H856" s="12">
        <f t="shared" si="40"/>
        <v>0.50740886140396846</v>
      </c>
      <c r="I856" s="12">
        <f t="shared" si="41"/>
        <v>7.9183653607080642E-2</v>
      </c>
      <c r="J856" s="12">
        <f>G856*(D856*Assumptions!$B$6+E856*Assumptions!$B$7)</f>
        <v>9.0332712943937167E-3</v>
      </c>
    </row>
    <row r="857" spans="1:10" x14ac:dyDescent="0.2">
      <c r="A857" s="2">
        <v>849</v>
      </c>
      <c r="B857" s="14">
        <f>A857*Assumptions!$B$12</f>
        <v>8.49</v>
      </c>
      <c r="C857" s="15">
        <f>IF(A857&lt;=Assumptions!$B$13,IF(OR(A857=0,A857=Assumptions!$B$13),0.5,1),0)*Assumptions!$B$12</f>
        <v>0.01</v>
      </c>
      <c r="D857" s="12">
        <f>D856*(1-Assumptions!$B$12*(Assumptions!$B$5+Assumptions!$B$6))</f>
        <v>0.77511938785906476</v>
      </c>
      <c r="E857" s="12">
        <f>E856+Assumptions!$B$12*(D856*Assumptions!$B$5-E856*Assumptions!$B$7)</f>
        <v>0.12109207158120552</v>
      </c>
      <c r="F857" s="12">
        <f t="shared" si="39"/>
        <v>0.10378854055972972</v>
      </c>
      <c r="G857" s="12">
        <f>EXP(-Assumptions!$B$8*B857)</f>
        <v>0.65409675175725723</v>
      </c>
      <c r="H857" s="12">
        <f t="shared" si="40"/>
        <v>0.50700307382268783</v>
      </c>
      <c r="I857" s="12">
        <f t="shared" si="41"/>
        <v>7.9205930684823816E-2</v>
      </c>
      <c r="J857" s="12">
        <f>G857*(D857*Assumptions!$B$6+E857*Assumptions!$B$7)</f>
        <v>9.0303272724680701E-3</v>
      </c>
    </row>
    <row r="858" spans="1:10" x14ac:dyDescent="0.2">
      <c r="A858" s="2">
        <v>850</v>
      </c>
      <c r="B858" s="14">
        <f>A858*Assumptions!$B$12</f>
        <v>8.5</v>
      </c>
      <c r="C858" s="15">
        <f>IF(A858&lt;=Assumptions!$B$13,IF(OR(A858=0,A858=Assumptions!$B$13),0.5,1),0)*Assumptions!$B$12</f>
        <v>0.01</v>
      </c>
      <c r="D858" s="12">
        <f>D857*(1-Assumptions!$B$12*(Assumptions!$B$5+Assumptions!$B$6))</f>
        <v>0.77488685204270702</v>
      </c>
      <c r="E858" s="12">
        <f>E857+Assumptions!$B$12*(D857*Assumptions!$B$5-E857*Assumptions!$B$7)</f>
        <v>0.12118654942298673</v>
      </c>
      <c r="F858" s="12">
        <f t="shared" si="39"/>
        <v>0.10392659853430625</v>
      </c>
      <c r="G858" s="12">
        <f>EXP(-Assumptions!$B$8*B858)</f>
        <v>0.65376978512984729</v>
      </c>
      <c r="H858" s="12">
        <f t="shared" si="40"/>
        <v>0.50659761075990439</v>
      </c>
      <c r="I858" s="12">
        <f t="shared" si="41"/>
        <v>7.9228104376893663E-2</v>
      </c>
      <c r="J858" s="12">
        <f>G858*(D858*Assumptions!$B$6+E858*Assumptions!$B$7)</f>
        <v>9.0273813264437255E-3</v>
      </c>
    </row>
    <row r="859" spans="1:10" x14ac:dyDescent="0.2">
      <c r="A859" s="2">
        <v>851</v>
      </c>
      <c r="B859" s="14">
        <f>A859*Assumptions!$B$12</f>
        <v>8.51</v>
      </c>
      <c r="C859" s="15">
        <f>IF(A859&lt;=Assumptions!$B$13,IF(OR(A859=0,A859=Assumptions!$B$13),0.5,1),0)*Assumptions!$B$12</f>
        <v>0.01</v>
      </c>
      <c r="D859" s="12">
        <f>D858*(1-Assumptions!$B$12*(Assumptions!$B$5+Assumptions!$B$6))</f>
        <v>0.77465438598709424</v>
      </c>
      <c r="E859" s="12">
        <f>E858+Assumptions!$B$12*(D858*Assumptions!$B$5-E858*Assumptions!$B$7)</f>
        <v>0.12128093351868378</v>
      </c>
      <c r="F859" s="12">
        <f t="shared" si="39"/>
        <v>0.10406468049422198</v>
      </c>
      <c r="G859" s="12">
        <f>EXP(-Assumptions!$B$8*B859)</f>
        <v>0.65344298194488704</v>
      </c>
      <c r="H859" s="12">
        <f t="shared" si="40"/>
        <v>0.5061924719560924</v>
      </c>
      <c r="I859" s="12">
        <f t="shared" si="41"/>
        <v>7.9250174851508329E-2</v>
      </c>
      <c r="J859" s="12">
        <f>G859*(D859*Assumptions!$B$6+E859*Assumptions!$B$7)</f>
        <v>9.0244334621363415E-3</v>
      </c>
    </row>
    <row r="860" spans="1:10" x14ac:dyDescent="0.2">
      <c r="A860" s="2">
        <v>852</v>
      </c>
      <c r="B860" s="14">
        <f>A860*Assumptions!$B$12</f>
        <v>8.52</v>
      </c>
      <c r="C860" s="15">
        <f>IF(A860&lt;=Assumptions!$B$13,IF(OR(A860=0,A860=Assumptions!$B$13),0.5,1),0)*Assumptions!$B$12</f>
        <v>0.01</v>
      </c>
      <c r="D860" s="12">
        <f>D859*(1-Assumptions!$B$12*(Assumptions!$B$5+Assumptions!$B$6))</f>
        <v>0.77442198967129816</v>
      </c>
      <c r="E860" s="12">
        <f>E859+Assumptions!$B$12*(D859*Assumptions!$B$5-E859*Assumptions!$B$7)</f>
        <v>0.12137522392912187</v>
      </c>
      <c r="F860" s="12">
        <f t="shared" si="39"/>
        <v>0.10420278639957997</v>
      </c>
      <c r="G860" s="12">
        <f>EXP(-Assumptions!$B$8*B860)</f>
        <v>0.6531163421206756</v>
      </c>
      <c r="H860" s="12">
        <f t="shared" si="40"/>
        <v>0.50578765715193386</v>
      </c>
      <c r="I860" s="12">
        <f t="shared" si="41"/>
        <v>7.9272142276665972E-2</v>
      </c>
      <c r="J860" s="12">
        <f>G860*(D860*Assumptions!$B$6+E860*Assumptions!$B$7)</f>
        <v>9.0214836853526378E-3</v>
      </c>
    </row>
    <row r="861" spans="1:10" x14ac:dyDescent="0.2">
      <c r="A861" s="2">
        <v>853</v>
      </c>
      <c r="B861" s="14">
        <f>A861*Assumptions!$B$12</f>
        <v>8.5299999999999994</v>
      </c>
      <c r="C861" s="15">
        <f>IF(A861&lt;=Assumptions!$B$13,IF(OR(A861=0,A861=Assumptions!$B$13),0.5,1),0)*Assumptions!$B$12</f>
        <v>0.01</v>
      </c>
      <c r="D861" s="12">
        <f>D860*(1-Assumptions!$B$12*(Assumptions!$B$5+Assumptions!$B$6))</f>
        <v>0.77418966307439685</v>
      </c>
      <c r="E861" s="12">
        <f>E860+Assumptions!$B$12*(D860*Assumptions!$B$5-E860*Assumptions!$B$7)</f>
        <v>0.12146942071509156</v>
      </c>
      <c r="F861" s="12">
        <f t="shared" si="39"/>
        <v>0.10434091621051159</v>
      </c>
      <c r="G861" s="12">
        <f>EXP(-Assumptions!$B$8*B861)</f>
        <v>0.65278986557555319</v>
      </c>
      <c r="H861" s="12">
        <f t="shared" si="40"/>
        <v>0.50538316608831835</v>
      </c>
      <c r="I861" s="12">
        <f t="shared" si="41"/>
        <v>7.9294006820144938E-2</v>
      </c>
      <c r="J861" s="12">
        <f>G861*(D861*Assumptions!$B$6+E861*Assumptions!$B$7)</f>
        <v>9.0185320018904315E-3</v>
      </c>
    </row>
    <row r="862" spans="1:10" x14ac:dyDescent="0.2">
      <c r="A862" s="2">
        <v>854</v>
      </c>
      <c r="B862" s="14">
        <f>A862*Assumptions!$B$12</f>
        <v>8.5400000000000009</v>
      </c>
      <c r="C862" s="15">
        <f>IF(A862&lt;=Assumptions!$B$13,IF(OR(A862=0,A862=Assumptions!$B$13),0.5,1),0)*Assumptions!$B$12</f>
        <v>0.01</v>
      </c>
      <c r="D862" s="12">
        <f>D861*(1-Assumptions!$B$12*(Assumptions!$B$5+Assumptions!$B$6))</f>
        <v>0.77395740617547459</v>
      </c>
      <c r="E862" s="12">
        <f>E861+Assumptions!$B$12*(D861*Assumptions!$B$5-E861*Assumptions!$B$7)</f>
        <v>0.1215635239373489</v>
      </c>
      <c r="F862" s="12">
        <f t="shared" si="39"/>
        <v>0.10447906988717651</v>
      </c>
      <c r="G862" s="12">
        <f>EXP(-Assumptions!$B$8*B862)</f>
        <v>0.65246355222790042</v>
      </c>
      <c r="H862" s="12">
        <f t="shared" si="40"/>
        <v>0.50497899850634209</v>
      </c>
      <c r="I862" s="12">
        <f t="shared" si="41"/>
        <v>7.931576864950407E-2</v>
      </c>
      <c r="J862" s="12">
        <f>G862*(D862*Assumptions!$B$6+E862*Assumptions!$B$7)</f>
        <v>9.015578417538625E-3</v>
      </c>
    </row>
    <row r="863" spans="1:10" x14ac:dyDescent="0.2">
      <c r="A863" s="2">
        <v>855</v>
      </c>
      <c r="B863" s="14">
        <f>A863*Assumptions!$B$12</f>
        <v>8.5500000000000007</v>
      </c>
      <c r="C863" s="15">
        <f>IF(A863&lt;=Assumptions!$B$13,IF(OR(A863=0,A863=Assumptions!$B$13),0.5,1),0)*Assumptions!$B$12</f>
        <v>0.01</v>
      </c>
      <c r="D863" s="12">
        <f>D862*(1-Assumptions!$B$12*(Assumptions!$B$5+Assumptions!$B$6))</f>
        <v>0.77372521895362201</v>
      </c>
      <c r="E863" s="12">
        <f>E862+Assumptions!$B$12*(D862*Assumptions!$B$5-E862*Assumptions!$B$7)</f>
        <v>0.12165753365661532</v>
      </c>
      <c r="F863" s="12">
        <f t="shared" si="39"/>
        <v>0.10461724738976268</v>
      </c>
      <c r="G863" s="12">
        <f>EXP(-Assumptions!$B$8*B863)</f>
        <v>0.65213740199613923</v>
      </c>
      <c r="H863" s="12">
        <f t="shared" si="40"/>
        <v>0.50457515414730902</v>
      </c>
      <c r="I863" s="12">
        <f t="shared" si="41"/>
        <v>7.9337427932082982E-2</v>
      </c>
      <c r="J863" s="12">
        <f>G863*(D863*Assumptions!$B$6+E863*Assumptions!$B$7)</f>
        <v>9.0126229380772388E-3</v>
      </c>
    </row>
    <row r="864" spans="1:10" x14ac:dyDescent="0.2">
      <c r="A864" s="2">
        <v>856</v>
      </c>
      <c r="B864" s="14">
        <f>A864*Assumptions!$B$12</f>
        <v>8.56</v>
      </c>
      <c r="C864" s="15">
        <f>IF(A864&lt;=Assumptions!$B$13,IF(OR(A864=0,A864=Assumptions!$B$13),0.5,1),0)*Assumptions!$B$12</f>
        <v>0.01</v>
      </c>
      <c r="D864" s="12">
        <f>D863*(1-Assumptions!$B$12*(Assumptions!$B$5+Assumptions!$B$6))</f>
        <v>0.77349310138793592</v>
      </c>
      <c r="E864" s="12">
        <f>E863+Assumptions!$B$12*(D863*Assumptions!$B$5-E863*Assumptions!$B$7)</f>
        <v>0.12175144993357773</v>
      </c>
      <c r="F864" s="12">
        <f t="shared" si="39"/>
        <v>0.10475544867848635</v>
      </c>
      <c r="G864" s="12">
        <f>EXP(-Assumptions!$B$8*B864)</f>
        <v>0.65181141479873195</v>
      </c>
      <c r="H864" s="12">
        <f t="shared" si="40"/>
        <v>0.50417163275272958</v>
      </c>
      <c r="I864" s="12">
        <f t="shared" si="41"/>
        <v>7.9358984835002283E-2</v>
      </c>
      <c r="J864" s="12">
        <f>G864*(D864*Assumptions!$B$6+E864*Assumptions!$B$7)</f>
        <v>9.0096655692774082E-3</v>
      </c>
    </row>
    <row r="865" spans="1:10" x14ac:dyDescent="0.2">
      <c r="A865" s="2">
        <v>857</v>
      </c>
      <c r="B865" s="14">
        <f>A865*Assumptions!$B$12</f>
        <v>8.57</v>
      </c>
      <c r="C865" s="15">
        <f>IF(A865&lt;=Assumptions!$B$13,IF(OR(A865=0,A865=Assumptions!$B$13),0.5,1),0)*Assumptions!$B$12</f>
        <v>0.01</v>
      </c>
      <c r="D865" s="12">
        <f>D864*(1-Assumptions!$B$12*(Assumptions!$B$5+Assumptions!$B$6))</f>
        <v>0.77326105345751961</v>
      </c>
      <c r="E865" s="12">
        <f>E864+Assumptions!$B$12*(D864*Assumptions!$B$5-E864*Assumptions!$B$7)</f>
        <v>0.12184527282888853</v>
      </c>
      <c r="F865" s="12">
        <f t="shared" si="39"/>
        <v>0.10489367371359186</v>
      </c>
      <c r="G865" s="12">
        <f>EXP(-Assumptions!$B$8*B865)</f>
        <v>0.65148559055418165</v>
      </c>
      <c r="H865" s="12">
        <f t="shared" si="40"/>
        <v>0.50376843406432081</v>
      </c>
      <c r="I865" s="12">
        <f t="shared" si="41"/>
        <v>7.9380439525163826E-2</v>
      </c>
      <c r="J865" s="12">
        <f>G865*(D865*Assumptions!$B$6+E865*Assumptions!$B$7)</f>
        <v>9.006706316901399E-3</v>
      </c>
    </row>
    <row r="866" spans="1:10" x14ac:dyDescent="0.2">
      <c r="A866" s="2">
        <v>858</v>
      </c>
      <c r="B866" s="14">
        <f>A866*Assumptions!$B$12</f>
        <v>8.58</v>
      </c>
      <c r="C866" s="15">
        <f>IF(A866&lt;=Assumptions!$B$13,IF(OR(A866=0,A866=Assumptions!$B$13),0.5,1),0)*Assumptions!$B$12</f>
        <v>0.01</v>
      </c>
      <c r="D866" s="12">
        <f>D865*(1-Assumptions!$B$12*(Assumptions!$B$5+Assumptions!$B$6))</f>
        <v>0.77302907514148234</v>
      </c>
      <c r="E866" s="12">
        <f>E865+Assumptions!$B$12*(D865*Assumptions!$B$5-E865*Assumptions!$B$7)</f>
        <v>0.12193900240316559</v>
      </c>
      <c r="F866" s="12">
        <f t="shared" si="39"/>
        <v>0.10503192245535208</v>
      </c>
      <c r="G866" s="12">
        <f>EXP(-Assumptions!$B$8*B866)</f>
        <v>0.65115992918103249</v>
      </c>
      <c r="H866" s="12">
        <f t="shared" si="40"/>
        <v>0.50336555782400672</v>
      </c>
      <c r="I866" s="12">
        <f t="shared" si="41"/>
        <v>7.9401792169251056E-2</v>
      </c>
      <c r="J866" s="12">
        <f>G866*(D866*Assumptions!$B$6+E866*Assumptions!$B$7)</f>
        <v>9.0037451867026191E-3</v>
      </c>
    </row>
    <row r="867" spans="1:10" x14ac:dyDescent="0.2">
      <c r="A867" s="2">
        <v>859</v>
      </c>
      <c r="B867" s="14">
        <f>A867*Assumptions!$B$12</f>
        <v>8.59</v>
      </c>
      <c r="C867" s="15">
        <f>IF(A867&lt;=Assumptions!$B$13,IF(OR(A867=0,A867=Assumptions!$B$13),0.5,1),0)*Assumptions!$B$12</f>
        <v>0.01</v>
      </c>
      <c r="D867" s="12">
        <f>D866*(1-Assumptions!$B$12*(Assumptions!$B$5+Assumptions!$B$6))</f>
        <v>0.77279716641893992</v>
      </c>
      <c r="E867" s="12">
        <f>E866+Assumptions!$B$12*(D866*Assumptions!$B$5-E866*Assumptions!$B$7)</f>
        <v>0.1220326387169923</v>
      </c>
      <c r="F867" s="12">
        <f t="shared" si="39"/>
        <v>0.10517019486406778</v>
      </c>
      <c r="G867" s="12">
        <f>EXP(-Assumptions!$B$8*B867)</f>
        <v>0.65083443059786905</v>
      </c>
      <c r="H867" s="12">
        <f t="shared" si="40"/>
        <v>0.50296300377391745</v>
      </c>
      <c r="I867" s="12">
        <f t="shared" si="41"/>
        <v>7.9423042933729149E-2</v>
      </c>
      <c r="J867" s="12">
        <f>G867*(D867*Assumptions!$B$6+E867*Assumptions!$B$7)</f>
        <v>9.0007821844256316E-3</v>
      </c>
    </row>
    <row r="868" spans="1:10" x14ac:dyDescent="0.2">
      <c r="A868" s="2">
        <v>860</v>
      </c>
      <c r="B868" s="14">
        <f>A868*Assumptions!$B$12</f>
        <v>8.6</v>
      </c>
      <c r="C868" s="15">
        <f>IF(A868&lt;=Assumptions!$B$13,IF(OR(A868=0,A868=Assumptions!$B$13),0.5,1),0)*Assumptions!$B$12</f>
        <v>0.01</v>
      </c>
      <c r="D868" s="12">
        <f>D867*(1-Assumptions!$B$12*(Assumptions!$B$5+Assumptions!$B$6))</f>
        <v>0.77256532726901428</v>
      </c>
      <c r="E868" s="12">
        <f>E867+Assumptions!$B$12*(D867*Assumptions!$B$5-E867*Assumptions!$B$7)</f>
        <v>0.12212618183091759</v>
      </c>
      <c r="F868" s="12">
        <f t="shared" si="39"/>
        <v>0.10530849090006814</v>
      </c>
      <c r="G868" s="12">
        <f>EXP(-Assumptions!$B$8*B868)</f>
        <v>0.65050909472331653</v>
      </c>
      <c r="H868" s="12">
        <f t="shared" si="40"/>
        <v>0.50256077165638924</v>
      </c>
      <c r="I868" s="12">
        <f t="shared" si="41"/>
        <v>7.9444191984845342E-2</v>
      </c>
      <c r="J868" s="12">
        <f>G868*(D868*Assumptions!$B$6+E868*Assumptions!$B$7)</f>
        <v>8.9978173158061607E-3</v>
      </c>
    </row>
    <row r="869" spans="1:10" x14ac:dyDescent="0.2">
      <c r="A869" s="2">
        <v>861</v>
      </c>
      <c r="B869" s="14">
        <f>A869*Assumptions!$B$12</f>
        <v>8.61</v>
      </c>
      <c r="C869" s="15">
        <f>IF(A869&lt;=Assumptions!$B$13,IF(OR(A869=0,A869=Assumptions!$B$13),0.5,1),0)*Assumptions!$B$12</f>
        <v>0.01</v>
      </c>
      <c r="D869" s="12">
        <f>D868*(1-Assumptions!$B$12*(Assumptions!$B$5+Assumptions!$B$6))</f>
        <v>0.77233355767083356</v>
      </c>
      <c r="E869" s="12">
        <f>E868+Assumptions!$B$12*(D868*Assumptions!$B$5-E868*Assumptions!$B$7)</f>
        <v>0.12221963180545593</v>
      </c>
      <c r="F869" s="12">
        <f t="shared" si="39"/>
        <v>0.10544681052371051</v>
      </c>
      <c r="G869" s="12">
        <f>EXP(-Assumptions!$B$8*B869)</f>
        <v>0.6501839214760412</v>
      </c>
      <c r="H869" s="12">
        <f t="shared" si="40"/>
        <v>0.5021588612139648</v>
      </c>
      <c r="I869" s="12">
        <f t="shared" si="41"/>
        <v>7.9465239488629227E-2</v>
      </c>
      <c r="J869" s="12">
        <f>G869*(D869*Assumptions!$B$6+E869*Assumptions!$B$7)</f>
        <v>8.9948505865711098E-3</v>
      </c>
    </row>
    <row r="870" spans="1:10" x14ac:dyDescent="0.2">
      <c r="A870" s="2">
        <v>862</v>
      </c>
      <c r="B870" s="14">
        <f>A870*Assumptions!$B$12</f>
        <v>8.620000000000001</v>
      </c>
      <c r="C870" s="15">
        <f>IF(A870&lt;=Assumptions!$B$13,IF(OR(A870=0,A870=Assumptions!$B$13),0.5,1),0)*Assumptions!$B$12</f>
        <v>0.01</v>
      </c>
      <c r="D870" s="12">
        <f>D869*(1-Assumptions!$B$12*(Assumptions!$B$5+Assumptions!$B$6))</f>
        <v>0.77210185760353234</v>
      </c>
      <c r="E870" s="12">
        <f>E869+Assumptions!$B$12*(D869*Assumptions!$B$5-E869*Assumptions!$B$7)</f>
        <v>0.12231298870108737</v>
      </c>
      <c r="F870" s="12">
        <f t="shared" si="39"/>
        <v>0.1055851536953803</v>
      </c>
      <c r="G870" s="12">
        <f>EXP(-Assumptions!$B$8*B870)</f>
        <v>0.64985891077474944</v>
      </c>
      <c r="H870" s="12">
        <f t="shared" si="40"/>
        <v>0.50175727218939226</v>
      </c>
      <c r="I870" s="12">
        <f t="shared" si="41"/>
        <v>7.9486185610892865E-2</v>
      </c>
      <c r="J870" s="12">
        <f>G870*(D870*Assumptions!$B$6+E870*Assumptions!$B$7)</f>
        <v>8.9918820024385664E-3</v>
      </c>
    </row>
    <row r="871" spans="1:10" x14ac:dyDescent="0.2">
      <c r="A871" s="2">
        <v>863</v>
      </c>
      <c r="B871" s="14">
        <f>A871*Assumptions!$B$12</f>
        <v>8.6300000000000008</v>
      </c>
      <c r="C871" s="15">
        <f>IF(A871&lt;=Assumptions!$B$13,IF(OR(A871=0,A871=Assumptions!$B$13),0.5,1),0)*Assumptions!$B$12</f>
        <v>0.01</v>
      </c>
      <c r="D871" s="12">
        <f>D870*(1-Assumptions!$B$12*(Assumptions!$B$5+Assumptions!$B$6))</f>
        <v>0.7718702270462513</v>
      </c>
      <c r="E871" s="12">
        <f>E870+Assumptions!$B$12*(D870*Assumptions!$B$5-E870*Assumptions!$B$7)</f>
        <v>0.12240625257825753</v>
      </c>
      <c r="F871" s="12">
        <f t="shared" si="39"/>
        <v>0.10572352037549117</v>
      </c>
      <c r="G871" s="12">
        <f>EXP(-Assumptions!$B$8*B871)</f>
        <v>0.64953406253818891</v>
      </c>
      <c r="H871" s="12">
        <f t="shared" si="40"/>
        <v>0.50135600432562588</v>
      </c>
      <c r="I871" s="12">
        <f t="shared" si="41"/>
        <v>7.9507030517231278E-2</v>
      </c>
      <c r="J871" s="12">
        <f>G871*(D871*Assumptions!$B$6+E871*Assumptions!$B$7)</f>
        <v>8.9889115691178228E-3</v>
      </c>
    </row>
    <row r="872" spans="1:10" x14ac:dyDescent="0.2">
      <c r="A872" s="2">
        <v>864</v>
      </c>
      <c r="B872" s="14">
        <f>A872*Assumptions!$B$12</f>
        <v>8.64</v>
      </c>
      <c r="C872" s="15">
        <f>IF(A872&lt;=Assumptions!$B$13,IF(OR(A872=0,A872=Assumptions!$B$13),0.5,1),0)*Assumptions!$B$12</f>
        <v>0.01</v>
      </c>
      <c r="D872" s="12">
        <f>D871*(1-Assumptions!$B$12*(Assumptions!$B$5+Assumptions!$B$6))</f>
        <v>0.77163866597813746</v>
      </c>
      <c r="E872" s="12">
        <f>E871+Assumptions!$B$12*(D871*Assumptions!$B$5-E871*Assumptions!$B$7)</f>
        <v>0.12249942349737765</v>
      </c>
      <c r="F872" s="12">
        <f t="shared" si="39"/>
        <v>0.10586191052448489</v>
      </c>
      <c r="G872" s="12">
        <f>EXP(-Assumptions!$B$8*B872)</f>
        <v>0.64920937668514733</v>
      </c>
      <c r="H872" s="12">
        <f t="shared" si="40"/>
        <v>0.50095505736582524</v>
      </c>
      <c r="I872" s="12">
        <f t="shared" si="41"/>
        <v>7.9527774373022428E-2</v>
      </c>
      <c r="J872" s="12">
        <f>G872*(D872*Assumptions!$B$6+E872*Assumptions!$B$7)</f>
        <v>8.9859392923093747E-3</v>
      </c>
    </row>
    <row r="873" spans="1:10" x14ac:dyDescent="0.2">
      <c r="A873" s="2">
        <v>865</v>
      </c>
      <c r="B873" s="14">
        <f>A873*Assumptions!$B$12</f>
        <v>8.65</v>
      </c>
      <c r="C873" s="15">
        <f>IF(A873&lt;=Assumptions!$B$13,IF(OR(A873=0,A873=Assumptions!$B$13),0.5,1),0)*Assumptions!$B$12</f>
        <v>0.01</v>
      </c>
      <c r="D873" s="12">
        <f>D872*(1-Assumptions!$B$12*(Assumptions!$B$5+Assumptions!$B$6))</f>
        <v>0.77140717437834405</v>
      </c>
      <c r="E873" s="12">
        <f>E872+Assumptions!$B$12*(D872*Assumptions!$B$5-E872*Assumptions!$B$7)</f>
        <v>0.12259250151882459</v>
      </c>
      <c r="F873" s="12">
        <f t="shared" si="39"/>
        <v>0.10600032410283136</v>
      </c>
      <c r="G873" s="12">
        <f>EXP(-Assumptions!$B$8*B873)</f>
        <v>0.64888485313445332</v>
      </c>
      <c r="H873" s="12">
        <f t="shared" si="40"/>
        <v>0.5005544310533554</v>
      </c>
      <c r="I873" s="12">
        <f t="shared" si="41"/>
        <v>7.9548417343427741E-2</v>
      </c>
      <c r="J873" s="12">
        <f>G873*(D873*Assumptions!$B$6+E873*Assumptions!$B$7)</f>
        <v>8.98296517770494E-3</v>
      </c>
    </row>
    <row r="874" spans="1:10" x14ac:dyDescent="0.2">
      <c r="A874" s="2">
        <v>866</v>
      </c>
      <c r="B874" s="14">
        <f>A874*Assumptions!$B$12</f>
        <v>8.66</v>
      </c>
      <c r="C874" s="15">
        <f>IF(A874&lt;=Assumptions!$B$13,IF(OR(A874=0,A874=Assumptions!$B$13),0.5,1),0)*Assumptions!$B$12</f>
        <v>0.01</v>
      </c>
      <c r="D874" s="12">
        <f>D873*(1-Assumptions!$B$12*(Assumptions!$B$5+Assumptions!$B$6))</f>
        <v>0.77117575222603052</v>
      </c>
      <c r="E874" s="12">
        <f>E873+Assumptions!$B$12*(D873*Assumptions!$B$5-E873*Assumptions!$B$7)</f>
        <v>0.12268548670294084</v>
      </c>
      <c r="F874" s="12">
        <f t="shared" si="39"/>
        <v>0.10613876107102864</v>
      </c>
      <c r="G874" s="12">
        <f>EXP(-Assumptions!$B$8*B874)</f>
        <v>0.64856049180497599</v>
      </c>
      <c r="H874" s="12">
        <f t="shared" si="40"/>
        <v>0.5001541251317867</v>
      </c>
      <c r="I874" s="12">
        <f t="shared" si="41"/>
        <v>7.956895959339215E-2</v>
      </c>
      <c r="J874" s="12">
        <f>G874*(D874*Assumptions!$B$6+E874*Assumptions!$B$7)</f>
        <v>8.9799892309874747E-3</v>
      </c>
    </row>
    <row r="875" spans="1:10" x14ac:dyDescent="0.2">
      <c r="A875" s="2">
        <v>867</v>
      </c>
      <c r="B875" s="14">
        <f>A875*Assumptions!$B$12</f>
        <v>8.67</v>
      </c>
      <c r="C875" s="15">
        <f>IF(A875&lt;=Assumptions!$B$13,IF(OR(A875=0,A875=Assumptions!$B$13),0.5,1),0)*Assumptions!$B$12</f>
        <v>0.01</v>
      </c>
      <c r="D875" s="12">
        <f>D874*(1-Assumptions!$B$12*(Assumptions!$B$5+Assumptions!$B$6))</f>
        <v>0.77094439950036275</v>
      </c>
      <c r="E875" s="12">
        <f>E874+Assumptions!$B$12*(D874*Assumptions!$B$5-E874*Assumptions!$B$7)</f>
        <v>0.12277837911003457</v>
      </c>
      <c r="F875" s="12">
        <f t="shared" si="39"/>
        <v>0.10627722138960267</v>
      </c>
      <c r="G875" s="12">
        <f>EXP(-Assumptions!$B$8*B875)</f>
        <v>0.6482362926156251</v>
      </c>
      <c r="H875" s="12">
        <f t="shared" si="40"/>
        <v>0.49975413934489454</v>
      </c>
      <c r="I875" s="12">
        <f t="shared" si="41"/>
        <v>7.9589401287644523E-2</v>
      </c>
      <c r="J875" s="12">
        <f>G875*(D875*Assumptions!$B$6+E875*Assumptions!$B$7)</f>
        <v>8.9770114578311723E-3</v>
      </c>
    </row>
    <row r="876" spans="1:10" x14ac:dyDescent="0.2">
      <c r="A876" s="2">
        <v>868</v>
      </c>
      <c r="B876" s="14">
        <f>A876*Assumptions!$B$12</f>
        <v>8.68</v>
      </c>
      <c r="C876" s="15">
        <f>IF(A876&lt;=Assumptions!$B$13,IF(OR(A876=0,A876=Assumptions!$B$13),0.5,1),0)*Assumptions!$B$12</f>
        <v>0.01</v>
      </c>
      <c r="D876" s="12">
        <f>D875*(1-Assumptions!$B$12*(Assumptions!$B$5+Assumptions!$B$6))</f>
        <v>0.77071311618051264</v>
      </c>
      <c r="E876" s="12">
        <f>E875+Assumptions!$B$12*(D875*Assumptions!$B$5-E875*Assumptions!$B$7)</f>
        <v>0.12287117880037962</v>
      </c>
      <c r="F876" s="12">
        <f t="shared" si="39"/>
        <v>0.10641570501910774</v>
      </c>
      <c r="G876" s="12">
        <f>EXP(-Assumptions!$B$8*B876)</f>
        <v>0.64791225548535059</v>
      </c>
      <c r="H876" s="12">
        <f t="shared" si="40"/>
        <v>0.49935447343665901</v>
      </c>
      <c r="I876" s="12">
        <f t="shared" si="41"/>
        <v>7.9609742590697752E-2</v>
      </c>
      <c r="J876" s="12">
        <f>G876*(D876*Assumptions!$B$6+E876*Assumptions!$B$7)</f>
        <v>8.9740318639014768E-3</v>
      </c>
    </row>
    <row r="877" spans="1:10" x14ac:dyDescent="0.2">
      <c r="A877" s="2">
        <v>869</v>
      </c>
      <c r="B877" s="14">
        <f>A877*Assumptions!$B$12</f>
        <v>8.69</v>
      </c>
      <c r="C877" s="15">
        <f>IF(A877&lt;=Assumptions!$B$13,IF(OR(A877=0,A877=Assumptions!$B$13),0.5,1),0)*Assumptions!$B$12</f>
        <v>0.01</v>
      </c>
      <c r="D877" s="12">
        <f>D876*(1-Assumptions!$B$12*(Assumptions!$B$5+Assumptions!$B$6))</f>
        <v>0.77048190224565849</v>
      </c>
      <c r="E877" s="12">
        <f>E876+Assumptions!$B$12*(D876*Assumptions!$B$5-E876*Assumptions!$B$7)</f>
        <v>0.12296388583421554</v>
      </c>
      <c r="F877" s="12">
        <f t="shared" si="39"/>
        <v>0.10655421192012597</v>
      </c>
      <c r="G877" s="12">
        <f>EXP(-Assumptions!$B$8*B877)</f>
        <v>0.64758838033314337</v>
      </c>
      <c r="H877" s="12">
        <f t="shared" si="40"/>
        <v>0.49895512715126528</v>
      </c>
      <c r="I877" s="12">
        <f t="shared" si="41"/>
        <v>7.9629983666849188E-2</v>
      </c>
      <c r="J877" s="12">
        <f>G877*(D877*Assumptions!$B$6+E877*Assumptions!$B$7)</f>
        <v>8.9710504548551132E-3</v>
      </c>
    </row>
    <row r="878" spans="1:10" x14ac:dyDescent="0.2">
      <c r="A878" s="2">
        <v>870</v>
      </c>
      <c r="B878" s="14">
        <f>A878*Assumptions!$B$12</f>
        <v>8.7000000000000011</v>
      </c>
      <c r="C878" s="15">
        <f>IF(A878&lt;=Assumptions!$B$13,IF(OR(A878=0,A878=Assumptions!$B$13),0.5,1),0)*Assumptions!$B$12</f>
        <v>0.01</v>
      </c>
      <c r="D878" s="12">
        <f>D877*(1-Assumptions!$B$12*(Assumptions!$B$5+Assumptions!$B$6))</f>
        <v>0.77025075767498485</v>
      </c>
      <c r="E878" s="12">
        <f>E877+Assumptions!$B$12*(D877*Assumptions!$B$5-E877*Assumptions!$B$7)</f>
        <v>0.12305650027174757</v>
      </c>
      <c r="F878" s="12">
        <f t="shared" si="39"/>
        <v>0.10669274205326758</v>
      </c>
      <c r="G878" s="12">
        <f>EXP(-Assumptions!$B$8*B878)</f>
        <v>0.64726466707803454</v>
      </c>
      <c r="H878" s="12">
        <f t="shared" si="40"/>
        <v>0.49855610023310293</v>
      </c>
      <c r="I878" s="12">
        <f t="shared" si="41"/>
        <v>7.9650124680180762E-2</v>
      </c>
      <c r="J878" s="12">
        <f>G878*(D878*Assumptions!$B$6+E878*Assumptions!$B$7)</f>
        <v>8.968067236340067E-3</v>
      </c>
    </row>
    <row r="879" spans="1:10" x14ac:dyDescent="0.2">
      <c r="A879" s="2">
        <v>871</v>
      </c>
      <c r="B879" s="14">
        <f>A879*Assumptions!$B$12</f>
        <v>8.7100000000000009</v>
      </c>
      <c r="C879" s="15">
        <f>IF(A879&lt;=Assumptions!$B$13,IF(OR(A879=0,A879=Assumptions!$B$13),0.5,1),0)*Assumptions!$B$12</f>
        <v>0.01</v>
      </c>
      <c r="D879" s="12">
        <f>D878*(1-Assumptions!$B$12*(Assumptions!$B$5+Assumptions!$B$6))</f>
        <v>0.77001968244768237</v>
      </c>
      <c r="E879" s="12">
        <f>E878+Assumptions!$B$12*(D878*Assumptions!$B$5-E878*Assumptions!$B$7)</f>
        <v>0.12314902217314669</v>
      </c>
      <c r="F879" s="12">
        <f t="shared" si="39"/>
        <v>0.10683129537917094</v>
      </c>
      <c r="G879" s="12">
        <f>EXP(-Assumptions!$B$8*B879)</f>
        <v>0.64694111563909595</v>
      </c>
      <c r="H879" s="12">
        <f t="shared" si="40"/>
        <v>0.49815739242676604</v>
      </c>
      <c r="I879" s="12">
        <f t="shared" si="41"/>
        <v>7.9670165794559281E-2</v>
      </c>
      <c r="J879" s="12">
        <f>G879*(D879*Assumptions!$B$6+E879*Assumptions!$B$7)</f>
        <v>8.9650822139956243E-3</v>
      </c>
    </row>
    <row r="880" spans="1:10" x14ac:dyDescent="0.2">
      <c r="A880" s="2">
        <v>872</v>
      </c>
      <c r="B880" s="14">
        <f>A880*Assumptions!$B$12</f>
        <v>8.7200000000000006</v>
      </c>
      <c r="C880" s="15">
        <f>IF(A880&lt;=Assumptions!$B$13,IF(OR(A880=0,A880=Assumptions!$B$13),0.5,1),0)*Assumptions!$B$12</f>
        <v>0.01</v>
      </c>
      <c r="D880" s="12">
        <f>D879*(1-Assumptions!$B$12*(Assumptions!$B$5+Assumptions!$B$6))</f>
        <v>0.76978867654294814</v>
      </c>
      <c r="E880" s="12">
        <f>E879+Assumptions!$B$12*(D879*Assumptions!$B$5-E879*Assumptions!$B$7)</f>
        <v>0.12324145159854966</v>
      </c>
      <c r="F880" s="12">
        <f t="shared" si="39"/>
        <v>0.10696987185850221</v>
      </c>
      <c r="G880" s="12">
        <f>EXP(-Assumptions!$B$8*B880)</f>
        <v>0.64661772593543965</v>
      </c>
      <c r="H880" s="12">
        <f t="shared" si="40"/>
        <v>0.49775900347705282</v>
      </c>
      <c r="I880" s="12">
        <f t="shared" si="41"/>
        <v>7.9690107173636726E-2</v>
      </c>
      <c r="J880" s="12">
        <f>G880*(D880*Assumptions!$B$6+E880*Assumptions!$B$7)</f>
        <v>8.9620953934523642E-3</v>
      </c>
    </row>
    <row r="881" spans="1:10" x14ac:dyDescent="0.2">
      <c r="A881" s="2">
        <v>873</v>
      </c>
      <c r="B881" s="14">
        <f>A881*Assumptions!$B$12</f>
        <v>8.73</v>
      </c>
      <c r="C881" s="15">
        <f>IF(A881&lt;=Assumptions!$B$13,IF(OR(A881=0,A881=Assumptions!$B$13),0.5,1),0)*Assumptions!$B$12</f>
        <v>0.01</v>
      </c>
      <c r="D881" s="12">
        <f>D880*(1-Assumptions!$B$12*(Assumptions!$B$5+Assumptions!$B$6))</f>
        <v>0.76955773993998533</v>
      </c>
      <c r="E881" s="12">
        <f>E880+Assumptions!$B$12*(D880*Assumptions!$B$5-E880*Assumptions!$B$7)</f>
        <v>0.12333378860805896</v>
      </c>
      <c r="F881" s="12">
        <f t="shared" si="39"/>
        <v>0.10710847145195571</v>
      </c>
      <c r="G881" s="12">
        <f>EXP(-Assumptions!$B$8*B881)</f>
        <v>0.64629449788621807</v>
      </c>
      <c r="H881" s="12">
        <f t="shared" si="40"/>
        <v>0.49736093312896562</v>
      </c>
      <c r="I881" s="12">
        <f t="shared" si="41"/>
        <v>7.9709948980850431E-2</v>
      </c>
      <c r="J881" s="12">
        <f>G881*(D881*Assumptions!$B$6+E881*Assumptions!$B$7)</f>
        <v>8.9591067803321787E-3</v>
      </c>
    </row>
    <row r="882" spans="1:10" x14ac:dyDescent="0.2">
      <c r="A882" s="2">
        <v>874</v>
      </c>
      <c r="B882" s="14">
        <f>A882*Assumptions!$B$12</f>
        <v>8.74</v>
      </c>
      <c r="C882" s="15">
        <f>IF(A882&lt;=Assumptions!$B$13,IF(OR(A882=0,A882=Assumptions!$B$13),0.5,1),0)*Assumptions!$B$12</f>
        <v>0.01</v>
      </c>
      <c r="D882" s="12">
        <f>D881*(1-Assumptions!$B$12*(Assumptions!$B$5+Assumptions!$B$6))</f>
        <v>0.76932687261800337</v>
      </c>
      <c r="E882" s="12">
        <f>E881+Assumptions!$B$12*(D881*Assumptions!$B$5-E881*Assumptions!$B$7)</f>
        <v>0.12342603326174294</v>
      </c>
      <c r="F882" s="12">
        <f t="shared" si="39"/>
        <v>0.1072470941202537</v>
      </c>
      <c r="G882" s="12">
        <f>EXP(-Assumptions!$B$8*B882)</f>
        <v>0.64597143141062441</v>
      </c>
      <c r="H882" s="12">
        <f t="shared" si="40"/>
        <v>0.49696318112771076</v>
      </c>
      <c r="I882" s="12">
        <f t="shared" si="41"/>
        <v>7.9729691379423429E-2</v>
      </c>
      <c r="J882" s="12">
        <f>G882*(D882*Assumptions!$B$6+E882*Assumptions!$B$7)</f>
        <v>8.9561163802482791E-3</v>
      </c>
    </row>
    <row r="883" spans="1:10" x14ac:dyDescent="0.2">
      <c r="A883" s="2">
        <v>875</v>
      </c>
      <c r="B883" s="14">
        <f>A883*Assumptions!$B$12</f>
        <v>8.75</v>
      </c>
      <c r="C883" s="15">
        <f>IF(A883&lt;=Assumptions!$B$13,IF(OR(A883=0,A883=Assumptions!$B$13),0.5,1),0)*Assumptions!$B$12</f>
        <v>0.01</v>
      </c>
      <c r="D883" s="12">
        <f>D882*(1-Assumptions!$B$12*(Assumptions!$B$5+Assumptions!$B$6))</f>
        <v>0.76909607455621798</v>
      </c>
      <c r="E883" s="12">
        <f>E882+Assumptions!$B$12*(D882*Assumptions!$B$5-E882*Assumptions!$B$7)</f>
        <v>0.12351818561963566</v>
      </c>
      <c r="F883" s="12">
        <f t="shared" si="39"/>
        <v>0.10738573982414636</v>
      </c>
      <c r="G883" s="12">
        <f>EXP(-Assumptions!$B$8*B883)</f>
        <v>0.64564852642789206</v>
      </c>
      <c r="H883" s="12">
        <f t="shared" si="40"/>
        <v>0.49656574721869834</v>
      </c>
      <c r="I883" s="12">
        <f t="shared" si="41"/>
        <v>7.9749334532364616E-2</v>
      </c>
      <c r="J883" s="12">
        <f>G883*(D883*Assumptions!$B$6+E883*Assumptions!$B$7)</f>
        <v>8.9531241988052134E-3</v>
      </c>
    </row>
    <row r="884" spans="1:10" x14ac:dyDescent="0.2">
      <c r="A884" s="2">
        <v>876</v>
      </c>
      <c r="B884" s="14">
        <f>A884*Assumptions!$B$12</f>
        <v>8.76</v>
      </c>
      <c r="C884" s="15">
        <f>IF(A884&lt;=Assumptions!$B$13,IF(OR(A884=0,A884=Assumptions!$B$13),0.5,1),0)*Assumptions!$B$12</f>
        <v>0.01</v>
      </c>
      <c r="D884" s="12">
        <f>D883*(1-Assumptions!$B$12*(Assumptions!$B$5+Assumptions!$B$6))</f>
        <v>0.76886534573385112</v>
      </c>
      <c r="E884" s="12">
        <f>E883+Assumptions!$B$12*(D883*Assumptions!$B$5-E883*Assumptions!$B$7)</f>
        <v>0.1236102457417371</v>
      </c>
      <c r="F884" s="12">
        <f t="shared" si="39"/>
        <v>0.10752440852441178</v>
      </c>
      <c r="G884" s="12">
        <f>EXP(-Assumptions!$B$8*B884)</f>
        <v>0.64532578285729458</v>
      </c>
      <c r="H884" s="12">
        <f t="shared" si="40"/>
        <v>0.49616863114754195</v>
      </c>
      <c r="I884" s="12">
        <f t="shared" si="41"/>
        <v>7.9768878602469062E-2</v>
      </c>
      <c r="J884" s="12">
        <f>G884*(D884*Assumptions!$B$6+E884*Assumptions!$B$7)</f>
        <v>8.9501302415988734E-3</v>
      </c>
    </row>
    <row r="885" spans="1:10" x14ac:dyDescent="0.2">
      <c r="A885" s="2">
        <v>877</v>
      </c>
      <c r="B885" s="14">
        <f>A885*Assumptions!$B$12</f>
        <v>8.77</v>
      </c>
      <c r="C885" s="15">
        <f>IF(A885&lt;=Assumptions!$B$13,IF(OR(A885=0,A885=Assumptions!$B$13),0.5,1),0)*Assumptions!$B$12</f>
        <v>0.01</v>
      </c>
      <c r="D885" s="12">
        <f>D884*(1-Assumptions!$B$12*(Assumptions!$B$5+Assumptions!$B$6))</f>
        <v>0.76863468613013097</v>
      </c>
      <c r="E885" s="12">
        <f>E884+Assumptions!$B$12*(D884*Assumptions!$B$5-E884*Assumptions!$B$7)</f>
        <v>0.123702213688013</v>
      </c>
      <c r="F885" s="12">
        <f t="shared" si="39"/>
        <v>0.10766310018185603</v>
      </c>
      <c r="G885" s="12">
        <f>EXP(-Assumptions!$B$8*B885)</f>
        <v>0.6450032006181462</v>
      </c>
      <c r="H885" s="12">
        <f t="shared" si="40"/>
        <v>0.4957718326600587</v>
      </c>
      <c r="I885" s="12">
        <f t="shared" si="41"/>
        <v>7.9788323752318244E-2</v>
      </c>
      <c r="J885" s="12">
        <f>G885*(D885*Assumptions!$B$6+E885*Assumptions!$B$7)</f>
        <v>8.9471345142164982E-3</v>
      </c>
    </row>
    <row r="886" spans="1:10" x14ac:dyDescent="0.2">
      <c r="A886" s="2">
        <v>878</v>
      </c>
      <c r="B886" s="14">
        <f>A886*Assumptions!$B$12</f>
        <v>8.7799999999999994</v>
      </c>
      <c r="C886" s="15">
        <f>IF(A886&lt;=Assumptions!$B$13,IF(OR(A886=0,A886=Assumptions!$B$13),0.5,1),0)*Assumptions!$B$12</f>
        <v>0.01</v>
      </c>
      <c r="D886" s="12">
        <f>D885*(1-Assumptions!$B$12*(Assumptions!$B$5+Assumptions!$B$6))</f>
        <v>0.76840409572429191</v>
      </c>
      <c r="E886" s="12">
        <f>E885+Assumptions!$B$12*(D885*Assumptions!$B$5-E885*Assumptions!$B$7)</f>
        <v>0.12379408951839502</v>
      </c>
      <c r="F886" s="12">
        <f t="shared" si="39"/>
        <v>0.10780181475731307</v>
      </c>
      <c r="G886" s="12">
        <f>EXP(-Assumptions!$B$8*B886)</f>
        <v>0.6446807796298013</v>
      </c>
      <c r="H886" s="12">
        <f t="shared" si="40"/>
        <v>0.49537535150226897</v>
      </c>
      <c r="I886" s="12">
        <f t="shared" si="41"/>
        <v>7.9807670144280307E-2</v>
      </c>
      <c r="J886" s="12">
        <f>G886*(D886*Assumptions!$B$6+E886*Assumptions!$B$7)</f>
        <v>8.9441370222367051E-3</v>
      </c>
    </row>
    <row r="887" spans="1:10" x14ac:dyDescent="0.2">
      <c r="A887" s="2">
        <v>879</v>
      </c>
      <c r="B887" s="14">
        <f>A887*Assumptions!$B$12</f>
        <v>8.7900000000000009</v>
      </c>
      <c r="C887" s="15">
        <f>IF(A887&lt;=Assumptions!$B$13,IF(OR(A887=0,A887=Assumptions!$B$13),0.5,1),0)*Assumptions!$B$12</f>
        <v>0.01</v>
      </c>
      <c r="D887" s="12">
        <f>D886*(1-Assumptions!$B$12*(Assumptions!$B$5+Assumptions!$B$6))</f>
        <v>0.76817357449557466</v>
      </c>
      <c r="E887" s="12">
        <f>E886+Assumptions!$B$12*(D886*Assumptions!$B$5-E886*Assumptions!$B$7)</f>
        <v>0.12388587329278068</v>
      </c>
      <c r="F887" s="12">
        <f t="shared" si="39"/>
        <v>0.10794055221164466</v>
      </c>
      <c r="G887" s="12">
        <f>EXP(-Assumptions!$B$8*B887)</f>
        <v>0.6443585198116546</v>
      </c>
      <c r="H887" s="12">
        <f t="shared" si="40"/>
        <v>0.49497918742039626</v>
      </c>
      <c r="I887" s="12">
        <f t="shared" si="41"/>
        <v>7.9826917940510347E-2</v>
      </c>
      <c r="J887" s="12">
        <f>G887*(D887*Assumptions!$B$6+E887*Assumptions!$B$7)</f>
        <v>8.9411377712294814E-3</v>
      </c>
    </row>
    <row r="888" spans="1:10" x14ac:dyDescent="0.2">
      <c r="A888" s="2">
        <v>880</v>
      </c>
      <c r="B888" s="14">
        <f>A888*Assumptions!$B$12</f>
        <v>8.8000000000000007</v>
      </c>
      <c r="C888" s="15">
        <f>IF(A888&lt;=Assumptions!$B$13,IF(OR(A888=0,A888=Assumptions!$B$13),0.5,1),0)*Assumptions!$B$12</f>
        <v>0.01</v>
      </c>
      <c r="D888" s="12">
        <f>D887*(1-Assumptions!$B$12*(Assumptions!$B$5+Assumptions!$B$6))</f>
        <v>0.76794312242322604</v>
      </c>
      <c r="E888" s="12">
        <f>E887+Assumptions!$B$12*(D887*Assumptions!$B$5-E887*Assumptions!$B$7)</f>
        <v>0.12397756507103341</v>
      </c>
      <c r="F888" s="12">
        <f t="shared" si="39"/>
        <v>0.10807931250574054</v>
      </c>
      <c r="G888" s="12">
        <f>EXP(-Assumptions!$B$8*B888)</f>
        <v>0.6440364210831413</v>
      </c>
      <c r="H888" s="12">
        <f t="shared" si="40"/>
        <v>0.49458334016086714</v>
      </c>
      <c r="I888" s="12">
        <f t="shared" si="41"/>
        <v>7.984606730295063E-2</v>
      </c>
      <c r="J888" s="12">
        <f>G888*(D888*Assumptions!$B$6+E888*Assumptions!$B$7)</f>
        <v>8.938136766756203E-3</v>
      </c>
    </row>
    <row r="889" spans="1:10" x14ac:dyDescent="0.2">
      <c r="A889" s="2">
        <v>881</v>
      </c>
      <c r="B889" s="14">
        <f>A889*Assumptions!$B$12</f>
        <v>8.81</v>
      </c>
      <c r="C889" s="15">
        <f>IF(A889&lt;=Assumptions!$B$13,IF(OR(A889=0,A889=Assumptions!$B$13),0.5,1),0)*Assumptions!$B$12</f>
        <v>0.01</v>
      </c>
      <c r="D889" s="12">
        <f>D888*(1-Assumptions!$B$12*(Assumptions!$B$5+Assumptions!$B$6))</f>
        <v>0.7677127394864991</v>
      </c>
      <c r="E889" s="12">
        <f>E888+Assumptions!$B$12*(D888*Assumptions!$B$5-E888*Assumptions!$B$7)</f>
        <v>0.12406916491298255</v>
      </c>
      <c r="F889" s="12">
        <f t="shared" si="39"/>
        <v>0.10821809560051836</v>
      </c>
      <c r="G889" s="12">
        <f>EXP(-Assumptions!$B$8*B889)</f>
        <v>0.6437144833637366</v>
      </c>
      <c r="H889" s="12">
        <f t="shared" si="40"/>
        <v>0.49418780947031066</v>
      </c>
      <c r="I889" s="12">
        <f t="shared" si="41"/>
        <v>7.9865118393330797E-2</v>
      </c>
      <c r="J889" s="12">
        <f>G889*(D889*Assumptions!$B$6+E889*Assumptions!$B$7)</f>
        <v>8.9351340143696469E-3</v>
      </c>
    </row>
    <row r="890" spans="1:10" x14ac:dyDescent="0.2">
      <c r="A890" s="2">
        <v>882</v>
      </c>
      <c r="B890" s="14">
        <f>A890*Assumptions!$B$12</f>
        <v>8.82</v>
      </c>
      <c r="C890" s="15">
        <f>IF(A890&lt;=Assumptions!$B$13,IF(OR(A890=0,A890=Assumptions!$B$13),0.5,1),0)*Assumptions!$B$12</f>
        <v>0.01</v>
      </c>
      <c r="D890" s="12">
        <f>D889*(1-Assumptions!$B$12*(Assumptions!$B$5+Assumptions!$B$6))</f>
        <v>0.76748242566465319</v>
      </c>
      <c r="E890" s="12">
        <f>E889+Assumptions!$B$12*(D889*Assumptions!$B$5-E889*Assumptions!$B$7)</f>
        <v>0.12416067287842336</v>
      </c>
      <c r="F890" s="12">
        <f t="shared" si="39"/>
        <v>0.10835690145692345</v>
      </c>
      <c r="G890" s="12">
        <f>EXP(-Assumptions!$B$8*B890)</f>
        <v>0.64339270657295611</v>
      </c>
      <c r="H890" s="12">
        <f t="shared" si="40"/>
        <v>0.49379259509555878</v>
      </c>
      <c r="I890" s="12">
        <f t="shared" si="41"/>
        <v>7.9884071373168233E-2</v>
      </c>
      <c r="J890" s="12">
        <f>G890*(D890*Assumptions!$B$6+E890*Assumptions!$B$7)</f>
        <v>8.9321295196139999E-3</v>
      </c>
    </row>
    <row r="891" spans="1:10" x14ac:dyDescent="0.2">
      <c r="A891" s="2">
        <v>883</v>
      </c>
      <c r="B891" s="14">
        <f>A891*Assumptions!$B$12</f>
        <v>8.83</v>
      </c>
      <c r="C891" s="15">
        <f>IF(A891&lt;=Assumptions!$B$13,IF(OR(A891=0,A891=Assumptions!$B$13),0.5,1),0)*Assumptions!$B$12</f>
        <v>0.01</v>
      </c>
      <c r="D891" s="12">
        <f>D890*(1-Assumptions!$B$12*(Assumptions!$B$5+Assumptions!$B$6))</f>
        <v>0.7672521809369538</v>
      </c>
      <c r="E891" s="12">
        <f>E890+Assumptions!$B$12*(D890*Assumptions!$B$5-E890*Assumptions!$B$7)</f>
        <v>0.12425208902711708</v>
      </c>
      <c r="F891" s="12">
        <f t="shared" si="39"/>
        <v>0.10849573003592912</v>
      </c>
      <c r="G891" s="12">
        <f>EXP(-Assumptions!$B$8*B891)</f>
        <v>0.64307109063035572</v>
      </c>
      <c r="H891" s="12">
        <f t="shared" si="40"/>
        <v>0.49339769678364592</v>
      </c>
      <c r="I891" s="12">
        <f t="shared" si="41"/>
        <v>7.990292640376824E-2</v>
      </c>
      <c r="J891" s="12">
        <f>G891*(D891*Assumptions!$B$6+E891*Assumptions!$B$7)</f>
        <v>8.9291232880248719E-3</v>
      </c>
    </row>
    <row r="892" spans="1:10" x14ac:dyDescent="0.2">
      <c r="A892" s="2">
        <v>884</v>
      </c>
      <c r="B892" s="14">
        <f>A892*Assumptions!$B$12</f>
        <v>8.84</v>
      </c>
      <c r="C892" s="15">
        <f>IF(A892&lt;=Assumptions!$B$13,IF(OR(A892=0,A892=Assumptions!$B$13),0.5,1),0)*Assumptions!$B$12</f>
        <v>0.01</v>
      </c>
      <c r="D892" s="12">
        <f>D891*(1-Assumptions!$B$12*(Assumptions!$B$5+Assumptions!$B$6))</f>
        <v>0.76702200528267273</v>
      </c>
      <c r="E892" s="12">
        <f>E891+Assumptions!$B$12*(D891*Assumptions!$B$5-E891*Assumptions!$B$7)</f>
        <v>0.12434341341879092</v>
      </c>
      <c r="F892" s="12">
        <f t="shared" si="39"/>
        <v>0.10863458129853636</v>
      </c>
      <c r="G892" s="12">
        <f>EXP(-Assumptions!$B$8*B892)</f>
        <v>0.64274963545553121</v>
      </c>
      <c r="H892" s="12">
        <f t="shared" si="40"/>
        <v>0.49300311428180843</v>
      </c>
      <c r="I892" s="12">
        <f t="shared" si="41"/>
        <v>7.9921683646224276E-2</v>
      </c>
      <c r="J892" s="12">
        <f>G892*(D892*Assumptions!$B$6+E892*Assumptions!$B$7)</f>
        <v>8.9261153251292986E-3</v>
      </c>
    </row>
    <row r="893" spans="1:10" x14ac:dyDescent="0.2">
      <c r="A893" s="2">
        <v>885</v>
      </c>
      <c r="B893" s="14">
        <f>A893*Assumptions!$B$12</f>
        <v>8.85</v>
      </c>
      <c r="C893" s="15">
        <f>IF(A893&lt;=Assumptions!$B$13,IF(OR(A893=0,A893=Assumptions!$B$13),0.5,1),0)*Assumptions!$B$12</f>
        <v>0.01</v>
      </c>
      <c r="D893" s="12">
        <f>D892*(1-Assumptions!$B$12*(Assumptions!$B$5+Assumptions!$B$6))</f>
        <v>0.76679189868108799</v>
      </c>
      <c r="E893" s="12">
        <f>E892+Assumptions!$B$12*(D892*Assumptions!$B$5-E892*Assumptions!$B$7)</f>
        <v>0.12443464611313806</v>
      </c>
      <c r="F893" s="12">
        <f t="shared" si="39"/>
        <v>0.10877345520577394</v>
      </c>
      <c r="G893" s="12">
        <f>EXP(-Assumptions!$B$8*B893)</f>
        <v>0.64242834096811896</v>
      </c>
      <c r="H893" s="12">
        <f t="shared" si="40"/>
        <v>0.49260884733748533</v>
      </c>
      <c r="I893" s="12">
        <f t="shared" si="41"/>
        <v>7.9940343261418273E-2</v>
      </c>
      <c r="J893" s="12">
        <f>G893*(D893*Assumptions!$B$6+E893*Assumptions!$B$7)</f>
        <v>8.9231056364457665E-3</v>
      </c>
    </row>
    <row r="894" spans="1:10" x14ac:dyDescent="0.2">
      <c r="A894" s="2">
        <v>886</v>
      </c>
      <c r="B894" s="14">
        <f>A894*Assumptions!$B$12</f>
        <v>8.86</v>
      </c>
      <c r="C894" s="15">
        <f>IF(A894&lt;=Assumptions!$B$13,IF(OR(A894=0,A894=Assumptions!$B$13),0.5,1),0)*Assumptions!$B$12</f>
        <v>0.01</v>
      </c>
      <c r="D894" s="12">
        <f>D893*(1-Assumptions!$B$12*(Assumptions!$B$5+Assumptions!$B$6))</f>
        <v>0.76656186111148372</v>
      </c>
      <c r="E894" s="12">
        <f>E893+Assumptions!$B$12*(D893*Assumptions!$B$5-E893*Assumptions!$B$7)</f>
        <v>0.12452578716981771</v>
      </c>
      <c r="F894" s="12">
        <f t="shared" si="39"/>
        <v>0.10891235171869856</v>
      </c>
      <c r="G894" s="12">
        <f>EXP(-Assumptions!$B$8*B894)</f>
        <v>0.64210720708779523</v>
      </c>
      <c r="H894" s="12">
        <f t="shared" si="40"/>
        <v>0.49221489569831722</v>
      </c>
      <c r="I894" s="12">
        <f t="shared" si="41"/>
        <v>7.9958905410020861E-2</v>
      </c>
      <c r="J894" s="12">
        <f>G894*(D894*Assumptions!$B$6+E894*Assumptions!$B$7)</f>
        <v>8.9200942274842154E-3</v>
      </c>
    </row>
    <row r="895" spans="1:10" x14ac:dyDescent="0.2">
      <c r="A895" s="2">
        <v>887</v>
      </c>
      <c r="B895" s="14">
        <f>A895*Assumptions!$B$12</f>
        <v>8.870000000000001</v>
      </c>
      <c r="C895" s="15">
        <f>IF(A895&lt;=Assumptions!$B$13,IF(OR(A895=0,A895=Assumptions!$B$13),0.5,1),0)*Assumptions!$B$12</f>
        <v>0.01</v>
      </c>
      <c r="D895" s="12">
        <f>D894*(1-Assumptions!$B$12*(Assumptions!$B$5+Assumptions!$B$6))</f>
        <v>0.76633189255315026</v>
      </c>
      <c r="E895" s="12">
        <f>E894+Assumptions!$B$12*(D894*Assumptions!$B$5-E894*Assumptions!$B$7)</f>
        <v>0.1246168366484551</v>
      </c>
      <c r="F895" s="12">
        <f t="shared" si="39"/>
        <v>0.10905127079839463</v>
      </c>
      <c r="G895" s="12">
        <f>EXP(-Assumptions!$B$8*B895)</f>
        <v>0.64178623373427657</v>
      </c>
      <c r="H895" s="12">
        <f t="shared" si="40"/>
        <v>0.49182125911214664</v>
      </c>
      <c r="I895" s="12">
        <f t="shared" si="41"/>
        <v>7.9977370252491575E-2</v>
      </c>
      <c r="J895" s="12">
        <f>G895*(D895*Assumptions!$B$6+E895*Assumptions!$B$7)</f>
        <v>8.9170811037460451E-3</v>
      </c>
    </row>
    <row r="896" spans="1:10" x14ac:dyDescent="0.2">
      <c r="A896" s="2">
        <v>888</v>
      </c>
      <c r="B896" s="14">
        <f>A896*Assumptions!$B$12</f>
        <v>8.8800000000000008</v>
      </c>
      <c r="C896" s="15">
        <f>IF(A896&lt;=Assumptions!$B$13,IF(OR(A896=0,A896=Assumptions!$B$13),0.5,1),0)*Assumptions!$B$12</f>
        <v>0.01</v>
      </c>
      <c r="D896" s="12">
        <f>D895*(1-Assumptions!$B$12*(Assumptions!$B$5+Assumptions!$B$6))</f>
        <v>0.76610199298538439</v>
      </c>
      <c r="E896" s="12">
        <f>E895+Assumptions!$B$12*(D895*Assumptions!$B$5-E895*Assumptions!$B$7)</f>
        <v>0.12470779460864151</v>
      </c>
      <c r="F896" s="12">
        <f t="shared" si="39"/>
        <v>0.1091902124059741</v>
      </c>
      <c r="G896" s="12">
        <f>EXP(-Assumptions!$B$8*B896)</f>
        <v>0.64146542082731983</v>
      </c>
      <c r="H896" s="12">
        <f t="shared" si="40"/>
        <v>0.49142793732701801</v>
      </c>
      <c r="I896" s="12">
        <f t="shared" si="41"/>
        <v>7.9995737949079188E-2</v>
      </c>
      <c r="J896" s="12">
        <f>G896*(D896*Assumptions!$B$6+E896*Assumptions!$B$7)</f>
        <v>8.914066270724141E-3</v>
      </c>
    </row>
    <row r="897" spans="1:10" x14ac:dyDescent="0.2">
      <c r="A897" s="2">
        <v>889</v>
      </c>
      <c r="B897" s="14">
        <f>A897*Assumptions!$B$12</f>
        <v>8.89</v>
      </c>
      <c r="C897" s="15">
        <f>IF(A897&lt;=Assumptions!$B$13,IF(OR(A897=0,A897=Assumptions!$B$13),0.5,1),0)*Assumptions!$B$12</f>
        <v>0.01</v>
      </c>
      <c r="D897" s="12">
        <f>D896*(1-Assumptions!$B$12*(Assumptions!$B$5+Assumptions!$B$6))</f>
        <v>0.76587216238748879</v>
      </c>
      <c r="E897" s="12">
        <f>E896+Assumptions!$B$12*(D896*Assumptions!$B$5-E896*Assumptions!$B$7)</f>
        <v>0.12479866110993426</v>
      </c>
      <c r="F897" s="12">
        <f t="shared" si="39"/>
        <v>0.10932917650257695</v>
      </c>
      <c r="G897" s="12">
        <f>EXP(-Assumptions!$B$8*B897)</f>
        <v>0.64114476828672162</v>
      </c>
      <c r="H897" s="12">
        <f t="shared" si="40"/>
        <v>0.49103493009117694</v>
      </c>
      <c r="I897" s="12">
        <f t="shared" si="41"/>
        <v>8.0014008659821903E-2</v>
      </c>
      <c r="J897" s="12">
        <f>G897*(D897*Assumptions!$B$6+E897*Assumptions!$B$7)</f>
        <v>8.9110497339028646E-3</v>
      </c>
    </row>
    <row r="898" spans="1:10" x14ac:dyDescent="0.2">
      <c r="A898" s="2">
        <v>890</v>
      </c>
      <c r="B898" s="14">
        <f>A898*Assumptions!$B$12</f>
        <v>8.9</v>
      </c>
      <c r="C898" s="15">
        <f>IF(A898&lt;=Assumptions!$B$13,IF(OR(A898=0,A898=Assumptions!$B$13),0.5,1),0)*Assumptions!$B$12</f>
        <v>0.01</v>
      </c>
      <c r="D898" s="12">
        <f>D897*(1-Assumptions!$B$12*(Assumptions!$B$5+Assumptions!$B$6))</f>
        <v>0.76564240073877254</v>
      </c>
      <c r="E898" s="12">
        <f>E897+Assumptions!$B$12*(D897*Assumptions!$B$5-E897*Assumptions!$B$7)</f>
        <v>0.12488943621185679</v>
      </c>
      <c r="F898" s="12">
        <f t="shared" si="39"/>
        <v>0.10946816304937067</v>
      </c>
      <c r="G898" s="12">
        <f>EXP(-Assumptions!$B$8*B898)</f>
        <v>0.64082427603231873</v>
      </c>
      <c r="H898" s="12">
        <f t="shared" si="40"/>
        <v>0.49064223715307037</v>
      </c>
      <c r="I898" s="12">
        <f t="shared" si="41"/>
        <v>8.0032182544547581E-2</v>
      </c>
      <c r="J898" s="12">
        <f>G898*(D898*Assumptions!$B$6+E898*Assumptions!$B$7)</f>
        <v>8.908031498758082E-3</v>
      </c>
    </row>
    <row r="899" spans="1:10" x14ac:dyDescent="0.2">
      <c r="A899" s="2">
        <v>891</v>
      </c>
      <c r="B899" s="14">
        <f>A899*Assumptions!$B$12</f>
        <v>8.91</v>
      </c>
      <c r="C899" s="15">
        <f>IF(A899&lt;=Assumptions!$B$13,IF(OR(A899=0,A899=Assumptions!$B$13),0.5,1),0)*Assumptions!$B$12</f>
        <v>0.01</v>
      </c>
      <c r="D899" s="12">
        <f>D898*(1-Assumptions!$B$12*(Assumptions!$B$5+Assumptions!$B$6))</f>
        <v>0.76541270801855099</v>
      </c>
      <c r="E899" s="12">
        <f>E898+Assumptions!$B$12*(D898*Assumptions!$B$5-E898*Assumptions!$B$7)</f>
        <v>0.12498011997389862</v>
      </c>
      <c r="F899" s="12">
        <f t="shared" si="39"/>
        <v>0.10960717200755039</v>
      </c>
      <c r="G899" s="12">
        <f>EXP(-Assumptions!$B$8*B899)</f>
        <v>0.64050394398398824</v>
      </c>
      <c r="H899" s="12">
        <f t="shared" si="40"/>
        <v>0.49024985826134676</v>
      </c>
      <c r="I899" s="12">
        <f t="shared" si="41"/>
        <v>8.0050259762874096E-2</v>
      </c>
      <c r="J899" s="12">
        <f>G899*(D899*Assumptions!$B$6+E899*Assumptions!$B$7)</f>
        <v>8.9050115707571733E-3</v>
      </c>
    </row>
    <row r="900" spans="1:10" x14ac:dyDescent="0.2">
      <c r="A900" s="2">
        <v>892</v>
      </c>
      <c r="B900" s="14">
        <f>A900*Assumptions!$B$12</f>
        <v>8.92</v>
      </c>
      <c r="C900" s="15">
        <f>IF(A900&lt;=Assumptions!$B$13,IF(OR(A900=0,A900=Assumptions!$B$13),0.5,1),0)*Assumptions!$B$12</f>
        <v>0.01</v>
      </c>
      <c r="D900" s="12">
        <f>D899*(1-Assumptions!$B$12*(Assumptions!$B$5+Assumptions!$B$6))</f>
        <v>0.76518308420614545</v>
      </c>
      <c r="E900" s="12">
        <f>E899+Assumptions!$B$12*(D899*Assumptions!$B$5-E899*Assumptions!$B$7)</f>
        <v>0.12507071245551538</v>
      </c>
      <c r="F900" s="12">
        <f t="shared" si="39"/>
        <v>0.10974620333833918</v>
      </c>
      <c r="G900" s="12">
        <f>EXP(-Assumptions!$B$8*B900)</f>
        <v>0.64018377206164712</v>
      </c>
      <c r="H900" s="12">
        <f t="shared" si="40"/>
        <v>0.48985779316485517</v>
      </c>
      <c r="I900" s="12">
        <f t="shared" si="41"/>
        <v>8.0068240474209462E-2</v>
      </c>
      <c r="J900" s="12">
        <f>G900*(D900*Assumptions!$B$6+E900*Assumptions!$B$7)</f>
        <v>8.9019899553590253E-3</v>
      </c>
    </row>
    <row r="901" spans="1:10" x14ac:dyDescent="0.2">
      <c r="A901" s="2">
        <v>893</v>
      </c>
      <c r="B901" s="14">
        <f>A901*Assumptions!$B$12</f>
        <v>8.93</v>
      </c>
      <c r="C901" s="15">
        <f>IF(A901&lt;=Assumptions!$B$13,IF(OR(A901=0,A901=Assumptions!$B$13),0.5,1),0)*Assumptions!$B$12</f>
        <v>0.01</v>
      </c>
      <c r="D901" s="12">
        <f>D900*(1-Assumptions!$B$12*(Assumptions!$B$5+Assumptions!$B$6))</f>
        <v>0.76495352928088367</v>
      </c>
      <c r="E901" s="12">
        <f>E900+Assumptions!$B$12*(D900*Assumptions!$B$5-E900*Assumptions!$B$7)</f>
        <v>0.12516121371612884</v>
      </c>
      <c r="F901" s="12">
        <f t="shared" si="39"/>
        <v>0.10988525700298749</v>
      </c>
      <c r="G901" s="12">
        <f>EXP(-Assumptions!$B$8*B901)</f>
        <v>0.63986376018525226</v>
      </c>
      <c r="H901" s="12">
        <f t="shared" si="40"/>
        <v>0.48946604161264567</v>
      </c>
      <c r="I901" s="12">
        <f t="shared" si="41"/>
        <v>8.0086124837752168E-2</v>
      </c>
      <c r="J901" s="12">
        <f>G901*(D901*Assumptions!$B$6+E901*Assumptions!$B$7)</f>
        <v>8.8989666580140663E-3</v>
      </c>
    </row>
    <row r="902" spans="1:10" x14ac:dyDescent="0.2">
      <c r="A902" s="2">
        <v>894</v>
      </c>
      <c r="B902" s="14">
        <f>A902*Assumptions!$B$12</f>
        <v>8.94</v>
      </c>
      <c r="C902" s="15">
        <f>IF(A902&lt;=Assumptions!$B$13,IF(OR(A902=0,A902=Assumptions!$B$13),0.5,1),0)*Assumptions!$B$12</f>
        <v>0.01</v>
      </c>
      <c r="D902" s="12">
        <f>D901*(1-Assumptions!$B$12*(Assumptions!$B$5+Assumptions!$B$6))</f>
        <v>0.76472404322209941</v>
      </c>
      <c r="E902" s="12">
        <f>E901+Assumptions!$B$12*(D901*Assumptions!$B$5-E901*Assumptions!$B$7)</f>
        <v>0.12525162381512694</v>
      </c>
      <c r="F902" s="12">
        <f t="shared" si="39"/>
        <v>0.11002433296277364</v>
      </c>
      <c r="G902" s="12">
        <f>EXP(-Assumptions!$B$8*B902)</f>
        <v>0.6395439082748009</v>
      </c>
      <c r="H902" s="12">
        <f t="shared" si="40"/>
        <v>0.48907460335396924</v>
      </c>
      <c r="I902" s="12">
        <f t="shared" si="41"/>
        <v>8.0103913012491409E-2</v>
      </c>
      <c r="J902" s="12">
        <f>G902*(D902*Assumptions!$B$6+E902*Assumptions!$B$7)</f>
        <v>8.8959416841642644E-3</v>
      </c>
    </row>
    <row r="903" spans="1:10" x14ac:dyDescent="0.2">
      <c r="A903" s="2">
        <v>895</v>
      </c>
      <c r="B903" s="14">
        <f>A903*Assumptions!$B$12</f>
        <v>8.9500000000000011</v>
      </c>
      <c r="C903" s="15">
        <f>IF(A903&lt;=Assumptions!$B$13,IF(OR(A903=0,A903=Assumptions!$B$13),0.5,1),0)*Assumptions!$B$12</f>
        <v>0.01</v>
      </c>
      <c r="D903" s="12">
        <f>D902*(1-Assumptions!$B$12*(Assumptions!$B$5+Assumptions!$B$6))</f>
        <v>0.76449462600913276</v>
      </c>
      <c r="E903" s="12">
        <f>E902+Assumptions!$B$12*(D902*Assumptions!$B$5-E902*Assumptions!$B$7)</f>
        <v>0.12534194281186381</v>
      </c>
      <c r="F903" s="12">
        <f t="shared" si="39"/>
        <v>0.11016343117900343</v>
      </c>
      <c r="G903" s="12">
        <f>EXP(-Assumptions!$B$8*B903)</f>
        <v>0.63922421625032977</v>
      </c>
      <c r="H903" s="12">
        <f t="shared" si="40"/>
        <v>0.48868347813827684</v>
      </c>
      <c r="I903" s="12">
        <f t="shared" si="41"/>
        <v>8.0121605157207301E-2</v>
      </c>
      <c r="J903" s="12">
        <f>G903*(D903*Assumptions!$B$6+E903*Assumptions!$B$7)</f>
        <v>8.8929150392431343E-3</v>
      </c>
    </row>
    <row r="904" spans="1:10" x14ac:dyDescent="0.2">
      <c r="A904" s="2">
        <v>896</v>
      </c>
      <c r="B904" s="14">
        <f>A904*Assumptions!$B$12</f>
        <v>8.9600000000000009</v>
      </c>
      <c r="C904" s="15">
        <f>IF(A904&lt;=Assumptions!$B$13,IF(OR(A904=0,A904=Assumptions!$B$13),0.5,1),0)*Assumptions!$B$12</f>
        <v>0.01</v>
      </c>
      <c r="D904" s="12">
        <f>D903*(1-Assumptions!$B$12*(Assumptions!$B$5+Assumptions!$B$6))</f>
        <v>0.76426527762133001</v>
      </c>
      <c r="E904" s="12">
        <f>E903+Assumptions!$B$12*(D903*Assumptions!$B$5-E903*Assumptions!$B$7)</f>
        <v>0.12543217076565971</v>
      </c>
      <c r="F904" s="12">
        <f t="shared" ref="F904:F967" si="42">1-D904-E904</f>
        <v>0.11030255161301028</v>
      </c>
      <c r="G904" s="12">
        <f>EXP(-Assumptions!$B$8*B904)</f>
        <v>0.63890468403191614</v>
      </c>
      <c r="H904" s="12">
        <f t="shared" ref="H904:H967" si="43">G904*D904</f>
        <v>0.48829266571522051</v>
      </c>
      <c r="I904" s="12">
        <f t="shared" ref="I904:I967" si="44">G904*E904</f>
        <v>8.0139201430471166E-2</v>
      </c>
      <c r="J904" s="12">
        <f>G904*(D904*Assumptions!$B$6+E904*Assumptions!$B$7)</f>
        <v>8.8898867286757634E-3</v>
      </c>
    </row>
    <row r="905" spans="1:10" x14ac:dyDescent="0.2">
      <c r="A905" s="2">
        <v>897</v>
      </c>
      <c r="B905" s="14">
        <f>A905*Assumptions!$B$12</f>
        <v>8.9700000000000006</v>
      </c>
      <c r="C905" s="15">
        <f>IF(A905&lt;=Assumptions!$B$13,IF(OR(A905=0,A905=Assumptions!$B$13),0.5,1),0)*Assumptions!$B$12</f>
        <v>0.01</v>
      </c>
      <c r="D905" s="12">
        <f>D904*(1-Assumptions!$B$12*(Assumptions!$B$5+Assumptions!$B$6))</f>
        <v>0.76403599803804367</v>
      </c>
      <c r="E905" s="12">
        <f>E904+Assumptions!$B$12*(D904*Assumptions!$B$5-E904*Assumptions!$B$7)</f>
        <v>0.12552230773580114</v>
      </c>
      <c r="F905" s="12">
        <f t="shared" si="42"/>
        <v>0.11044169422615518</v>
      </c>
      <c r="G905" s="12">
        <f>EXP(-Assumptions!$B$8*B905)</f>
        <v>0.6385853115396769</v>
      </c>
      <c r="H905" s="12">
        <f t="shared" si="43"/>
        <v>0.48790216583465207</v>
      </c>
      <c r="I905" s="12">
        <f t="shared" si="44"/>
        <v>8.0156701990645771E-2</v>
      </c>
      <c r="J905" s="12">
        <f>G905*(D905*Assumptions!$B$6+E905*Assumptions!$B$7)</f>
        <v>8.8868567578788086E-3</v>
      </c>
    </row>
    <row r="906" spans="1:10" x14ac:dyDescent="0.2">
      <c r="A906" s="2">
        <v>898</v>
      </c>
      <c r="B906" s="14">
        <f>A906*Assumptions!$B$12</f>
        <v>8.98</v>
      </c>
      <c r="C906" s="15">
        <f>IF(A906&lt;=Assumptions!$B$13,IF(OR(A906=0,A906=Assumptions!$B$13),0.5,1),0)*Assumptions!$B$12</f>
        <v>0.01</v>
      </c>
      <c r="D906" s="12">
        <f>D905*(1-Assumptions!$B$12*(Assumptions!$B$5+Assumptions!$B$6))</f>
        <v>0.76380678723863227</v>
      </c>
      <c r="E906" s="12">
        <f>E905+Assumptions!$B$12*(D905*Assumptions!$B$5-E905*Assumptions!$B$7)</f>
        <v>0.12561235378154084</v>
      </c>
      <c r="F906" s="12">
        <f t="shared" si="42"/>
        <v>0.11058085897982689</v>
      </c>
      <c r="G906" s="12">
        <f>EXP(-Assumptions!$B$8*B906)</f>
        <v>0.63826609869376871</v>
      </c>
      <c r="H906" s="12">
        <f t="shared" si="43"/>
        <v>0.48751197824662329</v>
      </c>
      <c r="I906" s="12">
        <f t="shared" si="44"/>
        <v>8.0174106995885536E-2</v>
      </c>
      <c r="J906" s="12">
        <f>G906*(D906*Assumptions!$B$6+E906*Assumptions!$B$7)</f>
        <v>8.8838251322605095E-3</v>
      </c>
    </row>
    <row r="907" spans="1:10" x14ac:dyDescent="0.2">
      <c r="A907" s="2">
        <v>899</v>
      </c>
      <c r="B907" s="14">
        <f>A907*Assumptions!$B$12</f>
        <v>8.99</v>
      </c>
      <c r="C907" s="15">
        <f>IF(A907&lt;=Assumptions!$B$13,IF(OR(A907=0,A907=Assumptions!$B$13),0.5,1),0)*Assumptions!$B$12</f>
        <v>0.01</v>
      </c>
      <c r="D907" s="12">
        <f>D906*(1-Assumptions!$B$12*(Assumptions!$B$5+Assumptions!$B$6))</f>
        <v>0.76357764520246074</v>
      </c>
      <c r="E907" s="12">
        <f>E906+Assumptions!$B$12*(D906*Assumptions!$B$5-E906*Assumptions!$B$7)</f>
        <v>0.1257023089620978</v>
      </c>
      <c r="F907" s="12">
        <f t="shared" si="42"/>
        <v>0.11072004583544146</v>
      </c>
      <c r="G907" s="12">
        <f>EXP(-Assumptions!$B$8*B907)</f>
        <v>0.63794704541438874</v>
      </c>
      <c r="H907" s="12">
        <f t="shared" si="43"/>
        <v>0.48712210270138623</v>
      </c>
      <c r="I907" s="12">
        <f t="shared" si="44"/>
        <v>8.0191416604136936E-2</v>
      </c>
      <c r="J907" s="12">
        <f>G907*(D907*Assumptions!$B$6+E907*Assumptions!$B$7)</f>
        <v>8.8807918572207101E-3</v>
      </c>
    </row>
    <row r="908" spans="1:10" x14ac:dyDescent="0.2">
      <c r="A908" s="2">
        <v>900</v>
      </c>
      <c r="B908" s="14">
        <f>A908*Assumptions!$B$12</f>
        <v>9</v>
      </c>
      <c r="C908" s="15">
        <f>IF(A908&lt;=Assumptions!$B$13,IF(OR(A908=0,A908=Assumptions!$B$13),0.5,1),0)*Assumptions!$B$12</f>
        <v>0.01</v>
      </c>
      <c r="D908" s="12">
        <f>D907*(1-Assumptions!$B$12*(Assumptions!$B$5+Assumptions!$B$6))</f>
        <v>0.76334857190890004</v>
      </c>
      <c r="E908" s="12">
        <f>E907+Assumptions!$B$12*(D907*Assumptions!$B$5-E907*Assumptions!$B$7)</f>
        <v>0.12579217333665724</v>
      </c>
      <c r="F908" s="12">
        <f t="shared" si="42"/>
        <v>0.11085925475444272</v>
      </c>
      <c r="G908" s="12">
        <f>EXP(-Assumptions!$B$8*B908)</f>
        <v>0.63762815162177333</v>
      </c>
      <c r="H908" s="12">
        <f t="shared" si="43"/>
        <v>0.48673253894939228</v>
      </c>
      <c r="I908" s="12">
        <f t="shared" si="44"/>
        <v>8.0208630973138476E-2</v>
      </c>
      <c r="J908" s="12">
        <f>G908*(D908*Assumptions!$B$6+E908*Assumptions!$B$7)</f>
        <v>8.8777569381508457E-3</v>
      </c>
    </row>
    <row r="909" spans="1:10" x14ac:dyDescent="0.2">
      <c r="A909" s="2">
        <v>901</v>
      </c>
      <c r="B909" s="14">
        <f>A909*Assumptions!$B$12</f>
        <v>9.01</v>
      </c>
      <c r="C909" s="15">
        <f>IF(A909&lt;=Assumptions!$B$13,IF(OR(A909=0,A909=Assumptions!$B$13),0.5,1),0)*Assumptions!$B$12</f>
        <v>0.01</v>
      </c>
      <c r="D909" s="12">
        <f>D908*(1-Assumptions!$B$12*(Assumptions!$B$5+Assumptions!$B$6))</f>
        <v>0.76311956733732744</v>
      </c>
      <c r="E909" s="12">
        <f>E908+Assumptions!$B$12*(D908*Assumptions!$B$5-E908*Assumptions!$B$7)</f>
        <v>0.12588194696437069</v>
      </c>
      <c r="F909" s="12">
        <f t="shared" si="42"/>
        <v>0.11099848569830187</v>
      </c>
      <c r="G909" s="12">
        <f>EXP(-Assumptions!$B$8*B909)</f>
        <v>0.63730941723619905</v>
      </c>
      <c r="H909" s="12">
        <f t="shared" si="43"/>
        <v>0.48634328674129251</v>
      </c>
      <c r="I909" s="12">
        <f t="shared" si="44"/>
        <v>8.0225750260421197E-2</v>
      </c>
      <c r="J909" s="12">
        <f>G909*(D909*Assumptions!$B$6+E909*Assumptions!$B$7)</f>
        <v>8.8747203804339855E-3</v>
      </c>
    </row>
    <row r="910" spans="1:10" x14ac:dyDescent="0.2">
      <c r="A910" s="2">
        <v>902</v>
      </c>
      <c r="B910" s="14">
        <f>A910*Assumptions!$B$12</f>
        <v>9.02</v>
      </c>
      <c r="C910" s="15">
        <f>IF(A910&lt;=Assumptions!$B$13,IF(OR(A910=0,A910=Assumptions!$B$13),0.5,1),0)*Assumptions!$B$12</f>
        <v>0.01</v>
      </c>
      <c r="D910" s="12">
        <f>D909*(1-Assumptions!$B$12*(Assumptions!$B$5+Assumptions!$B$6))</f>
        <v>0.76289063146712632</v>
      </c>
      <c r="E910" s="12">
        <f>E909+Assumptions!$B$12*(D909*Assumptions!$B$5-E909*Assumptions!$B$7)</f>
        <v>0.12597162990435598</v>
      </c>
      <c r="F910" s="12">
        <f t="shared" si="42"/>
        <v>0.1111377386285177</v>
      </c>
      <c r="G910" s="12">
        <f>EXP(-Assumptions!$B$8*B910)</f>
        <v>0.63699084217798252</v>
      </c>
      <c r="H910" s="12">
        <f t="shared" si="43"/>
        <v>0.48595434582793767</v>
      </c>
      <c r="I910" s="12">
        <f t="shared" si="44"/>
        <v>8.0242774623308838E-2</v>
      </c>
      <c r="J910" s="12">
        <f>G910*(D910*Assumptions!$B$6+E910*Assumptions!$B$7)</f>
        <v>8.8716821894448197E-3</v>
      </c>
    </row>
    <row r="911" spans="1:10" x14ac:dyDescent="0.2">
      <c r="A911" s="2">
        <v>903</v>
      </c>
      <c r="B911" s="14">
        <f>A911*Assumptions!$B$12</f>
        <v>9.0299999999999994</v>
      </c>
      <c r="C911" s="15">
        <f>IF(A911&lt;=Assumptions!$B$13,IF(OR(A911=0,A911=Assumptions!$B$13),0.5,1),0)*Assumptions!$B$12</f>
        <v>0.01</v>
      </c>
      <c r="D911" s="12">
        <f>D910*(1-Assumptions!$B$12*(Assumptions!$B$5+Assumptions!$B$6))</f>
        <v>0.76266176427768617</v>
      </c>
      <c r="E911" s="12">
        <f>E910+Assumptions!$B$12*(D910*Assumptions!$B$5-E910*Assumptions!$B$7)</f>
        <v>0.12606122221569724</v>
      </c>
      <c r="F911" s="12">
        <f t="shared" si="42"/>
        <v>0.11127701350661659</v>
      </c>
      <c r="G911" s="12">
        <f>EXP(-Assumptions!$B$8*B911)</f>
        <v>0.63667242636747978</v>
      </c>
      <c r="H911" s="12">
        <f t="shared" si="43"/>
        <v>0.4855657159603774</v>
      </c>
      <c r="I911" s="12">
        <f t="shared" si="44"/>
        <v>8.025970421891801E-2</v>
      </c>
      <c r="J911" s="12">
        <f>G911*(D911*Assumptions!$B$6+E911*Assumptions!$B$7)</f>
        <v>8.8686423705496738E-3</v>
      </c>
    </row>
    <row r="912" spans="1:10" x14ac:dyDescent="0.2">
      <c r="A912" s="2">
        <v>904</v>
      </c>
      <c r="B912" s="14">
        <f>A912*Assumptions!$B$12</f>
        <v>9.0400000000000009</v>
      </c>
      <c r="C912" s="15">
        <f>IF(A912&lt;=Assumptions!$B$13,IF(OR(A912=0,A912=Assumptions!$B$13),0.5,1),0)*Assumptions!$B$12</f>
        <v>0.01</v>
      </c>
      <c r="D912" s="12">
        <f>D911*(1-Assumptions!$B$12*(Assumptions!$B$5+Assumptions!$B$6))</f>
        <v>0.76243296574840291</v>
      </c>
      <c r="E912" s="12">
        <f>E911+Assumptions!$B$12*(D911*Assumptions!$B$5-E911*Assumptions!$B$7)</f>
        <v>0.12615072395744492</v>
      </c>
      <c r="F912" s="12">
        <f t="shared" si="42"/>
        <v>0.11141631029415217</v>
      </c>
      <c r="G912" s="12">
        <f>EXP(-Assumptions!$B$8*B912)</f>
        <v>0.63635416972508696</v>
      </c>
      <c r="H912" s="12">
        <f t="shared" si="43"/>
        <v>0.48517739688986061</v>
      </c>
      <c r="I912" s="12">
        <f t="shared" si="44"/>
        <v>8.0276539204158504E-2</v>
      </c>
      <c r="J912" s="12">
        <f>G912*(D912*Assumptions!$B$6+E912*Assumptions!$B$7)</f>
        <v>8.8656009291065308E-3</v>
      </c>
    </row>
    <row r="913" spans="1:10" x14ac:dyDescent="0.2">
      <c r="A913" s="2">
        <v>905</v>
      </c>
      <c r="B913" s="14">
        <f>A913*Assumptions!$B$12</f>
        <v>9.0500000000000007</v>
      </c>
      <c r="C913" s="15">
        <f>IF(A913&lt;=Assumptions!$B$13,IF(OR(A913=0,A913=Assumptions!$B$13),0.5,1),0)*Assumptions!$B$12</f>
        <v>0.01</v>
      </c>
      <c r="D913" s="12">
        <f>D912*(1-Assumptions!$B$12*(Assumptions!$B$5+Assumptions!$B$6))</f>
        <v>0.76220423585867847</v>
      </c>
      <c r="E913" s="12">
        <f>E912+Assumptions!$B$12*(D912*Assumptions!$B$5-E912*Assumptions!$B$7)</f>
        <v>0.12624013518861588</v>
      </c>
      <c r="F913" s="12">
        <f t="shared" si="42"/>
        <v>0.11155562895270565</v>
      </c>
      <c r="G913" s="12">
        <f>EXP(-Assumptions!$B$8*B913)</f>
        <v>0.63603607217123992</v>
      </c>
      <c r="H913" s="12">
        <f t="shared" si="43"/>
        <v>0.48478938836783519</v>
      </c>
      <c r="I913" s="12">
        <f t="shared" si="44"/>
        <v>8.0293279735733566E-2</v>
      </c>
      <c r="J913" s="12">
        <f>G913*(D913*Assumptions!$B$6+E913*Assumptions!$B$7)</f>
        <v>8.86255787046503E-3</v>
      </c>
    </row>
    <row r="914" spans="1:10" x14ac:dyDescent="0.2">
      <c r="A914" s="2">
        <v>906</v>
      </c>
      <c r="B914" s="14">
        <f>A914*Assumptions!$B$12</f>
        <v>9.06</v>
      </c>
      <c r="C914" s="15">
        <f>IF(A914&lt;=Assumptions!$B$13,IF(OR(A914=0,A914=Assumptions!$B$13),0.5,1),0)*Assumptions!$B$12</f>
        <v>0.01</v>
      </c>
      <c r="D914" s="12">
        <f>D913*(1-Assumptions!$B$12*(Assumptions!$B$5+Assumptions!$B$6))</f>
        <v>0.76197557458792087</v>
      </c>
      <c r="E914" s="12">
        <f>E913+Assumptions!$B$12*(D913*Assumptions!$B$5-E913*Assumptions!$B$7)</f>
        <v>0.12632945596819331</v>
      </c>
      <c r="F914" s="12">
        <f t="shared" si="42"/>
        <v>0.11169496944388582</v>
      </c>
      <c r="G914" s="12">
        <f>EXP(-Assumptions!$B$8*B914)</f>
        <v>0.63571813362641427</v>
      </c>
      <c r="H914" s="12">
        <f t="shared" si="43"/>
        <v>0.48440169014594769</v>
      </c>
      <c r="I914" s="12">
        <f t="shared" si="44"/>
        <v>8.0309925970140139E-2</v>
      </c>
      <c r="J914" s="12">
        <f>G914*(D914*Assumptions!$B$6+E914*Assumptions!$B$7)</f>
        <v>8.8595131999664838E-3</v>
      </c>
    </row>
    <row r="915" spans="1:10" x14ac:dyDescent="0.2">
      <c r="A915" s="2">
        <v>907</v>
      </c>
      <c r="B915" s="14">
        <f>A915*Assumptions!$B$12</f>
        <v>9.07</v>
      </c>
      <c r="C915" s="15">
        <f>IF(A915&lt;=Assumptions!$B$13,IF(OR(A915=0,A915=Assumptions!$B$13),0.5,1),0)*Assumptions!$B$12</f>
        <v>0.01</v>
      </c>
      <c r="D915" s="12">
        <f>D914*(1-Assumptions!$B$12*(Assumptions!$B$5+Assumptions!$B$6))</f>
        <v>0.76174698191554446</v>
      </c>
      <c r="E915" s="12">
        <f>E914+Assumptions!$B$12*(D914*Assumptions!$B$5-E914*Assumptions!$B$7)</f>
        <v>0.12641868635512679</v>
      </c>
      <c r="F915" s="12">
        <f t="shared" si="42"/>
        <v>0.11183433172932875</v>
      </c>
      <c r="G915" s="12">
        <f>EXP(-Assumptions!$B$8*B915)</f>
        <v>0.63540035401112527</v>
      </c>
      <c r="H915" s="12">
        <f t="shared" si="43"/>
        <v>0.48401430197604317</v>
      </c>
      <c r="I915" s="12">
        <f t="shared" si="44"/>
        <v>8.032647806366898E-2</v>
      </c>
      <c r="J915" s="12">
        <f>G915*(D915*Assumptions!$B$6+E915*Assumptions!$B$7)</f>
        <v>8.8564669229438814E-3</v>
      </c>
    </row>
    <row r="916" spans="1:10" x14ac:dyDescent="0.2">
      <c r="A916" s="2">
        <v>908</v>
      </c>
      <c r="B916" s="14">
        <f>A916*Assumptions!$B$12</f>
        <v>9.08</v>
      </c>
      <c r="C916" s="15">
        <f>IF(A916&lt;=Assumptions!$B$13,IF(OR(A916=0,A916=Assumptions!$B$13),0.5,1),0)*Assumptions!$B$12</f>
        <v>0.01</v>
      </c>
      <c r="D916" s="12">
        <f>D915*(1-Assumptions!$B$12*(Assumptions!$B$5+Assumptions!$B$6))</f>
        <v>0.76151845782096983</v>
      </c>
      <c r="E916" s="12">
        <f>E915+Assumptions!$B$12*(D915*Assumptions!$B$5-E915*Assumptions!$B$7)</f>
        <v>0.12650782640833233</v>
      </c>
      <c r="F916" s="12">
        <f t="shared" si="42"/>
        <v>0.11197371577069784</v>
      </c>
      <c r="G916" s="12">
        <f>EXP(-Assumptions!$B$8*B916)</f>
        <v>0.63508273324592812</v>
      </c>
      <c r="H916" s="12">
        <f t="shared" si="43"/>
        <v>0.48362722361016552</v>
      </c>
      <c r="I916" s="12">
        <f t="shared" si="44"/>
        <v>8.0342936172405108E-2</v>
      </c>
      <c r="J916" s="12">
        <f>G916*(D916*Assumptions!$B$6+E916*Assumptions!$B$7)</f>
        <v>8.8534190447219115E-3</v>
      </c>
    </row>
    <row r="917" spans="1:10" x14ac:dyDescent="0.2">
      <c r="A917" s="2">
        <v>909</v>
      </c>
      <c r="B917" s="14">
        <f>A917*Assumptions!$B$12</f>
        <v>9.09</v>
      </c>
      <c r="C917" s="15">
        <f>IF(A917&lt;=Assumptions!$B$13,IF(OR(A917=0,A917=Assumptions!$B$13),0.5,1),0)*Assumptions!$B$12</f>
        <v>0.01</v>
      </c>
      <c r="D917" s="12">
        <f>D916*(1-Assumptions!$B$12*(Assumptions!$B$5+Assumptions!$B$6))</f>
        <v>0.76129000228362353</v>
      </c>
      <c r="E917" s="12">
        <f>E916+Assumptions!$B$12*(D916*Assumptions!$B$5-E916*Assumptions!$B$7)</f>
        <v>0.12659687618669235</v>
      </c>
      <c r="F917" s="12">
        <f t="shared" si="42"/>
        <v>0.11211312152968411</v>
      </c>
      <c r="G917" s="12">
        <f>EXP(-Assumptions!$B$8*B917)</f>
        <v>0.63476527125141757</v>
      </c>
      <c r="H917" s="12">
        <f t="shared" si="43"/>
        <v>0.48324045480055661</v>
      </c>
      <c r="I917" s="12">
        <f t="shared" si="44"/>
        <v>8.0359300452227903E-2</v>
      </c>
      <c r="J917" s="12">
        <f>G917*(D917*Assumptions!$B$6+E917*Assumptions!$B$7)</f>
        <v>8.850369570616962E-3</v>
      </c>
    </row>
    <row r="918" spans="1:10" x14ac:dyDescent="0.2">
      <c r="A918" s="2">
        <v>910</v>
      </c>
      <c r="B918" s="14">
        <f>A918*Assumptions!$B$12</f>
        <v>9.1</v>
      </c>
      <c r="C918" s="15">
        <f>IF(A918&lt;=Assumptions!$B$13,IF(OR(A918=0,A918=Assumptions!$B$13),0.5,1),0)*Assumptions!$B$12</f>
        <v>0.01</v>
      </c>
      <c r="D918" s="12">
        <f>D917*(1-Assumptions!$B$12*(Assumptions!$B$5+Assumptions!$B$6))</f>
        <v>0.76106161528293848</v>
      </c>
      <c r="E918" s="12">
        <f>E917+Assumptions!$B$12*(D917*Assumptions!$B$5-E917*Assumptions!$B$7)</f>
        <v>0.12668583574905573</v>
      </c>
      <c r="F918" s="12">
        <f t="shared" si="42"/>
        <v>0.11225254896800579</v>
      </c>
      <c r="G918" s="12">
        <f>EXP(-Assumptions!$B$8*B918)</f>
        <v>0.63444796794822822</v>
      </c>
      <c r="H918" s="12">
        <f t="shared" si="43"/>
        <v>0.48285399529965656</v>
      </c>
      <c r="I918" s="12">
        <f t="shared" si="44"/>
        <v>8.0375571058811421E-2</v>
      </c>
      <c r="J918" s="12">
        <f>G918*(D918*Assumptions!$B$6+E918*Assumptions!$B$7)</f>
        <v>8.8473185059371358E-3</v>
      </c>
    </row>
    <row r="919" spans="1:10" x14ac:dyDescent="0.2">
      <c r="A919" s="2">
        <v>911</v>
      </c>
      <c r="B919" s="14">
        <f>A919*Assumptions!$B$12</f>
        <v>9.11</v>
      </c>
      <c r="C919" s="15">
        <f>IF(A919&lt;=Assumptions!$B$13,IF(OR(A919=0,A919=Assumptions!$B$13),0.5,1),0)*Assumptions!$B$12</f>
        <v>0.01</v>
      </c>
      <c r="D919" s="12">
        <f>D918*(1-Assumptions!$B$12*(Assumptions!$B$5+Assumptions!$B$6))</f>
        <v>0.76083329679835365</v>
      </c>
      <c r="E919" s="12">
        <f>E918+Assumptions!$B$12*(D918*Assumptions!$B$5-E918*Assumptions!$B$7)</f>
        <v>0.12677470515423778</v>
      </c>
      <c r="F919" s="12">
        <f t="shared" si="42"/>
        <v>0.11239199804740857</v>
      </c>
      <c r="G919" s="12">
        <f>EXP(-Assumptions!$B$8*B919)</f>
        <v>0.63413082325703407</v>
      </c>
      <c r="H919" s="12">
        <f t="shared" si="43"/>
        <v>0.48246784486010336</v>
      </c>
      <c r="I919" s="12">
        <f t="shared" si="44"/>
        <v>8.0391748147624564E-2</v>
      </c>
      <c r="J919" s="12">
        <f>G919*(D919*Assumptions!$B$6+E919*Assumptions!$B$7)</f>
        <v>8.8442658559822612E-3</v>
      </c>
    </row>
    <row r="920" spans="1:10" x14ac:dyDescent="0.2">
      <c r="A920" s="2">
        <v>912</v>
      </c>
      <c r="B920" s="14">
        <f>A920*Assumptions!$B$12</f>
        <v>9.120000000000001</v>
      </c>
      <c r="C920" s="15">
        <f>IF(A920&lt;=Assumptions!$B$13,IF(OR(A920=0,A920=Assumptions!$B$13),0.5,1),0)*Assumptions!$B$12</f>
        <v>0.01</v>
      </c>
      <c r="D920" s="12">
        <f>D919*(1-Assumptions!$B$12*(Assumptions!$B$5+Assumptions!$B$6))</f>
        <v>0.76060504680931418</v>
      </c>
      <c r="E920" s="12">
        <f>E919+Assumptions!$B$12*(D919*Assumptions!$B$5-E919*Assumptions!$B$7)</f>
        <v>0.12686348446102033</v>
      </c>
      <c r="F920" s="12">
        <f t="shared" si="42"/>
        <v>0.11253146872966549</v>
      </c>
      <c r="G920" s="12">
        <f>EXP(-Assumptions!$B$8*B920)</f>
        <v>0.63381383709854899</v>
      </c>
      <c r="H920" s="12">
        <f t="shared" si="43"/>
        <v>0.48208200323473288</v>
      </c>
      <c r="I920" s="12">
        <f t="shared" si="44"/>
        <v>8.040783187393144E-2</v>
      </c>
      <c r="J920" s="12">
        <f>G920*(D920*Assumptions!$B$6+E920*Assumptions!$B$7)</f>
        <v>8.8412116260439006E-3</v>
      </c>
    </row>
    <row r="921" spans="1:10" x14ac:dyDescent="0.2">
      <c r="A921" s="2">
        <v>913</v>
      </c>
      <c r="B921" s="14">
        <f>A921*Assumptions!$B$12</f>
        <v>9.1300000000000008</v>
      </c>
      <c r="C921" s="15">
        <f>IF(A921&lt;=Assumptions!$B$13,IF(OR(A921=0,A921=Assumptions!$B$13),0.5,1),0)*Assumptions!$B$12</f>
        <v>0.01</v>
      </c>
      <c r="D921" s="12">
        <f>D920*(1-Assumptions!$B$12*(Assumptions!$B$5+Assumptions!$B$6))</f>
        <v>0.76037686529527138</v>
      </c>
      <c r="E921" s="12">
        <f>E920+Assumptions!$B$12*(D920*Assumptions!$B$5-E920*Assumptions!$B$7)</f>
        <v>0.12695217372815168</v>
      </c>
      <c r="F921" s="12">
        <f t="shared" si="42"/>
        <v>0.11267096097657694</v>
      </c>
      <c r="G921" s="12">
        <f>EXP(-Assumptions!$B$8*B921)</f>
        <v>0.63349700939352649</v>
      </c>
      <c r="H921" s="12">
        <f t="shared" si="43"/>
        <v>0.48169647017657874</v>
      </c>
      <c r="I921" s="12">
        <f t="shared" si="44"/>
        <v>8.0423822392791514E-2</v>
      </c>
      <c r="J921" s="12">
        <f>G921*(D921*Assumptions!$B$6+E921*Assumptions!$B$7)</f>
        <v>8.8381558214053624E-3</v>
      </c>
    </row>
    <row r="922" spans="1:10" x14ac:dyDescent="0.2">
      <c r="A922" s="2">
        <v>914</v>
      </c>
      <c r="B922" s="14">
        <f>A922*Assumptions!$B$12</f>
        <v>9.14</v>
      </c>
      <c r="C922" s="15">
        <f>IF(A922&lt;=Assumptions!$B$13,IF(OR(A922=0,A922=Assumptions!$B$13),0.5,1),0)*Assumptions!$B$12</f>
        <v>0.01</v>
      </c>
      <c r="D922" s="12">
        <f>D921*(1-Assumptions!$B$12*(Assumptions!$B$5+Assumptions!$B$6))</f>
        <v>0.76014875223568279</v>
      </c>
      <c r="E922" s="12">
        <f>E921+Assumptions!$B$12*(D921*Assumptions!$B$5-E921*Assumptions!$B$7)</f>
        <v>0.12704077301434666</v>
      </c>
      <c r="F922" s="12">
        <f t="shared" si="42"/>
        <v>0.11281047474997055</v>
      </c>
      <c r="G922" s="12">
        <f>EXP(-Assumptions!$B$8*B922)</f>
        <v>0.63318034006275969</v>
      </c>
      <c r="H922" s="12">
        <f t="shared" si="43"/>
        <v>0.4813112454388721</v>
      </c>
      <c r="I922" s="12">
        <f t="shared" si="44"/>
        <v>8.0439719859059886E-2</v>
      </c>
      <c r="J922" s="12">
        <f>G922*(D922*Assumptions!$B$6+E922*Assumptions!$B$7)</f>
        <v>8.8350984473417153E-3</v>
      </c>
    </row>
    <row r="923" spans="1:10" x14ac:dyDescent="0.2">
      <c r="A923" s="2">
        <v>915</v>
      </c>
      <c r="B923" s="14">
        <f>A923*Assumptions!$B$12</f>
        <v>9.15</v>
      </c>
      <c r="C923" s="15">
        <f>IF(A923&lt;=Assumptions!$B$13,IF(OR(A923=0,A923=Assumptions!$B$13),0.5,1),0)*Assumptions!$B$12</f>
        <v>0.01</v>
      </c>
      <c r="D923" s="12">
        <f>D922*(1-Assumptions!$B$12*(Assumptions!$B$5+Assumptions!$B$6))</f>
        <v>0.75992070761001207</v>
      </c>
      <c r="E923" s="12">
        <f>E922+Assumptions!$B$12*(D922*Assumptions!$B$5-E922*Assumptions!$B$7)</f>
        <v>0.12712928237828663</v>
      </c>
      <c r="F923" s="12">
        <f t="shared" si="42"/>
        <v>0.1129500100117013</v>
      </c>
      <c r="G923" s="12">
        <f>EXP(-Assumptions!$B$8*B923)</f>
        <v>0.63286382902708127</v>
      </c>
      <c r="H923" s="12">
        <f t="shared" si="43"/>
        <v>0.48092632877504132</v>
      </c>
      <c r="I923" s="12">
        <f t="shared" si="44"/>
        <v>8.0455524427387529E-2</v>
      </c>
      <c r="J923" s="12">
        <f>G923*(D923*Assumptions!$B$6+E923*Assumptions!$B$7)</f>
        <v>8.8320395091197896E-3</v>
      </c>
    </row>
    <row r="924" spans="1:10" x14ac:dyDescent="0.2">
      <c r="A924" s="2">
        <v>916</v>
      </c>
      <c r="B924" s="14">
        <f>A924*Assumptions!$B$12</f>
        <v>9.16</v>
      </c>
      <c r="C924" s="15">
        <f>IF(A924&lt;=Assumptions!$B$13,IF(OR(A924=0,A924=Assumptions!$B$13),0.5,1),0)*Assumptions!$B$12</f>
        <v>0.01</v>
      </c>
      <c r="D924" s="12">
        <f>D923*(1-Assumptions!$B$12*(Assumptions!$B$5+Assumptions!$B$6))</f>
        <v>0.75969273139772908</v>
      </c>
      <c r="E924" s="12">
        <f>E923+Assumptions!$B$12*(D923*Assumptions!$B$5-E923*Assumptions!$B$7)</f>
        <v>0.1272177018786195</v>
      </c>
      <c r="F924" s="12">
        <f t="shared" si="42"/>
        <v>0.11308956672365142</v>
      </c>
      <c r="G924" s="12">
        <f>EXP(-Assumptions!$B$8*B924)</f>
        <v>0.6325474762073634</v>
      </c>
      <c r="H924" s="12">
        <f t="shared" si="43"/>
        <v>0.48054171993871198</v>
      </c>
      <c r="I924" s="12">
        <f t="shared" si="44"/>
        <v>8.0471236252221523E-2</v>
      </c>
      <c r="J924" s="12">
        <f>G924*(D924*Assumptions!$B$6+E924*Assumptions!$B$7)</f>
        <v>8.8289790119981965E-3</v>
      </c>
    </row>
    <row r="925" spans="1:10" x14ac:dyDescent="0.2">
      <c r="A925" s="2">
        <v>917</v>
      </c>
      <c r="B925" s="14">
        <f>A925*Assumptions!$B$12</f>
        <v>9.17</v>
      </c>
      <c r="C925" s="15">
        <f>IF(A925&lt;=Assumptions!$B$13,IF(OR(A925=0,A925=Assumptions!$B$13),0.5,1),0)*Assumptions!$B$12</f>
        <v>0.01</v>
      </c>
      <c r="D925" s="12">
        <f>D924*(1-Assumptions!$B$12*(Assumptions!$B$5+Assumptions!$B$6))</f>
        <v>0.7594648235783098</v>
      </c>
      <c r="E925" s="12">
        <f>E924+Assumptions!$B$12*(D924*Assumptions!$B$5-E924*Assumptions!$B$7)</f>
        <v>0.12730603157395973</v>
      </c>
      <c r="F925" s="12">
        <f t="shared" si="42"/>
        <v>0.11322914484773047</v>
      </c>
      <c r="G925" s="12">
        <f>EXP(-Assumptions!$B$8*B925)</f>
        <v>0.6322312815245178</v>
      </c>
      <c r="H925" s="12">
        <f t="shared" si="43"/>
        <v>0.48015741868370665</v>
      </c>
      <c r="I925" s="12">
        <f t="shared" si="44"/>
        <v>8.0486855487805278E-2</v>
      </c>
      <c r="J925" s="12">
        <f>G925*(D925*Assumptions!$B$6+E925*Assumptions!$B$7)</f>
        <v>8.82591696122733E-3</v>
      </c>
    </row>
    <row r="926" spans="1:10" x14ac:dyDescent="0.2">
      <c r="A926" s="2">
        <v>918</v>
      </c>
      <c r="B926" s="14">
        <f>A926*Assumptions!$B$12</f>
        <v>9.18</v>
      </c>
      <c r="C926" s="15">
        <f>IF(A926&lt;=Assumptions!$B$13,IF(OR(A926=0,A926=Assumptions!$B$13),0.5,1),0)*Assumptions!$B$12</f>
        <v>0.01</v>
      </c>
      <c r="D926" s="12">
        <f>D925*(1-Assumptions!$B$12*(Assumptions!$B$5+Assumptions!$B$6))</f>
        <v>0.7592369841312363</v>
      </c>
      <c r="E926" s="12">
        <f>E925+Assumptions!$B$12*(D925*Assumptions!$B$5-E925*Assumptions!$B$7)</f>
        <v>0.1273942715228884</v>
      </c>
      <c r="F926" s="12">
        <f t="shared" si="42"/>
        <v>0.11336874434587529</v>
      </c>
      <c r="G926" s="12">
        <f>EXP(-Assumptions!$B$8*B926)</f>
        <v>0.63191524489949591</v>
      </c>
      <c r="H926" s="12">
        <f t="shared" si="43"/>
        <v>0.47977342476404489</v>
      </c>
      <c r="I926" s="12">
        <f t="shared" si="44"/>
        <v>8.0502382288178909E-2</v>
      </c>
      <c r="J926" s="12">
        <f>G926*(D926*Assumptions!$B$6+E926*Assumptions!$B$7)</f>
        <v>8.8228533620493942E-3</v>
      </c>
    </row>
    <row r="927" spans="1:10" x14ac:dyDescent="0.2">
      <c r="A927" s="2">
        <v>919</v>
      </c>
      <c r="B927" s="14">
        <f>A927*Assumptions!$B$12</f>
        <v>9.19</v>
      </c>
      <c r="C927" s="15">
        <f>IF(A927&lt;=Assumptions!$B$13,IF(OR(A927=0,A927=Assumptions!$B$13),0.5,1),0)*Assumptions!$B$12</f>
        <v>0.01</v>
      </c>
      <c r="D927" s="12">
        <f>D926*(1-Assumptions!$B$12*(Assumptions!$B$5+Assumptions!$B$6))</f>
        <v>0.759009213035997</v>
      </c>
      <c r="E927" s="12">
        <f>E926+Assumptions!$B$12*(D926*Assumptions!$B$5-E926*Assumptions!$B$7)</f>
        <v>0.12748242178395319</v>
      </c>
      <c r="F927" s="12">
        <f t="shared" si="42"/>
        <v>0.11350836518004981</v>
      </c>
      <c r="G927" s="12">
        <f>EXP(-Assumptions!$B$8*B927)</f>
        <v>0.6315993662532885</v>
      </c>
      <c r="H927" s="12">
        <f t="shared" si="43"/>
        <v>0.47938973793394296</v>
      </c>
      <c r="I927" s="12">
        <f t="shared" si="44"/>
        <v>8.051781680717926E-2</v>
      </c>
      <c r="J927" s="12">
        <f>G927*(D927*Assumptions!$B$6+E927*Assumptions!$B$7)</f>
        <v>8.8197882196983917E-3</v>
      </c>
    </row>
    <row r="928" spans="1:10" x14ac:dyDescent="0.2">
      <c r="A928" s="2">
        <v>920</v>
      </c>
      <c r="B928" s="14">
        <f>A928*Assumptions!$B$12</f>
        <v>9.2000000000000011</v>
      </c>
      <c r="C928" s="15">
        <f>IF(A928&lt;=Assumptions!$B$13,IF(OR(A928=0,A928=Assumptions!$B$13),0.5,1),0)*Assumptions!$B$12</f>
        <v>0.01</v>
      </c>
      <c r="D928" s="12">
        <f>D927*(1-Assumptions!$B$12*(Assumptions!$B$5+Assumptions!$B$6))</f>
        <v>0.75878151027208618</v>
      </c>
      <c r="E928" s="12">
        <f>E927+Assumptions!$B$12*(D927*Assumptions!$B$5-E927*Assumptions!$B$7)</f>
        <v>0.12757048241566843</v>
      </c>
      <c r="F928" s="12">
        <f t="shared" si="42"/>
        <v>0.11364800731224539</v>
      </c>
      <c r="G928" s="12">
        <f>EXP(-Assumptions!$B$8*B928)</f>
        <v>0.63128364550692595</v>
      </c>
      <c r="H928" s="12">
        <f t="shared" si="43"/>
        <v>0.47900635794781354</v>
      </c>
      <c r="I928" s="12">
        <f t="shared" si="44"/>
        <v>8.0533159198440354E-2</v>
      </c>
      <c r="J928" s="12">
        <f>G928*(D928*Assumptions!$B$6+E928*Assumptions!$B$7)</f>
        <v>8.8167215394001526E-3</v>
      </c>
    </row>
    <row r="929" spans="1:10" x14ac:dyDescent="0.2">
      <c r="A929" s="2">
        <v>921</v>
      </c>
      <c r="B929" s="14">
        <f>A929*Assumptions!$B$12</f>
        <v>9.2100000000000009</v>
      </c>
      <c r="C929" s="15">
        <f>IF(A929&lt;=Assumptions!$B$13,IF(OR(A929=0,A929=Assumptions!$B$13),0.5,1),0)*Assumptions!$B$12</f>
        <v>0.01</v>
      </c>
      <c r="D929" s="12">
        <f>D928*(1-Assumptions!$B$12*(Assumptions!$B$5+Assumptions!$B$6))</f>
        <v>0.75855387581900457</v>
      </c>
      <c r="E929" s="12">
        <f>E928+Assumptions!$B$12*(D928*Assumptions!$B$5-E928*Assumptions!$B$7)</f>
        <v>0.127658453476515</v>
      </c>
      <c r="F929" s="12">
        <f t="shared" si="42"/>
        <v>0.11378767070448043</v>
      </c>
      <c r="G929" s="12">
        <f>EXP(-Assumptions!$B$8*B929)</f>
        <v>0.63096808258147807</v>
      </c>
      <c r="H929" s="12">
        <f t="shared" si="43"/>
        <v>0.47862328456026593</v>
      </c>
      <c r="I929" s="12">
        <f t="shared" si="44"/>
        <v>8.0548409615393488E-2</v>
      </c>
      <c r="J929" s="12">
        <f>G929*(D929*Assumptions!$B$6+E929*Assumptions!$B$7)</f>
        <v>8.8136533263723348E-3</v>
      </c>
    </row>
    <row r="930" spans="1:10" x14ac:dyDescent="0.2">
      <c r="A930" s="2">
        <v>922</v>
      </c>
      <c r="B930" s="14">
        <f>A930*Assumptions!$B$12</f>
        <v>9.2200000000000006</v>
      </c>
      <c r="C930" s="15">
        <f>IF(A930&lt;=Assumptions!$B$13,IF(OR(A930=0,A930=Assumptions!$B$13),0.5,1),0)*Assumptions!$B$12</f>
        <v>0.01</v>
      </c>
      <c r="D930" s="12">
        <f>D929*(1-Assumptions!$B$12*(Assumptions!$B$5+Assumptions!$B$6))</f>
        <v>0.75832630965625891</v>
      </c>
      <c r="E930" s="12">
        <f>E929+Assumptions!$B$12*(D929*Assumptions!$B$5-E929*Assumptions!$B$7)</f>
        <v>0.12774633502494054</v>
      </c>
      <c r="F930" s="12">
        <f t="shared" si="42"/>
        <v>0.11392735531880055</v>
      </c>
      <c r="G930" s="12">
        <f>EXP(-Assumptions!$B$8*B930)</f>
        <v>0.63065267739805408</v>
      </c>
      <c r="H930" s="12">
        <f t="shared" si="43"/>
        <v>0.47824051752610552</v>
      </c>
      <c r="I930" s="12">
        <f t="shared" si="44"/>
        <v>8.0563568211267561E-2</v>
      </c>
      <c r="J930" s="12">
        <f>G930*(D930*Assumptions!$B$6+E930*Assumptions!$B$7)</f>
        <v>8.8105835858244327E-3</v>
      </c>
    </row>
    <row r="931" spans="1:10" x14ac:dyDescent="0.2">
      <c r="A931" s="2">
        <v>923</v>
      </c>
      <c r="B931" s="14">
        <f>A931*Assumptions!$B$12</f>
        <v>9.23</v>
      </c>
      <c r="C931" s="15">
        <f>IF(A931&lt;=Assumptions!$B$13,IF(OR(A931=0,A931=Assumptions!$B$13),0.5,1),0)*Assumptions!$B$12</f>
        <v>0.01</v>
      </c>
      <c r="D931" s="12">
        <f>D930*(1-Assumptions!$B$12*(Assumptions!$B$5+Assumptions!$B$6))</f>
        <v>0.75809881176336202</v>
      </c>
      <c r="E931" s="12">
        <f>E930+Assumptions!$B$12*(D930*Assumptions!$B$5-E930*Assumptions!$B$7)</f>
        <v>0.12783412711935932</v>
      </c>
      <c r="F931" s="12">
        <f t="shared" si="42"/>
        <v>0.11406706111727866</v>
      </c>
      <c r="G931" s="12">
        <f>EXP(-Assumptions!$B$8*B931)</f>
        <v>0.63033742987780284</v>
      </c>
      <c r="H931" s="12">
        <f t="shared" si="43"/>
        <v>0.47785805660033387</v>
      </c>
      <c r="I931" s="12">
        <f t="shared" si="44"/>
        <v>8.0578635139089291E-2</v>
      </c>
      <c r="J931" s="12">
        <f>G931*(D931*Assumptions!$B$6+E931*Assumptions!$B$7)</f>
        <v>8.8075123229578028E-3</v>
      </c>
    </row>
    <row r="932" spans="1:10" x14ac:dyDescent="0.2">
      <c r="A932" s="2">
        <v>924</v>
      </c>
      <c r="B932" s="14">
        <f>A932*Assumptions!$B$12</f>
        <v>9.24</v>
      </c>
      <c r="C932" s="15">
        <f>IF(A932&lt;=Assumptions!$B$13,IF(OR(A932=0,A932=Assumptions!$B$13),0.5,1),0)*Assumptions!$B$12</f>
        <v>0.01</v>
      </c>
      <c r="D932" s="12">
        <f>D931*(1-Assumptions!$B$12*(Assumptions!$B$5+Assumptions!$B$6))</f>
        <v>0.75787138211983307</v>
      </c>
      <c r="E932" s="12">
        <f>E931+Assumptions!$B$12*(D931*Assumptions!$B$5-E931*Assumptions!$B$7)</f>
        <v>0.12792182981815231</v>
      </c>
      <c r="F932" s="12">
        <f t="shared" si="42"/>
        <v>0.11420678806201462</v>
      </c>
      <c r="G932" s="12">
        <f>EXP(-Assumptions!$B$8*B932)</f>
        <v>0.63002233994191226</v>
      </c>
      <c r="H932" s="12">
        <f t="shared" si="43"/>
        <v>0.47747590153814834</v>
      </c>
      <c r="I932" s="12">
        <f t="shared" si="44"/>
        <v>8.0593610551683403E-2</v>
      </c>
      <c r="J932" s="12">
        <f>G932*(D932*Assumptions!$B$6+E932*Assumptions!$B$7)</f>
        <v>8.8044395429656541E-3</v>
      </c>
    </row>
    <row r="933" spans="1:10" x14ac:dyDescent="0.2">
      <c r="A933" s="2">
        <v>925</v>
      </c>
      <c r="B933" s="14">
        <f>A933*Assumptions!$B$12</f>
        <v>9.25</v>
      </c>
      <c r="C933" s="15">
        <f>IF(A933&lt;=Assumptions!$B$13,IF(OR(A933=0,A933=Assumptions!$B$13),0.5,1),0)*Assumptions!$B$12</f>
        <v>0.01</v>
      </c>
      <c r="D933" s="12">
        <f>D932*(1-Assumptions!$B$12*(Assumptions!$B$5+Assumptions!$B$6))</f>
        <v>0.7576440207051971</v>
      </c>
      <c r="E933" s="12">
        <f>E932+Assumptions!$B$12*(D932*Assumptions!$B$5-E932*Assumptions!$B$7)</f>
        <v>0.1280094431796672</v>
      </c>
      <c r="F933" s="12">
        <f t="shared" si="42"/>
        <v>0.11434653611513571</v>
      </c>
      <c r="G933" s="12">
        <f>EXP(-Assumptions!$B$8*B933)</f>
        <v>0.62970740751161003</v>
      </c>
      <c r="H933" s="12">
        <f t="shared" si="43"/>
        <v>0.47709405209494227</v>
      </c>
      <c r="I933" s="12">
        <f t="shared" si="44"/>
        <v>8.0608494601672978E-2</v>
      </c>
      <c r="J933" s="12">
        <f>G933*(D933*Assumptions!$B$6+E933*Assumptions!$B$7)</f>
        <v>8.8013652510330713E-3</v>
      </c>
    </row>
    <row r="934" spans="1:10" x14ac:dyDescent="0.2">
      <c r="A934" s="2">
        <v>926</v>
      </c>
      <c r="B934" s="14">
        <f>A934*Assumptions!$B$12</f>
        <v>9.26</v>
      </c>
      <c r="C934" s="15">
        <f>IF(A934&lt;=Assumptions!$B$13,IF(OR(A934=0,A934=Assumptions!$B$13),0.5,1),0)*Assumptions!$B$12</f>
        <v>0.01</v>
      </c>
      <c r="D934" s="12">
        <f>D933*(1-Assumptions!$B$12*(Assumptions!$B$5+Assumptions!$B$6))</f>
        <v>0.75741672749898559</v>
      </c>
      <c r="E934" s="12">
        <f>E933+Assumptions!$B$12*(D933*Assumptions!$B$5-E933*Assumptions!$B$7)</f>
        <v>0.12809696726221839</v>
      </c>
      <c r="F934" s="12">
        <f t="shared" si="42"/>
        <v>0.11448630523879602</v>
      </c>
      <c r="G934" s="12">
        <f>EXP(-Assumptions!$B$8*B934)</f>
        <v>0.62939263250816291</v>
      </c>
      <c r="H934" s="12">
        <f t="shared" si="43"/>
        <v>0.47671250802630438</v>
      </c>
      <c r="I934" s="12">
        <f t="shared" si="44"/>
        <v>8.0623287441479591E-2</v>
      </c>
      <c r="J934" s="12">
        <f>G934*(D934*Assumptions!$B$6+E934*Assumptions!$B$7)</f>
        <v>8.7982894523370245E-3</v>
      </c>
    </row>
    <row r="935" spans="1:10" x14ac:dyDescent="0.2">
      <c r="A935" s="2">
        <v>927</v>
      </c>
      <c r="B935" s="14">
        <f>A935*Assumptions!$B$12</f>
        <v>9.27</v>
      </c>
      <c r="C935" s="15">
        <f>IF(A935&lt;=Assumptions!$B$13,IF(OR(A935=0,A935=Assumptions!$B$13),0.5,1),0)*Assumptions!$B$12</f>
        <v>0.01</v>
      </c>
      <c r="D935" s="12">
        <f>D934*(1-Assumptions!$B$12*(Assumptions!$B$5+Assumptions!$B$6))</f>
        <v>0.75718950248073591</v>
      </c>
      <c r="E935" s="12">
        <f>E934+Assumptions!$B$12*(D934*Assumptions!$B$5-E934*Assumptions!$B$7)</f>
        <v>0.12818440212408708</v>
      </c>
      <c r="F935" s="12">
        <f t="shared" si="42"/>
        <v>0.11462609539517701</v>
      </c>
      <c r="G935" s="12">
        <f>EXP(-Assumptions!$B$8*B935)</f>
        <v>0.62907801485287718</v>
      </c>
      <c r="H935" s="12">
        <f t="shared" si="43"/>
        <v>0.47633126908801904</v>
      </c>
      <c r="I935" s="12">
        <f t="shared" si="44"/>
        <v>8.0637989223323631E-2</v>
      </c>
      <c r="J935" s="12">
        <f>G935*(D935*Assumptions!$B$6+E935*Assumptions!$B$7)</f>
        <v>8.7952121520463722E-3</v>
      </c>
    </row>
    <row r="936" spans="1:10" x14ac:dyDescent="0.2">
      <c r="A936" s="2">
        <v>928</v>
      </c>
      <c r="B936" s="14">
        <f>A936*Assumptions!$B$12</f>
        <v>9.2799999999999994</v>
      </c>
      <c r="C936" s="15">
        <f>IF(A936&lt;=Assumptions!$B$13,IF(OR(A936=0,A936=Assumptions!$B$13),0.5,1),0)*Assumptions!$B$12</f>
        <v>0.01</v>
      </c>
      <c r="D936" s="12">
        <f>D935*(1-Assumptions!$B$12*(Assumptions!$B$5+Assumptions!$B$6))</f>
        <v>0.75696234562999176</v>
      </c>
      <c r="E936" s="12">
        <f>E935+Assumptions!$B$12*(D935*Assumptions!$B$5-E935*Assumptions!$B$7)</f>
        <v>0.12827174782352119</v>
      </c>
      <c r="F936" s="12">
        <f t="shared" si="42"/>
        <v>0.11476590654648705</v>
      </c>
      <c r="G936" s="12">
        <f>EXP(-Assumptions!$B$8*B936)</f>
        <v>0.62876355446709842</v>
      </c>
      <c r="H936" s="12">
        <f t="shared" si="43"/>
        <v>0.47595033503606593</v>
      </c>
      <c r="I936" s="12">
        <f t="shared" si="44"/>
        <v>8.0652600099224481E-2</v>
      </c>
      <c r="J936" s="12">
        <f>G936*(D936*Assumptions!$B$6+E936*Assumptions!$B$7)</f>
        <v>8.7921333553218836E-3</v>
      </c>
    </row>
    <row r="937" spans="1:10" x14ac:dyDescent="0.2">
      <c r="A937" s="2">
        <v>929</v>
      </c>
      <c r="B937" s="14">
        <f>A937*Assumptions!$B$12</f>
        <v>9.2900000000000009</v>
      </c>
      <c r="C937" s="15">
        <f>IF(A937&lt;=Assumptions!$B$13,IF(OR(A937=0,A937=Assumptions!$B$13),0.5,1),0)*Assumptions!$B$12</f>
        <v>0.01</v>
      </c>
      <c r="D937" s="12">
        <f>D936*(1-Assumptions!$B$12*(Assumptions!$B$5+Assumptions!$B$6))</f>
        <v>0.75673525692630284</v>
      </c>
      <c r="E937" s="12">
        <f>E936+Assumptions!$B$12*(D936*Assumptions!$B$5-E936*Assumptions!$B$7)</f>
        <v>0.12835900441873543</v>
      </c>
      <c r="F937" s="12">
        <f t="shared" si="42"/>
        <v>0.11490573865496173</v>
      </c>
      <c r="G937" s="12">
        <f>EXP(-Assumptions!$B$8*B937)</f>
        <v>0.62844925127221152</v>
      </c>
      <c r="H937" s="12">
        <f t="shared" si="43"/>
        <v>0.47556970562661965</v>
      </c>
      <c r="I937" s="12">
        <f t="shared" si="44"/>
        <v>8.0667120221000768E-2</v>
      </c>
      <c r="J937" s="12">
        <f>G937*(D937*Assumptions!$B$6+E937*Assumptions!$B$7)</f>
        <v>8.789053067316234E-3</v>
      </c>
    </row>
    <row r="938" spans="1:10" x14ac:dyDescent="0.2">
      <c r="A938" s="2">
        <v>930</v>
      </c>
      <c r="B938" s="14">
        <f>A938*Assumptions!$B$12</f>
        <v>9.3000000000000007</v>
      </c>
      <c r="C938" s="15">
        <f>IF(A938&lt;=Assumptions!$B$13,IF(OR(A938=0,A938=Assumptions!$B$13),0.5,1),0)*Assumptions!$B$12</f>
        <v>0.01</v>
      </c>
      <c r="D938" s="12">
        <f>D937*(1-Assumptions!$B$12*(Assumptions!$B$5+Assumptions!$B$6))</f>
        <v>0.75650823634922493</v>
      </c>
      <c r="E938" s="12">
        <f>E937+Assumptions!$B$12*(D937*Assumptions!$B$5-E937*Assumptions!$B$7)</f>
        <v>0.12844617196791133</v>
      </c>
      <c r="F938" s="12">
        <f t="shared" si="42"/>
        <v>0.11504559168286374</v>
      </c>
      <c r="G938" s="12">
        <f>EXP(-Assumptions!$B$8*B938)</f>
        <v>0.62813510518964077</v>
      </c>
      <c r="H938" s="12">
        <f t="shared" si="43"/>
        <v>0.47518938061605004</v>
      </c>
      <c r="I938" s="12">
        <f t="shared" si="44"/>
        <v>8.0681549740270669E-2</v>
      </c>
      <c r="J938" s="12">
        <f>G938*(D938*Assumptions!$B$6+E938*Assumptions!$B$7)</f>
        <v>8.7859712931740337E-3</v>
      </c>
    </row>
    <row r="939" spans="1:10" x14ac:dyDescent="0.2">
      <c r="A939" s="2">
        <v>931</v>
      </c>
      <c r="B939" s="14">
        <f>A939*Assumptions!$B$12</f>
        <v>9.31</v>
      </c>
      <c r="C939" s="15">
        <f>IF(A939&lt;=Assumptions!$B$13,IF(OR(A939=0,A939=Assumptions!$B$13),0.5,1),0)*Assumptions!$B$12</f>
        <v>0.01</v>
      </c>
      <c r="D939" s="12">
        <f>D938*(1-Assumptions!$B$12*(Assumptions!$B$5+Assumptions!$B$6))</f>
        <v>0.75628128387832017</v>
      </c>
      <c r="E939" s="12">
        <f>E938+Assumptions!$B$12*(D938*Assumptions!$B$5-E938*Assumptions!$B$7)</f>
        <v>0.12853325052919723</v>
      </c>
      <c r="F939" s="12">
        <f t="shared" si="42"/>
        <v>0.11518546559248261</v>
      </c>
      <c r="G939" s="12">
        <f>EXP(-Assumptions!$B$8*B939)</f>
        <v>0.62782111614084957</v>
      </c>
      <c r="H939" s="12">
        <f t="shared" si="43"/>
        <v>0.47480935976092165</v>
      </c>
      <c r="I939" s="12">
        <f t="shared" si="44"/>
        <v>8.0695888808452049E-2</v>
      </c>
      <c r="J939" s="12">
        <f>G939*(D939*Assumptions!$B$6+E939*Assumptions!$B$7)</f>
        <v>8.7828880380318181E-3</v>
      </c>
    </row>
    <row r="940" spans="1:10" x14ac:dyDescent="0.2">
      <c r="A940" s="2">
        <v>932</v>
      </c>
      <c r="B940" s="14">
        <f>A940*Assumptions!$B$12</f>
        <v>9.32</v>
      </c>
      <c r="C940" s="15">
        <f>IF(A940&lt;=Assumptions!$B$13,IF(OR(A940=0,A940=Assumptions!$B$13),0.5,1),0)*Assumptions!$B$12</f>
        <v>0.01</v>
      </c>
      <c r="D940" s="12">
        <f>D939*(1-Assumptions!$B$12*(Assumptions!$B$5+Assumptions!$B$6))</f>
        <v>0.75605439949315667</v>
      </c>
      <c r="E940" s="12">
        <f>E939+Assumptions!$B$12*(D939*Assumptions!$B$5-E939*Assumptions!$B$7)</f>
        <v>0.1286202401607083</v>
      </c>
      <c r="F940" s="12">
        <f t="shared" si="42"/>
        <v>0.11532536034613503</v>
      </c>
      <c r="G940" s="12">
        <f>EXP(-Assumptions!$B$8*B940)</f>
        <v>0.62750728404734069</v>
      </c>
      <c r="H940" s="12">
        <f t="shared" si="43"/>
        <v>0.47442964281799388</v>
      </c>
      <c r="I940" s="12">
        <f t="shared" si="44"/>
        <v>8.0710137576762764E-2</v>
      </c>
      <c r="J940" s="12">
        <f>G940*(D940*Assumptions!$B$6+E940*Assumptions!$B$7)</f>
        <v>8.7798033070180768E-3</v>
      </c>
    </row>
    <row r="941" spans="1:10" x14ac:dyDescent="0.2">
      <c r="A941" s="2">
        <v>933</v>
      </c>
      <c r="B941" s="14">
        <f>A941*Assumptions!$B$12</f>
        <v>9.33</v>
      </c>
      <c r="C941" s="15">
        <f>IF(A941&lt;=Assumptions!$B$13,IF(OR(A941=0,A941=Assumptions!$B$13),0.5,1),0)*Assumptions!$B$12</f>
        <v>0.01</v>
      </c>
      <c r="D941" s="12">
        <f>D940*(1-Assumptions!$B$12*(Assumptions!$B$5+Assumptions!$B$6))</f>
        <v>0.75582758317330878</v>
      </c>
      <c r="E941" s="12">
        <f>E940+Assumptions!$B$12*(D940*Assumptions!$B$5-E940*Assumptions!$B$7)</f>
        <v>0.12870714092052657</v>
      </c>
      <c r="F941" s="12">
        <f t="shared" si="42"/>
        <v>0.11546527590616465</v>
      </c>
      <c r="G941" s="12">
        <f>EXP(-Assumptions!$B$8*B941)</f>
        <v>0.62719360883065611</v>
      </c>
      <c r="H941" s="12">
        <f t="shared" si="43"/>
        <v>0.47405022954422044</v>
      </c>
      <c r="I941" s="12">
        <f t="shared" si="44"/>
        <v>8.0724296196220874E-2</v>
      </c>
      <c r="J941" s="12">
        <f>G941*(D941*Assumptions!$B$6+E941*Assumptions!$B$7)</f>
        <v>8.7767171052532487E-3</v>
      </c>
    </row>
    <row r="942" spans="1:10" x14ac:dyDescent="0.2">
      <c r="A942" s="2">
        <v>934</v>
      </c>
      <c r="B942" s="14">
        <f>A942*Assumptions!$B$12</f>
        <v>9.34</v>
      </c>
      <c r="C942" s="15">
        <f>IF(A942&lt;=Assumptions!$B$13,IF(OR(A942=0,A942=Assumptions!$B$13),0.5,1),0)*Assumptions!$B$12</f>
        <v>0.01</v>
      </c>
      <c r="D942" s="12">
        <f>D941*(1-Assumptions!$B$12*(Assumptions!$B$5+Assumptions!$B$6))</f>
        <v>0.75560083489835683</v>
      </c>
      <c r="E942" s="12">
        <f>E941+Assumptions!$B$12*(D941*Assumptions!$B$5-E941*Assumptions!$B$7)</f>
        <v>0.12879395286670098</v>
      </c>
      <c r="F942" s="12">
        <f t="shared" si="42"/>
        <v>0.11560521223494219</v>
      </c>
      <c r="G942" s="12">
        <f>EXP(-Assumptions!$B$8*B942)</f>
        <v>0.62688009041237702</v>
      </c>
      <c r="H942" s="12">
        <f t="shared" si="43"/>
        <v>0.47367111969674952</v>
      </c>
      <c r="I942" s="12">
        <f t="shared" si="44"/>
        <v>8.0738364817644931E-2</v>
      </c>
      <c r="J942" s="12">
        <f>G942*(D942*Assumptions!$B$6+E942*Assumptions!$B$7)</f>
        <v>8.7736294378497406E-3</v>
      </c>
    </row>
    <row r="943" spans="1:10" x14ac:dyDescent="0.2">
      <c r="A943" s="2">
        <v>935</v>
      </c>
      <c r="B943" s="14">
        <f>A943*Assumptions!$B$12</f>
        <v>9.35</v>
      </c>
      <c r="C943" s="15">
        <f>IF(A943&lt;=Assumptions!$B$13,IF(OR(A943=0,A943=Assumptions!$B$13),0.5,1),0)*Assumptions!$B$12</f>
        <v>0.01</v>
      </c>
      <c r="D943" s="12">
        <f>D942*(1-Assumptions!$B$12*(Assumptions!$B$5+Assumptions!$B$6))</f>
        <v>0.75537415464788737</v>
      </c>
      <c r="E943" s="12">
        <f>E942+Assumptions!$B$12*(D942*Assumptions!$B$5-E942*Assumptions!$B$7)</f>
        <v>0.12888067605724729</v>
      </c>
      <c r="F943" s="12">
        <f t="shared" si="42"/>
        <v>0.11574516929486534</v>
      </c>
      <c r="G943" s="12">
        <f>EXP(-Assumptions!$B$8*B943)</f>
        <v>0.62656672871412378</v>
      </c>
      <c r="H943" s="12">
        <f t="shared" si="43"/>
        <v>0.47329231303292341</v>
      </c>
      <c r="I943" s="12">
        <f t="shared" si="44"/>
        <v>8.0752343591654133E-2</v>
      </c>
      <c r="J943" s="12">
        <f>G943*(D943*Assumptions!$B$6+E943*Assumptions!$B$7)</f>
        <v>8.7705403099119419E-3</v>
      </c>
    </row>
    <row r="944" spans="1:10" x14ac:dyDescent="0.2">
      <c r="A944" s="2">
        <v>936</v>
      </c>
      <c r="B944" s="14">
        <f>A944*Assumptions!$B$12</f>
        <v>9.36</v>
      </c>
      <c r="C944" s="15">
        <f>IF(A944&lt;=Assumptions!$B$13,IF(OR(A944=0,A944=Assumptions!$B$13),0.5,1),0)*Assumptions!$B$12</f>
        <v>0.01</v>
      </c>
      <c r="D944" s="12">
        <f>D943*(1-Assumptions!$B$12*(Assumptions!$B$5+Assumptions!$B$6))</f>
        <v>0.75514754240149307</v>
      </c>
      <c r="E944" s="12">
        <f>E943+Assumptions!$B$12*(D943*Assumptions!$B$5-E943*Assumptions!$B$7)</f>
        <v>0.12896731055014823</v>
      </c>
      <c r="F944" s="12">
        <f t="shared" si="42"/>
        <v>0.1158851470483587</v>
      </c>
      <c r="G944" s="12">
        <f>EXP(-Assumptions!$B$8*B944)</f>
        <v>0.62625352365755593</v>
      </c>
      <c r="H944" s="12">
        <f t="shared" si="43"/>
        <v>0.47291380931027865</v>
      </c>
      <c r="I944" s="12">
        <f t="shared" si="44"/>
        <v>8.0766232668668614E-2</v>
      </c>
      <c r="J944" s="12">
        <f>G944*(D944*Assumptions!$B$6+E944*Assumptions!$B$7)</f>
        <v>8.7674497265362184E-3</v>
      </c>
    </row>
    <row r="945" spans="1:10" x14ac:dyDescent="0.2">
      <c r="A945" s="2">
        <v>937</v>
      </c>
      <c r="B945" s="14">
        <f>A945*Assumptions!$B$12</f>
        <v>9.370000000000001</v>
      </c>
      <c r="C945" s="15">
        <f>IF(A945&lt;=Assumptions!$B$13,IF(OR(A945=0,A945=Assumptions!$B$13),0.5,1),0)*Assumptions!$B$12</f>
        <v>0.01</v>
      </c>
      <c r="D945" s="12">
        <f>D944*(1-Assumptions!$B$12*(Assumptions!$B$5+Assumptions!$B$6))</f>
        <v>0.75492099813877267</v>
      </c>
      <c r="E945" s="12">
        <f>E944+Assumptions!$B$12*(D944*Assumptions!$B$5-E944*Assumptions!$B$7)</f>
        <v>0.12905385640335346</v>
      </c>
      <c r="F945" s="12">
        <f t="shared" si="42"/>
        <v>0.11602514545787387</v>
      </c>
      <c r="G945" s="12">
        <f>EXP(-Assumptions!$B$8*B945)</f>
        <v>0.62594047516437223</v>
      </c>
      <c r="H945" s="12">
        <f t="shared" si="43"/>
        <v>0.47253560828654551</v>
      </c>
      <c r="I945" s="12">
        <f t="shared" si="44"/>
        <v>8.0780032198909724E-2</v>
      </c>
      <c r="J945" s="12">
        <f>G945*(D945*Assumptions!$B$6+E945*Assumptions!$B$7)</f>
        <v>8.764357692810941E-3</v>
      </c>
    </row>
    <row r="946" spans="1:10" x14ac:dyDescent="0.2">
      <c r="A946" s="2">
        <v>938</v>
      </c>
      <c r="B946" s="14">
        <f>A946*Assumptions!$B$12</f>
        <v>9.3800000000000008</v>
      </c>
      <c r="C946" s="15">
        <f>IF(A946&lt;=Assumptions!$B$13,IF(OR(A946=0,A946=Assumptions!$B$13),0.5,1),0)*Assumptions!$B$12</f>
        <v>0.01</v>
      </c>
      <c r="D946" s="12">
        <f>D945*(1-Assumptions!$B$12*(Assumptions!$B$5+Assumptions!$B$6))</f>
        <v>0.75469452183933106</v>
      </c>
      <c r="E946" s="12">
        <f>E945+Assumptions!$B$12*(D945*Assumptions!$B$5-E945*Assumptions!$B$7)</f>
        <v>0.12914031367477954</v>
      </c>
      <c r="F946" s="12">
        <f t="shared" si="42"/>
        <v>0.1161651644858894</v>
      </c>
      <c r="G946" s="12">
        <f>EXP(-Assumptions!$B$8*B946)</f>
        <v>0.62562758315631073</v>
      </c>
      <c r="H946" s="12">
        <f t="shared" si="43"/>
        <v>0.47215770971964827</v>
      </c>
      <c r="I946" s="12">
        <f t="shared" si="44"/>
        <v>8.0793742332400192E-2</v>
      </c>
      <c r="J946" s="12">
        <f>G946*(D946*Assumptions!$B$6+E946*Assumptions!$B$7)</f>
        <v>8.7612642138164918E-3</v>
      </c>
    </row>
    <row r="947" spans="1:10" x14ac:dyDescent="0.2">
      <c r="A947" s="2">
        <v>939</v>
      </c>
      <c r="B947" s="14">
        <f>A947*Assumptions!$B$12</f>
        <v>9.39</v>
      </c>
      <c r="C947" s="15">
        <f>IF(A947&lt;=Assumptions!$B$13,IF(OR(A947=0,A947=Assumptions!$B$13),0.5,1),0)*Assumptions!$B$12</f>
        <v>0.01</v>
      </c>
      <c r="D947" s="12">
        <f>D946*(1-Assumptions!$B$12*(Assumptions!$B$5+Assumptions!$B$6))</f>
        <v>0.75446811348277931</v>
      </c>
      <c r="E947" s="12">
        <f>E946+Assumptions!$B$12*(D946*Assumptions!$B$5-E946*Assumptions!$B$7)</f>
        <v>0.12922668242231003</v>
      </c>
      <c r="F947" s="12">
        <f t="shared" si="42"/>
        <v>0.11630520409491066</v>
      </c>
      <c r="G947" s="12">
        <f>EXP(-Assumptions!$B$8*B947)</f>
        <v>0.62531484755514821</v>
      </c>
      <c r="H947" s="12">
        <f t="shared" si="43"/>
        <v>0.47178011336770442</v>
      </c>
      <c r="I947" s="12">
        <f t="shared" si="44"/>
        <v>8.0807363218964354E-2</v>
      </c>
      <c r="J947" s="12">
        <f>G947*(D947*Assumptions!$B$6+E947*Assumptions!$B$7)</f>
        <v>8.7581692946252614E-3</v>
      </c>
    </row>
    <row r="948" spans="1:10" x14ac:dyDescent="0.2">
      <c r="A948" s="2">
        <v>940</v>
      </c>
      <c r="B948" s="14">
        <f>A948*Assumptions!$B$12</f>
        <v>9.4</v>
      </c>
      <c r="C948" s="15">
        <f>IF(A948&lt;=Assumptions!$B$13,IF(OR(A948=0,A948=Assumptions!$B$13),0.5,1),0)*Assumptions!$B$12</f>
        <v>0.01</v>
      </c>
      <c r="D948" s="12">
        <f>D947*(1-Assumptions!$B$12*(Assumptions!$B$5+Assumptions!$B$6))</f>
        <v>0.75424177304873452</v>
      </c>
      <c r="E948" s="12">
        <f>E947+Assumptions!$B$12*(D947*Assumptions!$B$5-E947*Assumptions!$B$7)</f>
        <v>0.12931296270379544</v>
      </c>
      <c r="F948" s="12">
        <f t="shared" si="42"/>
        <v>0.11644526424747004</v>
      </c>
      <c r="G948" s="12">
        <f>EXP(-Assumptions!$B$8*B948)</f>
        <v>0.62500226828270078</v>
      </c>
      <c r="H948" s="12">
        <f t="shared" si="43"/>
        <v>0.47140281898902509</v>
      </c>
      <c r="I948" s="12">
        <f t="shared" si="44"/>
        <v>8.0820895008228436E-2</v>
      </c>
      <c r="J948" s="12">
        <f>G948*(D948*Assumptions!$B$6+E948*Assumptions!$B$7)</f>
        <v>8.7550729403016725E-3</v>
      </c>
    </row>
    <row r="949" spans="1:10" x14ac:dyDescent="0.2">
      <c r="A949" s="2">
        <v>941</v>
      </c>
      <c r="B949" s="14">
        <f>A949*Assumptions!$B$12</f>
        <v>9.41</v>
      </c>
      <c r="C949" s="15">
        <f>IF(A949&lt;=Assumptions!$B$13,IF(OR(A949=0,A949=Assumptions!$B$13),0.5,1),0)*Assumptions!$B$12</f>
        <v>0.01</v>
      </c>
      <c r="D949" s="12">
        <f>D948*(1-Assumptions!$B$12*(Assumptions!$B$5+Assumptions!$B$6))</f>
        <v>0.75401550051681987</v>
      </c>
      <c r="E949" s="12">
        <f>E948+Assumptions!$B$12*(D948*Assumptions!$B$5-E948*Assumptions!$B$7)</f>
        <v>0.12939915457705328</v>
      </c>
      <c r="F949" s="12">
        <f t="shared" si="42"/>
        <v>0.11658534490612685</v>
      </c>
      <c r="G949" s="12">
        <f>EXP(-Assumptions!$B$8*B949)</f>
        <v>0.62468984526082372</v>
      </c>
      <c r="H949" s="12">
        <f t="shared" si="43"/>
        <v>0.47102582634211476</v>
      </c>
      <c r="I949" s="12">
        <f t="shared" si="44"/>
        <v>8.0834337849620824E-2</v>
      </c>
      <c r="J949" s="12">
        <f>G949*(D949*Assumptions!$B$6+E949*Assumptions!$B$7)</f>
        <v>8.7519751559021891E-3</v>
      </c>
    </row>
    <row r="950" spans="1:10" x14ac:dyDescent="0.2">
      <c r="A950" s="2">
        <v>942</v>
      </c>
      <c r="B950" s="14">
        <f>A950*Assumptions!$B$12</f>
        <v>9.42</v>
      </c>
      <c r="C950" s="15">
        <f>IF(A950&lt;=Assumptions!$B$13,IF(OR(A950=0,A950=Assumptions!$B$13),0.5,1),0)*Assumptions!$B$12</f>
        <v>0.01</v>
      </c>
      <c r="D950" s="12">
        <f>D949*(1-Assumptions!$B$12*(Assumptions!$B$5+Assumptions!$B$6))</f>
        <v>0.75378929586666488</v>
      </c>
      <c r="E950" s="12">
        <f>E949+Assumptions!$B$12*(D949*Assumptions!$B$5-E949*Assumptions!$B$7)</f>
        <v>0.12948525809986813</v>
      </c>
      <c r="F950" s="12">
        <f t="shared" si="42"/>
        <v>0.11672544603346699</v>
      </c>
      <c r="G950" s="12">
        <f>EXP(-Assumptions!$B$8*B950)</f>
        <v>0.62437757841141117</v>
      </c>
      <c r="H950" s="12">
        <f t="shared" si="43"/>
        <v>0.47064913518567097</v>
      </c>
      <c r="I950" s="12">
        <f t="shared" si="44"/>
        <v>8.0847691892372231E-2</v>
      </c>
      <c r="J950" s="12">
        <f>G950*(D950*Assumptions!$B$6+E950*Assumptions!$B$7)</f>
        <v>8.7488759464753214E-3</v>
      </c>
    </row>
    <row r="951" spans="1:10" x14ac:dyDescent="0.2">
      <c r="A951" s="2">
        <v>943</v>
      </c>
      <c r="B951" s="14">
        <f>A951*Assumptions!$B$12</f>
        <v>9.43</v>
      </c>
      <c r="C951" s="15">
        <f>IF(A951&lt;=Assumptions!$B$13,IF(OR(A951=0,A951=Assumptions!$B$13),0.5,1),0)*Assumptions!$B$12</f>
        <v>0.01</v>
      </c>
      <c r="D951" s="12">
        <f>D950*(1-Assumptions!$B$12*(Assumptions!$B$5+Assumptions!$B$6))</f>
        <v>0.75356315907790494</v>
      </c>
      <c r="E951" s="12">
        <f>E950+Assumptions!$B$12*(D950*Assumptions!$B$5-E950*Assumptions!$B$7)</f>
        <v>0.12957127332999152</v>
      </c>
      <c r="F951" s="12">
        <f t="shared" si="42"/>
        <v>0.11686556759210354</v>
      </c>
      <c r="G951" s="12">
        <f>EXP(-Assumptions!$B$8*B951)</f>
        <v>0.62406546765639659</v>
      </c>
      <c r="H951" s="12">
        <f t="shared" si="43"/>
        <v>0.47027274527858431</v>
      </c>
      <c r="I951" s="12">
        <f t="shared" si="44"/>
        <v>8.0860957285515941E-2</v>
      </c>
      <c r="J951" s="12">
        <f>G951*(D951*Assumptions!$B$6+E951*Assumptions!$B$7)</f>
        <v>8.7457753170616399E-3</v>
      </c>
    </row>
    <row r="952" spans="1:10" x14ac:dyDescent="0.2">
      <c r="A952" s="2">
        <v>944</v>
      </c>
      <c r="B952" s="14">
        <f>A952*Assumptions!$B$12</f>
        <v>9.44</v>
      </c>
      <c r="C952" s="15">
        <f>IF(A952&lt;=Assumptions!$B$13,IF(OR(A952=0,A952=Assumptions!$B$13),0.5,1),0)*Assumptions!$B$12</f>
        <v>0.01</v>
      </c>
      <c r="D952" s="12">
        <f>D951*(1-Assumptions!$B$12*(Assumptions!$B$5+Assumptions!$B$6))</f>
        <v>0.75333709013018157</v>
      </c>
      <c r="E952" s="12">
        <f>E951+Assumptions!$B$12*(D951*Assumptions!$B$5-E951*Assumptions!$B$7)</f>
        <v>0.12965720032514211</v>
      </c>
      <c r="F952" s="12">
        <f t="shared" si="42"/>
        <v>0.11700570954467632</v>
      </c>
      <c r="G952" s="12">
        <f>EXP(-Assumptions!$B$8*B952)</f>
        <v>0.62375351291775216</v>
      </c>
      <c r="H952" s="12">
        <f t="shared" si="43"/>
        <v>0.46989665637993805</v>
      </c>
      <c r="I952" s="12">
        <f t="shared" si="44"/>
        <v>8.0874134177888107E-2</v>
      </c>
      <c r="J952" s="12">
        <f>G952*(D952*Assumptions!$B$6+E952*Assumptions!$B$7)</f>
        <v>8.7426732726937871E-3</v>
      </c>
    </row>
    <row r="953" spans="1:10" x14ac:dyDescent="0.2">
      <c r="A953" s="2">
        <v>945</v>
      </c>
      <c r="B953" s="14">
        <f>A953*Assumptions!$B$12</f>
        <v>9.4500000000000011</v>
      </c>
      <c r="C953" s="15">
        <f>IF(A953&lt;=Assumptions!$B$13,IF(OR(A953=0,A953=Assumptions!$B$13),0.5,1),0)*Assumptions!$B$12</f>
        <v>0.01</v>
      </c>
      <c r="D953" s="12">
        <f>D952*(1-Assumptions!$B$12*(Assumptions!$B$5+Assumptions!$B$6))</f>
        <v>0.7531110890031425</v>
      </c>
      <c r="E953" s="12">
        <f>E952+Assumptions!$B$12*(D952*Assumptions!$B$5-E952*Assumptions!$B$7)</f>
        <v>0.12974303914300558</v>
      </c>
      <c r="F953" s="12">
        <f t="shared" si="42"/>
        <v>0.11714587185385192</v>
      </c>
      <c r="G953" s="12">
        <f>EXP(-Assumptions!$B$8*B953)</f>
        <v>0.62344171411748905</v>
      </c>
      <c r="H953" s="12">
        <f t="shared" si="43"/>
        <v>0.46952086824900802</v>
      </c>
      <c r="I953" s="12">
        <f t="shared" si="44"/>
        <v>8.0887222718127885E-2</v>
      </c>
      <c r="J953" s="12">
        <f>G953*(D953*Assumptions!$B$6+E953*Assumptions!$B$7)</f>
        <v>8.739569818396473E-3</v>
      </c>
    </row>
    <row r="954" spans="1:10" x14ac:dyDescent="0.2">
      <c r="A954" s="2">
        <v>946</v>
      </c>
      <c r="B954" s="14">
        <f>A954*Assumptions!$B$12</f>
        <v>9.4600000000000009</v>
      </c>
      <c r="C954" s="15">
        <f>IF(A954&lt;=Assumptions!$B$13,IF(OR(A954=0,A954=Assumptions!$B$13),0.5,1),0)*Assumptions!$B$12</f>
        <v>0.01</v>
      </c>
      <c r="D954" s="12">
        <f>D953*(1-Assumptions!$B$12*(Assumptions!$B$5+Assumptions!$B$6))</f>
        <v>0.75288515567644154</v>
      </c>
      <c r="E954" s="12">
        <f>E953+Assumptions!$B$12*(D953*Assumptions!$B$5-E953*Assumptions!$B$7)</f>
        <v>0.12982878984123472</v>
      </c>
      <c r="F954" s="12">
        <f t="shared" si="42"/>
        <v>0.11728605448232374</v>
      </c>
      <c r="G954" s="12">
        <f>EXP(-Assumptions!$B$8*B954)</f>
        <v>0.62313007117765784</v>
      </c>
      <c r="H954" s="12">
        <f t="shared" si="43"/>
        <v>0.46914538064526301</v>
      </c>
      <c r="I954" s="12">
        <f t="shared" si="44"/>
        <v>8.090022305467777E-2</v>
      </c>
      <c r="J954" s="12">
        <f>G954*(D954*Assumptions!$B$6+E954*Assumptions!$B$7)</f>
        <v>8.7364649591865195E-3</v>
      </c>
    </row>
    <row r="955" spans="1:10" x14ac:dyDescent="0.2">
      <c r="A955" s="2">
        <v>947</v>
      </c>
      <c r="B955" s="14">
        <f>A955*Assumptions!$B$12</f>
        <v>9.4700000000000006</v>
      </c>
      <c r="C955" s="15">
        <f>IF(A955&lt;=Assumptions!$B$13,IF(OR(A955=0,A955=Assumptions!$B$13),0.5,1),0)*Assumptions!$B$12</f>
        <v>0.01</v>
      </c>
      <c r="D955" s="12">
        <f>D954*(1-Assumptions!$B$12*(Assumptions!$B$5+Assumptions!$B$6))</f>
        <v>0.75265929012973865</v>
      </c>
      <c r="E955" s="12">
        <f>E954+Assumptions!$B$12*(D954*Assumptions!$B$5-E954*Assumptions!$B$7)</f>
        <v>0.1299144524774494</v>
      </c>
      <c r="F955" s="12">
        <f t="shared" si="42"/>
        <v>0.11742625739281196</v>
      </c>
      <c r="G955" s="12">
        <f>EXP(-Assumptions!$B$8*B955)</f>
        <v>0.62281858402034762</v>
      </c>
      <c r="H955" s="12">
        <f t="shared" si="43"/>
        <v>0.46877019332836384</v>
      </c>
      <c r="I955" s="12">
        <f t="shared" si="44"/>
        <v>8.0913135335783773E-2</v>
      </c>
      <c r="J955" s="12">
        <f>G955*(D955*Assumptions!$B$6+E955*Assumptions!$B$7)</f>
        <v>8.7333587000728262E-3</v>
      </c>
    </row>
    <row r="956" spans="1:10" x14ac:dyDescent="0.2">
      <c r="A956" s="2">
        <v>948</v>
      </c>
      <c r="B956" s="14">
        <f>A956*Assumptions!$B$12</f>
        <v>9.48</v>
      </c>
      <c r="C956" s="15">
        <f>IF(A956&lt;=Assumptions!$B$13,IF(OR(A956=0,A956=Assumptions!$B$13),0.5,1),0)*Assumptions!$B$12</f>
        <v>0.01</v>
      </c>
      <c r="D956" s="12">
        <f>D955*(1-Assumptions!$B$12*(Assumptions!$B$5+Assumptions!$B$6))</f>
        <v>0.75243349234269974</v>
      </c>
      <c r="E956" s="12">
        <f>E955+Assumptions!$B$12*(D955*Assumptions!$B$5-E955*Assumptions!$B$7)</f>
        <v>0.13000002710923661</v>
      </c>
      <c r="F956" s="12">
        <f t="shared" si="42"/>
        <v>0.11756648054806365</v>
      </c>
      <c r="G956" s="12">
        <f>EXP(-Assumptions!$B$8*B956)</f>
        <v>0.62250725256768669</v>
      </c>
      <c r="H956" s="12">
        <f t="shared" si="43"/>
        <v>0.46839530605816354</v>
      </c>
      <c r="I956" s="12">
        <f t="shared" si="44"/>
        <v>8.0925959709495676E-2</v>
      </c>
      <c r="J956" s="12">
        <f>G956*(D956*Assumptions!$B$6+E956*Assumptions!$B$7)</f>
        <v>8.7302510460564187E-3</v>
      </c>
    </row>
    <row r="957" spans="1:10" x14ac:dyDescent="0.2">
      <c r="A957" s="2">
        <v>949</v>
      </c>
      <c r="B957" s="14">
        <f>A957*Assumptions!$B$12</f>
        <v>9.49</v>
      </c>
      <c r="C957" s="15">
        <f>IF(A957&lt;=Assumptions!$B$13,IF(OR(A957=0,A957=Assumptions!$B$13),0.5,1),0)*Assumptions!$B$12</f>
        <v>0.01</v>
      </c>
      <c r="D957" s="12">
        <f>D956*(1-Assumptions!$B$12*(Assumptions!$B$5+Assumptions!$B$6))</f>
        <v>0.75220776229499697</v>
      </c>
      <c r="E957" s="12">
        <f>E956+Assumptions!$B$12*(D956*Assumptions!$B$5-E956*Assumptions!$B$7)</f>
        <v>0.13008551379415054</v>
      </c>
      <c r="F957" s="12">
        <f t="shared" si="42"/>
        <v>0.11770672391085249</v>
      </c>
      <c r="G957" s="12">
        <f>EXP(-Assumptions!$B$8*B957)</f>
        <v>0.62219607674184219</v>
      </c>
      <c r="H957" s="12">
        <f t="shared" si="43"/>
        <v>0.46802071859470734</v>
      </c>
      <c r="I957" s="12">
        <f t="shared" si="44"/>
        <v>8.0938696323667264E-2</v>
      </c>
      <c r="J957" s="12">
        <f>G957*(D957*Assumptions!$B$6+E957*Assumptions!$B$7)</f>
        <v>8.7271420021304367E-3</v>
      </c>
    </row>
    <row r="958" spans="1:10" x14ac:dyDescent="0.2">
      <c r="A958" s="2">
        <v>950</v>
      </c>
      <c r="B958" s="14">
        <f>A958*Assumptions!$B$12</f>
        <v>9.5</v>
      </c>
      <c r="C958" s="15">
        <f>IF(A958&lt;=Assumptions!$B$13,IF(OR(A958=0,A958=Assumptions!$B$13),0.5,1),0)*Assumptions!$B$12</f>
        <v>0.01</v>
      </c>
      <c r="D958" s="12">
        <f>D957*(1-Assumptions!$B$12*(Assumptions!$B$5+Assumptions!$B$6))</f>
        <v>0.75198209996630849</v>
      </c>
      <c r="E958" s="12">
        <f>E957+Assumptions!$B$12*(D957*Assumptions!$B$5-E957*Assumptions!$B$7)</f>
        <v>0.13017091258971247</v>
      </c>
      <c r="F958" s="12">
        <f t="shared" si="42"/>
        <v>0.11784698744397903</v>
      </c>
      <c r="G958" s="12">
        <f>EXP(-Assumptions!$B$8*B958)</f>
        <v>0.62188505646502001</v>
      </c>
      <c r="H958" s="12">
        <f t="shared" si="43"/>
        <v>0.46764643069823209</v>
      </c>
      <c r="I958" s="12">
        <f t="shared" si="44"/>
        <v>8.095134532595652E-2</v>
      </c>
      <c r="J958" s="12">
        <f>G958*(D958*Assumptions!$B$6+E958*Assumptions!$B$7)</f>
        <v>8.7240315732801475E-3</v>
      </c>
    </row>
    <row r="959" spans="1:10" x14ac:dyDescent="0.2">
      <c r="A959" s="2">
        <v>951</v>
      </c>
      <c r="B959" s="14">
        <f>A959*Assumptions!$B$12</f>
        <v>9.51</v>
      </c>
      <c r="C959" s="15">
        <f>IF(A959&lt;=Assumptions!$B$13,IF(OR(A959=0,A959=Assumptions!$B$13),0.5,1),0)*Assumptions!$B$12</f>
        <v>0.01</v>
      </c>
      <c r="D959" s="12">
        <f>D958*(1-Assumptions!$B$12*(Assumptions!$B$5+Assumptions!$B$6))</f>
        <v>0.75175650533631866</v>
      </c>
      <c r="E959" s="12">
        <f>E958+Assumptions!$B$12*(D958*Assumptions!$B$5-E958*Assumptions!$B$7)</f>
        <v>0.13025622355341088</v>
      </c>
      <c r="F959" s="12">
        <f t="shared" si="42"/>
        <v>0.11798727111027046</v>
      </c>
      <c r="G959" s="12">
        <f>EXP(-Assumptions!$B$8*B959)</f>
        <v>0.62157419165946526</v>
      </c>
      <c r="H959" s="12">
        <f t="shared" si="43"/>
        <v>0.46727244212916674</v>
      </c>
      <c r="I959" s="12">
        <f t="shared" si="44"/>
        <v>8.0963906863825971E-2</v>
      </c>
      <c r="J959" s="12">
        <f>G959*(D959*Assumptions!$B$6+E959*Assumptions!$B$7)</f>
        <v>8.7209197644829654E-3</v>
      </c>
    </row>
    <row r="960" spans="1:10" x14ac:dyDescent="0.2">
      <c r="A960" s="2">
        <v>952</v>
      </c>
      <c r="B960" s="14">
        <f>A960*Assumptions!$B$12</f>
        <v>9.52</v>
      </c>
      <c r="C960" s="15">
        <f>IF(A960&lt;=Assumptions!$B$13,IF(OR(A960=0,A960=Assumptions!$B$13),0.5,1),0)*Assumptions!$B$12</f>
        <v>0.01</v>
      </c>
      <c r="D960" s="12">
        <f>D959*(1-Assumptions!$B$12*(Assumptions!$B$5+Assumptions!$B$6))</f>
        <v>0.75153097838471783</v>
      </c>
      <c r="E960" s="12">
        <f>E959+Assumptions!$B$12*(D959*Assumptions!$B$5-E959*Assumptions!$B$7)</f>
        <v>0.13034144674270143</v>
      </c>
      <c r="F960" s="12">
        <f t="shared" si="42"/>
        <v>0.11812757487258074</v>
      </c>
      <c r="G960" s="12">
        <f>EXP(-Assumptions!$B$8*B960)</f>
        <v>0.62126348224746175</v>
      </c>
      <c r="H960" s="12">
        <f t="shared" si="43"/>
        <v>0.46689875264813169</v>
      </c>
      <c r="I960" s="12">
        <f t="shared" si="44"/>
        <v>8.0976381084542776E-2</v>
      </c>
      <c r="J960" s="12">
        <f>G960*(D960*Assumptions!$B$6+E960*Assumptions!$B$7)</f>
        <v>8.7178065807084568E-3</v>
      </c>
    </row>
    <row r="961" spans="1:10" x14ac:dyDescent="0.2">
      <c r="A961" s="2">
        <v>953</v>
      </c>
      <c r="B961" s="14">
        <f>A961*Assumptions!$B$12</f>
        <v>9.5299999999999994</v>
      </c>
      <c r="C961" s="15">
        <f>IF(A961&lt;=Assumptions!$B$13,IF(OR(A961=0,A961=Assumptions!$B$13),0.5,1),0)*Assumptions!$B$12</f>
        <v>0.01</v>
      </c>
      <c r="D961" s="12">
        <f>D960*(1-Assumptions!$B$12*(Assumptions!$B$5+Assumptions!$B$6))</f>
        <v>0.75130551909120247</v>
      </c>
      <c r="E961" s="12">
        <f>E960+Assumptions!$B$12*(D960*Assumptions!$B$5-E960*Assumptions!$B$7)</f>
        <v>0.13042658221500703</v>
      </c>
      <c r="F961" s="12">
        <f t="shared" si="42"/>
        <v>0.11826789869379051</v>
      </c>
      <c r="G961" s="12">
        <f>EXP(-Assumptions!$B$8*B961)</f>
        <v>0.62095292815133185</v>
      </c>
      <c r="H961" s="12">
        <f t="shared" si="43"/>
        <v>0.46652536201593853</v>
      </c>
      <c r="I961" s="12">
        <f t="shared" si="44"/>
        <v>8.0988768135179037E-2</v>
      </c>
      <c r="J961" s="12">
        <f>G961*(D961*Assumptions!$B$6+E961*Assumptions!$B$7)</f>
        <v>8.7146920269183369E-3</v>
      </c>
    </row>
    <row r="962" spans="1:10" x14ac:dyDescent="0.2">
      <c r="A962" s="2">
        <v>954</v>
      </c>
      <c r="B962" s="14">
        <f>A962*Assumptions!$B$12</f>
        <v>9.5400000000000009</v>
      </c>
      <c r="C962" s="15">
        <f>IF(A962&lt;=Assumptions!$B$13,IF(OR(A962=0,A962=Assumptions!$B$13),0.5,1),0)*Assumptions!$B$12</f>
        <v>0.01</v>
      </c>
      <c r="D962" s="12">
        <f>D961*(1-Assumptions!$B$12*(Assumptions!$B$5+Assumptions!$B$6))</f>
        <v>0.75108012743547514</v>
      </c>
      <c r="E962" s="12">
        <f>E961+Assumptions!$B$12*(D961*Assumptions!$B$5-E961*Assumptions!$B$7)</f>
        <v>0.13051163002771776</v>
      </c>
      <c r="F962" s="12">
        <f t="shared" si="42"/>
        <v>0.1184082425368071</v>
      </c>
      <c r="G962" s="12">
        <f>EXP(-Assumptions!$B$8*B962)</f>
        <v>0.62064252929343722</v>
      </c>
      <c r="H962" s="12">
        <f t="shared" si="43"/>
        <v>0.46615226999359044</v>
      </c>
      <c r="I962" s="12">
        <f t="shared" si="44"/>
        <v>8.1001068162612058E-2</v>
      </c>
      <c r="J962" s="12">
        <f>G962*(D962*Assumptions!$B$6+E962*Assumptions!$B$7)</f>
        <v>8.7115761080665075E-3</v>
      </c>
    </row>
    <row r="963" spans="1:10" x14ac:dyDescent="0.2">
      <c r="A963" s="2">
        <v>955</v>
      </c>
      <c r="B963" s="14">
        <f>A963*Assumptions!$B$12</f>
        <v>9.5500000000000007</v>
      </c>
      <c r="C963" s="15">
        <f>IF(A963&lt;=Assumptions!$B$13,IF(OR(A963=0,A963=Assumptions!$B$13),0.5,1),0)*Assumptions!$B$12</f>
        <v>0.01</v>
      </c>
      <c r="D963" s="12">
        <f>D962*(1-Assumptions!$B$12*(Assumptions!$B$5+Assumptions!$B$6))</f>
        <v>0.75085480339724453</v>
      </c>
      <c r="E963" s="12">
        <f>E962+Assumptions!$B$12*(D962*Assumptions!$B$5-E962*Assumptions!$B$7)</f>
        <v>0.13059659023819101</v>
      </c>
      <c r="F963" s="12">
        <f t="shared" si="42"/>
        <v>0.11854860636456446</v>
      </c>
      <c r="G963" s="12">
        <f>EXP(-Assumptions!$B$8*B963)</f>
        <v>0.62033228559617826</v>
      </c>
      <c r="H963" s="12">
        <f t="shared" si="43"/>
        <v>0.46577947634228178</v>
      </c>
      <c r="I963" s="12">
        <f t="shared" si="44"/>
        <v>8.1013281313524574E-2</v>
      </c>
      <c r="J963" s="12">
        <f>G963*(D963*Assumptions!$B$6+E963*Assumptions!$B$7)</f>
        <v>8.7084588290990469E-3</v>
      </c>
    </row>
    <row r="964" spans="1:10" x14ac:dyDescent="0.2">
      <c r="A964" s="2">
        <v>956</v>
      </c>
      <c r="B964" s="14">
        <f>A964*Assumptions!$B$12</f>
        <v>9.56</v>
      </c>
      <c r="C964" s="15">
        <f>IF(A964&lt;=Assumptions!$B$13,IF(OR(A964=0,A964=Assumptions!$B$13),0.5,1),0)*Assumptions!$B$12</f>
        <v>0.01</v>
      </c>
      <c r="D964" s="12">
        <f>D963*(1-Assumptions!$B$12*(Assumptions!$B$5+Assumptions!$B$6))</f>
        <v>0.75062954695622541</v>
      </c>
      <c r="E964" s="12">
        <f>E963+Assumptions!$B$12*(D963*Assumptions!$B$5-E963*Assumptions!$B$7)</f>
        <v>0.13068146290375135</v>
      </c>
      <c r="F964" s="12">
        <f t="shared" si="42"/>
        <v>0.11868899014002324</v>
      </c>
      <c r="G964" s="12">
        <f>EXP(-Assumptions!$B$8*B964)</f>
        <v>0.6200221969819939</v>
      </c>
      <c r="H964" s="12">
        <f t="shared" si="43"/>
        <v>0.46540698082339765</v>
      </c>
      <c r="I964" s="12">
        <f t="shared" si="44"/>
        <v>8.102540773440485E-2</v>
      </c>
      <c r="J964" s="12">
        <f>G964*(D964*Assumptions!$B$6+E964*Assumptions!$B$7)</f>
        <v>8.7053401949542183E-3</v>
      </c>
    </row>
    <row r="965" spans="1:10" x14ac:dyDescent="0.2">
      <c r="A965" s="2">
        <v>957</v>
      </c>
      <c r="B965" s="14">
        <f>A965*Assumptions!$B$12</f>
        <v>9.57</v>
      </c>
      <c r="C965" s="15">
        <f>IF(A965&lt;=Assumptions!$B$13,IF(OR(A965=0,A965=Assumptions!$B$13),0.5,1),0)*Assumptions!$B$12</f>
        <v>0.01</v>
      </c>
      <c r="D965" s="12">
        <f>D964*(1-Assumptions!$B$12*(Assumptions!$B$5+Assumptions!$B$6))</f>
        <v>0.75040435809213857</v>
      </c>
      <c r="E965" s="12">
        <f>E964+Assumptions!$B$12*(D964*Assumptions!$B$5-E964*Assumptions!$B$7)</f>
        <v>0.13076624808169071</v>
      </c>
      <c r="F965" s="12">
        <f t="shared" si="42"/>
        <v>0.11882939382617072</v>
      </c>
      <c r="G965" s="12">
        <f>EXP(-Assumptions!$B$8*B965)</f>
        <v>0.61971226337336205</v>
      </c>
      <c r="H965" s="12">
        <f t="shared" si="43"/>
        <v>0.46503478319851405</v>
      </c>
      <c r="I965" s="12">
        <f t="shared" si="44"/>
        <v>8.1037447571547114E-2</v>
      </c>
      <c r="J965" s="12">
        <f>G965*(D965*Assumptions!$B$6+E965*Assumptions!$B$7)</f>
        <v>8.7022202105624964E-3</v>
      </c>
    </row>
    <row r="966" spans="1:10" x14ac:dyDescent="0.2">
      <c r="A966" s="2">
        <v>958</v>
      </c>
      <c r="B966" s="14">
        <f>A966*Assumptions!$B$12</f>
        <v>9.58</v>
      </c>
      <c r="C966" s="15">
        <f>IF(A966&lt;=Assumptions!$B$13,IF(OR(A966=0,A966=Assumptions!$B$13),0.5,1),0)*Assumptions!$B$12</f>
        <v>0.01</v>
      </c>
      <c r="D966" s="12">
        <f>D965*(1-Assumptions!$B$12*(Assumptions!$B$5+Assumptions!$B$6))</f>
        <v>0.75017923678471099</v>
      </c>
      <c r="E966" s="12">
        <f>E965+Assumptions!$B$12*(D965*Assumptions!$B$5-E965*Assumptions!$B$7)</f>
        <v>0.13085094582926829</v>
      </c>
      <c r="F966" s="12">
        <f t="shared" si="42"/>
        <v>0.11896981738602072</v>
      </c>
      <c r="G966" s="12">
        <f>EXP(-Assumptions!$B$8*B966)</f>
        <v>0.61940248469279924</v>
      </c>
      <c r="H966" s="12">
        <f t="shared" si="43"/>
        <v>0.46466288322939775</v>
      </c>
      <c r="I966" s="12">
        <f t="shared" si="44"/>
        <v>8.1049400971051649E-2</v>
      </c>
      <c r="J966" s="12">
        <f>G966*(D966*Assumptions!$B$6+E966*Assumptions!$B$7)</f>
        <v>8.6990988808465612E-3</v>
      </c>
    </row>
    <row r="967" spans="1:10" x14ac:dyDescent="0.2">
      <c r="A967" s="2">
        <v>959</v>
      </c>
      <c r="B967" s="14">
        <f>A967*Assumptions!$B$12</f>
        <v>9.59</v>
      </c>
      <c r="C967" s="15">
        <f>IF(A967&lt;=Assumptions!$B$13,IF(OR(A967=0,A967=Assumptions!$B$13),0.5,1),0)*Assumptions!$B$12</f>
        <v>0.01</v>
      </c>
      <c r="D967" s="12">
        <f>D966*(1-Assumptions!$B$12*(Assumptions!$B$5+Assumptions!$B$6))</f>
        <v>0.74995418301367556</v>
      </c>
      <c r="E967" s="12">
        <f>E966+Assumptions!$B$12*(D966*Assumptions!$B$5-E966*Assumptions!$B$7)</f>
        <v>0.13093555620371058</v>
      </c>
      <c r="F967" s="12">
        <f t="shared" si="42"/>
        <v>0.11911026078261386</v>
      </c>
      <c r="G967" s="12">
        <f>EXP(-Assumptions!$B$8*B967)</f>
        <v>0.61909286086286086</v>
      </c>
      <c r="H967" s="12">
        <f t="shared" si="43"/>
        <v>0.46429128067800596</v>
      </c>
      <c r="I967" s="12">
        <f t="shared" si="44"/>
        <v>8.1061268078825091E-2</v>
      </c>
      <c r="J967" s="12">
        <f>G967*(D967*Assumptions!$B$6+E967*Assumptions!$B$7)</f>
        <v>8.6959762107213148E-3</v>
      </c>
    </row>
    <row r="968" spans="1:10" x14ac:dyDescent="0.2">
      <c r="A968" s="2">
        <v>960</v>
      </c>
      <c r="B968" s="14">
        <f>A968*Assumptions!$B$12</f>
        <v>9.6</v>
      </c>
      <c r="C968" s="15">
        <f>IF(A968&lt;=Assumptions!$B$13,IF(OR(A968=0,A968=Assumptions!$B$13),0.5,1),0)*Assumptions!$B$12</f>
        <v>0.01</v>
      </c>
      <c r="D968" s="12">
        <f>D967*(1-Assumptions!$B$12*(Assumptions!$B$5+Assumptions!$B$6))</f>
        <v>0.74972919675877148</v>
      </c>
      <c r="E968" s="12">
        <f>E967+Assumptions!$B$12*(D967*Assumptions!$B$5-E967*Assumptions!$B$7)</f>
        <v>0.13102007926221146</v>
      </c>
      <c r="F968" s="12">
        <f t="shared" ref="F968:F1031" si="45">1-D968-E968</f>
        <v>0.11925072397901706</v>
      </c>
      <c r="G968" s="12">
        <f>EXP(-Assumptions!$B$8*B968)</f>
        <v>0.61878339180614084</v>
      </c>
      <c r="H968" s="12">
        <f t="shared" ref="H968:H1031" si="46">G968*D968</f>
        <v>0.46391997530648615</v>
      </c>
      <c r="I968" s="12">
        <f t="shared" ref="I968:I1031" si="47">G968*E968</f>
        <v>8.1073049040580616E-2</v>
      </c>
      <c r="J968" s="12">
        <f>G968*(D968*Assumptions!$B$6+E968*Assumptions!$B$7)</f>
        <v>8.6928522050938924E-3</v>
      </c>
    </row>
    <row r="969" spans="1:10" x14ac:dyDescent="0.2">
      <c r="A969" s="2">
        <v>961</v>
      </c>
      <c r="B969" s="14">
        <f>A969*Assumptions!$B$12</f>
        <v>9.61</v>
      </c>
      <c r="C969" s="15">
        <f>IF(A969&lt;=Assumptions!$B$13,IF(OR(A969=0,A969=Assumptions!$B$13),0.5,1),0)*Assumptions!$B$12</f>
        <v>0.01</v>
      </c>
      <c r="D969" s="12">
        <f>D968*(1-Assumptions!$B$12*(Assumptions!$B$5+Assumptions!$B$6))</f>
        <v>0.74950427799974384</v>
      </c>
      <c r="E969" s="12">
        <f>E968+Assumptions!$B$12*(D968*Assumptions!$B$5-E968*Assumptions!$B$7)</f>
        <v>0.1311045150619321</v>
      </c>
      <c r="F969" s="12">
        <f t="shared" si="45"/>
        <v>0.11939120693832406</v>
      </c>
      <c r="G969" s="12">
        <f>EXP(-Assumptions!$B$8*B969)</f>
        <v>0.61847407744527205</v>
      </c>
      <c r="H969" s="12">
        <f t="shared" si="46"/>
        <v>0.46354896687717628</v>
      </c>
      <c r="I969" s="12">
        <f t="shared" si="47"/>
        <v>8.1084744001838238E-2</v>
      </c>
      <c r="J969" s="12">
        <f>G969*(D969*Assumptions!$B$6+E969*Assumptions!$B$7)</f>
        <v>8.6897268688636755E-3</v>
      </c>
    </row>
    <row r="970" spans="1:10" x14ac:dyDescent="0.2">
      <c r="A970" s="2">
        <v>962</v>
      </c>
      <c r="B970" s="14">
        <f>A970*Assumptions!$B$12</f>
        <v>9.620000000000001</v>
      </c>
      <c r="C970" s="15">
        <f>IF(A970&lt;=Assumptions!$B$13,IF(OR(A970=0,A970=Assumptions!$B$13),0.5,1),0)*Assumptions!$B$12</f>
        <v>0.01</v>
      </c>
      <c r="D970" s="12">
        <f>D969*(1-Assumptions!$B$12*(Assumptions!$B$5+Assumptions!$B$6))</f>
        <v>0.74927942671634395</v>
      </c>
      <c r="E970" s="12">
        <f>E969+Assumptions!$B$12*(D969*Assumptions!$B$5-E969*Assumptions!$B$7)</f>
        <v>0.1311888636600011</v>
      </c>
      <c r="F970" s="12">
        <f t="shared" si="45"/>
        <v>0.11953170962365495</v>
      </c>
      <c r="G970" s="12">
        <f>EXP(-Assumptions!$B$8*B970)</f>
        <v>0.61816491770292581</v>
      </c>
      <c r="H970" s="12">
        <f t="shared" si="46"/>
        <v>0.46317825515260419</v>
      </c>
      <c r="I970" s="12">
        <f t="shared" si="47"/>
        <v>8.1096353107924929E-2</v>
      </c>
      <c r="J970" s="12">
        <f>G970*(D970*Assumptions!$B$6+E970*Assumptions!$B$7)</f>
        <v>8.6866002069222892E-3</v>
      </c>
    </row>
    <row r="971" spans="1:10" x14ac:dyDescent="0.2">
      <c r="A971" s="2">
        <v>963</v>
      </c>
      <c r="B971" s="14">
        <f>A971*Assumptions!$B$12</f>
        <v>9.6300000000000008</v>
      </c>
      <c r="C971" s="15">
        <f>IF(A971&lt;=Assumptions!$B$13,IF(OR(A971=0,A971=Assumptions!$B$13),0.5,1),0)*Assumptions!$B$12</f>
        <v>0.01</v>
      </c>
      <c r="D971" s="12">
        <f>D970*(1-Assumptions!$B$12*(Assumptions!$B$5+Assumptions!$B$6))</f>
        <v>0.74905464288832913</v>
      </c>
      <c r="E971" s="12">
        <f>E970+Assumptions!$B$12*(D970*Assumptions!$B$5-E970*Assumptions!$B$7)</f>
        <v>0.13127312511351436</v>
      </c>
      <c r="F971" s="12">
        <f t="shared" si="45"/>
        <v>0.11967223199815652</v>
      </c>
      <c r="G971" s="12">
        <f>EXP(-Assumptions!$B$8*B971)</f>
        <v>0.61785591250181227</v>
      </c>
      <c r="H971" s="12">
        <f t="shared" si="46"/>
        <v>0.46280783989548774</v>
      </c>
      <c r="I971" s="12">
        <f t="shared" si="47"/>
        <v>8.1107876503974982E-2</v>
      </c>
      <c r="J971" s="12">
        <f>G971*(D971*Assumptions!$B$6+E971*Assumptions!$B$7)</f>
        <v>8.6834722241536256E-3</v>
      </c>
    </row>
    <row r="972" spans="1:10" x14ac:dyDescent="0.2">
      <c r="A972" s="2">
        <v>964</v>
      </c>
      <c r="B972" s="14">
        <f>A972*Assumptions!$B$12</f>
        <v>9.64</v>
      </c>
      <c r="C972" s="15">
        <f>IF(A972&lt;=Assumptions!$B$13,IF(OR(A972=0,A972=Assumptions!$B$13),0.5,1),0)*Assumptions!$B$12</f>
        <v>0.01</v>
      </c>
      <c r="D972" s="12">
        <f>D971*(1-Assumptions!$B$12*(Assumptions!$B$5+Assumptions!$B$6))</f>
        <v>0.74882992649546265</v>
      </c>
      <c r="E972" s="12">
        <f>E971+Assumptions!$B$12*(D971*Assumptions!$B$5-E971*Assumptions!$B$7)</f>
        <v>0.13135729947953526</v>
      </c>
      <c r="F972" s="12">
        <f t="shared" si="45"/>
        <v>0.11981277402500209</v>
      </c>
      <c r="G972" s="12">
        <f>EXP(-Assumptions!$B$8*B972)</f>
        <v>0.61754706176467999</v>
      </c>
      <c r="H972" s="12">
        <f t="shared" si="46"/>
        <v>0.46243772086873425</v>
      </c>
      <c r="I972" s="12">
        <f t="shared" si="47"/>
        <v>8.1119314334930123E-2</v>
      </c>
      <c r="J972" s="12">
        <f>G972*(D972*Assumptions!$B$6+E972*Assumptions!$B$7)</f>
        <v>8.68034292543385E-3</v>
      </c>
    </row>
    <row r="973" spans="1:10" x14ac:dyDescent="0.2">
      <c r="A973" s="2">
        <v>965</v>
      </c>
      <c r="B973" s="14">
        <f>A973*Assumptions!$B$12</f>
        <v>9.65</v>
      </c>
      <c r="C973" s="15">
        <f>IF(A973&lt;=Assumptions!$B$13,IF(OR(A973=0,A973=Assumptions!$B$13),0.5,1),0)*Assumptions!$B$12</f>
        <v>0.01</v>
      </c>
      <c r="D973" s="12">
        <f>D972*(1-Assumptions!$B$12*(Assumptions!$B$5+Assumptions!$B$6))</f>
        <v>0.74860527751751405</v>
      </c>
      <c r="E973" s="12">
        <f>E972+Assumptions!$B$12*(D972*Assumptions!$B$5-E972*Assumptions!$B$7)</f>
        <v>0.13144138681509457</v>
      </c>
      <c r="F973" s="12">
        <f t="shared" si="45"/>
        <v>0.11995333566739139</v>
      </c>
      <c r="G973" s="12">
        <f>EXP(-Assumptions!$B$8*B973)</f>
        <v>0.61723836541431643</v>
      </c>
      <c r="H973" s="12">
        <f t="shared" si="46"/>
        <v>0.46206789783544111</v>
      </c>
      <c r="I973" s="12">
        <f t="shared" si="47"/>
        <v>8.1130666745539856E-2</v>
      </c>
      <c r="J973" s="12">
        <f>G973*(D973*Assumptions!$B$6+E973*Assumptions!$B$7)</f>
        <v>8.6772123156314031E-3</v>
      </c>
    </row>
    <row r="974" spans="1:10" x14ac:dyDescent="0.2">
      <c r="A974" s="2">
        <v>966</v>
      </c>
      <c r="B974" s="14">
        <f>A974*Assumptions!$B$12</f>
        <v>9.66</v>
      </c>
      <c r="C974" s="15">
        <f>IF(A974&lt;=Assumptions!$B$13,IF(OR(A974=0,A974=Assumptions!$B$13),0.5,1),0)*Assumptions!$B$12</f>
        <v>0.01</v>
      </c>
      <c r="D974" s="12">
        <f>D973*(1-Assumptions!$B$12*(Assumptions!$B$5+Assumptions!$B$6))</f>
        <v>0.74838069593425882</v>
      </c>
      <c r="E974" s="12">
        <f>E973+Assumptions!$B$12*(D973*Assumptions!$B$5-E973*Assumptions!$B$7)</f>
        <v>0.13152538717719053</v>
      </c>
      <c r="F974" s="12">
        <f t="shared" si="45"/>
        <v>0.12009391688855064</v>
      </c>
      <c r="G974" s="12">
        <f>EXP(-Assumptions!$B$8*B974)</f>
        <v>0.6169298233735474</v>
      </c>
      <c r="H974" s="12">
        <f t="shared" si="46"/>
        <v>0.46169837055889479</v>
      </c>
      <c r="I974" s="12">
        <f t="shared" si="47"/>
        <v>8.1141933880361589E-2</v>
      </c>
      <c r="J974" s="12">
        <f>G974*(D974*Assumptions!$B$6+E974*Assumptions!$B$7)</f>
        <v>8.674080399607027E-3</v>
      </c>
    </row>
    <row r="975" spans="1:10" x14ac:dyDescent="0.2">
      <c r="A975" s="2">
        <v>967</v>
      </c>
      <c r="B975" s="14">
        <f>A975*Assumptions!$B$12</f>
        <v>9.67</v>
      </c>
      <c r="C975" s="15">
        <f>IF(A975&lt;=Assumptions!$B$13,IF(OR(A975=0,A975=Assumptions!$B$13),0.5,1),0)*Assumptions!$B$12</f>
        <v>0.01</v>
      </c>
      <c r="D975" s="12">
        <f>D974*(1-Assumptions!$B$12*(Assumptions!$B$5+Assumptions!$B$6))</f>
        <v>0.7481561817254786</v>
      </c>
      <c r="E975" s="12">
        <f>E974+Assumptions!$B$12*(D974*Assumptions!$B$5-E974*Assumptions!$B$7)</f>
        <v>0.13160930062278878</v>
      </c>
      <c r="F975" s="12">
        <f t="shared" si="45"/>
        <v>0.12023451765173263</v>
      </c>
      <c r="G975" s="12">
        <f>EXP(-Assumptions!$B$8*B975)</f>
        <v>0.61662143556523741</v>
      </c>
      <c r="H975" s="12">
        <f t="shared" si="46"/>
        <v>0.46132913880257126</v>
      </c>
      <c r="I975" s="12">
        <f t="shared" si="47"/>
        <v>8.115311588376091E-2</v>
      </c>
      <c r="J975" s="12">
        <f>G975*(D975*Assumptions!$B$6+E975*Assumptions!$B$7)</f>
        <v>8.670947182213758E-3</v>
      </c>
    </row>
    <row r="976" spans="1:10" x14ac:dyDescent="0.2">
      <c r="A976" s="2">
        <v>968</v>
      </c>
      <c r="B976" s="14">
        <f>A976*Assumptions!$B$12</f>
        <v>9.68</v>
      </c>
      <c r="C976" s="15">
        <f>IF(A976&lt;=Assumptions!$B$13,IF(OR(A976=0,A976=Assumptions!$B$13),0.5,1),0)*Assumptions!$B$12</f>
        <v>0.01</v>
      </c>
      <c r="D976" s="12">
        <f>D975*(1-Assumptions!$B$12*(Assumptions!$B$5+Assumptions!$B$6))</f>
        <v>0.74793173487096098</v>
      </c>
      <c r="E976" s="12">
        <f>E975+Assumptions!$B$12*(D975*Assumptions!$B$5-E975*Assumptions!$B$7)</f>
        <v>0.13169312720882248</v>
      </c>
      <c r="F976" s="12">
        <f t="shared" si="45"/>
        <v>0.12037513792021654</v>
      </c>
      <c r="G976" s="12">
        <f>EXP(-Assumptions!$B$8*B976)</f>
        <v>0.61631320191228967</v>
      </c>
      <c r="H976" s="12">
        <f t="shared" si="46"/>
        <v>0.46096020233013568</v>
      </c>
      <c r="I976" s="12">
        <f t="shared" si="47"/>
        <v>8.1164212899911853E-2</v>
      </c>
      <c r="J976" s="12">
        <f>G976*(D976*Assumptions!$B$6+E976*Assumptions!$B$7)</f>
        <v>8.6678126682969512E-3</v>
      </c>
    </row>
    <row r="977" spans="1:10" x14ac:dyDescent="0.2">
      <c r="A977" s="2">
        <v>969</v>
      </c>
      <c r="B977" s="14">
        <f>A977*Assumptions!$B$12</f>
        <v>9.69</v>
      </c>
      <c r="C977" s="15">
        <f>IF(A977&lt;=Assumptions!$B$13,IF(OR(A977=0,A977=Assumptions!$B$13),0.5,1),0)*Assumptions!$B$12</f>
        <v>0.01</v>
      </c>
      <c r="D977" s="12">
        <f>D976*(1-Assumptions!$B$12*(Assumptions!$B$5+Assumptions!$B$6))</f>
        <v>0.7477073553504997</v>
      </c>
      <c r="E977" s="12">
        <f>E976+Assumptions!$B$12*(D976*Assumptions!$B$5-E976*Assumptions!$B$7)</f>
        <v>0.13177686699219227</v>
      </c>
      <c r="F977" s="12">
        <f t="shared" si="45"/>
        <v>0.12051577765730803</v>
      </c>
      <c r="G977" s="12">
        <f>EXP(-Assumptions!$B$8*B977)</f>
        <v>0.61600512233764548</v>
      </c>
      <c r="H977" s="12">
        <f t="shared" si="46"/>
        <v>0.46059156090544195</v>
      </c>
      <c r="I977" s="12">
        <f t="shared" si="47"/>
        <v>8.1175225072797036E-2</v>
      </c>
      <c r="J977" s="12">
        <f>G977*(D977*Assumptions!$B$6+E977*Assumptions!$B$7)</f>
        <v>8.6646768626942716E-3</v>
      </c>
    </row>
    <row r="978" spans="1:10" x14ac:dyDescent="0.2">
      <c r="A978" s="2">
        <v>970</v>
      </c>
      <c r="B978" s="14">
        <f>A978*Assumptions!$B$12</f>
        <v>9.7000000000000011</v>
      </c>
      <c r="C978" s="15">
        <f>IF(A978&lt;=Assumptions!$B$13,IF(OR(A978=0,A978=Assumptions!$B$13),0.5,1),0)*Assumptions!$B$12</f>
        <v>0.01</v>
      </c>
      <c r="D978" s="12">
        <f>D977*(1-Assumptions!$B$12*(Assumptions!$B$5+Assumptions!$B$6))</f>
        <v>0.74748304314389458</v>
      </c>
      <c r="E978" s="12">
        <f>E977+Assumptions!$B$12*(D977*Assumptions!$B$5-E977*Assumptions!$B$7)</f>
        <v>0.13186052002976628</v>
      </c>
      <c r="F978" s="12">
        <f t="shared" si="45"/>
        <v>0.12065643682633914</v>
      </c>
      <c r="G978" s="12">
        <f>EXP(-Assumptions!$B$8*B978)</f>
        <v>0.61569719676428503</v>
      </c>
      <c r="H978" s="12">
        <f t="shared" si="46"/>
        <v>0.46022321429253299</v>
      </c>
      <c r="I978" s="12">
        <f t="shared" si="47"/>
        <v>8.1186152546207951E-2</v>
      </c>
      <c r="J978" s="12">
        <f>G978*(D978*Assumptions!$B$6+E978*Assumptions!$B$7)</f>
        <v>8.6615397702357287E-3</v>
      </c>
    </row>
    <row r="979" spans="1:10" x14ac:dyDescent="0.2">
      <c r="A979" s="2">
        <v>971</v>
      </c>
      <c r="B979" s="14">
        <f>A979*Assumptions!$B$12</f>
        <v>9.7100000000000009</v>
      </c>
      <c r="C979" s="15">
        <f>IF(A979&lt;=Assumptions!$B$13,IF(OR(A979=0,A979=Assumptions!$B$13),0.5,1),0)*Assumptions!$B$12</f>
        <v>0.01</v>
      </c>
      <c r="D979" s="12">
        <f>D978*(1-Assumptions!$B$12*(Assumptions!$B$5+Assumptions!$B$6))</f>
        <v>0.74725879823095143</v>
      </c>
      <c r="E979" s="12">
        <f>E978+Assumptions!$B$12*(D978*Assumptions!$B$5-E978*Assumptions!$B$7)</f>
        <v>0.13194408637838018</v>
      </c>
      <c r="F979" s="12">
        <f t="shared" si="45"/>
        <v>0.1207971153906684</v>
      </c>
      <c r="G979" s="12">
        <f>EXP(-Assumptions!$B$8*B979)</f>
        <v>0.6153894251152271</v>
      </c>
      <c r="H979" s="12">
        <f t="shared" si="46"/>
        <v>0.45985516225564066</v>
      </c>
      <c r="I979" s="12">
        <f t="shared" si="47"/>
        <v>8.1196995463745245E-2</v>
      </c>
      <c r="J979" s="12">
        <f>G979*(D979*Assumptions!$B$6+E979*Assumptions!$B$7)</f>
        <v>8.6584013957436683E-3</v>
      </c>
    </row>
    <row r="980" spans="1:10" x14ac:dyDescent="0.2">
      <c r="A980" s="2">
        <v>972</v>
      </c>
      <c r="B980" s="14">
        <f>A980*Assumptions!$B$12</f>
        <v>9.7200000000000006</v>
      </c>
      <c r="C980" s="15">
        <f>IF(A980&lt;=Assumptions!$B$13,IF(OR(A980=0,A980=Assumptions!$B$13),0.5,1),0)*Assumptions!$B$12</f>
        <v>0.01</v>
      </c>
      <c r="D980" s="12">
        <f>D979*(1-Assumptions!$B$12*(Assumptions!$B$5+Assumptions!$B$6))</f>
        <v>0.74703462059148218</v>
      </c>
      <c r="E980" s="12">
        <f>E979+Assumptions!$B$12*(D979*Assumptions!$B$5-E979*Assumptions!$B$7)</f>
        <v>0.13202756609483718</v>
      </c>
      <c r="F980" s="12">
        <f t="shared" si="45"/>
        <v>0.12093781331368064</v>
      </c>
      <c r="G980" s="12">
        <f>EXP(-Assumptions!$B$8*B980)</f>
        <v>0.61508180731352868</v>
      </c>
      <c r="H980" s="12">
        <f t="shared" si="46"/>
        <v>0.45948740455918508</v>
      </c>
      <c r="I980" s="12">
        <f t="shared" si="47"/>
        <v>8.120775396881881E-2</v>
      </c>
      <c r="J980" s="12">
        <f>G980*(D980*Assumptions!$B$6+E980*Assumptions!$B$7)</f>
        <v>8.6552617440327911E-3</v>
      </c>
    </row>
    <row r="981" spans="1:10" x14ac:dyDescent="0.2">
      <c r="A981" s="2">
        <v>973</v>
      </c>
      <c r="B981" s="14">
        <f>A981*Assumptions!$B$12</f>
        <v>9.73</v>
      </c>
      <c r="C981" s="15">
        <f>IF(A981&lt;=Assumptions!$B$13,IF(OR(A981=0,A981=Assumptions!$B$13),0.5,1),0)*Assumptions!$B$12</f>
        <v>0.01</v>
      </c>
      <c r="D981" s="12">
        <f>D980*(1-Assumptions!$B$12*(Assumptions!$B$5+Assumptions!$B$6))</f>
        <v>0.74681051020530476</v>
      </c>
      <c r="E981" s="12">
        <f>E980+Assumptions!$B$12*(D980*Assumptions!$B$5-E980*Assumptions!$B$7)</f>
        <v>0.13211095923590804</v>
      </c>
      <c r="F981" s="12">
        <f t="shared" si="45"/>
        <v>0.1210785305587872</v>
      </c>
      <c r="G981" s="12">
        <f>EXP(-Assumptions!$B$8*B981)</f>
        <v>0.6147743432822852</v>
      </c>
      <c r="H981" s="12">
        <f t="shared" si="46"/>
        <v>0.45911994096777459</v>
      </c>
      <c r="I981" s="12">
        <f t="shared" si="47"/>
        <v>8.1218428204648113E-2</v>
      </c>
      <c r="J981" s="12">
        <f>G981*(D981*Assumptions!$B$6+E981*Assumptions!$B$7)</f>
        <v>8.6521208199101512E-3</v>
      </c>
    </row>
    <row r="982" spans="1:10" x14ac:dyDescent="0.2">
      <c r="A982" s="2">
        <v>974</v>
      </c>
      <c r="B982" s="14">
        <f>A982*Assumptions!$B$12</f>
        <v>9.74</v>
      </c>
      <c r="C982" s="15">
        <f>IF(A982&lt;=Assumptions!$B$13,IF(OR(A982=0,A982=Assumptions!$B$13),0.5,1),0)*Assumptions!$B$12</f>
        <v>0.01</v>
      </c>
      <c r="D982" s="12">
        <f>D981*(1-Assumptions!$B$12*(Assumptions!$B$5+Assumptions!$B$6))</f>
        <v>0.74658646705224319</v>
      </c>
      <c r="E982" s="12">
        <f>E981+Assumptions!$B$12*(D981*Assumptions!$B$5-E981*Assumptions!$B$7)</f>
        <v>0.13219426585833116</v>
      </c>
      <c r="F982" s="12">
        <f t="shared" si="45"/>
        <v>0.12121926708942565</v>
      </c>
      <c r="G982" s="12">
        <f>EXP(-Assumptions!$B$8*B982)</f>
        <v>0.61446703294463079</v>
      </c>
      <c r="H982" s="12">
        <f t="shared" si="46"/>
        <v>0.45875277124620623</v>
      </c>
      <c r="I982" s="12">
        <f t="shared" si="47"/>
        <v>8.1229018314262449E-2</v>
      </c>
      <c r="J982" s="12">
        <f>G982*(D982*Assumptions!$B$6+E982*Assumptions!$B$7)</f>
        <v>8.6489786281751854E-3</v>
      </c>
    </row>
    <row r="983" spans="1:10" x14ac:dyDescent="0.2">
      <c r="A983" s="2">
        <v>975</v>
      </c>
      <c r="B983" s="14">
        <f>A983*Assumptions!$B$12</f>
        <v>9.75</v>
      </c>
      <c r="C983" s="15">
        <f>IF(A983&lt;=Assumptions!$B$13,IF(OR(A983=0,A983=Assumptions!$B$13),0.5,1),0)*Assumptions!$B$12</f>
        <v>0.01</v>
      </c>
      <c r="D983" s="12">
        <f>D982*(1-Assumptions!$B$12*(Assumptions!$B$5+Assumptions!$B$6))</f>
        <v>0.74636249111212749</v>
      </c>
      <c r="E983" s="12">
        <f>E982+Assumptions!$B$12*(D982*Assumptions!$B$5-E982*Assumptions!$B$7)</f>
        <v>0.13227748601881245</v>
      </c>
      <c r="F983" s="12">
        <f t="shared" si="45"/>
        <v>0.12136002286906006</v>
      </c>
      <c r="G983" s="12">
        <f>EXP(-Assumptions!$B$8*B983)</f>
        <v>0.6141598762237378</v>
      </c>
      <c r="H983" s="12">
        <f t="shared" si="46"/>
        <v>0.45838589515946482</v>
      </c>
      <c r="I983" s="12">
        <f t="shared" si="47"/>
        <v>8.123952444050106E-2</v>
      </c>
      <c r="J983" s="12">
        <f>G983*(D983*Assumptions!$B$6+E983*Assumptions!$B$7)</f>
        <v>8.6458351736197012E-3</v>
      </c>
    </row>
    <row r="984" spans="1:10" x14ac:dyDescent="0.2">
      <c r="A984" s="2">
        <v>976</v>
      </c>
      <c r="B984" s="14">
        <f>A984*Assumptions!$B$12</f>
        <v>9.76</v>
      </c>
      <c r="C984" s="15">
        <f>IF(A984&lt;=Assumptions!$B$13,IF(OR(A984=0,A984=Assumptions!$B$13),0.5,1),0)*Assumptions!$B$12</f>
        <v>0.01</v>
      </c>
      <c r="D984" s="12">
        <f>D983*(1-Assumptions!$B$12*(Assumptions!$B$5+Assumptions!$B$6))</f>
        <v>0.74613858236479391</v>
      </c>
      <c r="E984" s="12">
        <f>E983+Assumptions!$B$12*(D983*Assumptions!$B$5-E983*Assumptions!$B$7)</f>
        <v>0.13236061977402547</v>
      </c>
      <c r="F984" s="12">
        <f t="shared" si="45"/>
        <v>0.12150079786118062</v>
      </c>
      <c r="G984" s="12">
        <f>EXP(-Assumptions!$B$8*B984)</f>
        <v>0.6138528730428171</v>
      </c>
      <c r="H984" s="12">
        <f t="shared" si="46"/>
        <v>0.45801931247272337</v>
      </c>
      <c r="I984" s="12">
        <f t="shared" si="47"/>
        <v>8.1249946726013447E-2</v>
      </c>
      <c r="J984" s="12">
        <f>G984*(D984*Assumptions!$B$6+E984*Assumptions!$B$7)</f>
        <v>8.6426904610279066E-3</v>
      </c>
    </row>
    <row r="985" spans="1:10" x14ac:dyDescent="0.2">
      <c r="A985" s="2">
        <v>977</v>
      </c>
      <c r="B985" s="14">
        <f>A985*Assumptions!$B$12</f>
        <v>9.77</v>
      </c>
      <c r="C985" s="15">
        <f>IF(A985&lt;=Assumptions!$B$13,IF(OR(A985=0,A985=Assumptions!$B$13),0.5,1),0)*Assumptions!$B$12</f>
        <v>0.01</v>
      </c>
      <c r="D985" s="12">
        <f>D984*(1-Assumptions!$B$12*(Assumptions!$B$5+Assumptions!$B$6))</f>
        <v>0.74591474079008446</v>
      </c>
      <c r="E985" s="12">
        <f>E984+Assumptions!$B$12*(D984*Assumptions!$B$5-E984*Assumptions!$B$7)</f>
        <v>0.1324436671806114</v>
      </c>
      <c r="F985" s="12">
        <f t="shared" si="45"/>
        <v>0.12164159202930414</v>
      </c>
      <c r="G985" s="12">
        <f>EXP(-Assumptions!$B$8*B985)</f>
        <v>0.61354602332511776</v>
      </c>
      <c r="H985" s="12">
        <f t="shared" si="46"/>
        <v>0.45765302295134236</v>
      </c>
      <c r="I985" s="12">
        <f t="shared" si="47"/>
        <v>8.1260285313259531E-2</v>
      </c>
      <c r="J985" s="12">
        <f>G985*(D985*Assumptions!$B$6+E985*Assumptions!$B$7)</f>
        <v>8.6395444951763989E-3</v>
      </c>
    </row>
    <row r="986" spans="1:10" x14ac:dyDescent="0.2">
      <c r="A986" s="2">
        <v>978</v>
      </c>
      <c r="B986" s="14">
        <f>A986*Assumptions!$B$12</f>
        <v>9.7799999999999994</v>
      </c>
      <c r="C986" s="15">
        <f>IF(A986&lt;=Assumptions!$B$13,IF(OR(A986=0,A986=Assumptions!$B$13),0.5,1),0)*Assumptions!$B$12</f>
        <v>0.01</v>
      </c>
      <c r="D986" s="12">
        <f>D985*(1-Assumptions!$B$12*(Assumptions!$B$5+Assumptions!$B$6))</f>
        <v>0.74569096636784749</v>
      </c>
      <c r="E986" s="12">
        <f>E985+Assumptions!$B$12*(D985*Assumptions!$B$5-E985*Assumptions!$B$7)</f>
        <v>0.13252662829517911</v>
      </c>
      <c r="F986" s="12">
        <f t="shared" si="45"/>
        <v>0.1217824053369734</v>
      </c>
      <c r="G986" s="12">
        <f>EXP(-Assumptions!$B$8*B986)</f>
        <v>0.61323932699392747</v>
      </c>
      <c r="H986" s="12">
        <f t="shared" si="46"/>
        <v>0.45728702636087021</v>
      </c>
      <c r="I986" s="12">
        <f t="shared" si="47"/>
        <v>8.127054034451002E-2</v>
      </c>
      <c r="J986" s="12">
        <f>G986*(D986*Assumptions!$B$6+E986*Assumptions!$B$7)</f>
        <v>8.6363972808342036E-3</v>
      </c>
    </row>
    <row r="987" spans="1:10" x14ac:dyDescent="0.2">
      <c r="A987" s="2">
        <v>979</v>
      </c>
      <c r="B987" s="14">
        <f>A987*Assumptions!$B$12</f>
        <v>9.7900000000000009</v>
      </c>
      <c r="C987" s="15">
        <f>IF(A987&lt;=Assumptions!$B$13,IF(OR(A987=0,A987=Assumptions!$B$13),0.5,1),0)*Assumptions!$B$12</f>
        <v>0.01</v>
      </c>
      <c r="D987" s="12">
        <f>D986*(1-Assumptions!$B$12*(Assumptions!$B$5+Assumptions!$B$6))</f>
        <v>0.74546725907793721</v>
      </c>
      <c r="E987" s="12">
        <f>E986+Assumptions!$B$12*(D986*Assumptions!$B$5-E986*Assumptions!$B$7)</f>
        <v>0.13260950317430509</v>
      </c>
      <c r="F987" s="12">
        <f t="shared" si="45"/>
        <v>0.12192323774775771</v>
      </c>
      <c r="G987" s="12">
        <f>EXP(-Assumptions!$B$8*B987)</f>
        <v>0.61293278397257211</v>
      </c>
      <c r="H987" s="12">
        <f t="shared" si="46"/>
        <v>0.45692132246704276</v>
      </c>
      <c r="I987" s="12">
        <f t="shared" si="47"/>
        <v>8.1280711961846455E-2</v>
      </c>
      <c r="J987" s="12">
        <f>G987*(D987*Assumptions!$B$6+E987*Assumptions!$B$7)</f>
        <v>8.6332488227627499E-3</v>
      </c>
    </row>
    <row r="988" spans="1:10" x14ac:dyDescent="0.2">
      <c r="A988" s="2">
        <v>980</v>
      </c>
      <c r="B988" s="14">
        <f>A988*Assumptions!$B$12</f>
        <v>9.8000000000000007</v>
      </c>
      <c r="C988" s="15">
        <f>IF(A988&lt;=Assumptions!$B$13,IF(OR(A988=0,A988=Assumptions!$B$13),0.5,1),0)*Assumptions!$B$12</f>
        <v>0.01</v>
      </c>
      <c r="D988" s="12">
        <f>D987*(1-Assumptions!$B$12*(Assumptions!$B$5+Assumptions!$B$6))</f>
        <v>0.74524361890021384</v>
      </c>
      <c r="E988" s="12">
        <f>E987+Assumptions!$B$12*(D987*Assumptions!$B$5-E987*Assumptions!$B$7)</f>
        <v>0.13269229187453352</v>
      </c>
      <c r="F988" s="12">
        <f t="shared" si="45"/>
        <v>0.12206408922525264</v>
      </c>
      <c r="G988" s="12">
        <f>EXP(-Assumptions!$B$8*B988)</f>
        <v>0.612626394184416</v>
      </c>
      <c r="H988" s="12">
        <f t="shared" si="46"/>
        <v>0.45655591103578308</v>
      </c>
      <c r="I988" s="12">
        <f t="shared" si="47"/>
        <v>8.1290800307161556E-2</v>
      </c>
      <c r="J988" s="12">
        <f>G988*(D988*Assumptions!$B$6+E988*Assumptions!$B$7)</f>
        <v>8.6300991257159086E-3</v>
      </c>
    </row>
    <row r="989" spans="1:10" x14ac:dyDescent="0.2">
      <c r="A989" s="2">
        <v>981</v>
      </c>
      <c r="B989" s="14">
        <f>A989*Assumptions!$B$12</f>
        <v>9.81</v>
      </c>
      <c r="C989" s="15">
        <f>IF(A989&lt;=Assumptions!$B$13,IF(OR(A989=0,A989=Assumptions!$B$13),0.5,1),0)*Assumptions!$B$12</f>
        <v>0.01</v>
      </c>
      <c r="D989" s="12">
        <f>D988*(1-Assumptions!$B$12*(Assumptions!$B$5+Assumptions!$B$6))</f>
        <v>0.74502004581454384</v>
      </c>
      <c r="E989" s="12">
        <f>E988+Assumptions!$B$12*(D988*Assumptions!$B$5-E988*Assumptions!$B$7)</f>
        <v>0.13277499445237628</v>
      </c>
      <c r="F989" s="12">
        <f t="shared" si="45"/>
        <v>0.12220495973307988</v>
      </c>
      <c r="G989" s="12">
        <f>EXP(-Assumptions!$B$8*B989)</f>
        <v>0.61232015755286162</v>
      </c>
      <c r="H989" s="12">
        <f t="shared" si="46"/>
        <v>0.45619079183320166</v>
      </c>
      <c r="I989" s="12">
        <f t="shared" si="47"/>
        <v>8.1300805522159375E-2</v>
      </c>
      <c r="J989" s="12">
        <f>G989*(D989*Assumptions!$B$6+E989*Assumptions!$B$7)</f>
        <v>8.6269481944399855E-3</v>
      </c>
    </row>
    <row r="990" spans="1:10" x14ac:dyDescent="0.2">
      <c r="A990" s="2">
        <v>982</v>
      </c>
      <c r="B990" s="14">
        <f>A990*Assumptions!$B$12</f>
        <v>9.82</v>
      </c>
      <c r="C990" s="15">
        <f>IF(A990&lt;=Assumptions!$B$13,IF(OR(A990=0,A990=Assumptions!$B$13),0.5,1),0)*Assumptions!$B$12</f>
        <v>0.01</v>
      </c>
      <c r="D990" s="12">
        <f>D989*(1-Assumptions!$B$12*(Assumptions!$B$5+Assumptions!$B$6))</f>
        <v>0.74479653980079952</v>
      </c>
      <c r="E990" s="12">
        <f>E989+Assumptions!$B$12*(D989*Assumptions!$B$5-E989*Assumptions!$B$7)</f>
        <v>0.13285761096431301</v>
      </c>
      <c r="F990" s="12">
        <f t="shared" si="45"/>
        <v>0.12234584923488748</v>
      </c>
      <c r="G990" s="12">
        <f>EXP(-Assumptions!$B$8*B990)</f>
        <v>0.61201407400134988</v>
      </c>
      <c r="H990" s="12">
        <f t="shared" si="46"/>
        <v>0.45582596462559583</v>
      </c>
      <c r="I990" s="12">
        <f t="shared" si="47"/>
        <v>8.1310727748355613E-2</v>
      </c>
      <c r="J990" s="12">
        <f>G990*(D990*Assumptions!$B$6+E990*Assumptions!$B$7)</f>
        <v>8.6237960336737387E-3</v>
      </c>
    </row>
    <row r="991" spans="1:10" x14ac:dyDescent="0.2">
      <c r="A991" s="2">
        <v>983</v>
      </c>
      <c r="B991" s="14">
        <f>A991*Assumptions!$B$12</f>
        <v>9.83</v>
      </c>
      <c r="C991" s="15">
        <f>IF(A991&lt;=Assumptions!$B$13,IF(OR(A991=0,A991=Assumptions!$B$13),0.5,1),0)*Assumptions!$B$12</f>
        <v>0.01</v>
      </c>
      <c r="D991" s="12">
        <f>D990*(1-Assumptions!$B$12*(Assumptions!$B$5+Assumptions!$B$6))</f>
        <v>0.7445731008388593</v>
      </c>
      <c r="E991" s="12">
        <f>E990+Assumptions!$B$12*(D990*Assumptions!$B$5-E990*Assumptions!$B$7)</f>
        <v>0.13294014146679101</v>
      </c>
      <c r="F991" s="12">
        <f t="shared" si="45"/>
        <v>0.12248675769434969</v>
      </c>
      <c r="G991" s="12">
        <f>EXP(-Assumptions!$B$8*B991)</f>
        <v>0.61170814345335967</v>
      </c>
      <c r="H991" s="12">
        <f t="shared" si="46"/>
        <v>0.45546142917944976</v>
      </c>
      <c r="I991" s="12">
        <f t="shared" si="47"/>
        <v>8.132056712707772E-2</v>
      </c>
      <c r="J991" s="12">
        <f>G991*(D991*Assumptions!$B$6+E991*Assumptions!$B$7)</f>
        <v>8.6206426481483835E-3</v>
      </c>
    </row>
    <row r="992" spans="1:10" x14ac:dyDescent="0.2">
      <c r="A992" s="2">
        <v>984</v>
      </c>
      <c r="B992" s="14">
        <f>A992*Assumptions!$B$12</f>
        <v>9.84</v>
      </c>
      <c r="C992" s="15">
        <f>IF(A992&lt;=Assumptions!$B$13,IF(OR(A992=0,A992=Assumptions!$B$13),0.5,1),0)*Assumptions!$B$12</f>
        <v>0.01</v>
      </c>
      <c r="D992" s="12">
        <f>D991*(1-Assumptions!$B$12*(Assumptions!$B$5+Assumptions!$B$6))</f>
        <v>0.74434972890860762</v>
      </c>
      <c r="E992" s="12">
        <f>E991+Assumptions!$B$12*(D991*Assumptions!$B$5-E991*Assumptions!$B$7)</f>
        <v>0.13302258601622538</v>
      </c>
      <c r="F992" s="12">
        <f t="shared" si="45"/>
        <v>0.122627685075167</v>
      </c>
      <c r="G992" s="12">
        <f>EXP(-Assumptions!$B$8*B992)</f>
        <v>0.6114023658324087</v>
      </c>
      <c r="H992" s="12">
        <f t="shared" si="46"/>
        <v>0.45509718526143478</v>
      </c>
      <c r="I992" s="12">
        <f t="shared" si="47"/>
        <v>8.1330323799465282E-2</v>
      </c>
      <c r="J992" s="12">
        <f>G992*(D992*Assumptions!$B$6+E992*Assumptions!$B$7)</f>
        <v>8.6174880425876118E-3</v>
      </c>
    </row>
    <row r="993" spans="1:10" x14ac:dyDescent="0.2">
      <c r="A993" s="2">
        <v>985</v>
      </c>
      <c r="B993" s="14">
        <f>A993*Assumptions!$B$12</f>
        <v>9.85</v>
      </c>
      <c r="C993" s="15">
        <f>IF(A993&lt;=Assumptions!$B$13,IF(OR(A993=0,A993=Assumptions!$B$13),0.5,1),0)*Assumptions!$B$12</f>
        <v>0.01</v>
      </c>
      <c r="D993" s="12">
        <f>D992*(1-Assumptions!$B$12*(Assumptions!$B$5+Assumptions!$B$6))</f>
        <v>0.74412642398993512</v>
      </c>
      <c r="E993" s="12">
        <f>E992+Assumptions!$B$12*(D992*Assumptions!$B$5-E992*Assumptions!$B$7)</f>
        <v>0.133104944668999</v>
      </c>
      <c r="F993" s="12">
        <f t="shared" si="45"/>
        <v>0.12276863134106589</v>
      </c>
      <c r="G993" s="12">
        <f>EXP(-Assumptions!$B$8*B993)</f>
        <v>0.61109674106205225</v>
      </c>
      <c r="H993" s="12">
        <f t="shared" si="46"/>
        <v>0.45473323263840826</v>
      </c>
      <c r="I993" s="12">
        <f t="shared" si="47"/>
        <v>8.1339997906470077E-2</v>
      </c>
      <c r="J993" s="12">
        <f>G993*(D993*Assumptions!$B$6+E993*Assumptions!$B$7)</f>
        <v>8.6143322217075869E-3</v>
      </c>
    </row>
    <row r="994" spans="1:10" x14ac:dyDescent="0.2">
      <c r="A994" s="2">
        <v>986</v>
      </c>
      <c r="B994" s="14">
        <f>A994*Assumptions!$B$12</f>
        <v>9.86</v>
      </c>
      <c r="C994" s="15">
        <f>IF(A994&lt;=Assumptions!$B$13,IF(OR(A994=0,A994=Assumptions!$B$13),0.5,1),0)*Assumptions!$B$12</f>
        <v>0.01</v>
      </c>
      <c r="D994" s="12">
        <f>D993*(1-Assumptions!$B$12*(Assumptions!$B$5+Assumptions!$B$6))</f>
        <v>0.7439031860627382</v>
      </c>
      <c r="E994" s="12">
        <f>E993+Assumptions!$B$12*(D993*Assumptions!$B$5-E993*Assumptions!$B$7)</f>
        <v>0.13318721748146248</v>
      </c>
      <c r="F994" s="12">
        <f t="shared" si="45"/>
        <v>0.12290959645579932</v>
      </c>
      <c r="G994" s="12">
        <f>EXP(-Assumptions!$B$8*B994)</f>
        <v>0.61079126906588421</v>
      </c>
      <c r="H994" s="12">
        <f t="shared" si="46"/>
        <v>0.45436957107741444</v>
      </c>
      <c r="I994" s="12">
        <f t="shared" si="47"/>
        <v>8.134958958885638E-2</v>
      </c>
      <c r="J994" s="12">
        <f>G994*(D994*Assumptions!$B$6+E994*Assumptions!$B$7)</f>
        <v>8.6111751902169641E-3</v>
      </c>
    </row>
    <row r="995" spans="1:10" x14ac:dyDescent="0.2">
      <c r="A995" s="2">
        <v>987</v>
      </c>
      <c r="B995" s="14">
        <f>A995*Assumptions!$B$12</f>
        <v>9.870000000000001</v>
      </c>
      <c r="C995" s="15">
        <f>IF(A995&lt;=Assumptions!$B$13,IF(OR(A995=0,A995=Assumptions!$B$13),0.5,1),0)*Assumptions!$B$12</f>
        <v>0.01</v>
      </c>
      <c r="D995" s="12">
        <f>D994*(1-Assumptions!$B$12*(Assumptions!$B$5+Assumptions!$B$6))</f>
        <v>0.74368001510691939</v>
      </c>
      <c r="E995" s="12">
        <f>E994+Assumptions!$B$12*(D994*Assumptions!$B$5-E994*Assumptions!$B$7)</f>
        <v>0.1332694045099343</v>
      </c>
      <c r="F995" s="12">
        <f t="shared" si="45"/>
        <v>0.12305058038314631</v>
      </c>
      <c r="G995" s="12">
        <f>EXP(-Assumptions!$B$8*B995)</f>
        <v>0.61048594976753667</v>
      </c>
      <c r="H995" s="12">
        <f t="shared" si="46"/>
        <v>0.45400620034568373</v>
      </c>
      <c r="I995" s="12">
        <f t="shared" si="47"/>
        <v>8.135909898720127E-2</v>
      </c>
      <c r="J995" s="12">
        <f>G995*(D995*Assumptions!$B$6+E995*Assumptions!$B$7)</f>
        <v>8.6080169528169014E-3</v>
      </c>
    </row>
    <row r="996" spans="1:10" x14ac:dyDescent="0.2">
      <c r="A996" s="2">
        <v>988</v>
      </c>
      <c r="B996" s="14">
        <f>A996*Assumptions!$B$12</f>
        <v>9.8800000000000008</v>
      </c>
      <c r="C996" s="15">
        <f>IF(A996&lt;=Assumptions!$B$13,IF(OR(A996=0,A996=Assumptions!$B$13),0.5,1),0)*Assumptions!$B$12</f>
        <v>0.01</v>
      </c>
      <c r="D996" s="12">
        <f>D995*(1-Assumptions!$B$12*(Assumptions!$B$5+Assumptions!$B$6))</f>
        <v>0.74345691110238732</v>
      </c>
      <c r="E996" s="12">
        <f>E995+Assumptions!$B$12*(D995*Assumptions!$B$5-E995*Assumptions!$B$7)</f>
        <v>0.13335150581070071</v>
      </c>
      <c r="F996" s="12">
        <f t="shared" si="45"/>
        <v>0.12319158308691197</v>
      </c>
      <c r="G996" s="12">
        <f>EXP(-Assumptions!$B$8*B996)</f>
        <v>0.6101807830906798</v>
      </c>
      <c r="H996" s="12">
        <f t="shared" si="46"/>
        <v>0.45364312021063263</v>
      </c>
      <c r="I996" s="12">
        <f t="shared" si="47"/>
        <v>8.1368526241894695E-2</v>
      </c>
      <c r="J996" s="12">
        <f>G996*(D996*Assumptions!$B$6+E996*Assumptions!$B$7)</f>
        <v>8.6048575142010607E-3</v>
      </c>
    </row>
    <row r="997" spans="1:10" x14ac:dyDescent="0.2">
      <c r="A997" s="2">
        <v>989</v>
      </c>
      <c r="B997" s="14">
        <f>A997*Assumptions!$B$12</f>
        <v>9.89</v>
      </c>
      <c r="C997" s="15">
        <f>IF(A997&lt;=Assumptions!$B$13,IF(OR(A997=0,A997=Assumptions!$B$13),0.5,1),0)*Assumptions!$B$12</f>
        <v>0.01</v>
      </c>
      <c r="D997" s="12">
        <f>D996*(1-Assumptions!$B$12*(Assumptions!$B$5+Assumptions!$B$6))</f>
        <v>0.74323387402905661</v>
      </c>
      <c r="E997" s="12">
        <f>E996+Assumptions!$B$12*(D996*Assumptions!$B$5-E996*Assumptions!$B$7)</f>
        <v>0.13343352144001583</v>
      </c>
      <c r="F997" s="12">
        <f t="shared" si="45"/>
        <v>0.12333260453092756</v>
      </c>
      <c r="G997" s="12">
        <f>EXP(-Assumptions!$B$8*B997)</f>
        <v>0.60987576895902185</v>
      </c>
      <c r="H997" s="12">
        <f t="shared" si="46"/>
        <v>0.45328033043986365</v>
      </c>
      <c r="I997" s="12">
        <f t="shared" si="47"/>
        <v>8.1377871493139783E-2</v>
      </c>
      <c r="J997" s="12">
        <f>G997*(D997*Assumptions!$B$6+E997*Assumptions!$B$7)</f>
        <v>8.6016968790556259E-3</v>
      </c>
    </row>
    <row r="998" spans="1:10" x14ac:dyDescent="0.2">
      <c r="A998" s="2">
        <v>990</v>
      </c>
      <c r="B998" s="14">
        <f>A998*Assumptions!$B$12</f>
        <v>9.9</v>
      </c>
      <c r="C998" s="15">
        <f>IF(A998&lt;=Assumptions!$B$13,IF(OR(A998=0,A998=Assumptions!$B$13),0.5,1),0)*Assumptions!$B$12</f>
        <v>0.01</v>
      </c>
      <c r="D998" s="12">
        <f>D997*(1-Assumptions!$B$12*(Assumptions!$B$5+Assumptions!$B$6))</f>
        <v>0.74301090386684787</v>
      </c>
      <c r="E998" s="12">
        <f>E997+Assumptions!$B$12*(D997*Assumptions!$B$5-E997*Assumptions!$B$7)</f>
        <v>0.13351545145410162</v>
      </c>
      <c r="F998" s="12">
        <f t="shared" si="45"/>
        <v>0.1234736446790505</v>
      </c>
      <c r="G998" s="12">
        <f>EXP(-Assumptions!$B$8*B998)</f>
        <v>0.60957090729630925</v>
      </c>
      <c r="H998" s="12">
        <f t="shared" si="46"/>
        <v>0.45291783080116527</v>
      </c>
      <c r="I998" s="12">
        <f t="shared" si="47"/>
        <v>8.138713488095306E-2</v>
      </c>
      <c r="J998" s="12">
        <f>G998*(D998*Assumptions!$B$6+E998*Assumptions!$B$7)</f>
        <v>8.5985350520593057E-3</v>
      </c>
    </row>
    <row r="999" spans="1:10" x14ac:dyDescent="0.2">
      <c r="A999" s="2">
        <v>991</v>
      </c>
      <c r="B999" s="14">
        <f>A999*Assumptions!$B$12</f>
        <v>9.91</v>
      </c>
      <c r="C999" s="15">
        <f>IF(A999&lt;=Assumptions!$B$13,IF(OR(A999=0,A999=Assumptions!$B$13),0.5,1),0)*Assumptions!$B$12</f>
        <v>0.01</v>
      </c>
      <c r="D999" s="12">
        <f>D998*(1-Assumptions!$B$12*(Assumptions!$B$5+Assumptions!$B$6))</f>
        <v>0.74278800059568784</v>
      </c>
      <c r="E999" s="12">
        <f>E998+Assumptions!$B$12*(D998*Assumptions!$B$5-E998*Assumptions!$B$7)</f>
        <v>0.13359729590914796</v>
      </c>
      <c r="F999" s="12">
        <f t="shared" si="45"/>
        <v>0.12361470349516421</v>
      </c>
      <c r="G999" s="12">
        <f>EXP(-Assumptions!$B$8*B999)</f>
        <v>0.60926619802632676</v>
      </c>
      <c r="H999" s="12">
        <f t="shared" si="46"/>
        <v>0.45255562106251168</v>
      </c>
      <c r="I999" s="12">
        <f t="shared" si="47"/>
        <v>8.1396316545164715E-2</v>
      </c>
      <c r="J999" s="12">
        <f>G999*(D999*Assumptions!$B$6+E999*Assumptions!$B$7)</f>
        <v>8.5953720378833531E-3</v>
      </c>
    </row>
    <row r="1000" spans="1:10" x14ac:dyDescent="0.2">
      <c r="A1000" s="2">
        <v>992</v>
      </c>
      <c r="B1000" s="14">
        <f>A1000*Assumptions!$B$12</f>
        <v>9.92</v>
      </c>
      <c r="C1000" s="15">
        <f>IF(A1000&lt;=Assumptions!$B$13,IF(OR(A1000=0,A1000=Assumptions!$B$13),0.5,1),0)*Assumptions!$B$12</f>
        <v>0.01</v>
      </c>
      <c r="D1000" s="12">
        <f>D999*(1-Assumptions!$B$12*(Assumptions!$B$5+Assumptions!$B$6))</f>
        <v>0.74256516419550911</v>
      </c>
      <c r="E1000" s="12">
        <f>E999+Assumptions!$B$12*(D999*Assumptions!$B$5-E999*Assumptions!$B$7)</f>
        <v>0.13367905486131251</v>
      </c>
      <c r="F1000" s="12">
        <f t="shared" si="45"/>
        <v>0.12375578094317838</v>
      </c>
      <c r="G1000" s="12">
        <f>EXP(-Assumptions!$B$8*B1000)</f>
        <v>0.60896164107289685</v>
      </c>
      <c r="H1000" s="12">
        <f t="shared" si="46"/>
        <v>0.45219370099206235</v>
      </c>
      <c r="I1000" s="12">
        <f t="shared" si="47"/>
        <v>8.1405416625418683E-2</v>
      </c>
      <c r="J1000" s="12">
        <f>G1000*(D1000*Assumptions!$B$6+E1000*Assumptions!$B$7)</f>
        <v>8.5922078411915584E-3</v>
      </c>
    </row>
    <row r="1001" spans="1:10" x14ac:dyDescent="0.2">
      <c r="A1001" s="2">
        <v>993</v>
      </c>
      <c r="B1001" s="14">
        <f>A1001*Assumptions!$B$12</f>
        <v>9.93</v>
      </c>
      <c r="C1001" s="15">
        <f>IF(A1001&lt;=Assumptions!$B$13,IF(OR(A1001=0,A1001=Assumptions!$B$13),0.5,1),0)*Assumptions!$B$12</f>
        <v>0.01</v>
      </c>
      <c r="D1001" s="12">
        <f>D1000*(1-Assumptions!$B$12*(Assumptions!$B$5+Assumptions!$B$6))</f>
        <v>0.74234239464625051</v>
      </c>
      <c r="E1001" s="12">
        <f>E1000+Assumptions!$B$12*(D1000*Assumptions!$B$5-E1000*Assumptions!$B$7)</f>
        <v>0.13376072836672095</v>
      </c>
      <c r="F1001" s="12">
        <f t="shared" si="45"/>
        <v>0.12389687698702853</v>
      </c>
      <c r="G1001" s="12">
        <f>EXP(-Assumptions!$B$8*B1001)</f>
        <v>0.60865723635988045</v>
      </c>
      <c r="H1001" s="12">
        <f t="shared" si="46"/>
        <v>0.45183207035816253</v>
      </c>
      <c r="I1001" s="12">
        <f t="shared" si="47"/>
        <v>8.1414435261173035E-2</v>
      </c>
      <c r="J1001" s="12">
        <f>G1001*(D1001*Assumptions!$B$6+E1001*Assumptions!$B$7)</f>
        <v>8.5890424666402766E-3</v>
      </c>
    </row>
    <row r="1002" spans="1:10" x14ac:dyDescent="0.2">
      <c r="A1002" s="2">
        <v>994</v>
      </c>
      <c r="B1002" s="14">
        <f>A1002*Assumptions!$B$12</f>
        <v>9.94</v>
      </c>
      <c r="C1002" s="15">
        <f>IF(A1002&lt;=Assumptions!$B$13,IF(OR(A1002=0,A1002=Assumptions!$B$13),0.5,1),0)*Assumptions!$B$12</f>
        <v>0.01</v>
      </c>
      <c r="D1002" s="12">
        <f>D1001*(1-Assumptions!$B$12*(Assumptions!$B$5+Assumptions!$B$6))</f>
        <v>0.74211969192785665</v>
      </c>
      <c r="E1002" s="12">
        <f>E1001+Assumptions!$B$12*(D1001*Assumptions!$B$5-E1001*Assumptions!$B$7)</f>
        <v>0.13384231648146686</v>
      </c>
      <c r="F1002" s="12">
        <f t="shared" si="45"/>
        <v>0.12403799159067649</v>
      </c>
      <c r="G1002" s="12">
        <f>EXP(-Assumptions!$B$8*B1002)</f>
        <v>0.60835298381117631</v>
      </c>
      <c r="H1002" s="12">
        <f t="shared" si="46"/>
        <v>0.45147072892934254</v>
      </c>
      <c r="I1002" s="12">
        <f t="shared" si="47"/>
        <v>8.1423372591700141E-2</v>
      </c>
      <c r="J1002" s="12">
        <f>G1002*(D1002*Assumptions!$B$6+E1002*Assumptions!$B$7)</f>
        <v>8.5858759188784332E-3</v>
      </c>
    </row>
    <row r="1003" spans="1:10" x14ac:dyDescent="0.2">
      <c r="A1003" s="2">
        <v>995</v>
      </c>
      <c r="B1003" s="14">
        <f>A1003*Assumptions!$B$12</f>
        <v>9.9500000000000011</v>
      </c>
      <c r="C1003" s="15">
        <f>IF(A1003&lt;=Assumptions!$B$13,IF(OR(A1003=0,A1003=Assumptions!$B$13),0.5,1),0)*Assumptions!$B$12</f>
        <v>0.01</v>
      </c>
      <c r="D1003" s="12">
        <f>D1002*(1-Assumptions!$B$12*(Assumptions!$B$5+Assumptions!$B$6))</f>
        <v>0.74189705602027833</v>
      </c>
      <c r="E1003" s="12">
        <f>E1002+Assumptions!$B$12*(D1002*Assumptions!$B$5-E1002*Assumptions!$B$7)</f>
        <v>0.1339238192616117</v>
      </c>
      <c r="F1003" s="12">
        <f t="shared" si="45"/>
        <v>0.12417912471810996</v>
      </c>
      <c r="G1003" s="12">
        <f>EXP(-Assumptions!$B$8*B1003)</f>
        <v>0.60804888335072116</v>
      </c>
      <c r="H1003" s="12">
        <f t="shared" si="46"/>
        <v>0.45110967647431766</v>
      </c>
      <c r="I1003" s="12">
        <f t="shared" si="47"/>
        <v>8.14322287560868E-2</v>
      </c>
      <c r="J1003" s="12">
        <f>G1003*(D1003*Assumptions!$B$6+E1003*Assumptions!$B$7)</f>
        <v>8.5827082025475166E-3</v>
      </c>
    </row>
    <row r="1004" spans="1:10" x14ac:dyDescent="0.2">
      <c r="A1004" s="2">
        <v>996</v>
      </c>
      <c r="B1004" s="14">
        <f>A1004*Assumptions!$B$12</f>
        <v>9.9600000000000009</v>
      </c>
      <c r="C1004" s="15">
        <f>IF(A1004&lt;=Assumptions!$B$13,IF(OR(A1004=0,A1004=Assumptions!$B$13),0.5,1),0)*Assumptions!$B$12</f>
        <v>0.01</v>
      </c>
      <c r="D1004" s="12">
        <f>D1003*(1-Assumptions!$B$12*(Assumptions!$B$5+Assumptions!$B$6))</f>
        <v>0.74167448690347226</v>
      </c>
      <c r="E1004" s="12">
        <f>E1003+Assumptions!$B$12*(D1003*Assumptions!$B$5-E1003*Assumptions!$B$7)</f>
        <v>0.13400523676318496</v>
      </c>
      <c r="F1004" s="12">
        <f t="shared" si="45"/>
        <v>0.12432027633334278</v>
      </c>
      <c r="G1004" s="12">
        <f>EXP(-Assumptions!$B$8*B1004)</f>
        <v>0.60774493490249015</v>
      </c>
      <c r="H1004" s="12">
        <f t="shared" si="46"/>
        <v>0.45074891276198853</v>
      </c>
      <c r="I1004" s="12">
        <f t="shared" si="47"/>
        <v>8.1441003893234623E-2</v>
      </c>
      <c r="J1004" s="12">
        <f>G1004*(D1004*Assumptions!$B$6+E1004*Assumptions!$B$7)</f>
        <v>8.5795393222816169E-3</v>
      </c>
    </row>
    <row r="1005" spans="1:10" x14ac:dyDescent="0.2">
      <c r="A1005" s="2">
        <v>997</v>
      </c>
      <c r="B1005" s="14">
        <f>A1005*Assumptions!$B$12</f>
        <v>9.9700000000000006</v>
      </c>
      <c r="C1005" s="15">
        <f>IF(A1005&lt;=Assumptions!$B$13,IF(OR(A1005=0,A1005=Assumptions!$B$13),0.5,1),0)*Assumptions!$B$12</f>
        <v>0.01</v>
      </c>
      <c r="D1005" s="12">
        <f>D1004*(1-Assumptions!$B$12*(Assumptions!$B$5+Assumptions!$B$6))</f>
        <v>0.74145198455740124</v>
      </c>
      <c r="E1005" s="12">
        <f>E1004+Assumptions!$B$12*(D1004*Assumptions!$B$5-E1004*Assumptions!$B$7)</f>
        <v>0.13408656904218405</v>
      </c>
      <c r="F1005" s="12">
        <f t="shared" si="45"/>
        <v>0.1244614464004147</v>
      </c>
      <c r="G1005" s="12">
        <f>EXP(-Assumptions!$B$8*B1005)</f>
        <v>0.60744113839049596</v>
      </c>
      <c r="H1005" s="12">
        <f t="shared" si="46"/>
        <v>0.45038843756144026</v>
      </c>
      <c r="I1005" s="12">
        <f t="shared" si="47"/>
        <v>8.1449698141860108E-2</v>
      </c>
      <c r="J1005" s="12">
        <f>G1005*(D1005*Assumptions!$B$6+E1005*Assumptions!$B$7)</f>
        <v>8.5763692827074082E-3</v>
      </c>
    </row>
    <row r="1006" spans="1:10" x14ac:dyDescent="0.2">
      <c r="A1006" s="2">
        <v>998</v>
      </c>
      <c r="B1006" s="14">
        <f>A1006*Assumptions!$B$12</f>
        <v>9.98</v>
      </c>
      <c r="C1006" s="15">
        <f>IF(A1006&lt;=Assumptions!$B$13,IF(OR(A1006=0,A1006=Assumptions!$B$13),0.5,1),0)*Assumptions!$B$12</f>
        <v>0.01</v>
      </c>
      <c r="D1006" s="12">
        <f>D1005*(1-Assumptions!$B$12*(Assumptions!$B$5+Assumptions!$B$6))</f>
        <v>0.74122954896203408</v>
      </c>
      <c r="E1006" s="12">
        <f>E1005+Assumptions!$B$12*(D1005*Assumptions!$B$5-E1005*Assumptions!$B$7)</f>
        <v>0.13416781615457443</v>
      </c>
      <c r="F1006" s="12">
        <f t="shared" si="45"/>
        <v>0.12460263488339149</v>
      </c>
      <c r="G1006" s="12">
        <f>EXP(-Assumptions!$B$8*B1006)</f>
        <v>0.60713749373878956</v>
      </c>
      <c r="H1006" s="12">
        <f t="shared" si="46"/>
        <v>0.4500282506419428</v>
      </c>
      <c r="I1006" s="12">
        <f t="shared" si="47"/>
        <v>8.1458311640494996E-2</v>
      </c>
      <c r="J1006" s="12">
        <f>G1006*(D1006*Assumptions!$B$6+E1006*Assumptions!$B$7)</f>
        <v>8.573198088444178E-3</v>
      </c>
    </row>
    <row r="1007" spans="1:10" x14ac:dyDescent="0.2">
      <c r="A1007" s="2">
        <v>999</v>
      </c>
      <c r="B1007" s="14">
        <f>A1007*Assumptions!$B$12</f>
        <v>9.99</v>
      </c>
      <c r="C1007" s="15">
        <f>IF(A1007&lt;=Assumptions!$B$13,IF(OR(A1007=0,A1007=Assumptions!$B$13),0.5,1),0)*Assumptions!$B$12</f>
        <v>0.01</v>
      </c>
      <c r="D1007" s="12">
        <f>D1006*(1-Assumptions!$B$12*(Assumptions!$B$5+Assumptions!$B$6))</f>
        <v>0.74100718009734545</v>
      </c>
      <c r="E1007" s="12">
        <f>E1006+Assumptions!$B$12*(D1006*Assumptions!$B$5-E1006*Assumptions!$B$7)</f>
        <v>0.13424897815628956</v>
      </c>
      <c r="F1007" s="12">
        <f t="shared" si="45"/>
        <v>0.12474384174636499</v>
      </c>
      <c r="G1007" s="12">
        <f>EXP(-Assumptions!$B$8*B1007)</f>
        <v>0.60683400087145978</v>
      </c>
      <c r="H1007" s="12">
        <f t="shared" si="46"/>
        <v>0.4496683517729505</v>
      </c>
      <c r="I1007" s="12">
        <f t="shared" si="47"/>
        <v>8.1466844527486398E-2</v>
      </c>
      <c r="J1007" s="12">
        <f>G1007*(D1007*Assumptions!$B$6+E1007*Assumptions!$B$7)</f>
        <v>8.5700257441038256E-3</v>
      </c>
    </row>
    <row r="1008" spans="1:10" x14ac:dyDescent="0.2">
      <c r="A1008" s="2">
        <v>1000</v>
      </c>
      <c r="B1008" s="14">
        <f>A1008*Assumptions!$B$12</f>
        <v>10</v>
      </c>
      <c r="C1008" s="15">
        <f>IF(A1008&lt;=Assumptions!$B$13,IF(OR(A1008=0,A1008=Assumptions!$B$13),0.5,1),0)*Assumptions!$B$12</f>
        <v>0.01</v>
      </c>
      <c r="D1008" s="12">
        <f>D1007*(1-Assumptions!$B$12*(Assumptions!$B$5+Assumptions!$B$6))</f>
        <v>0.74078487794331627</v>
      </c>
      <c r="E1008" s="12">
        <f>E1007+Assumptions!$B$12*(D1007*Assumptions!$B$5-E1007*Assumptions!$B$7)</f>
        <v>0.13433005510323087</v>
      </c>
      <c r="F1008" s="12">
        <f t="shared" si="45"/>
        <v>0.12488506695345286</v>
      </c>
      <c r="G1008" s="12">
        <f>EXP(-Assumptions!$B$8*B1008)</f>
        <v>0.60653065971263342</v>
      </c>
      <c r="H1008" s="12">
        <f t="shared" si="46"/>
        <v>0.44930874072410226</v>
      </c>
      <c r="I1008" s="12">
        <f t="shared" si="47"/>
        <v>8.1475296940997019E-2</v>
      </c>
      <c r="J1008" s="12">
        <f>G1008*(D1008*Assumptions!$B$6+E1008*Assumptions!$B$7)</f>
        <v>8.5668522542908729E-3</v>
      </c>
    </row>
    <row r="1009" spans="1:10" x14ac:dyDescent="0.2">
      <c r="A1009" s="2">
        <v>1001</v>
      </c>
      <c r="B1009" s="14">
        <f>A1009*Assumptions!$B$12</f>
        <v>10.01</v>
      </c>
      <c r="C1009" s="15">
        <f>IF(A1009&lt;=Assumptions!$B$13,IF(OR(A1009=0,A1009=Assumptions!$B$13),0.5,1),0)*Assumptions!$B$12</f>
        <v>0.01</v>
      </c>
      <c r="D1009" s="12">
        <f>D1008*(1-Assumptions!$B$12*(Assumptions!$B$5+Assumptions!$B$6))</f>
        <v>0.74056264247993331</v>
      </c>
      <c r="E1009" s="12">
        <f>E1008+Assumptions!$B$12*(D1008*Assumptions!$B$5-E1008*Assumptions!$B$7)</f>
        <v>0.13441104705126791</v>
      </c>
      <c r="F1009" s="12">
        <f t="shared" si="45"/>
        <v>0.12502631046879878</v>
      </c>
      <c r="G1009" s="12">
        <f>EXP(-Assumptions!$B$8*B1009)</f>
        <v>0.60622747018647505</v>
      </c>
      <c r="H1009" s="12">
        <f t="shared" si="46"/>
        <v>0.44894941726522097</v>
      </c>
      <c r="I1009" s="12">
        <f t="shared" si="47"/>
        <v>8.1483669019005417E-2</v>
      </c>
      <c r="J1009" s="12">
        <f>G1009*(D1009*Assumptions!$B$6+E1009*Assumptions!$B$7)</f>
        <v>8.5636776236024809E-3</v>
      </c>
    </row>
    <row r="1010" spans="1:10" x14ac:dyDescent="0.2">
      <c r="A1010" s="2">
        <v>1002</v>
      </c>
      <c r="B1010" s="14">
        <f>A1010*Assumptions!$B$12</f>
        <v>10.02</v>
      </c>
      <c r="C1010" s="15">
        <f>IF(A1010&lt;=Assumptions!$B$13,IF(OR(A1010=0,A1010=Assumptions!$B$13),0.5,1),0)*Assumptions!$B$12</f>
        <v>0.01</v>
      </c>
      <c r="D1010" s="12">
        <f>D1009*(1-Assumptions!$B$12*(Assumptions!$B$5+Assumptions!$B$6))</f>
        <v>0.74034047368718936</v>
      </c>
      <c r="E1010" s="12">
        <f>E1009+Assumptions!$B$12*(D1009*Assumptions!$B$5-E1009*Assumptions!$B$7)</f>
        <v>0.13449195405623826</v>
      </c>
      <c r="F1010" s="12">
        <f t="shared" si="45"/>
        <v>0.12516757225657238</v>
      </c>
      <c r="G1010" s="12">
        <f>EXP(-Assumptions!$B$8*B1010)</f>
        <v>0.6059244322171875</v>
      </c>
      <c r="H1010" s="12">
        <f t="shared" si="46"/>
        <v>0.44859038116631383</v>
      </c>
      <c r="I1010" s="12">
        <f t="shared" si="47"/>
        <v>8.1491960899306243E-2</v>
      </c>
      <c r="J1010" s="12">
        <f>G1010*(D1010*Assumptions!$B$6+E1010*Assumptions!$B$7)</f>
        <v>8.5605018566284503E-3</v>
      </c>
    </row>
    <row r="1011" spans="1:10" x14ac:dyDescent="0.2">
      <c r="A1011" s="2">
        <v>1003</v>
      </c>
      <c r="B1011" s="14">
        <f>A1011*Assumptions!$B$12</f>
        <v>10.029999999999999</v>
      </c>
      <c r="C1011" s="15">
        <f>IF(A1011&lt;=Assumptions!$B$13,IF(OR(A1011=0,A1011=Assumptions!$B$13),0.5,1),0)*Assumptions!$B$12</f>
        <v>0.01</v>
      </c>
      <c r="D1011" s="12">
        <f>D1010*(1-Assumptions!$B$12*(Assumptions!$B$5+Assumptions!$B$6))</f>
        <v>0.7401183715450832</v>
      </c>
      <c r="E1011" s="12">
        <f>E1010+Assumptions!$B$12*(D1010*Assumptions!$B$5-E1010*Assumptions!$B$7)</f>
        <v>0.13457277617394758</v>
      </c>
      <c r="F1011" s="12">
        <f t="shared" si="45"/>
        <v>0.12530885228096922</v>
      </c>
      <c r="G1011" s="12">
        <f>EXP(-Assumptions!$B$8*B1011)</f>
        <v>0.60562154572901106</v>
      </c>
      <c r="H1011" s="12">
        <f t="shared" si="46"/>
        <v>0.44823163219757178</v>
      </c>
      <c r="I1011" s="12">
        <f t="shared" si="47"/>
        <v>8.1500172719510364E-2</v>
      </c>
      <c r="J1011" s="12">
        <f>G1011*(D1011*Assumptions!$B$6+E1011*Assumptions!$B$7)</f>
        <v>8.5573249579512355E-3</v>
      </c>
    </row>
    <row r="1012" spans="1:10" x14ac:dyDescent="0.2">
      <c r="A1012" s="2">
        <v>1004</v>
      </c>
      <c r="B1012" s="14">
        <f>A1012*Assumptions!$B$12</f>
        <v>10.040000000000001</v>
      </c>
      <c r="C1012" s="15">
        <f>IF(A1012&lt;=Assumptions!$B$13,IF(OR(A1012=0,A1012=Assumptions!$B$13),0.5,1),0)*Assumptions!$B$12</f>
        <v>0.01</v>
      </c>
      <c r="D1012" s="12">
        <f>D1011*(1-Assumptions!$B$12*(Assumptions!$B$5+Assumptions!$B$6))</f>
        <v>0.73989633603361971</v>
      </c>
      <c r="E1012" s="12">
        <f>E1011+Assumptions!$B$12*(D1011*Assumptions!$B$5-E1011*Assumptions!$B$7)</f>
        <v>0.13465351346016963</v>
      </c>
      <c r="F1012" s="12">
        <f t="shared" si="45"/>
        <v>0.12545015050621067</v>
      </c>
      <c r="G1012" s="12">
        <f>EXP(-Assumptions!$B$8*B1012)</f>
        <v>0.60531881064622417</v>
      </c>
      <c r="H1012" s="12">
        <f t="shared" si="46"/>
        <v>0.44787317012936967</v>
      </c>
      <c r="I1012" s="12">
        <f t="shared" si="47"/>
        <v>8.150830461704521E-2</v>
      </c>
      <c r="J1012" s="12">
        <f>G1012*(D1012*Assumptions!$B$6+E1012*Assumptions!$B$7)</f>
        <v>8.554146932145958E-3</v>
      </c>
    </row>
    <row r="1013" spans="1:10" x14ac:dyDescent="0.2">
      <c r="A1013" s="2">
        <v>1005</v>
      </c>
      <c r="B1013" s="14">
        <f>A1013*Assumptions!$B$12</f>
        <v>10.050000000000001</v>
      </c>
      <c r="C1013" s="15">
        <f>IF(A1013&lt;=Assumptions!$B$13,IF(OR(A1013=0,A1013=Assumptions!$B$13),0.5,1),0)*Assumptions!$B$12</f>
        <v>0.01</v>
      </c>
      <c r="D1013" s="12">
        <f>D1012*(1-Assumptions!$B$12*(Assumptions!$B$5+Assumptions!$B$6))</f>
        <v>0.73967436713280965</v>
      </c>
      <c r="E1013" s="12">
        <f>E1012+Assumptions!$B$12*(D1012*Assumptions!$B$5-E1012*Assumptions!$B$7)</f>
        <v>0.13473416597064627</v>
      </c>
      <c r="F1013" s="12">
        <f t="shared" si="45"/>
        <v>0.12559146689654407</v>
      </c>
      <c r="G1013" s="12">
        <f>EXP(-Assumptions!$B$8*B1013)</f>
        <v>0.60501622689314316</v>
      </c>
      <c r="H1013" s="12">
        <f t="shared" si="46"/>
        <v>0.44751499473226602</v>
      </c>
      <c r="I1013" s="12">
        <f t="shared" si="47"/>
        <v>8.1516356729154929E-2</v>
      </c>
      <c r="J1013" s="12">
        <f>G1013*(D1013*Assumptions!$B$6+E1013*Assumptions!$B$7)</f>
        <v>8.5509677837804082E-3</v>
      </c>
    </row>
    <row r="1014" spans="1:10" x14ac:dyDescent="0.2">
      <c r="A1014" s="2">
        <v>1006</v>
      </c>
      <c r="B1014" s="14">
        <f>A1014*Assumptions!$B$12</f>
        <v>10.06</v>
      </c>
      <c r="C1014" s="15">
        <f>IF(A1014&lt;=Assumptions!$B$13,IF(OR(A1014=0,A1014=Assumptions!$B$13),0.5,1),0)*Assumptions!$B$12</f>
        <v>0.01</v>
      </c>
      <c r="D1014" s="12">
        <f>D1013*(1-Assumptions!$B$12*(Assumptions!$B$5+Assumptions!$B$6))</f>
        <v>0.7394524648226698</v>
      </c>
      <c r="E1014" s="12">
        <f>E1013+Assumptions!$B$12*(D1013*Assumptions!$B$5-E1013*Assumptions!$B$7)</f>
        <v>0.13481473376108752</v>
      </c>
      <c r="F1014" s="12">
        <f t="shared" si="45"/>
        <v>0.12573280141624268</v>
      </c>
      <c r="G1014" s="12">
        <f>EXP(-Assumptions!$B$8*B1014)</f>
        <v>0.60471379439412209</v>
      </c>
      <c r="H1014" s="12">
        <f t="shared" si="46"/>
        <v>0.44715710577700274</v>
      </c>
      <c r="I1014" s="12">
        <f t="shared" si="47"/>
        <v>8.1524329192900591E-2</v>
      </c>
      <c r="J1014" s="12">
        <f>G1014*(D1014*Assumptions!$B$6+E1014*Assumptions!$B$7)</f>
        <v>8.5477875174150581E-3</v>
      </c>
    </row>
    <row r="1015" spans="1:10" x14ac:dyDescent="0.2">
      <c r="A1015" s="2">
        <v>1007</v>
      </c>
      <c r="B1015" s="14">
        <f>A1015*Assumptions!$B$12</f>
        <v>10.07</v>
      </c>
      <c r="C1015" s="15">
        <f>IF(A1015&lt;=Assumptions!$B$13,IF(OR(A1015=0,A1015=Assumptions!$B$13),0.5,1),0)*Assumptions!$B$12</f>
        <v>0.01</v>
      </c>
      <c r="D1015" s="12">
        <f>D1014*(1-Assumptions!$B$12*(Assumptions!$B$5+Assumptions!$B$6))</f>
        <v>0.73923062908322301</v>
      </c>
      <c r="E1015" s="12">
        <f>E1014+Assumptions!$B$12*(D1014*Assumptions!$B$5-E1014*Assumptions!$B$7)</f>
        <v>0.13489521688717152</v>
      </c>
      <c r="F1015" s="12">
        <f t="shared" si="45"/>
        <v>0.12587415402960547</v>
      </c>
      <c r="G1015" s="12">
        <f>EXP(-Assumptions!$B$8*B1015)</f>
        <v>0.60441151307355268</v>
      </c>
      <c r="H1015" s="12">
        <f t="shared" si="46"/>
        <v>0.446799503034505</v>
      </c>
      <c r="I1015" s="12">
        <f t="shared" si="47"/>
        <v>8.1532222145160385E-2</v>
      </c>
      <c r="J1015" s="12">
        <f>G1015*(D1015*Assumptions!$B$6+E1015*Assumptions!$B$7)</f>
        <v>8.5446061376030693E-3</v>
      </c>
    </row>
    <row r="1016" spans="1:10" x14ac:dyDescent="0.2">
      <c r="A1016" s="2">
        <v>1008</v>
      </c>
      <c r="B1016" s="14">
        <f>A1016*Assumptions!$B$12</f>
        <v>10.08</v>
      </c>
      <c r="C1016" s="15">
        <f>IF(A1016&lt;=Assumptions!$B$13,IF(OR(A1016=0,A1016=Assumptions!$B$13),0.5,1),0)*Assumptions!$B$12</f>
        <v>0.01</v>
      </c>
      <c r="D1016" s="12">
        <f>D1015*(1-Assumptions!$B$12*(Assumptions!$B$5+Assumptions!$B$6))</f>
        <v>0.73900885989449805</v>
      </c>
      <c r="E1016" s="12">
        <f>E1015+Assumptions!$B$12*(D1015*Assumptions!$B$5-E1015*Assumptions!$B$7)</f>
        <v>0.13497561540454459</v>
      </c>
      <c r="F1016" s="12">
        <f t="shared" si="45"/>
        <v>0.12601552470095737</v>
      </c>
      <c r="G1016" s="12">
        <f>EXP(-Assumptions!$B$8*B1016)</f>
        <v>0.60410938285586468</v>
      </c>
      <c r="H1016" s="12">
        <f t="shared" si="46"/>
        <v>0.44644218627588139</v>
      </c>
      <c r="I1016" s="12">
        <f t="shared" si="47"/>
        <v>8.1540035722629967E-2</v>
      </c>
      <c r="J1016" s="12">
        <f>G1016*(D1016*Assumptions!$B$6+E1016*Assumptions!$B$7)</f>
        <v>8.5414236488903124E-3</v>
      </c>
    </row>
    <row r="1017" spans="1:10" x14ac:dyDescent="0.2">
      <c r="A1017" s="2">
        <v>1009</v>
      </c>
      <c r="B1017" s="14">
        <f>A1017*Assumptions!$B$12</f>
        <v>10.09</v>
      </c>
      <c r="C1017" s="15">
        <f>IF(A1017&lt;=Assumptions!$B$13,IF(OR(A1017=0,A1017=Assumptions!$B$13),0.5,1),0)*Assumptions!$B$12</f>
        <v>0.01</v>
      </c>
      <c r="D1017" s="12">
        <f>D1016*(1-Assumptions!$B$12*(Assumptions!$B$5+Assumptions!$B$6))</f>
        <v>0.73878715723652977</v>
      </c>
      <c r="E1017" s="12">
        <f>E1016+Assumptions!$B$12*(D1016*Assumptions!$B$5-E1016*Assumptions!$B$7)</f>
        <v>0.13505592936882121</v>
      </c>
      <c r="F1017" s="12">
        <f t="shared" si="45"/>
        <v>0.12615691339464902</v>
      </c>
      <c r="G1017" s="12">
        <f>EXP(-Assumptions!$B$8*B1017)</f>
        <v>0.60380740366552554</v>
      </c>
      <c r="H1017" s="12">
        <f t="shared" si="46"/>
        <v>0.44608515527242343</v>
      </c>
      <c r="I1017" s="12">
        <f t="shared" si="47"/>
        <v>8.1547770061822539E-2</v>
      </c>
      <c r="J1017" s="12">
        <f>G1017*(D1017*Assumptions!$B$6+E1017*Assumptions!$B$7)</f>
        <v>8.5382400558153618E-3</v>
      </c>
    </row>
    <row r="1018" spans="1:10" x14ac:dyDescent="0.2">
      <c r="A1018" s="2">
        <v>1010</v>
      </c>
      <c r="B1018" s="14">
        <f>A1018*Assumptions!$B$12</f>
        <v>10.1</v>
      </c>
      <c r="C1018" s="15">
        <f>IF(A1018&lt;=Assumptions!$B$13,IF(OR(A1018=0,A1018=Assumptions!$B$13),0.5,1),0)*Assumptions!$B$12</f>
        <v>0.01</v>
      </c>
      <c r="D1018" s="12">
        <f>D1017*(1-Assumptions!$B$12*(Assumptions!$B$5+Assumptions!$B$6))</f>
        <v>0.7385655210893588</v>
      </c>
      <c r="E1018" s="12">
        <f>E1017+Assumptions!$B$12*(D1017*Assumptions!$B$5-E1017*Assumptions!$B$7)</f>
        <v>0.13513615883558411</v>
      </c>
      <c r="F1018" s="12">
        <f t="shared" si="45"/>
        <v>0.12629832007505709</v>
      </c>
      <c r="G1018" s="12">
        <f>EXP(-Assumptions!$B$8*B1018)</f>
        <v>0.60350557542704053</v>
      </c>
      <c r="H1018" s="12">
        <f t="shared" si="46"/>
        <v>0.44572840979560552</v>
      </c>
      <c r="I1018" s="12">
        <f t="shared" si="47"/>
        <v>8.1555425299069131E-2</v>
      </c>
      <c r="J1018" s="12">
        <f>G1018*(D1018*Assumptions!$B$6+E1018*Assumptions!$B$7)</f>
        <v>8.5350553629095129E-3</v>
      </c>
    </row>
    <row r="1019" spans="1:10" x14ac:dyDescent="0.2">
      <c r="A1019" s="2">
        <v>1011</v>
      </c>
      <c r="B1019" s="14">
        <f>A1019*Assumptions!$B$12</f>
        <v>10.11</v>
      </c>
      <c r="C1019" s="15">
        <f>IF(A1019&lt;=Assumptions!$B$13,IF(OR(A1019=0,A1019=Assumptions!$B$13),0.5,1),0)*Assumptions!$B$12</f>
        <v>0.01</v>
      </c>
      <c r="D1019" s="12">
        <f>D1018*(1-Assumptions!$B$12*(Assumptions!$B$5+Assumptions!$B$6))</f>
        <v>0.738343951433032</v>
      </c>
      <c r="E1019" s="12">
        <f>E1018+Assumptions!$B$12*(D1018*Assumptions!$B$5-E1018*Assumptions!$B$7)</f>
        <v>0.13521630386038419</v>
      </c>
      <c r="F1019" s="12">
        <f t="shared" si="45"/>
        <v>0.12643974470658381</v>
      </c>
      <c r="G1019" s="12">
        <f>EXP(-Assumptions!$B$8*B1019)</f>
        <v>0.60320389806495256</v>
      </c>
      <c r="H1019" s="12">
        <f t="shared" si="46"/>
        <v>0.44537194961708493</v>
      </c>
      <c r="I1019" s="12">
        <f t="shared" si="47"/>
        <v>8.1563001570518837E-2</v>
      </c>
      <c r="J1019" s="12">
        <f>G1019*(D1019*Assumptions!$B$6+E1019*Assumptions!$B$7)</f>
        <v>8.5318695746967911E-3</v>
      </c>
    </row>
    <row r="1020" spans="1:10" x14ac:dyDescent="0.2">
      <c r="A1020" s="2">
        <v>1012</v>
      </c>
      <c r="B1020" s="14">
        <f>A1020*Assumptions!$B$12</f>
        <v>10.120000000000001</v>
      </c>
      <c r="C1020" s="15">
        <f>IF(A1020&lt;=Assumptions!$B$13,IF(OR(A1020=0,A1020=Assumptions!$B$13),0.5,1),0)*Assumptions!$B$12</f>
        <v>0.01</v>
      </c>
      <c r="D1020" s="12">
        <f>D1019*(1-Assumptions!$B$12*(Assumptions!$B$5+Assumptions!$B$6))</f>
        <v>0.73812244824760209</v>
      </c>
      <c r="E1020" s="12">
        <f>E1019+Assumptions!$B$12*(D1019*Assumptions!$B$5-E1019*Assumptions!$B$7)</f>
        <v>0.13529636449874061</v>
      </c>
      <c r="F1020" s="12">
        <f t="shared" si="45"/>
        <v>0.1265811872536573</v>
      </c>
      <c r="G1020" s="12">
        <f>EXP(-Assumptions!$B$8*B1020)</f>
        <v>0.60290237150384207</v>
      </c>
      <c r="H1020" s="12">
        <f t="shared" si="46"/>
        <v>0.44501577450870122</v>
      </c>
      <c r="I1020" s="12">
        <f t="shared" si="47"/>
        <v>8.1570499012138933E-2</v>
      </c>
      <c r="J1020" s="12">
        <f>G1020*(D1020*Assumptions!$B$6+E1020*Assumptions!$B$7)</f>
        <v>8.52868269569396E-3</v>
      </c>
    </row>
    <row r="1021" spans="1:10" x14ac:dyDescent="0.2">
      <c r="A1021" s="2">
        <v>1013</v>
      </c>
      <c r="B1021" s="14">
        <f>A1021*Assumptions!$B$12</f>
        <v>10.130000000000001</v>
      </c>
      <c r="C1021" s="15">
        <f>IF(A1021&lt;=Assumptions!$B$13,IF(OR(A1021=0,A1021=Assumptions!$B$13),0.5,1),0)*Assumptions!$B$12</f>
        <v>0.01</v>
      </c>
      <c r="D1021" s="12">
        <f>D1020*(1-Assumptions!$B$12*(Assumptions!$B$5+Assumptions!$B$6))</f>
        <v>0.73790101151312781</v>
      </c>
      <c r="E1021" s="12">
        <f>E1020+Assumptions!$B$12*(D1020*Assumptions!$B$5-E1020*Assumptions!$B$7)</f>
        <v>0.13537634080614075</v>
      </c>
      <c r="F1021" s="12">
        <f t="shared" si="45"/>
        <v>0.12672264768073144</v>
      </c>
      <c r="G1021" s="12">
        <f>EXP(-Assumptions!$B$8*B1021)</f>
        <v>0.6026009956683277</v>
      </c>
      <c r="H1021" s="12">
        <f t="shared" si="46"/>
        <v>0.44465988424247699</v>
      </c>
      <c r="I1021" s="12">
        <f t="shared" si="47"/>
        <v>8.1577917759715277E-2</v>
      </c>
      <c r="J1021" s="12">
        <f>G1021*(D1021*Assumptions!$B$6+E1021*Assumptions!$B$7)</f>
        <v>8.5254947304105339E-3</v>
      </c>
    </row>
    <row r="1022" spans="1:10" x14ac:dyDescent="0.2">
      <c r="A1022" s="2">
        <v>1014</v>
      </c>
      <c r="B1022" s="14">
        <f>A1022*Assumptions!$B$12</f>
        <v>10.14</v>
      </c>
      <c r="C1022" s="15">
        <f>IF(A1022&lt;=Assumptions!$B$13,IF(OR(A1022=0,A1022=Assumptions!$B$13),0.5,1),0)*Assumptions!$B$12</f>
        <v>0.01</v>
      </c>
      <c r="D1022" s="12">
        <f>D1021*(1-Assumptions!$B$12*(Assumptions!$B$5+Assumptions!$B$6))</f>
        <v>0.73767964120967389</v>
      </c>
      <c r="E1022" s="12">
        <f>E1021+Assumptions!$B$12*(D1021*Assumptions!$B$5-E1021*Assumptions!$B$7)</f>
        <v>0.13545623283804031</v>
      </c>
      <c r="F1022" s="12">
        <f t="shared" si="45"/>
        <v>0.1268641259522858</v>
      </c>
      <c r="G1022" s="12">
        <f>EXP(-Assumptions!$B$8*B1022)</f>
        <v>0.60229977048306538</v>
      </c>
      <c r="H1022" s="12">
        <f t="shared" si="46"/>
        <v>0.44430427859061661</v>
      </c>
      <c r="I1022" s="12">
        <f t="shared" si="47"/>
        <v>8.1585257948852338E-2</v>
      </c>
      <c r="J1022" s="12">
        <f>G1022*(D1022*Assumptions!$B$6+E1022*Assumptions!$B$7)</f>
        <v>8.5223056833487829E-3</v>
      </c>
    </row>
    <row r="1023" spans="1:10" x14ac:dyDescent="0.2">
      <c r="A1023" s="2">
        <v>1015</v>
      </c>
      <c r="B1023" s="14">
        <f>A1023*Assumptions!$B$12</f>
        <v>10.15</v>
      </c>
      <c r="C1023" s="15">
        <f>IF(A1023&lt;=Assumptions!$B$13,IF(OR(A1023=0,A1023=Assumptions!$B$13),0.5,1),0)*Assumptions!$B$12</f>
        <v>0.01</v>
      </c>
      <c r="D1023" s="12">
        <f>D1022*(1-Assumptions!$B$12*(Assumptions!$B$5+Assumptions!$B$6))</f>
        <v>0.73745833731731103</v>
      </c>
      <c r="E1023" s="12">
        <f>E1022+Assumptions!$B$12*(D1022*Assumptions!$B$5-E1022*Assumptions!$B$7)</f>
        <v>0.13553604064986322</v>
      </c>
      <c r="F1023" s="12">
        <f t="shared" si="45"/>
        <v>0.12700562203282575</v>
      </c>
      <c r="G1023" s="12">
        <f>EXP(-Assumptions!$B$8*B1023)</f>
        <v>0.60199869587274879</v>
      </c>
      <c r="H1023" s="12">
        <f t="shared" si="46"/>
        <v>0.44394895732550693</v>
      </c>
      <c r="I1023" s="12">
        <f t="shared" si="47"/>
        <v>8.1592519714973527E-2</v>
      </c>
      <c r="J1023" s="12">
        <f>G1023*(D1023*Assumptions!$B$6+E1023*Assumptions!$B$7)</f>
        <v>8.5191155590037451E-3</v>
      </c>
    </row>
    <row r="1024" spans="1:10" x14ac:dyDescent="0.2">
      <c r="A1024" s="2">
        <v>1016</v>
      </c>
      <c r="B1024" s="14">
        <f>A1024*Assumptions!$B$12</f>
        <v>10.16</v>
      </c>
      <c r="C1024" s="15">
        <f>IF(A1024&lt;=Assumptions!$B$13,IF(OR(A1024=0,A1024=Assumptions!$B$13),0.5,1),0)*Assumptions!$B$12</f>
        <v>0.01</v>
      </c>
      <c r="D1024" s="12">
        <f>D1023*(1-Assumptions!$B$12*(Assumptions!$B$5+Assumptions!$B$6))</f>
        <v>0.73723709981611585</v>
      </c>
      <c r="E1024" s="12">
        <f>E1023+Assumptions!$B$12*(D1023*Assumptions!$B$5-E1023*Assumptions!$B$7)</f>
        <v>0.13561576429700176</v>
      </c>
      <c r="F1024" s="12">
        <f t="shared" si="45"/>
        <v>0.1271471358868824</v>
      </c>
      <c r="G1024" s="12">
        <f>EXP(-Assumptions!$B$8*B1024)</f>
        <v>0.60169777176210937</v>
      </c>
      <c r="H1024" s="12">
        <f t="shared" si="46"/>
        <v>0.44359392021971672</v>
      </c>
      <c r="I1024" s="12">
        <f t="shared" si="47"/>
        <v>8.1599703193321382E-2</v>
      </c>
      <c r="J1024" s="12">
        <f>G1024*(D1024*Assumptions!$B$6+E1024*Assumptions!$B$7)</f>
        <v>8.5159243618632367E-3</v>
      </c>
    </row>
    <row r="1025" spans="1:10" x14ac:dyDescent="0.2">
      <c r="A1025" s="2">
        <v>1017</v>
      </c>
      <c r="B1025" s="14">
        <f>A1025*Assumptions!$B$12</f>
        <v>10.17</v>
      </c>
      <c r="C1025" s="15">
        <f>IF(A1025&lt;=Assumptions!$B$13,IF(OR(A1025=0,A1025=Assumptions!$B$13),0.5,1),0)*Assumptions!$B$12</f>
        <v>0.01</v>
      </c>
      <c r="D1025" s="12">
        <f>D1024*(1-Assumptions!$B$12*(Assumptions!$B$5+Assumptions!$B$6))</f>
        <v>0.73701592868617105</v>
      </c>
      <c r="E1025" s="12">
        <f>E1024+Assumptions!$B$12*(D1024*Assumptions!$B$5-E1024*Assumptions!$B$7)</f>
        <v>0.13569540383481649</v>
      </c>
      <c r="F1025" s="12">
        <f t="shared" si="45"/>
        <v>0.12728866747901246</v>
      </c>
      <c r="G1025" s="12">
        <f>EXP(-Assumptions!$B$8*B1025)</f>
        <v>0.60139699807591596</v>
      </c>
      <c r="H1025" s="12">
        <f t="shared" si="46"/>
        <v>0.44323916704599664</v>
      </c>
      <c r="I1025" s="12">
        <f t="shared" si="47"/>
        <v>8.1606808518957769E-2</v>
      </c>
      <c r="J1025" s="12">
        <f>G1025*(D1025*Assumptions!$B$6+E1025*Assumptions!$B$7)</f>
        <v>8.5127320964078559E-3</v>
      </c>
    </row>
    <row r="1026" spans="1:10" x14ac:dyDescent="0.2">
      <c r="A1026" s="2">
        <v>1018</v>
      </c>
      <c r="B1026" s="14">
        <f>A1026*Assumptions!$B$12</f>
        <v>10.18</v>
      </c>
      <c r="C1026" s="15">
        <f>IF(A1026&lt;=Assumptions!$B$13,IF(OR(A1026=0,A1026=Assumptions!$B$13),0.5,1),0)*Assumptions!$B$12</f>
        <v>0.01</v>
      </c>
      <c r="D1026" s="12">
        <f>D1025*(1-Assumptions!$B$12*(Assumptions!$B$5+Assumptions!$B$6))</f>
        <v>0.73679482390756523</v>
      </c>
      <c r="E1026" s="12">
        <f>E1025+Assumptions!$B$12*(D1025*Assumptions!$B$5-E1025*Assumptions!$B$7)</f>
        <v>0.13577495931863631</v>
      </c>
      <c r="F1026" s="12">
        <f t="shared" si="45"/>
        <v>0.12743021677379845</v>
      </c>
      <c r="G1026" s="12">
        <f>EXP(-Assumptions!$B$8*B1026)</f>
        <v>0.60109637473897526</v>
      </c>
      <c r="H1026" s="12">
        <f t="shared" si="46"/>
        <v>0.44288469757727911</v>
      </c>
      <c r="I1026" s="12">
        <f t="shared" si="47"/>
        <v>8.1613835826764139E-2</v>
      </c>
      <c r="J1026" s="12">
        <f>G1026*(D1026*Assumptions!$B$6+E1026*Assumptions!$B$7)</f>
        <v>8.5095387671109985E-3</v>
      </c>
    </row>
    <row r="1027" spans="1:10" x14ac:dyDescent="0.2">
      <c r="A1027" s="2">
        <v>1019</v>
      </c>
      <c r="B1027" s="14">
        <f>A1027*Assumptions!$B$12</f>
        <v>10.19</v>
      </c>
      <c r="C1027" s="15">
        <f>IF(A1027&lt;=Assumptions!$B$13,IF(OR(A1027=0,A1027=Assumptions!$B$13),0.5,1),0)*Assumptions!$B$12</f>
        <v>0.01</v>
      </c>
      <c r="D1027" s="12">
        <f>D1026*(1-Assumptions!$B$12*(Assumptions!$B$5+Assumptions!$B$6))</f>
        <v>0.73657378546039298</v>
      </c>
      <c r="E1027" s="12">
        <f>E1026+Assumptions!$B$12*(D1026*Assumptions!$B$5-E1026*Assumptions!$B$7)</f>
        <v>0.1358544308037585</v>
      </c>
      <c r="F1027" s="12">
        <f t="shared" si="45"/>
        <v>0.12757178373584852</v>
      </c>
      <c r="G1027" s="12">
        <f>EXP(-Assumptions!$B$8*B1027)</f>
        <v>0.60079590167613139</v>
      </c>
      <c r="H1027" s="12">
        <f t="shared" si="46"/>
        <v>0.44253051158667817</v>
      </c>
      <c r="I1027" s="12">
        <f t="shared" si="47"/>
        <v>8.1620785251441688E-2</v>
      </c>
      <c r="J1027" s="12">
        <f>G1027*(D1027*Assumptions!$B$6+E1027*Assumptions!$B$7)</f>
        <v>8.5063443784388661E-3</v>
      </c>
    </row>
    <row r="1028" spans="1:10" x14ac:dyDescent="0.2">
      <c r="A1028" s="2">
        <v>1020</v>
      </c>
      <c r="B1028" s="14">
        <f>A1028*Assumptions!$B$12</f>
        <v>10.200000000000001</v>
      </c>
      <c r="C1028" s="15">
        <f>IF(A1028&lt;=Assumptions!$B$13,IF(OR(A1028=0,A1028=Assumptions!$B$13),0.5,1),0)*Assumptions!$B$12</f>
        <v>0.01</v>
      </c>
      <c r="D1028" s="12">
        <f>D1027*(1-Assumptions!$B$12*(Assumptions!$B$5+Assumptions!$B$6))</f>
        <v>0.73635281332475488</v>
      </c>
      <c r="E1028" s="12">
        <f>E1027+Assumptions!$B$12*(D1027*Assumptions!$B$5-E1027*Assumptions!$B$7)</f>
        <v>0.13593381834544871</v>
      </c>
      <c r="F1028" s="12">
        <f t="shared" si="45"/>
        <v>0.12771336832979641</v>
      </c>
      <c r="G1028" s="12">
        <f>EXP(-Assumptions!$B$8*B1028)</f>
        <v>0.6004955788122659</v>
      </c>
      <c r="H1028" s="12">
        <f t="shared" si="46"/>
        <v>0.44217660884748905</v>
      </c>
      <c r="I1028" s="12">
        <f t="shared" si="47"/>
        <v>8.162765692751163E-2</v>
      </c>
      <c r="J1028" s="12">
        <f>G1028*(D1028*Assumptions!$B$6+E1028*Assumptions!$B$7)</f>
        <v>8.5031489348504734E-3</v>
      </c>
    </row>
    <row r="1029" spans="1:10" x14ac:dyDescent="0.2">
      <c r="A1029" s="2">
        <v>1021</v>
      </c>
      <c r="B1029" s="14">
        <f>A1029*Assumptions!$B$12</f>
        <v>10.210000000000001</v>
      </c>
      <c r="C1029" s="15">
        <f>IF(A1029&lt;=Assumptions!$B$13,IF(OR(A1029=0,A1029=Assumptions!$B$13),0.5,1),0)*Assumptions!$B$12</f>
        <v>0.01</v>
      </c>
      <c r="D1029" s="12">
        <f>D1028*(1-Assumptions!$B$12*(Assumptions!$B$5+Assumptions!$B$6))</f>
        <v>0.73613190748075752</v>
      </c>
      <c r="E1029" s="12">
        <f>E1028+Assumptions!$B$12*(D1028*Assumptions!$B$5-E1028*Assumptions!$B$7)</f>
        <v>0.13601312199894094</v>
      </c>
      <c r="F1029" s="12">
        <f t="shared" si="45"/>
        <v>0.12785497052030154</v>
      </c>
      <c r="G1029" s="12">
        <f>EXP(-Assumptions!$B$8*B1029)</f>
        <v>0.60019540607229838</v>
      </c>
      <c r="H1029" s="12">
        <f t="shared" si="46"/>
        <v>0.44182298913318885</v>
      </c>
      <c r="I1029" s="12">
        <f t="shared" si="47"/>
        <v>8.1634450989315419E-2</v>
      </c>
      <c r="J1029" s="12">
        <f>G1029*(D1029*Assumptions!$B$6+E1029*Assumptions!$B$7)</f>
        <v>8.4999524407976586E-3</v>
      </c>
    </row>
    <row r="1030" spans="1:10" x14ac:dyDescent="0.2">
      <c r="A1030" s="2">
        <v>1022</v>
      </c>
      <c r="B1030" s="14">
        <f>A1030*Assumptions!$B$12</f>
        <v>10.220000000000001</v>
      </c>
      <c r="C1030" s="15">
        <f>IF(A1030&lt;=Assumptions!$B$13,IF(OR(A1030=0,A1030=Assumptions!$B$13),0.5,1),0)*Assumptions!$B$12</f>
        <v>0.01</v>
      </c>
      <c r="D1030" s="12">
        <f>D1029*(1-Assumptions!$B$12*(Assumptions!$B$5+Assumptions!$B$6))</f>
        <v>0.73591106790851335</v>
      </c>
      <c r="E1030" s="12">
        <f>E1029+Assumptions!$B$12*(D1029*Assumptions!$B$5-E1029*Assumptions!$B$7)</f>
        <v>0.13609234181943763</v>
      </c>
      <c r="F1030" s="12">
        <f t="shared" si="45"/>
        <v>0.12799659027204902</v>
      </c>
      <c r="G1030" s="12">
        <f>EXP(-Assumptions!$B$8*B1030)</f>
        <v>0.59989538338118553</v>
      </c>
      <c r="H1030" s="12">
        <f t="shared" si="46"/>
        <v>0.44146965221743528</v>
      </c>
      <c r="I1030" s="12">
        <f t="shared" si="47"/>
        <v>8.1641167571014889E-2</v>
      </c>
      <c r="J1030" s="12">
        <f>G1030*(D1030*Assumptions!$B$6+E1030*Assumptions!$B$7)</f>
        <v>8.4967549007250974E-3</v>
      </c>
    </row>
    <row r="1031" spans="1:10" x14ac:dyDescent="0.2">
      <c r="A1031" s="2">
        <v>1023</v>
      </c>
      <c r="B1031" s="14">
        <f>A1031*Assumptions!$B$12</f>
        <v>10.23</v>
      </c>
      <c r="C1031" s="15">
        <f>IF(A1031&lt;=Assumptions!$B$13,IF(OR(A1031=0,A1031=Assumptions!$B$13),0.5,1),0)*Assumptions!$B$12</f>
        <v>0.01</v>
      </c>
      <c r="D1031" s="12">
        <f>D1030*(1-Assumptions!$B$12*(Assumptions!$B$5+Assumptions!$B$6))</f>
        <v>0.73569029458814084</v>
      </c>
      <c r="E1031" s="12">
        <f>E1030+Assumptions!$B$12*(D1030*Assumptions!$B$5-E1030*Assumptions!$B$7)</f>
        <v>0.13617147786210962</v>
      </c>
      <c r="F1031" s="12">
        <f t="shared" si="45"/>
        <v>0.12813822754974954</v>
      </c>
      <c r="G1031" s="12">
        <f>EXP(-Assumptions!$B$8*B1031)</f>
        <v>0.59959551066392158</v>
      </c>
      <c r="H1031" s="12">
        <f t="shared" si="46"/>
        <v>0.44111659787406721</v>
      </c>
      <c r="I1031" s="12">
        <f t="shared" si="47"/>
        <v>8.1647806806592504E-2</v>
      </c>
      <c r="J1031" s="12">
        <f>G1031*(D1031*Assumptions!$B$6+E1031*Assumptions!$B$7)</f>
        <v>8.4935563190702973E-3</v>
      </c>
    </row>
    <row r="1032" spans="1:10" x14ac:dyDescent="0.2">
      <c r="A1032" s="2">
        <v>1024</v>
      </c>
      <c r="B1032" s="14">
        <f>A1032*Assumptions!$B$12</f>
        <v>10.24</v>
      </c>
      <c r="C1032" s="15">
        <f>IF(A1032&lt;=Assumptions!$B$13,IF(OR(A1032=0,A1032=Assumptions!$B$13),0.5,1),0)*Assumptions!$B$12</f>
        <v>0.01</v>
      </c>
      <c r="D1032" s="12">
        <f>D1031*(1-Assumptions!$B$12*(Assumptions!$B$5+Assumptions!$B$6))</f>
        <v>0.73546958749976443</v>
      </c>
      <c r="E1032" s="12">
        <f>E1031+Assumptions!$B$12*(D1031*Assumptions!$B$5-E1031*Assumptions!$B$7)</f>
        <v>0.13625053018209618</v>
      </c>
      <c r="F1032" s="12">
        <f t="shared" ref="F1032:F1095" si="48">1-D1032-E1032</f>
        <v>0.12827988231813939</v>
      </c>
      <c r="G1032" s="12">
        <f>EXP(-Assumptions!$B$8*B1032)</f>
        <v>0.59929578784553839</v>
      </c>
      <c r="H1032" s="12">
        <f t="shared" ref="H1032:H1095" si="49">G1032*D1032</f>
        <v>0.44076382587710444</v>
      </c>
      <c r="I1032" s="12">
        <f t="shared" ref="I1032:I1095" si="50">G1032*E1032</f>
        <v>8.1654368829851637E-2</v>
      </c>
      <c r="J1032" s="12">
        <f>G1032*(D1032*Assumptions!$B$6+E1032*Assumptions!$B$7)</f>
        <v>8.4903567002636276E-3</v>
      </c>
    </row>
    <row r="1033" spans="1:10" x14ac:dyDescent="0.2">
      <c r="A1033" s="2">
        <v>1025</v>
      </c>
      <c r="B1033" s="14">
        <f>A1033*Assumptions!$B$12</f>
        <v>10.25</v>
      </c>
      <c r="C1033" s="15">
        <f>IF(A1033&lt;=Assumptions!$B$13,IF(OR(A1033=0,A1033=Assumptions!$B$13),0.5,1),0)*Assumptions!$B$12</f>
        <v>0.01</v>
      </c>
      <c r="D1033" s="12">
        <f>D1032*(1-Assumptions!$B$12*(Assumptions!$B$5+Assumptions!$B$6))</f>
        <v>0.73524894662351448</v>
      </c>
      <c r="E1033" s="12">
        <f>E1032+Assumptions!$B$12*(D1032*Assumptions!$B$5-E1032*Assumptions!$B$7)</f>
        <v>0.1363294988345051</v>
      </c>
      <c r="F1033" s="12">
        <f t="shared" si="48"/>
        <v>0.12842155454198043</v>
      </c>
      <c r="G1033" s="12">
        <f>EXP(-Assumptions!$B$8*B1033)</f>
        <v>0.59899621485110532</v>
      </c>
      <c r="H1033" s="12">
        <f t="shared" si="49"/>
        <v>0.44041133600074756</v>
      </c>
      <c r="I1033" s="12">
        <f t="shared" si="50"/>
        <v>8.1660853774416731E-2</v>
      </c>
      <c r="J1033" s="12">
        <f>G1033*(D1033*Assumptions!$B$6+E1033*Assumptions!$B$7)</f>
        <v>8.4871560487283122E-3</v>
      </c>
    </row>
    <row r="1034" spans="1:10" x14ac:dyDescent="0.2">
      <c r="A1034" s="2">
        <v>1026</v>
      </c>
      <c r="B1034" s="14">
        <f>A1034*Assumptions!$B$12</f>
        <v>10.26</v>
      </c>
      <c r="C1034" s="15">
        <f>IF(A1034&lt;=Assumptions!$B$13,IF(OR(A1034=0,A1034=Assumptions!$B$13),0.5,1),0)*Assumptions!$B$12</f>
        <v>0.01</v>
      </c>
      <c r="D1034" s="12">
        <f>D1033*(1-Assumptions!$B$12*(Assumptions!$B$5+Assumptions!$B$6))</f>
        <v>0.73502837193952741</v>
      </c>
      <c r="E1034" s="12">
        <f>E1033+Assumptions!$B$12*(D1033*Assumptions!$B$5-E1033*Assumptions!$B$7)</f>
        <v>0.13640838387441254</v>
      </c>
      <c r="F1034" s="12">
        <f t="shared" si="48"/>
        <v>0.12856324418606005</v>
      </c>
      <c r="G1034" s="12">
        <f>EXP(-Assumptions!$B$8*B1034)</f>
        <v>0.59869679160572919</v>
      </c>
      <c r="H1034" s="12">
        <f t="shared" si="49"/>
        <v>0.44005912801937763</v>
      </c>
      <c r="I1034" s="12">
        <f t="shared" si="50"/>
        <v>8.1667261773733471E-2</v>
      </c>
      <c r="J1034" s="12">
        <f>G1034*(D1034*Assumptions!$B$6+E1034*Assumptions!$B$7)</f>
        <v>8.4839543688804506E-3</v>
      </c>
    </row>
    <row r="1035" spans="1:10" x14ac:dyDescent="0.2">
      <c r="A1035" s="2">
        <v>1027</v>
      </c>
      <c r="B1035" s="14">
        <f>A1035*Assumptions!$B$12</f>
        <v>10.27</v>
      </c>
      <c r="C1035" s="15">
        <f>IF(A1035&lt;=Assumptions!$B$13,IF(OR(A1035=0,A1035=Assumptions!$B$13),0.5,1),0)*Assumptions!$B$12</f>
        <v>0.01</v>
      </c>
      <c r="D1035" s="12">
        <f>D1034*(1-Assumptions!$B$12*(Assumptions!$B$5+Assumptions!$B$6))</f>
        <v>0.73480786342794557</v>
      </c>
      <c r="E1035" s="12">
        <f>E1034+Assumptions!$B$12*(D1034*Assumptions!$B$5-E1034*Assumptions!$B$7)</f>
        <v>0.13648718535686324</v>
      </c>
      <c r="F1035" s="12">
        <f t="shared" si="48"/>
        <v>0.12870495121519118</v>
      </c>
      <c r="G1035" s="12">
        <f>EXP(-Assumptions!$B$8*B1035)</f>
        <v>0.59839751803455399</v>
      </c>
      <c r="H1035" s="12">
        <f t="shared" si="49"/>
        <v>0.43970720170755617</v>
      </c>
      <c r="I1035" s="12">
        <f t="shared" si="50"/>
        <v>8.1673592961069089E-2</v>
      </c>
      <c r="J1035" s="12">
        <f>G1035*(D1035*Assumptions!$B$6+E1035*Assumptions!$B$7)</f>
        <v>8.480751665129016E-3</v>
      </c>
    </row>
    <row r="1036" spans="1:10" x14ac:dyDescent="0.2">
      <c r="A1036" s="2">
        <v>1028</v>
      </c>
      <c r="B1036" s="14">
        <f>A1036*Assumptions!$B$12</f>
        <v>10.28</v>
      </c>
      <c r="C1036" s="15">
        <f>IF(A1036&lt;=Assumptions!$B$13,IF(OR(A1036=0,A1036=Assumptions!$B$13),0.5,1),0)*Assumptions!$B$12</f>
        <v>0.01</v>
      </c>
      <c r="D1036" s="12">
        <f>D1035*(1-Assumptions!$B$12*(Assumptions!$B$5+Assumptions!$B$6))</f>
        <v>0.73458742106891717</v>
      </c>
      <c r="E1036" s="12">
        <f>E1035+Assumptions!$B$12*(D1035*Assumptions!$B$5-E1035*Assumptions!$B$7)</f>
        <v>0.13656590333687041</v>
      </c>
      <c r="F1036" s="12">
        <f t="shared" si="48"/>
        <v>0.12884667559421242</v>
      </c>
      <c r="G1036" s="12">
        <f>EXP(-Assumptions!$B$8*B1036)</f>
        <v>0.59809839406276133</v>
      </c>
      <c r="H1036" s="12">
        <f t="shared" si="49"/>
        <v>0.43935555684002481</v>
      </c>
      <c r="I1036" s="12">
        <f t="shared" si="50"/>
        <v>8.1679847469512484E-2</v>
      </c>
      <c r="J1036" s="12">
        <f>G1036*(D1036*Assumptions!$B$6+E1036*Assumptions!$B$7)</f>
        <v>8.4775479418758726E-3</v>
      </c>
    </row>
    <row r="1037" spans="1:10" x14ac:dyDescent="0.2">
      <c r="A1037" s="2">
        <v>1029</v>
      </c>
      <c r="B1037" s="14">
        <f>A1037*Assumptions!$B$12</f>
        <v>10.290000000000001</v>
      </c>
      <c r="C1037" s="15">
        <f>IF(A1037&lt;=Assumptions!$B$13,IF(OR(A1037=0,A1037=Assumptions!$B$13),0.5,1),0)*Assumptions!$B$12</f>
        <v>0.01</v>
      </c>
      <c r="D1037" s="12">
        <f>D1036*(1-Assumptions!$B$12*(Assumptions!$B$5+Assumptions!$B$6))</f>
        <v>0.73436704484259652</v>
      </c>
      <c r="E1037" s="12">
        <f>E1036+Assumptions!$B$12*(D1036*Assumptions!$B$5-E1036*Assumptions!$B$7)</f>
        <v>0.13664453786941574</v>
      </c>
      <c r="F1037" s="12">
        <f t="shared" si="48"/>
        <v>0.12898841728798774</v>
      </c>
      <c r="G1037" s="12">
        <f>EXP(-Assumptions!$B$8*B1037)</f>
        <v>0.59779941961557037</v>
      </c>
      <c r="H1037" s="12">
        <f t="shared" si="49"/>
        <v>0.43900419319170575</v>
      </c>
      <c r="I1037" s="12">
        <f t="shared" si="50"/>
        <v>8.1686025431974563E-2</v>
      </c>
      <c r="J1037" s="12">
        <f>G1037*(D1037*Assumptions!$B$6+E1037*Assumptions!$B$7)</f>
        <v>8.4743432035157863E-3</v>
      </c>
    </row>
    <row r="1038" spans="1:10" x14ac:dyDescent="0.2">
      <c r="A1038" s="2">
        <v>1030</v>
      </c>
      <c r="B1038" s="14">
        <f>A1038*Assumptions!$B$12</f>
        <v>10.3</v>
      </c>
      <c r="C1038" s="15">
        <f>IF(A1038&lt;=Assumptions!$B$13,IF(OR(A1038=0,A1038=Assumptions!$B$13),0.5,1),0)*Assumptions!$B$12</f>
        <v>0.01</v>
      </c>
      <c r="D1038" s="12">
        <f>D1037*(1-Assumptions!$B$12*(Assumptions!$B$5+Assumptions!$B$6))</f>
        <v>0.73414673472914371</v>
      </c>
      <c r="E1038" s="12">
        <f>E1037+Assumptions!$B$12*(D1037*Assumptions!$B$5-E1037*Assumptions!$B$7)</f>
        <v>0.13672308900944954</v>
      </c>
      <c r="F1038" s="12">
        <f t="shared" si="48"/>
        <v>0.12913017626140674</v>
      </c>
      <c r="G1038" s="12">
        <f>EXP(-Assumptions!$B$8*B1038)</f>
        <v>0.59750059461823746</v>
      </c>
      <c r="H1038" s="12">
        <f t="shared" si="49"/>
        <v>0.43865311053770079</v>
      </c>
      <c r="I1038" s="12">
        <f t="shared" si="50"/>
        <v>8.1692126981188315E-2</v>
      </c>
      <c r="J1038" s="12">
        <f>G1038*(D1038*Assumptions!$B$6+E1038*Assumptions!$B$7)</f>
        <v>8.4711374544364244E-3</v>
      </c>
    </row>
    <row r="1039" spans="1:10" x14ac:dyDescent="0.2">
      <c r="A1039" s="2">
        <v>1031</v>
      </c>
      <c r="B1039" s="14">
        <f>A1039*Assumptions!$B$12</f>
        <v>10.31</v>
      </c>
      <c r="C1039" s="15">
        <f>IF(A1039&lt;=Assumptions!$B$13,IF(OR(A1039=0,A1039=Assumptions!$B$13),0.5,1),0)*Assumptions!$B$12</f>
        <v>0.01</v>
      </c>
      <c r="D1039" s="12">
        <f>D1038*(1-Assumptions!$B$12*(Assumptions!$B$5+Assumptions!$B$6))</f>
        <v>0.73392649070872495</v>
      </c>
      <c r="E1039" s="12">
        <f>E1038+Assumptions!$B$12*(D1038*Assumptions!$B$5-E1038*Assumptions!$B$7)</f>
        <v>0.13680155681189066</v>
      </c>
      <c r="F1039" s="12">
        <f t="shared" si="48"/>
        <v>0.12927195247938439</v>
      </c>
      <c r="G1039" s="12">
        <f>EXP(-Assumptions!$B$8*B1039)</f>
        <v>0.59720191899605624</v>
      </c>
      <c r="H1039" s="12">
        <f t="shared" si="49"/>
        <v>0.43830230865329178</v>
      </c>
      <c r="I1039" s="12">
        <f t="shared" si="50"/>
        <v>8.1698152249709111E-2</v>
      </c>
      <c r="J1039" s="12">
        <f>G1039*(D1039*Assumptions!$B$6+E1039*Assumptions!$B$7)</f>
        <v>8.4679306990183729E-3</v>
      </c>
    </row>
    <row r="1040" spans="1:10" x14ac:dyDescent="0.2">
      <c r="A1040" s="2">
        <v>1032</v>
      </c>
      <c r="B1040" s="14">
        <f>A1040*Assumptions!$B$12</f>
        <v>10.32</v>
      </c>
      <c r="C1040" s="15">
        <f>IF(A1040&lt;=Assumptions!$B$13,IF(OR(A1040=0,A1040=Assumptions!$B$13),0.5,1),0)*Assumptions!$B$12</f>
        <v>0.01</v>
      </c>
      <c r="D1040" s="12">
        <f>D1039*(1-Assumptions!$B$12*(Assumptions!$B$5+Assumptions!$B$6))</f>
        <v>0.73370631276151232</v>
      </c>
      <c r="E1040" s="12">
        <f>E1039+Assumptions!$B$12*(D1039*Assumptions!$B$5-E1039*Assumptions!$B$7)</f>
        <v>0.13687994133162645</v>
      </c>
      <c r="F1040" s="12">
        <f t="shared" si="48"/>
        <v>0.12941374590686122</v>
      </c>
      <c r="G1040" s="12">
        <f>EXP(-Assumptions!$B$8*B1040)</f>
        <v>0.59690339267435799</v>
      </c>
      <c r="H1040" s="12">
        <f t="shared" si="49"/>
        <v>0.4379517873139403</v>
      </c>
      <c r="I1040" s="12">
        <f t="shared" si="50"/>
        <v>8.1704101369914905E-2</v>
      </c>
      <c r="J1040" s="12">
        <f>G1040*(D1040*Assumptions!$B$6+E1040*Assumptions!$B$7)</f>
        <v>8.4647229416351492E-3</v>
      </c>
    </row>
    <row r="1041" spans="1:10" x14ac:dyDescent="0.2">
      <c r="A1041" s="2">
        <v>1033</v>
      </c>
      <c r="B1041" s="14">
        <f>A1041*Assumptions!$B$12</f>
        <v>10.33</v>
      </c>
      <c r="C1041" s="15">
        <f>IF(A1041&lt;=Assumptions!$B$13,IF(OR(A1041=0,A1041=Assumptions!$B$13),0.5,1),0)*Assumptions!$B$12</f>
        <v>0.01</v>
      </c>
      <c r="D1041" s="12">
        <f>D1040*(1-Assumptions!$B$12*(Assumptions!$B$5+Assumptions!$B$6))</f>
        <v>0.7334862008676839</v>
      </c>
      <c r="E1041" s="12">
        <f>E1040+Assumptions!$B$12*(D1040*Assumptions!$B$5-E1040*Assumptions!$B$7)</f>
        <v>0.13695824262351294</v>
      </c>
      <c r="F1041" s="12">
        <f t="shared" si="48"/>
        <v>0.12955555650880315</v>
      </c>
      <c r="G1041" s="12">
        <f>EXP(-Assumptions!$B$8*B1041)</f>
        <v>0.59660501557851098</v>
      </c>
      <c r="H1041" s="12">
        <f t="shared" si="49"/>
        <v>0.43760154629528741</v>
      </c>
      <c r="I1041" s="12">
        <f t="shared" si="50"/>
        <v>8.1709974474006422E-2</v>
      </c>
      <c r="J1041" s="12">
        <f>G1041*(D1041*Assumptions!$B$6+E1041*Assumptions!$B$7)</f>
        <v>8.4615141866531945E-3</v>
      </c>
    </row>
    <row r="1042" spans="1:10" x14ac:dyDescent="0.2">
      <c r="A1042" s="2">
        <v>1034</v>
      </c>
      <c r="B1042" s="14">
        <f>A1042*Assumptions!$B$12</f>
        <v>10.34</v>
      </c>
      <c r="C1042" s="15">
        <f>IF(A1042&lt;=Assumptions!$B$13,IF(OR(A1042=0,A1042=Assumptions!$B$13),0.5,1),0)*Assumptions!$B$12</f>
        <v>0.01</v>
      </c>
      <c r="D1042" s="12">
        <f>D1041*(1-Assumptions!$B$12*(Assumptions!$B$5+Assumptions!$B$6))</f>
        <v>0.73326615500742365</v>
      </c>
      <c r="E1042" s="12">
        <f>E1041+Assumptions!$B$12*(D1041*Assumptions!$B$5-E1041*Assumptions!$B$7)</f>
        <v>0.13703646074237472</v>
      </c>
      <c r="F1042" s="12">
        <f t="shared" si="48"/>
        <v>0.12969738425020164</v>
      </c>
      <c r="G1042" s="12">
        <f>EXP(-Assumptions!$B$8*B1042)</f>
        <v>0.59630678763392098</v>
      </c>
      <c r="H1042" s="12">
        <f t="shared" si="49"/>
        <v>0.43725158537315356</v>
      </c>
      <c r="I1042" s="12">
        <f t="shared" si="50"/>
        <v>8.1715771694007386E-2</v>
      </c>
      <c r="J1042" s="12">
        <f>G1042*(D1042*Assumptions!$B$6+E1042*Assumptions!$B$7)</f>
        <v>8.4583044384319052E-3</v>
      </c>
    </row>
    <row r="1043" spans="1:10" x14ac:dyDescent="0.2">
      <c r="A1043" s="2">
        <v>1035</v>
      </c>
      <c r="B1043" s="14">
        <f>A1043*Assumptions!$B$12</f>
        <v>10.35</v>
      </c>
      <c r="C1043" s="15">
        <f>IF(A1043&lt;=Assumptions!$B$13,IF(OR(A1043=0,A1043=Assumptions!$B$13),0.5,1),0)*Assumptions!$B$12</f>
        <v>0.01</v>
      </c>
      <c r="D1043" s="12">
        <f>D1042*(1-Assumptions!$B$12*(Assumptions!$B$5+Assumptions!$B$6))</f>
        <v>0.73304617516092141</v>
      </c>
      <c r="E1043" s="12">
        <f>E1042+Assumptions!$B$12*(D1042*Assumptions!$B$5-E1042*Assumptions!$B$7)</f>
        <v>0.13711459574300502</v>
      </c>
      <c r="F1043" s="12">
        <f t="shared" si="48"/>
        <v>0.12983922909607357</v>
      </c>
      <c r="G1043" s="12">
        <f>EXP(-Assumptions!$B$8*B1043)</f>
        <v>0.59600870876603096</v>
      </c>
      <c r="H1043" s="12">
        <f t="shared" si="49"/>
        <v>0.43690190432353854</v>
      </c>
      <c r="I1043" s="12">
        <f t="shared" si="50"/>
        <v>8.1721493161764747E-2</v>
      </c>
      <c r="J1043" s="12">
        <f>G1043*(D1043*Assumptions!$B$6+E1043*Assumptions!$B$7)</f>
        <v>8.4550937013236228E-3</v>
      </c>
    </row>
    <row r="1044" spans="1:10" x14ac:dyDescent="0.2">
      <c r="A1044" s="2">
        <v>1036</v>
      </c>
      <c r="B1044" s="14">
        <f>A1044*Assumptions!$B$12</f>
        <v>10.36</v>
      </c>
      <c r="C1044" s="15">
        <f>IF(A1044&lt;=Assumptions!$B$13,IF(OR(A1044=0,A1044=Assumptions!$B$13),0.5,1),0)*Assumptions!$B$12</f>
        <v>0.01</v>
      </c>
      <c r="D1044" s="12">
        <f>D1043*(1-Assumptions!$B$12*(Assumptions!$B$5+Assumptions!$B$6))</f>
        <v>0.73282626130837314</v>
      </c>
      <c r="E1044" s="12">
        <f>E1043+Assumptions!$B$12*(D1043*Assumptions!$B$5-E1043*Assumptions!$B$7)</f>
        <v>0.1371926476801657</v>
      </c>
      <c r="F1044" s="12">
        <f t="shared" si="48"/>
        <v>0.12998109101146116</v>
      </c>
      <c r="G1044" s="12">
        <f>EXP(-Assumptions!$B$8*B1044)</f>
        <v>0.5957107789003212</v>
      </c>
      <c r="H1044" s="12">
        <f t="shared" si="49"/>
        <v>0.43655250292262127</v>
      </c>
      <c r="I1044" s="12">
        <f t="shared" si="50"/>
        <v>8.172713900894886E-2</v>
      </c>
      <c r="J1044" s="12">
        <f>G1044*(D1044*Assumptions!$B$6+E1044*Assumptions!$B$7)</f>
        <v>8.4518819796736561E-3</v>
      </c>
    </row>
    <row r="1045" spans="1:10" x14ac:dyDescent="0.2">
      <c r="A1045" s="2">
        <v>1037</v>
      </c>
      <c r="B1045" s="14">
        <f>A1045*Assumptions!$B$12</f>
        <v>10.370000000000001</v>
      </c>
      <c r="C1045" s="15">
        <f>IF(A1045&lt;=Assumptions!$B$13,IF(OR(A1045=0,A1045=Assumptions!$B$13),0.5,1),0)*Assumptions!$B$12</f>
        <v>0.01</v>
      </c>
      <c r="D1045" s="12">
        <f>D1044*(1-Assumptions!$B$12*(Assumptions!$B$5+Assumptions!$B$6))</f>
        <v>0.73260641342998067</v>
      </c>
      <c r="E1045" s="12">
        <f>E1044+Assumptions!$B$12*(D1044*Assumptions!$B$5-E1044*Assumptions!$B$7)</f>
        <v>0.1372706166085873</v>
      </c>
      <c r="F1045" s="12">
        <f t="shared" si="48"/>
        <v>0.13012296996143202</v>
      </c>
      <c r="G1045" s="12">
        <f>EXP(-Assumptions!$B$8*B1045)</f>
        <v>0.59541299796230929</v>
      </c>
      <c r="H1045" s="12">
        <f t="shared" si="49"/>
        <v>0.43620338094675981</v>
      </c>
      <c r="I1045" s="12">
        <f t="shared" si="50"/>
        <v>8.1732709367053735E-2</v>
      </c>
      <c r="J1045" s="12">
        <f>G1045*(D1045*Assumptions!$B$6+E1045*Assumptions!$B$7)</f>
        <v>8.4486692778202848E-3</v>
      </c>
    </row>
    <row r="1046" spans="1:10" x14ac:dyDescent="0.2">
      <c r="A1046" s="2">
        <v>1038</v>
      </c>
      <c r="B1046" s="14">
        <f>A1046*Assumptions!$B$12</f>
        <v>10.38</v>
      </c>
      <c r="C1046" s="15">
        <f>IF(A1046&lt;=Assumptions!$B$13,IF(OR(A1046=0,A1046=Assumptions!$B$13),0.5,1),0)*Assumptions!$B$12</f>
        <v>0.01</v>
      </c>
      <c r="D1046" s="12">
        <f>D1045*(1-Assumptions!$B$12*(Assumptions!$B$5+Assumptions!$B$6))</f>
        <v>0.73238663150595174</v>
      </c>
      <c r="E1046" s="12">
        <f>E1045+Assumptions!$B$12*(D1045*Assumptions!$B$5-E1045*Assumptions!$B$7)</f>
        <v>0.13734850258296902</v>
      </c>
      <c r="F1046" s="12">
        <f t="shared" si="48"/>
        <v>0.13026486591107925</v>
      </c>
      <c r="G1046" s="12">
        <f>EXP(-Assumptions!$B$8*B1046)</f>
        <v>0.5951153658775501</v>
      </c>
      <c r="H1046" s="12">
        <f t="shared" si="49"/>
        <v>0.43585453817249092</v>
      </c>
      <c r="I1046" s="12">
        <f t="shared" si="50"/>
        <v>8.1738204367397246E-2</v>
      </c>
      <c r="J1046" s="12">
        <f>G1046*(D1046*Assumptions!$B$6+E1046*Assumptions!$B$7)</f>
        <v>8.4454556000947718E-3</v>
      </c>
    </row>
    <row r="1047" spans="1:10" x14ac:dyDescent="0.2">
      <c r="A1047" s="2">
        <v>1039</v>
      </c>
      <c r="B1047" s="14">
        <f>A1047*Assumptions!$B$12</f>
        <v>10.39</v>
      </c>
      <c r="C1047" s="15">
        <f>IF(A1047&lt;=Assumptions!$B$13,IF(OR(A1047=0,A1047=Assumptions!$B$13),0.5,1),0)*Assumptions!$B$12</f>
        <v>0.01</v>
      </c>
      <c r="D1047" s="12">
        <f>D1046*(1-Assumptions!$B$12*(Assumptions!$B$5+Assumptions!$B$6))</f>
        <v>0.73216691551649993</v>
      </c>
      <c r="E1047" s="12">
        <f>E1046+Assumptions!$B$12*(D1046*Assumptions!$B$5-E1046*Assumptions!$B$7)</f>
        <v>0.13742630565797873</v>
      </c>
      <c r="F1047" s="12">
        <f t="shared" si="48"/>
        <v>0.13040677882552135</v>
      </c>
      <c r="G1047" s="12">
        <f>EXP(-Assumptions!$B$8*B1047)</f>
        <v>0.59481788257163526</v>
      </c>
      <c r="H1047" s="12">
        <f t="shared" si="49"/>
        <v>0.43550597437652983</v>
      </c>
      <c r="I1047" s="12">
        <f t="shared" si="50"/>
        <v>8.1743624141121241E-2</v>
      </c>
      <c r="J1047" s="12">
        <f>G1047*(D1047*Assumptions!$B$6+E1047*Assumptions!$B$7)</f>
        <v>8.4422409508213593E-3</v>
      </c>
    </row>
    <row r="1048" spans="1:10" x14ac:dyDescent="0.2">
      <c r="A1048" s="2">
        <v>1040</v>
      </c>
      <c r="B1048" s="14">
        <f>A1048*Assumptions!$B$12</f>
        <v>10.4</v>
      </c>
      <c r="C1048" s="15">
        <f>IF(A1048&lt;=Assumptions!$B$13,IF(OR(A1048=0,A1048=Assumptions!$B$13),0.5,1),0)*Assumptions!$B$12</f>
        <v>0.01</v>
      </c>
      <c r="D1048" s="12">
        <f>D1047*(1-Assumptions!$B$12*(Assumptions!$B$5+Assumptions!$B$6))</f>
        <v>0.73194726544184496</v>
      </c>
      <c r="E1048" s="12">
        <f>E1047+Assumptions!$B$12*(D1047*Assumptions!$B$5-E1047*Assumptions!$B$7)</f>
        <v>0.13750402588825303</v>
      </c>
      <c r="F1048" s="12">
        <f t="shared" si="48"/>
        <v>0.13054870866990201</v>
      </c>
      <c r="G1048" s="12">
        <f>EXP(-Assumptions!$B$8*B1048)</f>
        <v>0.59452054797019438</v>
      </c>
      <c r="H1048" s="12">
        <f t="shared" si="49"/>
        <v>0.43515768933577098</v>
      </c>
      <c r="I1048" s="12">
        <f t="shared" si="50"/>
        <v>8.1748968819191983E-2</v>
      </c>
      <c r="J1048" s="12">
        <f>G1048*(D1048*Assumptions!$B$6+E1048*Assumptions!$B$7)</f>
        <v>8.4390253343173093E-3</v>
      </c>
    </row>
    <row r="1049" spans="1:10" x14ac:dyDescent="0.2">
      <c r="A1049" s="2">
        <v>1041</v>
      </c>
      <c r="B1049" s="14">
        <f>A1049*Assumptions!$B$12</f>
        <v>10.41</v>
      </c>
      <c r="C1049" s="15">
        <f>IF(A1049&lt;=Assumptions!$B$13,IF(OR(A1049=0,A1049=Assumptions!$B$13),0.5,1),0)*Assumptions!$B$12</f>
        <v>0.01</v>
      </c>
      <c r="D1049" s="12">
        <f>D1048*(1-Assumptions!$B$12*(Assumptions!$B$5+Assumptions!$B$6))</f>
        <v>0.73172768126221244</v>
      </c>
      <c r="E1049" s="12">
        <f>E1048+Assumptions!$B$12*(D1048*Assumptions!$B$5-E1048*Assumptions!$B$7)</f>
        <v>0.13758166332839727</v>
      </c>
      <c r="F1049" s="12">
        <f t="shared" si="48"/>
        <v>0.13069065540939029</v>
      </c>
      <c r="G1049" s="12">
        <f>EXP(-Assumptions!$B$8*B1049)</f>
        <v>0.59422336199889336</v>
      </c>
      <c r="H1049" s="12">
        <f t="shared" si="49"/>
        <v>0.43480968282728655</v>
      </c>
      <c r="I1049" s="12">
        <f t="shared" si="50"/>
        <v>8.1754238532400089E-2</v>
      </c>
      <c r="J1049" s="12">
        <f>G1049*(D1049*Assumptions!$B$6+E1049*Assumptions!$B$7)</f>
        <v>8.4358087548928699E-3</v>
      </c>
    </row>
    <row r="1050" spans="1:10" x14ac:dyDescent="0.2">
      <c r="A1050" s="2">
        <v>1042</v>
      </c>
      <c r="B1050" s="14">
        <f>A1050*Assumptions!$B$12</f>
        <v>10.42</v>
      </c>
      <c r="C1050" s="15">
        <f>IF(A1050&lt;=Assumptions!$B$13,IF(OR(A1050=0,A1050=Assumptions!$B$13),0.5,1),0)*Assumptions!$B$12</f>
        <v>0.01</v>
      </c>
      <c r="D1050" s="12">
        <f>D1049*(1-Assumptions!$B$12*(Assumptions!$B$5+Assumptions!$B$6))</f>
        <v>0.73150816295783383</v>
      </c>
      <c r="E1050" s="12">
        <f>E1049+Assumptions!$B$12*(D1049*Assumptions!$B$5-E1049*Assumptions!$B$7)</f>
        <v>0.13765921803298553</v>
      </c>
      <c r="F1050" s="12">
        <f t="shared" si="48"/>
        <v>0.13083261900918064</v>
      </c>
      <c r="G1050" s="12">
        <f>EXP(-Assumptions!$B$8*B1050)</f>
        <v>0.59392632458343608</v>
      </c>
      <c r="H1050" s="12">
        <f t="shared" si="49"/>
        <v>0.43446195462832748</v>
      </c>
      <c r="I1050" s="12">
        <f t="shared" si="50"/>
        <v>8.1759433411360966E-2</v>
      </c>
      <c r="J1050" s="12">
        <f>G1050*(D1050*Assumptions!$B$6+E1050*Assumptions!$B$7)</f>
        <v>8.4325912168513231E-3</v>
      </c>
    </row>
    <row r="1051" spans="1:10" x14ac:dyDescent="0.2">
      <c r="A1051" s="2">
        <v>1043</v>
      </c>
      <c r="B1051" s="14">
        <f>A1051*Assumptions!$B$12</f>
        <v>10.43</v>
      </c>
      <c r="C1051" s="15">
        <f>IF(A1051&lt;=Assumptions!$B$13,IF(OR(A1051=0,A1051=Assumptions!$B$13),0.5,1),0)*Assumptions!$B$12</f>
        <v>0.01</v>
      </c>
      <c r="D1051" s="12">
        <f>D1050*(1-Assumptions!$B$12*(Assumptions!$B$5+Assumptions!$B$6))</f>
        <v>0.7312887105089465</v>
      </c>
      <c r="E1051" s="12">
        <f>E1050+Assumptions!$B$12*(D1050*Assumptions!$B$5-E1050*Assumptions!$B$7)</f>
        <v>0.13773669005656061</v>
      </c>
      <c r="F1051" s="12">
        <f t="shared" si="48"/>
        <v>0.13097459943449288</v>
      </c>
      <c r="G1051" s="12">
        <f>EXP(-Assumptions!$B$8*B1051)</f>
        <v>0.59362943564956305</v>
      </c>
      <c r="H1051" s="12">
        <f t="shared" si="49"/>
        <v>0.43411450451632261</v>
      </c>
      <c r="I1051" s="12">
        <f t="shared" si="50"/>
        <v>8.1764553586514854E-2</v>
      </c>
      <c r="J1051" s="12">
        <f>G1051*(D1051*Assumptions!$B$6+E1051*Assumptions!$B$7)</f>
        <v>8.4293727244889698E-3</v>
      </c>
    </row>
    <row r="1052" spans="1:10" x14ac:dyDescent="0.2">
      <c r="A1052" s="2">
        <v>1044</v>
      </c>
      <c r="B1052" s="14">
        <f>A1052*Assumptions!$B$12</f>
        <v>10.44</v>
      </c>
      <c r="C1052" s="15">
        <f>IF(A1052&lt;=Assumptions!$B$13,IF(OR(A1052=0,A1052=Assumptions!$B$13),0.5,1),0)*Assumptions!$B$12</f>
        <v>0.01</v>
      </c>
      <c r="D1052" s="12">
        <f>D1051*(1-Assumptions!$B$12*(Assumptions!$B$5+Assumptions!$B$6))</f>
        <v>0.73106932389579382</v>
      </c>
      <c r="E1052" s="12">
        <f>E1051+Assumptions!$B$12*(D1051*Assumptions!$B$5-E1051*Assumptions!$B$7)</f>
        <v>0.13781407945363411</v>
      </c>
      <c r="F1052" s="12">
        <f t="shared" si="48"/>
        <v>0.13111659665057207</v>
      </c>
      <c r="G1052" s="12">
        <f>EXP(-Assumptions!$B$8*B1052)</f>
        <v>0.59333269512305198</v>
      </c>
      <c r="H1052" s="12">
        <f t="shared" si="49"/>
        <v>0.43376733226887876</v>
      </c>
      <c r="I1052" s="12">
        <f t="shared" si="50"/>
        <v>8.1769599188127151E-2</v>
      </c>
      <c r="J1052" s="12">
        <f>G1052*(D1052*Assumptions!$B$6+E1052*Assumptions!$B$7)</f>
        <v>8.4261532820951463E-3</v>
      </c>
    </row>
    <row r="1053" spans="1:10" x14ac:dyDescent="0.2">
      <c r="A1053" s="2">
        <v>1045</v>
      </c>
      <c r="B1053" s="14">
        <f>A1053*Assumptions!$B$12</f>
        <v>10.450000000000001</v>
      </c>
      <c r="C1053" s="15">
        <f>IF(A1053&lt;=Assumptions!$B$13,IF(OR(A1053=0,A1053=Assumptions!$B$13),0.5,1),0)*Assumptions!$B$12</f>
        <v>0.01</v>
      </c>
      <c r="D1053" s="12">
        <f>D1052*(1-Assumptions!$B$12*(Assumptions!$B$5+Assumptions!$B$6))</f>
        <v>0.73085000309862513</v>
      </c>
      <c r="E1053" s="12">
        <f>E1052+Assumptions!$B$12*(D1052*Assumptions!$B$5-E1052*Assumptions!$B$7)</f>
        <v>0.13789138627868644</v>
      </c>
      <c r="F1053" s="12">
        <f t="shared" si="48"/>
        <v>0.13125861062268843</v>
      </c>
      <c r="G1053" s="12">
        <f>EXP(-Assumptions!$B$8*B1053)</f>
        <v>0.59303610292971776</v>
      </c>
      <c r="H1053" s="12">
        <f t="shared" si="49"/>
        <v>0.4334204376637808</v>
      </c>
      <c r="I1053" s="12">
        <f t="shared" si="50"/>
        <v>8.1774570346288558E-2</v>
      </c>
      <c r="J1053" s="12">
        <f>G1053*(D1053*Assumptions!$B$6+E1053*Assumptions!$B$7)</f>
        <v>8.4229328939522362E-3</v>
      </c>
    </row>
    <row r="1054" spans="1:10" x14ac:dyDescent="0.2">
      <c r="A1054" s="2">
        <v>1046</v>
      </c>
      <c r="B1054" s="14">
        <f>A1054*Assumptions!$B$12</f>
        <v>10.46</v>
      </c>
      <c r="C1054" s="15">
        <f>IF(A1054&lt;=Assumptions!$B$13,IF(OR(A1054=0,A1054=Assumptions!$B$13),0.5,1),0)*Assumptions!$B$12</f>
        <v>0.01</v>
      </c>
      <c r="D1054" s="12">
        <f>D1053*(1-Assumptions!$B$12*(Assumptions!$B$5+Assumptions!$B$6))</f>
        <v>0.73063074809769557</v>
      </c>
      <c r="E1054" s="12">
        <f>E1053+Assumptions!$B$12*(D1053*Assumptions!$B$5-E1053*Assumptions!$B$7)</f>
        <v>0.13796861058616683</v>
      </c>
      <c r="F1054" s="12">
        <f t="shared" si="48"/>
        <v>0.1314006413161376</v>
      </c>
      <c r="G1054" s="12">
        <f>EXP(-Assumptions!$B$8*B1054)</f>
        <v>0.59273965899541248</v>
      </c>
      <c r="H1054" s="12">
        <f t="shared" si="49"/>
        <v>0.43307382047899118</v>
      </c>
      <c r="I1054" s="12">
        <f t="shared" si="50"/>
        <v>8.1779467190915375E-2</v>
      </c>
      <c r="J1054" s="12">
        <f>G1054*(D1054*Assumptions!$B$6+E1054*Assumptions!$B$7)</f>
        <v>8.4197115643356822E-3</v>
      </c>
    </row>
    <row r="1055" spans="1:10" x14ac:dyDescent="0.2">
      <c r="A1055" s="2">
        <v>1047</v>
      </c>
      <c r="B1055" s="14">
        <f>A1055*Assumptions!$B$12</f>
        <v>10.47</v>
      </c>
      <c r="C1055" s="15">
        <f>IF(A1055&lt;=Assumptions!$B$13,IF(OR(A1055=0,A1055=Assumptions!$B$13),0.5,1),0)*Assumptions!$B$12</f>
        <v>0.01</v>
      </c>
      <c r="D1055" s="12">
        <f>D1054*(1-Assumptions!$B$12*(Assumptions!$B$5+Assumptions!$B$6))</f>
        <v>0.73041155887326625</v>
      </c>
      <c r="E1055" s="12">
        <f>E1054+Assumptions!$B$12*(D1054*Assumptions!$B$5-E1054*Assumptions!$B$7)</f>
        <v>0.13804575243049327</v>
      </c>
      <c r="F1055" s="12">
        <f t="shared" si="48"/>
        <v>0.13154268869624047</v>
      </c>
      <c r="G1055" s="12">
        <f>EXP(-Assumptions!$B$8*B1055)</f>
        <v>0.59244336324602487</v>
      </c>
      <c r="H1055" s="12">
        <f t="shared" si="49"/>
        <v>0.43272748049264975</v>
      </c>
      <c r="I1055" s="12">
        <f t="shared" si="50"/>
        <v>8.1784289851749542E-2</v>
      </c>
      <c r="J1055" s="12">
        <f>G1055*(D1055*Assumptions!$B$6+E1055*Assumptions!$B$7)</f>
        <v>8.4164892975139745E-3</v>
      </c>
    </row>
    <row r="1056" spans="1:10" x14ac:dyDescent="0.2">
      <c r="A1056" s="2">
        <v>1048</v>
      </c>
      <c r="B1056" s="14">
        <f>A1056*Assumptions!$B$12</f>
        <v>10.48</v>
      </c>
      <c r="C1056" s="15">
        <f>IF(A1056&lt;=Assumptions!$B$13,IF(OR(A1056=0,A1056=Assumptions!$B$13),0.5,1),0)*Assumptions!$B$12</f>
        <v>0.01</v>
      </c>
      <c r="D1056" s="12">
        <f>D1055*(1-Assumptions!$B$12*(Assumptions!$B$5+Assumptions!$B$6))</f>
        <v>0.7301924354056043</v>
      </c>
      <c r="E1056" s="12">
        <f>E1055+Assumptions!$B$12*(D1055*Assumptions!$B$5-E1055*Assumptions!$B$7)</f>
        <v>0.13812281186605269</v>
      </c>
      <c r="F1056" s="12">
        <f t="shared" si="48"/>
        <v>0.13168475272834301</v>
      </c>
      <c r="G1056" s="12">
        <f>EXP(-Assumptions!$B$8*B1056)</f>
        <v>0.59214721560748129</v>
      </c>
      <c r="H1056" s="12">
        <f t="shared" si="49"/>
        <v>0.43238141748307424</v>
      </c>
      <c r="I1056" s="12">
        <f t="shared" si="50"/>
        <v>8.1789038458359081E-2</v>
      </c>
      <c r="J1056" s="12">
        <f>G1056*(D1056*Assumptions!$B$6+E1056*Assumptions!$B$7)</f>
        <v>8.4132660977486954E-3</v>
      </c>
    </row>
    <row r="1057" spans="1:10" x14ac:dyDescent="0.2">
      <c r="A1057" s="2">
        <v>1049</v>
      </c>
      <c r="B1057" s="14">
        <f>A1057*Assumptions!$B$12</f>
        <v>10.49</v>
      </c>
      <c r="C1057" s="15">
        <f>IF(A1057&lt;=Assumptions!$B$13,IF(OR(A1057=0,A1057=Assumptions!$B$13),0.5,1),0)*Assumptions!$B$12</f>
        <v>0.01</v>
      </c>
      <c r="D1057" s="12">
        <f>D1056*(1-Assumptions!$B$12*(Assumptions!$B$5+Assumptions!$B$6))</f>
        <v>0.7299733776749826</v>
      </c>
      <c r="E1057" s="12">
        <f>E1056+Assumptions!$B$12*(D1056*Assumptions!$B$5-E1056*Assumptions!$B$7)</f>
        <v>0.13819978894720078</v>
      </c>
      <c r="F1057" s="12">
        <f t="shared" si="48"/>
        <v>0.13182683337781662</v>
      </c>
      <c r="G1057" s="12">
        <f>EXP(-Assumptions!$B$8*B1057)</f>
        <v>0.59185121600574464</v>
      </c>
      <c r="H1057" s="12">
        <f t="shared" si="49"/>
        <v>0.43203563122875915</v>
      </c>
      <c r="I1057" s="12">
        <f t="shared" si="50"/>
        <v>8.1793713140138044E-2</v>
      </c>
      <c r="J1057" s="12">
        <f>G1057*(D1057*Assumptions!$B$6+E1057*Assumptions!$B$7)</f>
        <v>8.4100419692944954E-3</v>
      </c>
    </row>
    <row r="1058" spans="1:10" x14ac:dyDescent="0.2">
      <c r="A1058" s="2">
        <v>1050</v>
      </c>
      <c r="B1058" s="14">
        <f>A1058*Assumptions!$B$12</f>
        <v>10.5</v>
      </c>
      <c r="C1058" s="15">
        <f>IF(A1058&lt;=Assumptions!$B$13,IF(OR(A1058=0,A1058=Assumptions!$B$13),0.5,1),0)*Assumptions!$B$12</f>
        <v>0.01</v>
      </c>
      <c r="D1058" s="12">
        <f>D1057*(1-Assumptions!$B$12*(Assumptions!$B$5+Assumptions!$B$6))</f>
        <v>0.72975438566168016</v>
      </c>
      <c r="E1058" s="12">
        <f>E1057+Assumptions!$B$12*(D1057*Assumptions!$B$5-E1057*Assumptions!$B$7)</f>
        <v>0.13827668372826218</v>
      </c>
      <c r="F1058" s="12">
        <f t="shared" si="48"/>
        <v>0.13196893061005766</v>
      </c>
      <c r="G1058" s="12">
        <f>EXP(-Assumptions!$B$8*B1058)</f>
        <v>0.59155536436681511</v>
      </c>
      <c r="H1058" s="12">
        <f t="shared" si="49"/>
        <v>0.43169012150837655</v>
      </c>
      <c r="I1058" s="12">
        <f t="shared" si="50"/>
        <v>8.1798314026306995E-2</v>
      </c>
      <c r="J1058" s="12">
        <f>G1058*(D1058*Assumptions!$B$6+E1058*Assumptions!$B$7)</f>
        <v>8.4068169163991156E-3</v>
      </c>
    </row>
    <row r="1059" spans="1:10" x14ac:dyDescent="0.2">
      <c r="A1059" s="2">
        <v>1051</v>
      </c>
      <c r="B1059" s="14">
        <f>A1059*Assumptions!$B$12</f>
        <v>10.51</v>
      </c>
      <c r="C1059" s="15">
        <f>IF(A1059&lt;=Assumptions!$B$13,IF(OR(A1059=0,A1059=Assumptions!$B$13),0.5,1),0)*Assumptions!$B$12</f>
        <v>0.01</v>
      </c>
      <c r="D1059" s="12">
        <f>D1058*(1-Assumptions!$B$12*(Assumptions!$B$5+Assumptions!$B$6))</f>
        <v>0.72953545934598163</v>
      </c>
      <c r="E1059" s="12">
        <f>E1058+Assumptions!$B$12*(D1058*Assumptions!$B$5-E1058*Assumptions!$B$7)</f>
        <v>0.13835349626353038</v>
      </c>
      <c r="F1059" s="12">
        <f t="shared" si="48"/>
        <v>0.13211104439048799</v>
      </c>
      <c r="G1059" s="12">
        <f>EXP(-Assumptions!$B$8*B1059)</f>
        <v>0.59125966061672974</v>
      </c>
      <c r="H1059" s="12">
        <f t="shared" si="49"/>
        <v>0.43134488810077515</v>
      </c>
      <c r="I1059" s="12">
        <f t="shared" si="50"/>
        <v>8.1802841245912958E-2</v>
      </c>
      <c r="J1059" s="12">
        <f>G1059*(D1059*Assumptions!$B$6+E1059*Assumptions!$B$7)</f>
        <v>8.4035909433033996E-3</v>
      </c>
    </row>
    <row r="1060" spans="1:10" x14ac:dyDescent="0.2">
      <c r="A1060" s="2">
        <v>1052</v>
      </c>
      <c r="B1060" s="14">
        <f>A1060*Assumptions!$B$12</f>
        <v>10.52</v>
      </c>
      <c r="C1060" s="15">
        <f>IF(A1060&lt;=Assumptions!$B$13,IF(OR(A1060=0,A1060=Assumptions!$B$13),0.5,1),0)*Assumptions!$B$12</f>
        <v>0.01</v>
      </c>
      <c r="D1060" s="12">
        <f>D1059*(1-Assumptions!$B$12*(Assumptions!$B$5+Assumptions!$B$6))</f>
        <v>0.72931659870817789</v>
      </c>
      <c r="E1060" s="12">
        <f>E1059+Assumptions!$B$12*(D1059*Assumptions!$B$5-E1059*Assumptions!$B$7)</f>
        <v>0.13843022660726781</v>
      </c>
      <c r="F1060" s="12">
        <f t="shared" si="48"/>
        <v>0.1322531746845543</v>
      </c>
      <c r="G1060" s="12">
        <f>EXP(-Assumptions!$B$8*B1060)</f>
        <v>0.59096410468156257</v>
      </c>
      <c r="H1060" s="12">
        <f t="shared" si="49"/>
        <v>0.43099993078498078</v>
      </c>
      <c r="I1060" s="12">
        <f t="shared" si="50"/>
        <v>8.1807294927829843E-2</v>
      </c>
      <c r="J1060" s="12">
        <f>G1060*(D1060*Assumptions!$B$6+E1060*Assumptions!$B$7)</f>
        <v>8.4003640542412994E-3</v>
      </c>
    </row>
    <row r="1061" spans="1:10" x14ac:dyDescent="0.2">
      <c r="A1061" s="2">
        <v>1053</v>
      </c>
      <c r="B1061" s="14">
        <f>A1061*Assumptions!$B$12</f>
        <v>10.53</v>
      </c>
      <c r="C1061" s="15">
        <f>IF(A1061&lt;=Assumptions!$B$13,IF(OR(A1061=0,A1061=Assumptions!$B$13),0.5,1),0)*Assumptions!$B$12</f>
        <v>0.01</v>
      </c>
      <c r="D1061" s="12">
        <f>D1060*(1-Assumptions!$B$12*(Assumptions!$B$5+Assumptions!$B$6))</f>
        <v>0.72909780372856547</v>
      </c>
      <c r="E1061" s="12">
        <f>E1060+Assumptions!$B$12*(D1060*Assumptions!$B$5-E1060*Assumptions!$B$7)</f>
        <v>0.1385068748137058</v>
      </c>
      <c r="F1061" s="12">
        <f t="shared" si="48"/>
        <v>0.13239532145772873</v>
      </c>
      <c r="G1061" s="12">
        <f>EXP(-Assumptions!$B$8*B1061)</f>
        <v>0.59066869648742459</v>
      </c>
      <c r="H1061" s="12">
        <f t="shared" si="49"/>
        <v>0.43065524934019589</v>
      </c>
      <c r="I1061" s="12">
        <f t="shared" si="50"/>
        <v>8.1811675200758507E-2</v>
      </c>
      <c r="J1061" s="12">
        <f>G1061*(D1061*Assumptions!$B$6+E1061*Assumptions!$B$7)</f>
        <v>8.3971362534398849E-3</v>
      </c>
    </row>
    <row r="1062" spans="1:10" x14ac:dyDescent="0.2">
      <c r="A1062" s="2">
        <v>1054</v>
      </c>
      <c r="B1062" s="14">
        <f>A1062*Assumptions!$B$12</f>
        <v>10.540000000000001</v>
      </c>
      <c r="C1062" s="15">
        <f>IF(A1062&lt;=Assumptions!$B$13,IF(OR(A1062=0,A1062=Assumptions!$B$13),0.5,1),0)*Assumptions!$B$12</f>
        <v>0.01</v>
      </c>
      <c r="D1062" s="12">
        <f>D1061*(1-Assumptions!$B$12*(Assumptions!$B$5+Assumptions!$B$6))</f>
        <v>0.72887907438744692</v>
      </c>
      <c r="E1062" s="12">
        <f>E1061+Assumptions!$B$12*(D1061*Assumptions!$B$5-E1061*Assumptions!$B$7)</f>
        <v>0.13858344093704467</v>
      </c>
      <c r="F1062" s="12">
        <f t="shared" si="48"/>
        <v>0.13253748467550841</v>
      </c>
      <c r="G1062" s="12">
        <f>EXP(-Assumptions!$B$8*B1062)</f>
        <v>0.59037343596046388</v>
      </c>
      <c r="H1062" s="12">
        <f t="shared" si="49"/>
        <v>0.43031084354579957</v>
      </c>
      <c r="I1062" s="12">
        <f t="shared" si="50"/>
        <v>8.1815982193227069E-2</v>
      </c>
      <c r="J1062" s="12">
        <f>G1062*(D1062*Assumptions!$B$6+E1062*Assumptions!$B$7)</f>
        <v>8.3939075451193498E-3</v>
      </c>
    </row>
    <row r="1063" spans="1:10" x14ac:dyDescent="0.2">
      <c r="A1063" s="2">
        <v>1055</v>
      </c>
      <c r="B1063" s="14">
        <f>A1063*Assumptions!$B$12</f>
        <v>10.55</v>
      </c>
      <c r="C1063" s="15">
        <f>IF(A1063&lt;=Assumptions!$B$13,IF(OR(A1063=0,A1063=Assumptions!$B$13),0.5,1),0)*Assumptions!$B$12</f>
        <v>0.01</v>
      </c>
      <c r="D1063" s="12">
        <f>D1062*(1-Assumptions!$B$12*(Assumptions!$B$5+Assumptions!$B$6))</f>
        <v>0.72866041066513076</v>
      </c>
      <c r="E1063" s="12">
        <f>E1062+Assumptions!$B$12*(D1062*Assumptions!$B$5-E1062*Assumptions!$B$7)</f>
        <v>0.13865992503145363</v>
      </c>
      <c r="F1063" s="12">
        <f t="shared" si="48"/>
        <v>0.1326796643034156</v>
      </c>
      <c r="G1063" s="12">
        <f>EXP(-Assumptions!$B$8*B1063)</f>
        <v>0.59007832302686525</v>
      </c>
      <c r="H1063" s="12">
        <f t="shared" si="49"/>
        <v>0.42996671318134733</v>
      </c>
      <c r="I1063" s="12">
        <f t="shared" si="50"/>
        <v>8.182021603359102E-2</v>
      </c>
      <c r="J1063" s="12">
        <f>G1063*(D1063*Assumptions!$B$6+E1063*Assumptions!$B$7)</f>
        <v>8.3906779334930251E-3</v>
      </c>
    </row>
    <row r="1064" spans="1:10" x14ac:dyDescent="0.2">
      <c r="A1064" s="2">
        <v>1056</v>
      </c>
      <c r="B1064" s="14">
        <f>A1064*Assumptions!$B$12</f>
        <v>10.56</v>
      </c>
      <c r="C1064" s="15">
        <f>IF(A1064&lt;=Assumptions!$B$13,IF(OR(A1064=0,A1064=Assumptions!$B$13),0.5,1),0)*Assumptions!$B$12</f>
        <v>0.01</v>
      </c>
      <c r="D1064" s="12">
        <f>D1063*(1-Assumptions!$B$12*(Assumptions!$B$5+Assumptions!$B$6))</f>
        <v>0.7284418125419313</v>
      </c>
      <c r="E1064" s="12">
        <f>E1063+Assumptions!$B$12*(D1063*Assumptions!$B$5-E1063*Assumptions!$B$7)</f>
        <v>0.13873632715107093</v>
      </c>
      <c r="F1064" s="12">
        <f t="shared" si="48"/>
        <v>0.13282186030699777</v>
      </c>
      <c r="G1064" s="12">
        <f>EXP(-Assumptions!$B$8*B1064)</f>
        <v>0.58978335761285039</v>
      </c>
      <c r="H1064" s="12">
        <f t="shared" si="49"/>
        <v>0.4296228580265708</v>
      </c>
      <c r="I1064" s="12">
        <f t="shared" si="50"/>
        <v>8.1824376850033465E-2</v>
      </c>
      <c r="J1064" s="12">
        <f>G1064*(D1064*Assumptions!$B$6+E1064*Assumptions!$B$7)</f>
        <v>8.3874474227673811E-3</v>
      </c>
    </row>
    <row r="1065" spans="1:10" x14ac:dyDescent="0.2">
      <c r="A1065" s="2">
        <v>1057</v>
      </c>
      <c r="B1065" s="14">
        <f>A1065*Assumptions!$B$12</f>
        <v>10.57</v>
      </c>
      <c r="C1065" s="15">
        <f>IF(A1065&lt;=Assumptions!$B$13,IF(OR(A1065=0,A1065=Assumptions!$B$13),0.5,1),0)*Assumptions!$B$12</f>
        <v>0.01</v>
      </c>
      <c r="D1065" s="12">
        <f>D1064*(1-Assumptions!$B$12*(Assumptions!$B$5+Assumptions!$B$6))</f>
        <v>0.72822327999816872</v>
      </c>
      <c r="E1065" s="12">
        <f>E1064+Assumptions!$B$12*(D1064*Assumptions!$B$5-E1064*Assumptions!$B$7)</f>
        <v>0.13881264735000379</v>
      </c>
      <c r="F1065" s="12">
        <f t="shared" si="48"/>
        <v>0.1329640726518275</v>
      </c>
      <c r="G1065" s="12">
        <f>EXP(-Assumptions!$B$8*B1065)</f>
        <v>0.58948853964467807</v>
      </c>
      <c r="H1065" s="12">
        <f t="shared" si="49"/>
        <v>0.42927927786137798</v>
      </c>
      <c r="I1065" s="12">
        <f t="shared" si="50"/>
        <v>8.1828464770565421E-2</v>
      </c>
      <c r="J1065" s="12">
        <f>G1065*(D1065*Assumptions!$B$6+E1065*Assumptions!$B$7)</f>
        <v>8.3842160171420516E-3</v>
      </c>
    </row>
    <row r="1066" spans="1:10" x14ac:dyDescent="0.2">
      <c r="A1066" s="2">
        <v>1058</v>
      </c>
      <c r="B1066" s="14">
        <f>A1066*Assumptions!$B$12</f>
        <v>10.58</v>
      </c>
      <c r="C1066" s="15">
        <f>IF(A1066&lt;=Assumptions!$B$13,IF(OR(A1066=0,A1066=Assumptions!$B$13),0.5,1),0)*Assumptions!$B$12</f>
        <v>0.01</v>
      </c>
      <c r="D1066" s="12">
        <f>D1065*(1-Assumptions!$B$12*(Assumptions!$B$5+Assumptions!$B$6))</f>
        <v>0.72800481301416931</v>
      </c>
      <c r="E1066" s="12">
        <f>E1065+Assumptions!$B$12*(D1065*Assumptions!$B$5-E1065*Assumptions!$B$7)</f>
        <v>0.13888888568232841</v>
      </c>
      <c r="F1066" s="12">
        <f t="shared" si="48"/>
        <v>0.13310630130350229</v>
      </c>
      <c r="G1066" s="12">
        <f>EXP(-Assumptions!$B$8*B1066)</f>
        <v>0.58919386904864368</v>
      </c>
      <c r="H1066" s="12">
        <f t="shared" si="49"/>
        <v>0.4289359724658528</v>
      </c>
      <c r="I1066" s="12">
        <f t="shared" si="50"/>
        <v>8.183247992302585E-2</v>
      </c>
      <c r="J1066" s="12">
        <f>G1066*(D1066*Assumptions!$B$6+E1066*Assumptions!$B$7)</f>
        <v>8.3809837208098214E-3</v>
      </c>
    </row>
    <row r="1067" spans="1:10" x14ac:dyDescent="0.2">
      <c r="A1067" s="2">
        <v>1059</v>
      </c>
      <c r="B1067" s="14">
        <f>A1067*Assumptions!$B$12</f>
        <v>10.59</v>
      </c>
      <c r="C1067" s="15">
        <f>IF(A1067&lt;=Assumptions!$B$13,IF(OR(A1067=0,A1067=Assumptions!$B$13),0.5,1),0)*Assumptions!$B$12</f>
        <v>0.01</v>
      </c>
      <c r="D1067" s="12">
        <f>D1066*(1-Assumptions!$B$12*(Assumptions!$B$5+Assumptions!$B$6))</f>
        <v>0.72778641157026502</v>
      </c>
      <c r="E1067" s="12">
        <f>E1066+Assumptions!$B$12*(D1066*Assumptions!$B$5-E1066*Assumptions!$B$7)</f>
        <v>0.13896504220209008</v>
      </c>
      <c r="F1067" s="12">
        <f t="shared" si="48"/>
        <v>0.1332485462276449</v>
      </c>
      <c r="G1067" s="12">
        <f>EXP(-Assumptions!$B$8*B1067)</f>
        <v>0.58889934575107972</v>
      </c>
      <c r="H1067" s="12">
        <f t="shared" si="49"/>
        <v>0.42859294162025513</v>
      </c>
      <c r="I1067" s="12">
        <f t="shared" si="50"/>
        <v>8.1836422435082032E-2</v>
      </c>
      <c r="J1067" s="12">
        <f>G1067*(D1067*Assumptions!$B$6+E1067*Assumptions!$B$7)</f>
        <v>8.377750537956653E-3</v>
      </c>
    </row>
    <row r="1068" spans="1:10" x14ac:dyDescent="0.2">
      <c r="A1068" s="2">
        <v>1060</v>
      </c>
      <c r="B1068" s="14">
        <f>A1068*Assumptions!$B$12</f>
        <v>10.6</v>
      </c>
      <c r="C1068" s="15">
        <f>IF(A1068&lt;=Assumptions!$B$13,IF(OR(A1068=0,A1068=Assumptions!$B$13),0.5,1),0)*Assumptions!$B$12</f>
        <v>0.01</v>
      </c>
      <c r="D1068" s="12">
        <f>D1067*(1-Assumptions!$B$12*(Assumptions!$B$5+Assumptions!$B$6))</f>
        <v>0.72756807564679393</v>
      </c>
      <c r="E1068" s="12">
        <f>E1067+Assumptions!$B$12*(D1067*Assumptions!$B$5-E1067*Assumptions!$B$7)</f>
        <v>0.1390411169633031</v>
      </c>
      <c r="F1068" s="12">
        <f t="shared" si="48"/>
        <v>0.13339080738990297</v>
      </c>
      <c r="G1068" s="12">
        <f>EXP(-Assumptions!$B$8*B1068)</f>
        <v>0.58860496967835518</v>
      </c>
      <c r="H1068" s="12">
        <f t="shared" si="49"/>
        <v>0.42825018510502039</v>
      </c>
      <c r="I1068" s="12">
        <f t="shared" si="50"/>
        <v>8.1840292434229661E-2</v>
      </c>
      <c r="J1068" s="12">
        <f>G1068*(D1068*Assumptions!$B$6+E1068*Assumptions!$B$7)</f>
        <v>8.3745164727616877E-3</v>
      </c>
    </row>
    <row r="1069" spans="1:10" x14ac:dyDescent="0.2">
      <c r="A1069" s="2">
        <v>1061</v>
      </c>
      <c r="B1069" s="14">
        <f>A1069*Assumptions!$B$12</f>
        <v>10.61</v>
      </c>
      <c r="C1069" s="15">
        <f>IF(A1069&lt;=Assumptions!$B$13,IF(OR(A1069=0,A1069=Assumptions!$B$13),0.5,1),0)*Assumptions!$B$12</f>
        <v>0.01</v>
      </c>
      <c r="D1069" s="12">
        <f>D1068*(1-Assumptions!$B$12*(Assumptions!$B$5+Assumptions!$B$6))</f>
        <v>0.72734980522409987</v>
      </c>
      <c r="E1069" s="12">
        <f>E1068+Assumptions!$B$12*(D1068*Assumptions!$B$5-E1068*Assumptions!$B$7)</f>
        <v>0.13911711001995081</v>
      </c>
      <c r="F1069" s="12">
        <f t="shared" si="48"/>
        <v>0.13353308475594933</v>
      </c>
      <c r="G1069" s="12">
        <f>EXP(-Assumptions!$B$8*B1069)</f>
        <v>0.58831074075687617</v>
      </c>
      <c r="H1069" s="12">
        <f t="shared" si="49"/>
        <v>0.42790770270075978</v>
      </c>
      <c r="I1069" s="12">
        <f t="shared" si="50"/>
        <v>8.1844090047793097E-2</v>
      </c>
      <c r="J1069" s="12">
        <f>G1069*(D1069*Assumptions!$B$6+E1069*Assumptions!$B$7)</f>
        <v>8.371281529397253E-3</v>
      </c>
    </row>
    <row r="1070" spans="1:10" x14ac:dyDescent="0.2">
      <c r="A1070" s="2">
        <v>1062</v>
      </c>
      <c r="B1070" s="14">
        <f>A1070*Assumptions!$B$12</f>
        <v>10.620000000000001</v>
      </c>
      <c r="C1070" s="15">
        <f>IF(A1070&lt;=Assumptions!$B$13,IF(OR(A1070=0,A1070=Assumptions!$B$13),0.5,1),0)*Assumptions!$B$12</f>
        <v>0.01</v>
      </c>
      <c r="D1070" s="12">
        <f>D1069*(1-Assumptions!$B$12*(Assumptions!$B$5+Assumptions!$B$6))</f>
        <v>0.72713160028253265</v>
      </c>
      <c r="E1070" s="12">
        <f>E1069+Assumptions!$B$12*(D1069*Assumptions!$B$5-E1069*Assumptions!$B$7)</f>
        <v>0.13919302142598566</v>
      </c>
      <c r="F1070" s="12">
        <f t="shared" si="48"/>
        <v>0.13367537829148168</v>
      </c>
      <c r="G1070" s="12">
        <f>EXP(-Assumptions!$B$8*B1070)</f>
        <v>0.58801665891308541</v>
      </c>
      <c r="H1070" s="12">
        <f t="shared" si="49"/>
        <v>0.42756549418825995</v>
      </c>
      <c r="I1070" s="12">
        <f t="shared" si="50"/>
        <v>8.18478154029256E-2</v>
      </c>
      <c r="J1070" s="12">
        <f>G1070*(D1070*Assumptions!$B$6+E1070*Assumptions!$B$7)</f>
        <v>8.3680457120288796E-3</v>
      </c>
    </row>
    <row r="1071" spans="1:10" x14ac:dyDescent="0.2">
      <c r="A1071" s="2">
        <v>1063</v>
      </c>
      <c r="B1071" s="14">
        <f>A1071*Assumptions!$B$12</f>
        <v>10.63</v>
      </c>
      <c r="C1071" s="15">
        <f>IF(A1071&lt;=Assumptions!$B$13,IF(OR(A1071=0,A1071=Assumptions!$B$13),0.5,1),0)*Assumptions!$B$12</f>
        <v>0.01</v>
      </c>
      <c r="D1071" s="12">
        <f>D1070*(1-Assumptions!$B$12*(Assumptions!$B$5+Assumptions!$B$6))</f>
        <v>0.7269134608024479</v>
      </c>
      <c r="E1071" s="12">
        <f>E1070+Assumptions!$B$12*(D1070*Assumptions!$B$5-E1070*Assumptions!$B$7)</f>
        <v>0.13926885123532917</v>
      </c>
      <c r="F1071" s="12">
        <f t="shared" si="48"/>
        <v>0.13381768796222293</v>
      </c>
      <c r="G1071" s="12">
        <f>EXP(-Assumptions!$B$8*B1071)</f>
        <v>0.58772272407346238</v>
      </c>
      <c r="H1071" s="12">
        <f t="shared" si="49"/>
        <v>0.42722355934848272</v>
      </c>
      <c r="I1071" s="12">
        <f t="shared" si="50"/>
        <v>8.1851468626609442E-2</v>
      </c>
      <c r="J1071" s="12">
        <f>G1071*(D1071*Assumptions!$B$6+E1071*Assumptions!$B$7)</f>
        <v>8.3648090248152999E-3</v>
      </c>
    </row>
    <row r="1072" spans="1:10" x14ac:dyDescent="0.2">
      <c r="A1072" s="2">
        <v>1064</v>
      </c>
      <c r="B1072" s="14">
        <f>A1072*Assumptions!$B$12</f>
        <v>10.64</v>
      </c>
      <c r="C1072" s="15">
        <f>IF(A1072&lt;=Assumptions!$B$13,IF(OR(A1072=0,A1072=Assumptions!$B$13),0.5,1),0)*Assumptions!$B$12</f>
        <v>0.01</v>
      </c>
      <c r="D1072" s="12">
        <f>D1071*(1-Assumptions!$B$12*(Assumptions!$B$5+Assumptions!$B$6))</f>
        <v>0.7266953867642072</v>
      </c>
      <c r="E1072" s="12">
        <f>E1071+Assumptions!$B$12*(D1071*Assumptions!$B$5-E1071*Assumptions!$B$7)</f>
        <v>0.139344599501872</v>
      </c>
      <c r="F1072" s="12">
        <f t="shared" si="48"/>
        <v>0.1339600137339208</v>
      </c>
      <c r="G1072" s="12">
        <f>EXP(-Assumptions!$B$8*B1072)</f>
        <v>0.58742893616452341</v>
      </c>
      <c r="H1072" s="12">
        <f t="shared" si="49"/>
        <v>0.42688189796256509</v>
      </c>
      <c r="I1072" s="12">
        <f t="shared" si="50"/>
        <v>8.1855049845656253E-2</v>
      </c>
      <c r="J1072" s="12">
        <f>G1072*(D1072*Assumptions!$B$6+E1072*Assumptions!$B$7)</f>
        <v>8.3615714719084654E-3</v>
      </c>
    </row>
    <row r="1073" spans="1:10" x14ac:dyDescent="0.2">
      <c r="A1073" s="2">
        <v>1065</v>
      </c>
      <c r="B1073" s="14">
        <f>A1073*Assumptions!$B$12</f>
        <v>10.65</v>
      </c>
      <c r="C1073" s="15">
        <f>IF(A1073&lt;=Assumptions!$B$13,IF(OR(A1073=0,A1073=Assumptions!$B$13),0.5,1),0)*Assumptions!$B$12</f>
        <v>0.01</v>
      </c>
      <c r="D1073" s="12">
        <f>D1072*(1-Assumptions!$B$12*(Assumptions!$B$5+Assumptions!$B$6))</f>
        <v>0.72647737814817792</v>
      </c>
      <c r="E1073" s="12">
        <f>E1072+Assumptions!$B$12*(D1072*Assumptions!$B$5-E1072*Assumptions!$B$7)</f>
        <v>0.1394202662794739</v>
      </c>
      <c r="F1073" s="12">
        <f t="shared" si="48"/>
        <v>0.13410235557234818</v>
      </c>
      <c r="G1073" s="12">
        <f>EXP(-Assumptions!$B$8*B1073)</f>
        <v>0.58713529511282159</v>
      </c>
      <c r="H1073" s="12">
        <f t="shared" si="49"/>
        <v>0.42654050981181935</v>
      </c>
      <c r="I1073" s="12">
        <f t="shared" si="50"/>
        <v>8.1858559186707078E-2</v>
      </c>
      <c r="J1073" s="12">
        <f>G1073*(D1073*Assumptions!$B$6+E1073*Assumptions!$B$7)</f>
        <v>8.3583330574535479E-3</v>
      </c>
    </row>
    <row r="1074" spans="1:10" x14ac:dyDescent="0.2">
      <c r="A1074" s="2">
        <v>1066</v>
      </c>
      <c r="B1074" s="14">
        <f>A1074*Assumptions!$B$12</f>
        <v>10.66</v>
      </c>
      <c r="C1074" s="15">
        <f>IF(A1074&lt;=Assumptions!$B$13,IF(OR(A1074=0,A1074=Assumptions!$B$13),0.5,1),0)*Assumptions!$B$12</f>
        <v>0.01</v>
      </c>
      <c r="D1074" s="12">
        <f>D1073*(1-Assumptions!$B$12*(Assumptions!$B$5+Assumptions!$B$6))</f>
        <v>0.72625943493473344</v>
      </c>
      <c r="E1074" s="12">
        <f>E1073+Assumptions!$B$12*(D1073*Assumptions!$B$5-E1073*Assumptions!$B$7)</f>
        <v>0.13949585162196379</v>
      </c>
      <c r="F1074" s="12">
        <f t="shared" si="48"/>
        <v>0.13424471344330277</v>
      </c>
      <c r="G1074" s="12">
        <f>EXP(-Assumptions!$B$8*B1074)</f>
        <v>0.58684180084494664</v>
      </c>
      <c r="H1074" s="12">
        <f t="shared" si="49"/>
        <v>0.42619939467773232</v>
      </c>
      <c r="I1074" s="12">
        <f t="shared" si="50"/>
        <v>8.1861996776232696E-2</v>
      </c>
      <c r="J1074" s="12">
        <f>G1074*(D1074*Assumptions!$B$6+E1074*Assumptions!$B$7)</f>
        <v>8.3550937855889577E-3</v>
      </c>
    </row>
    <row r="1075" spans="1:10" x14ac:dyDescent="0.2">
      <c r="A1075" s="2">
        <v>1067</v>
      </c>
      <c r="B1075" s="14">
        <f>A1075*Assumptions!$B$12</f>
        <v>10.67</v>
      </c>
      <c r="C1075" s="15">
        <f>IF(A1075&lt;=Assumptions!$B$13,IF(OR(A1075=0,A1075=Assumptions!$B$13),0.5,1),0)*Assumptions!$B$12</f>
        <v>0.01</v>
      </c>
      <c r="D1075" s="12">
        <f>D1074*(1-Assumptions!$B$12*(Assumptions!$B$5+Assumptions!$B$6))</f>
        <v>0.726041557104253</v>
      </c>
      <c r="E1075" s="12">
        <f>E1074+Assumptions!$B$12*(D1074*Assumptions!$B$5-E1074*Assumptions!$B$7)</f>
        <v>0.13957135558313977</v>
      </c>
      <c r="F1075" s="12">
        <f t="shared" si="48"/>
        <v>0.13438708731260723</v>
      </c>
      <c r="G1075" s="12">
        <f>EXP(-Assumptions!$B$8*B1075)</f>
        <v>0.58654845328752503</v>
      </c>
      <c r="H1075" s="12">
        <f t="shared" si="49"/>
        <v>0.4258585523419659</v>
      </c>
      <c r="I1075" s="12">
        <f t="shared" si="50"/>
        <v>8.1865362740533798E-2</v>
      </c>
      <c r="J1075" s="12">
        <f>G1075*(D1075*Assumptions!$B$6+E1075*Assumptions!$B$7)</f>
        <v>8.3518536604463497E-3</v>
      </c>
    </row>
    <row r="1076" spans="1:10" x14ac:dyDescent="0.2">
      <c r="A1076" s="2">
        <v>1068</v>
      </c>
      <c r="B1076" s="14">
        <f>A1076*Assumptions!$B$12</f>
        <v>10.68</v>
      </c>
      <c r="C1076" s="15">
        <f>IF(A1076&lt;=Assumptions!$B$13,IF(OR(A1076=0,A1076=Assumptions!$B$13),0.5,1),0)*Assumptions!$B$12</f>
        <v>0.01</v>
      </c>
      <c r="D1076" s="12">
        <f>D1075*(1-Assumptions!$B$12*(Assumptions!$B$5+Assumptions!$B$6))</f>
        <v>0.72582374463712174</v>
      </c>
      <c r="E1076" s="12">
        <f>E1075+Assumptions!$B$12*(D1075*Assumptions!$B$5-E1075*Assumptions!$B$7)</f>
        <v>0.13964677821676905</v>
      </c>
      <c r="F1076" s="12">
        <f t="shared" si="48"/>
        <v>0.13452947714610922</v>
      </c>
      <c r="G1076" s="12">
        <f>EXP(-Assumptions!$B$8*B1076)</f>
        <v>0.58625525236721965</v>
      </c>
      <c r="H1076" s="12">
        <f t="shared" si="49"/>
        <v>0.4255179825863562</v>
      </c>
      <c r="I1076" s="12">
        <f t="shared" si="50"/>
        <v>8.1868657205741088E-2</v>
      </c>
      <c r="J1076" s="12">
        <f>G1076*(D1076*Assumptions!$B$6+E1076*Assumptions!$B$7)</f>
        <v>8.3486126861506155E-3</v>
      </c>
    </row>
    <row r="1077" spans="1:10" x14ac:dyDescent="0.2">
      <c r="A1077" s="2">
        <v>1069</v>
      </c>
      <c r="B1077" s="14">
        <f>A1077*Assumptions!$B$12</f>
        <v>10.69</v>
      </c>
      <c r="C1077" s="15">
        <f>IF(A1077&lt;=Assumptions!$B$13,IF(OR(A1077=0,A1077=Assumptions!$B$13),0.5,1),0)*Assumptions!$B$12</f>
        <v>0.01</v>
      </c>
      <c r="D1077" s="12">
        <f>D1076*(1-Assumptions!$B$12*(Assumptions!$B$5+Assumptions!$B$6))</f>
        <v>0.72560599751373067</v>
      </c>
      <c r="E1077" s="12">
        <f>E1076+Assumptions!$B$12*(D1076*Assumptions!$B$5-E1076*Assumptions!$B$7)</f>
        <v>0.13972211957658809</v>
      </c>
      <c r="F1077" s="12">
        <f t="shared" si="48"/>
        <v>0.13467188290968124</v>
      </c>
      <c r="G1077" s="12">
        <f>EXP(-Assumptions!$B$8*B1077)</f>
        <v>0.58596219801073046</v>
      </c>
      <c r="H1077" s="12">
        <f t="shared" si="49"/>
        <v>0.42517768519291427</v>
      </c>
      <c r="I1077" s="12">
        <f t="shared" si="50"/>
        <v>8.1871880297815669E-2</v>
      </c>
      <c r="J1077" s="12">
        <f>G1077*(D1077*Assumptions!$B$6+E1077*Assumptions!$B$7)</f>
        <v>8.3453708668199261E-3</v>
      </c>
    </row>
    <row r="1078" spans="1:10" x14ac:dyDescent="0.2">
      <c r="A1078" s="2">
        <v>1070</v>
      </c>
      <c r="B1078" s="14">
        <f>A1078*Assumptions!$B$12</f>
        <v>10.700000000000001</v>
      </c>
      <c r="C1078" s="15">
        <f>IF(A1078&lt;=Assumptions!$B$13,IF(OR(A1078=0,A1078=Assumptions!$B$13),0.5,1),0)*Assumptions!$B$12</f>
        <v>0.01</v>
      </c>
      <c r="D1078" s="12">
        <f>D1077*(1-Assumptions!$B$12*(Assumptions!$B$5+Assumptions!$B$6))</f>
        <v>0.72538831571447659</v>
      </c>
      <c r="E1078" s="12">
        <f>E1077+Assumptions!$B$12*(D1077*Assumptions!$B$5-E1077*Assumptions!$B$7)</f>
        <v>0.13979737971630254</v>
      </c>
      <c r="F1078" s="12">
        <f t="shared" si="48"/>
        <v>0.13481430456922086</v>
      </c>
      <c r="G1078" s="12">
        <f>EXP(-Assumptions!$B$8*B1078)</f>
        <v>0.58566929014479374</v>
      </c>
      <c r="H1078" s="12">
        <f t="shared" si="49"/>
        <v>0.42483765994382505</v>
      </c>
      <c r="I1078" s="12">
        <f t="shared" si="50"/>
        <v>8.1875032142549098E-2</v>
      </c>
      <c r="J1078" s="12">
        <f>G1078*(D1078*Assumptions!$B$6+E1078*Assumptions!$B$7)</f>
        <v>8.3421282065657045E-3</v>
      </c>
    </row>
    <row r="1079" spans="1:10" x14ac:dyDescent="0.2">
      <c r="A1079" s="2">
        <v>1071</v>
      </c>
      <c r="B1079" s="14">
        <f>A1079*Assumptions!$B$12</f>
        <v>10.71</v>
      </c>
      <c r="C1079" s="15">
        <f>IF(A1079&lt;=Assumptions!$B$13,IF(OR(A1079=0,A1079=Assumptions!$B$13),0.5,1),0)*Assumptions!$B$12</f>
        <v>0.01</v>
      </c>
      <c r="D1079" s="12">
        <f>D1078*(1-Assumptions!$B$12*(Assumptions!$B$5+Assumptions!$B$6))</f>
        <v>0.72517069921976229</v>
      </c>
      <c r="E1079" s="12">
        <f>E1078+Assumptions!$B$12*(D1078*Assumptions!$B$5-E1078*Assumptions!$B$7)</f>
        <v>0.13987255868958728</v>
      </c>
      <c r="F1079" s="12">
        <f t="shared" si="48"/>
        <v>0.13495674209065042</v>
      </c>
      <c r="G1079" s="12">
        <f>EXP(-Assumptions!$B$8*B1079)</f>
        <v>0.58537652869618273</v>
      </c>
      <c r="H1079" s="12">
        <f t="shared" si="49"/>
        <v>0.4244979066214481</v>
      </c>
      <c r="I1079" s="12">
        <f t="shared" si="50"/>
        <v>8.1878112865563693E-2</v>
      </c>
      <c r="J1079" s="12">
        <f>G1079*(D1079*Assumptions!$B$6+E1079*Assumptions!$B$7)</f>
        <v>8.3388847094926655E-3</v>
      </c>
    </row>
    <row r="1080" spans="1:10" x14ac:dyDescent="0.2">
      <c r="A1080" s="2">
        <v>1072</v>
      </c>
      <c r="B1080" s="14">
        <f>A1080*Assumptions!$B$12</f>
        <v>10.72</v>
      </c>
      <c r="C1080" s="15">
        <f>IF(A1080&lt;=Assumptions!$B$13,IF(OR(A1080=0,A1080=Assumptions!$B$13),0.5,1),0)*Assumptions!$B$12</f>
        <v>0.01</v>
      </c>
      <c r="D1080" s="12">
        <f>D1079*(1-Assumptions!$B$12*(Assumptions!$B$5+Assumptions!$B$6))</f>
        <v>0.72495314800999644</v>
      </c>
      <c r="E1080" s="12">
        <f>E1079+Assumptions!$B$12*(D1079*Assumptions!$B$5-E1079*Assumptions!$B$7)</f>
        <v>0.13994765655008645</v>
      </c>
      <c r="F1080" s="12">
        <f t="shared" si="48"/>
        <v>0.13509919543991711</v>
      </c>
      <c r="G1080" s="12">
        <f>EXP(-Assumptions!$B$8*B1080)</f>
        <v>0.58508391359170686</v>
      </c>
      <c r="H1080" s="12">
        <f t="shared" si="49"/>
        <v>0.42415842500831663</v>
      </c>
      <c r="I1080" s="12">
        <f t="shared" si="50"/>
        <v>8.1881122592312644E-2</v>
      </c>
      <c r="J1080" s="12">
        <f>G1080*(D1080*Assumptions!$B$6+E1080*Assumptions!$B$7)</f>
        <v>8.3356403796987985E-3</v>
      </c>
    </row>
    <row r="1081" spans="1:10" x14ac:dyDescent="0.2">
      <c r="A1081" s="2">
        <v>1073</v>
      </c>
      <c r="B1081" s="14">
        <f>A1081*Assumptions!$B$12</f>
        <v>10.73</v>
      </c>
      <c r="C1081" s="15">
        <f>IF(A1081&lt;=Assumptions!$B$13,IF(OR(A1081=0,A1081=Assumptions!$B$13),0.5,1),0)*Assumptions!$B$12</f>
        <v>0.01</v>
      </c>
      <c r="D1081" s="12">
        <f>D1080*(1-Assumptions!$B$12*(Assumptions!$B$5+Assumptions!$B$6))</f>
        <v>0.72473566206559348</v>
      </c>
      <c r="E1081" s="12">
        <f>E1080+Assumptions!$B$12*(D1080*Assumptions!$B$5-E1080*Assumptions!$B$7)</f>
        <v>0.14002267335141341</v>
      </c>
      <c r="F1081" s="12">
        <f t="shared" si="48"/>
        <v>0.13524166458299311</v>
      </c>
      <c r="G1081" s="12">
        <f>EXP(-Assumptions!$B$8*B1081)</f>
        <v>0.58479144475821254</v>
      </c>
      <c r="H1081" s="12">
        <f t="shared" si="49"/>
        <v>0.42381921488713808</v>
      </c>
      <c r="I1081" s="12">
        <f t="shared" si="50"/>
        <v>8.1884061448080317E-2</v>
      </c>
      <c r="J1081" s="12">
        <f>G1081*(D1081*Assumptions!$B$6+E1081*Assumptions!$B$7)</f>
        <v>8.3323952212753967E-3</v>
      </c>
    </row>
    <row r="1082" spans="1:10" x14ac:dyDescent="0.2">
      <c r="A1082" s="2">
        <v>1074</v>
      </c>
      <c r="B1082" s="14">
        <f>A1082*Assumptions!$B$12</f>
        <v>10.74</v>
      </c>
      <c r="C1082" s="15">
        <f>IF(A1082&lt;=Assumptions!$B$13,IF(OR(A1082=0,A1082=Assumptions!$B$13),0.5,1),0)*Assumptions!$B$12</f>
        <v>0.01</v>
      </c>
      <c r="D1082" s="12">
        <f>D1081*(1-Assumptions!$B$12*(Assumptions!$B$5+Assumptions!$B$6))</f>
        <v>0.72451824136697385</v>
      </c>
      <c r="E1082" s="12">
        <f>E1081+Assumptions!$B$12*(D1081*Assumptions!$B$5-E1081*Assumptions!$B$7)</f>
        <v>0.14009760914715083</v>
      </c>
      <c r="F1082" s="12">
        <f t="shared" si="48"/>
        <v>0.13538414948587532</v>
      </c>
      <c r="G1082" s="12">
        <f>EXP(-Assumptions!$B$8*B1082)</f>
        <v>0.58449912212258237</v>
      </c>
      <c r="H1082" s="12">
        <f t="shared" si="49"/>
        <v>0.42348027604079347</v>
      </c>
      <c r="I1082" s="12">
        <f t="shared" si="50"/>
        <v>8.1886929557982324E-2</v>
      </c>
      <c r="J1082" s="12">
        <f>G1082*(D1082*Assumptions!$B$6+E1082*Assumptions!$B$7)</f>
        <v>8.3291492383070504E-3</v>
      </c>
    </row>
    <row r="1083" spans="1:10" x14ac:dyDescent="0.2">
      <c r="A1083" s="2">
        <v>1075</v>
      </c>
      <c r="B1083" s="14">
        <f>A1083*Assumptions!$B$12</f>
        <v>10.75</v>
      </c>
      <c r="C1083" s="15">
        <f>IF(A1083&lt;=Assumptions!$B$13,IF(OR(A1083=0,A1083=Assumptions!$B$13),0.5,1),0)*Assumptions!$B$12</f>
        <v>0.01</v>
      </c>
      <c r="D1083" s="12">
        <f>D1082*(1-Assumptions!$B$12*(Assumptions!$B$5+Assumptions!$B$6))</f>
        <v>0.72430088589456376</v>
      </c>
      <c r="E1083" s="12">
        <f>E1082+Assumptions!$B$12*(D1082*Assumptions!$B$5-E1082*Assumptions!$B$7)</f>
        <v>0.14017246399085065</v>
      </c>
      <c r="F1083" s="12">
        <f t="shared" si="48"/>
        <v>0.13552665011458559</v>
      </c>
      <c r="G1083" s="12">
        <f>EXP(-Assumptions!$B$8*B1083)</f>
        <v>0.58420694561173581</v>
      </c>
      <c r="H1083" s="12">
        <f t="shared" si="49"/>
        <v>0.42314160825233749</v>
      </c>
      <c r="I1083" s="12">
        <f t="shared" si="50"/>
        <v>8.1889727046965885E-2</v>
      </c>
      <c r="J1083" s="12">
        <f>G1083*(D1083*Assumptions!$B$6+E1083*Assumptions!$B$7)</f>
        <v>8.3259024348716695E-3</v>
      </c>
    </row>
    <row r="1084" spans="1:10" x14ac:dyDescent="0.2">
      <c r="A1084" s="2">
        <v>1076</v>
      </c>
      <c r="B1084" s="14">
        <f>A1084*Assumptions!$B$12</f>
        <v>10.76</v>
      </c>
      <c r="C1084" s="15">
        <f>IF(A1084&lt;=Assumptions!$B$13,IF(OR(A1084=0,A1084=Assumptions!$B$13),0.5,1),0)*Assumptions!$B$12</f>
        <v>0.01</v>
      </c>
      <c r="D1084" s="12">
        <f>D1083*(1-Assumptions!$B$12*(Assumptions!$B$5+Assumptions!$B$6))</f>
        <v>0.72408359562879543</v>
      </c>
      <c r="E1084" s="12">
        <f>E1083+Assumptions!$B$12*(D1083*Assumptions!$B$5-E1083*Assumptions!$B$7)</f>
        <v>0.14024723793603414</v>
      </c>
      <c r="F1084" s="12">
        <f t="shared" si="48"/>
        <v>0.13566916643517044</v>
      </c>
      <c r="G1084" s="12">
        <f>EXP(-Assumptions!$B$8*B1084)</f>
        <v>0.58391491515262872</v>
      </c>
      <c r="H1084" s="12">
        <f t="shared" si="49"/>
        <v>0.42280321130499843</v>
      </c>
      <c r="I1084" s="12">
        <f t="shared" si="50"/>
        <v>8.1892454039809909E-2</v>
      </c>
      <c r="J1084" s="12">
        <f>G1084*(D1084*Assumptions!$B$6+E1084*Assumptions!$B$7)</f>
        <v>8.3226548150404801E-3</v>
      </c>
    </row>
    <row r="1085" spans="1:10" x14ac:dyDescent="0.2">
      <c r="A1085" s="2">
        <v>1077</v>
      </c>
      <c r="B1085" s="14">
        <f>A1085*Assumptions!$B$12</f>
        <v>10.77</v>
      </c>
      <c r="C1085" s="15">
        <f>IF(A1085&lt;=Assumptions!$B$13,IF(OR(A1085=0,A1085=Assumptions!$B$13),0.5,1),0)*Assumptions!$B$12</f>
        <v>0.01</v>
      </c>
      <c r="D1085" s="12">
        <f>D1084*(1-Assumptions!$B$12*(Assumptions!$B$5+Assumptions!$B$6))</f>
        <v>0.72386637055010683</v>
      </c>
      <c r="E1085" s="12">
        <f>E1084+Assumptions!$B$12*(D1084*Assumptions!$B$5-E1084*Assumptions!$B$7)</f>
        <v>0.14032193103619187</v>
      </c>
      <c r="F1085" s="12">
        <f t="shared" si="48"/>
        <v>0.1358116984137013</v>
      </c>
      <c r="G1085" s="12">
        <f>EXP(-Assumptions!$B$8*B1085)</f>
        <v>0.58362303067225341</v>
      </c>
      <c r="H1085" s="12">
        <f t="shared" si="49"/>
        <v>0.42246508498217777</v>
      </c>
      <c r="I1085" s="12">
        <f t="shared" si="50"/>
        <v>8.1895110661125231E-2</v>
      </c>
      <c r="J1085" s="12">
        <f>G1085*(D1085*Assumptions!$B$6+E1085*Assumptions!$B$7)</f>
        <v>8.3194063828780397E-3</v>
      </c>
    </row>
    <row r="1086" spans="1:10" x14ac:dyDescent="0.2">
      <c r="A1086" s="2">
        <v>1078</v>
      </c>
      <c r="B1086" s="14">
        <f>A1086*Assumptions!$B$12</f>
        <v>10.78</v>
      </c>
      <c r="C1086" s="15">
        <f>IF(A1086&lt;=Assumptions!$B$13,IF(OR(A1086=0,A1086=Assumptions!$B$13),0.5,1),0)*Assumptions!$B$12</f>
        <v>0.01</v>
      </c>
      <c r="D1086" s="12">
        <f>D1085*(1-Assumptions!$B$12*(Assumptions!$B$5+Assumptions!$B$6))</f>
        <v>0.72364921063894183</v>
      </c>
      <c r="E1086" s="12">
        <f>E1085+Assumptions!$B$12*(D1085*Assumptions!$B$5-E1085*Assumptions!$B$7)</f>
        <v>0.1403965433447838</v>
      </c>
      <c r="F1086" s="12">
        <f t="shared" si="48"/>
        <v>0.13595424601627437</v>
      </c>
      <c r="G1086" s="12">
        <f>EXP(-Assumptions!$B$8*B1086)</f>
        <v>0.58333129209763879</v>
      </c>
      <c r="H1086" s="12">
        <f t="shared" si="49"/>
        <v>0.42212722906745032</v>
      </c>
      <c r="I1086" s="12">
        <f t="shared" si="50"/>
        <v>8.1897697035354877E-2</v>
      </c>
      <c r="J1086" s="12">
        <f>G1086*(D1086*Assumptions!$B$6+E1086*Assumptions!$B$7)</f>
        <v>8.3161571424422483E-3</v>
      </c>
    </row>
    <row r="1087" spans="1:10" x14ac:dyDescent="0.2">
      <c r="A1087" s="2">
        <v>1079</v>
      </c>
      <c r="B1087" s="14">
        <f>A1087*Assumptions!$B$12</f>
        <v>10.790000000000001</v>
      </c>
      <c r="C1087" s="15">
        <f>IF(A1087&lt;=Assumptions!$B$13,IF(OR(A1087=0,A1087=Assumptions!$B$13),0.5,1),0)*Assumptions!$B$12</f>
        <v>0.01</v>
      </c>
      <c r="D1087" s="12">
        <f>D1086*(1-Assumptions!$B$12*(Assumptions!$B$5+Assumptions!$B$6))</f>
        <v>0.72343211587575018</v>
      </c>
      <c r="E1087" s="12">
        <f>E1086+Assumptions!$B$12*(D1086*Assumptions!$B$5-E1086*Assumptions!$B$7)</f>
        <v>0.14047107491523919</v>
      </c>
      <c r="F1087" s="12">
        <f t="shared" si="48"/>
        <v>0.13609680920901063</v>
      </c>
      <c r="G1087" s="12">
        <f>EXP(-Assumptions!$B$8*B1087)</f>
        <v>0.58303969935585021</v>
      </c>
      <c r="H1087" s="12">
        <f t="shared" si="49"/>
        <v>0.42178964334456398</v>
      </c>
      <c r="I1087" s="12">
        <f t="shared" si="50"/>
        <v>8.1900213286774173E-2</v>
      </c>
      <c r="J1087" s="12">
        <f>G1087*(D1087*Assumptions!$B$6+E1087*Assumptions!$B$7)</f>
        <v>8.3129070977843496E-3</v>
      </c>
    </row>
    <row r="1088" spans="1:10" x14ac:dyDescent="0.2">
      <c r="A1088" s="2">
        <v>1080</v>
      </c>
      <c r="B1088" s="14">
        <f>A1088*Assumptions!$B$12</f>
        <v>10.8</v>
      </c>
      <c r="C1088" s="15">
        <f>IF(A1088&lt;=Assumptions!$B$13,IF(OR(A1088=0,A1088=Assumptions!$B$13),0.5,1),0)*Assumptions!$B$12</f>
        <v>0.01</v>
      </c>
      <c r="D1088" s="12">
        <f>D1087*(1-Assumptions!$B$12*(Assumptions!$B$5+Assumptions!$B$6))</f>
        <v>0.72321508624098751</v>
      </c>
      <c r="E1088" s="12">
        <f>E1087+Assumptions!$B$12*(D1087*Assumptions!$B$5-E1087*Assumptions!$B$7)</f>
        <v>0.14054552580095672</v>
      </c>
      <c r="F1088" s="12">
        <f t="shared" si="48"/>
        <v>0.13623938795805576</v>
      </c>
      <c r="G1088" s="12">
        <f>EXP(-Assumptions!$B$8*B1088)</f>
        <v>0.58274825237398964</v>
      </c>
      <c r="H1088" s="12">
        <f t="shared" si="49"/>
        <v>0.42145232759743967</v>
      </c>
      <c r="I1088" s="12">
        <f t="shared" si="50"/>
        <v>8.1902659539490996E-2</v>
      </c>
      <c r="J1088" s="12">
        <f>G1088*(D1088*Assumptions!$B$6+E1088*Assumptions!$B$7)</f>
        <v>8.3096562529489468E-3</v>
      </c>
    </row>
    <row r="1089" spans="1:10" x14ac:dyDescent="0.2">
      <c r="A1089" s="2">
        <v>1081</v>
      </c>
      <c r="B1089" s="14">
        <f>A1089*Assumptions!$B$12</f>
        <v>10.81</v>
      </c>
      <c r="C1089" s="15">
        <f>IF(A1089&lt;=Assumptions!$B$13,IF(OR(A1089=0,A1089=Assumptions!$B$13),0.5,1),0)*Assumptions!$B$12</f>
        <v>0.01</v>
      </c>
      <c r="D1089" s="12">
        <f>D1088*(1-Assumptions!$B$12*(Assumptions!$B$5+Assumptions!$B$6))</f>
        <v>0.72299812171511524</v>
      </c>
      <c r="E1089" s="12">
        <f>E1088+Assumptions!$B$12*(D1088*Assumptions!$B$5-E1088*Assumptions!$B$7)</f>
        <v>0.14061989605530445</v>
      </c>
      <c r="F1089" s="12">
        <f t="shared" si="48"/>
        <v>0.13638198222958031</v>
      </c>
      <c r="G1089" s="12">
        <f>EXP(-Assumptions!$B$8*B1089)</f>
        <v>0.58245695107919504</v>
      </c>
      <c r="H1089" s="12">
        <f t="shared" si="49"/>
        <v>0.42111528161017076</v>
      </c>
      <c r="I1089" s="12">
        <f t="shared" si="50"/>
        <v>8.1905035917445954E-2</v>
      </c>
      <c r="J1089" s="12">
        <f>G1089*(D1089*Assumptions!$B$6+E1089*Assumptions!$B$7)</f>
        <v>8.3064046119740061E-3</v>
      </c>
    </row>
    <row r="1090" spans="1:10" x14ac:dyDescent="0.2">
      <c r="A1090" s="2">
        <v>1082</v>
      </c>
      <c r="B1090" s="14">
        <f>A1090*Assumptions!$B$12</f>
        <v>10.82</v>
      </c>
      <c r="C1090" s="15">
        <f>IF(A1090&lt;=Assumptions!$B$13,IF(OR(A1090=0,A1090=Assumptions!$B$13),0.5,1),0)*Assumptions!$B$12</f>
        <v>0.01</v>
      </c>
      <c r="D1090" s="12">
        <f>D1089*(1-Assumptions!$B$12*(Assumptions!$B$5+Assumptions!$B$6))</f>
        <v>0.72278122227860075</v>
      </c>
      <c r="E1090" s="12">
        <f>E1089+Assumptions!$B$12*(D1089*Assumptions!$B$5-E1089*Assumptions!$B$7)</f>
        <v>0.14069418573161982</v>
      </c>
      <c r="F1090" s="12">
        <f t="shared" si="48"/>
        <v>0.13652459198977943</v>
      </c>
      <c r="G1090" s="12">
        <f>EXP(-Assumptions!$B$8*B1090)</f>
        <v>0.58216579539864144</v>
      </c>
      <c r="H1090" s="12">
        <f t="shared" si="49"/>
        <v>0.42077850516702386</v>
      </c>
      <c r="I1090" s="12">
        <f t="shared" si="50"/>
        <v>8.1907342544412648E-2</v>
      </c>
      <c r="J1090" s="12">
        <f>G1090*(D1090*Assumptions!$B$6+E1090*Assumptions!$B$7)</f>
        <v>8.303152178890872E-3</v>
      </c>
    </row>
    <row r="1091" spans="1:10" x14ac:dyDescent="0.2">
      <c r="A1091" s="2">
        <v>1083</v>
      </c>
      <c r="B1091" s="14">
        <f>A1091*Assumptions!$B$12</f>
        <v>10.83</v>
      </c>
      <c r="C1091" s="15">
        <f>IF(A1091&lt;=Assumptions!$B$13,IF(OR(A1091=0,A1091=Assumptions!$B$13),0.5,1),0)*Assumptions!$B$12</f>
        <v>0.01</v>
      </c>
      <c r="D1091" s="12">
        <f>D1090*(1-Assumptions!$B$12*(Assumptions!$B$5+Assumptions!$B$6))</f>
        <v>0.72256438791191724</v>
      </c>
      <c r="E1091" s="12">
        <f>E1090+Assumptions!$B$12*(D1090*Assumptions!$B$5-E1090*Assumptions!$B$7)</f>
        <v>0.14076839488320972</v>
      </c>
      <c r="F1091" s="12">
        <f t="shared" si="48"/>
        <v>0.13666721720487304</v>
      </c>
      <c r="G1091" s="12">
        <f>EXP(-Assumptions!$B$8*B1091)</f>
        <v>0.58187478525953962</v>
      </c>
      <c r="H1091" s="12">
        <f t="shared" si="49"/>
        <v>0.42044199805243754</v>
      </c>
      <c r="I1091" s="12">
        <f t="shared" si="50"/>
        <v>8.1909579543997732E-2</v>
      </c>
      <c r="J1091" s="12">
        <f>G1091*(D1091*Assumptions!$B$6+E1091*Assumptions!$B$7)</f>
        <v>8.2998989577242627E-3</v>
      </c>
    </row>
    <row r="1092" spans="1:10" x14ac:dyDescent="0.2">
      <c r="A1092" s="2">
        <v>1084</v>
      </c>
      <c r="B1092" s="14">
        <f>A1092*Assumptions!$B$12</f>
        <v>10.84</v>
      </c>
      <c r="C1092" s="15">
        <f>IF(A1092&lt;=Assumptions!$B$13,IF(OR(A1092=0,A1092=Assumptions!$B$13),0.5,1),0)*Assumptions!$B$12</f>
        <v>0.01</v>
      </c>
      <c r="D1092" s="12">
        <f>D1091*(1-Assumptions!$B$12*(Assumptions!$B$5+Assumptions!$B$6))</f>
        <v>0.72234761859554364</v>
      </c>
      <c r="E1092" s="12">
        <f>E1091+Assumptions!$B$12*(D1091*Assumptions!$B$5-E1091*Assumptions!$B$7)</f>
        <v>0.1408425235633505</v>
      </c>
      <c r="F1092" s="12">
        <f t="shared" si="48"/>
        <v>0.13680985784110586</v>
      </c>
      <c r="G1092" s="12">
        <f>EXP(-Assumptions!$B$8*B1092)</f>
        <v>0.5815839205891371</v>
      </c>
      <c r="H1092" s="12">
        <f t="shared" si="49"/>
        <v>0.42010576005102296</v>
      </c>
      <c r="I1092" s="12">
        <f t="shared" si="50"/>
        <v>8.1911747039641311E-2</v>
      </c>
      <c r="J1092" s="12">
        <f>G1092*(D1092*Assumptions!$B$6+E1092*Assumptions!$B$7)</f>
        <v>8.2966449524922957E-3</v>
      </c>
    </row>
    <row r="1093" spans="1:10" x14ac:dyDescent="0.2">
      <c r="A1093" s="2">
        <v>1085</v>
      </c>
      <c r="B1093" s="14">
        <f>A1093*Assumptions!$B$12</f>
        <v>10.85</v>
      </c>
      <c r="C1093" s="15">
        <f>IF(A1093&lt;=Assumptions!$B$13,IF(OR(A1093=0,A1093=Assumptions!$B$13),0.5,1),0)*Assumptions!$B$12</f>
        <v>0.01</v>
      </c>
      <c r="D1093" s="12">
        <f>D1092*(1-Assumptions!$B$12*(Assumptions!$B$5+Assumptions!$B$6))</f>
        <v>0.72213091430996501</v>
      </c>
      <c r="E1093" s="12">
        <f>E1092+Assumptions!$B$12*(D1092*Assumptions!$B$5-E1092*Assumptions!$B$7)</f>
        <v>0.14091657182528794</v>
      </c>
      <c r="F1093" s="12">
        <f t="shared" si="48"/>
        <v>0.13695251386474705</v>
      </c>
      <c r="G1093" s="12">
        <f>EXP(-Assumptions!$B$8*B1093)</f>
        <v>0.58129320131471784</v>
      </c>
      <c r="H1093" s="12">
        <f t="shared" si="49"/>
        <v>0.41976979094756373</v>
      </c>
      <c r="I1093" s="12">
        <f t="shared" si="50"/>
        <v>8.1913845154616999E-2</v>
      </c>
      <c r="J1093" s="12">
        <f>G1093*(D1093*Assumptions!$B$6+E1093*Assumptions!$B$7)</f>
        <v>8.2933901672064877E-3</v>
      </c>
    </row>
    <row r="1094" spans="1:10" x14ac:dyDescent="0.2">
      <c r="A1094" s="2">
        <v>1086</v>
      </c>
      <c r="B1094" s="14">
        <f>A1094*Assumptions!$B$12</f>
        <v>10.86</v>
      </c>
      <c r="C1094" s="15">
        <f>IF(A1094&lt;=Assumptions!$B$13,IF(OR(A1094=0,A1094=Assumptions!$B$13),0.5,1),0)*Assumptions!$B$12</f>
        <v>0.01</v>
      </c>
      <c r="D1094" s="12">
        <f>D1093*(1-Assumptions!$B$12*(Assumptions!$B$5+Assumptions!$B$6))</f>
        <v>0.72191427503567207</v>
      </c>
      <c r="E1094" s="12">
        <f>E1093+Assumptions!$B$12*(D1093*Assumptions!$B$5-E1093*Assumptions!$B$7)</f>
        <v>0.1409905397222373</v>
      </c>
      <c r="F1094" s="12">
        <f t="shared" si="48"/>
        <v>0.13709518524209063</v>
      </c>
      <c r="G1094" s="12">
        <f>EXP(-Assumptions!$B$8*B1094)</f>
        <v>0.58100262736360186</v>
      </c>
      <c r="H1094" s="12">
        <f t="shared" si="49"/>
        <v>0.41943409052701536</v>
      </c>
      <c r="I1094" s="12">
        <f t="shared" si="50"/>
        <v>8.1915874012032139E-2</v>
      </c>
      <c r="J1094" s="12">
        <f>G1094*(D1094*Assumptions!$B$6+E1094*Assumptions!$B$7)</f>
        <v>8.2901346058717601E-3</v>
      </c>
    </row>
    <row r="1095" spans="1:10" x14ac:dyDescent="0.2">
      <c r="A1095" s="2">
        <v>1087</v>
      </c>
      <c r="B1095" s="14">
        <f>A1095*Assumptions!$B$12</f>
        <v>10.870000000000001</v>
      </c>
      <c r="C1095" s="15">
        <f>IF(A1095&lt;=Assumptions!$B$13,IF(OR(A1095=0,A1095=Assumptions!$B$13),0.5,1),0)*Assumptions!$B$12</f>
        <v>0.01</v>
      </c>
      <c r="D1095" s="12">
        <f>D1094*(1-Assumptions!$B$12*(Assumptions!$B$5+Assumptions!$B$6))</f>
        <v>0.72169770075316142</v>
      </c>
      <c r="E1095" s="12">
        <f>E1094+Assumptions!$B$12*(D1094*Assumptions!$B$5-E1094*Assumptions!$B$7)</f>
        <v>0.14106442730738331</v>
      </c>
      <c r="F1095" s="12">
        <f t="shared" si="48"/>
        <v>0.13723787193945527</v>
      </c>
      <c r="G1095" s="12">
        <f>EXP(-Assumptions!$B$8*B1095)</f>
        <v>0.58071219866314572</v>
      </c>
      <c r="H1095" s="12">
        <f t="shared" si="49"/>
        <v>0.41909865857450534</v>
      </c>
      <c r="I1095" s="12">
        <f t="shared" si="50"/>
        <v>8.1917833734828055E-2</v>
      </c>
      <c r="J1095" s="12">
        <f>G1095*(D1095*Assumptions!$B$6+E1095*Assumptions!$B$7)</f>
        <v>8.2868782724864563E-3</v>
      </c>
    </row>
    <row r="1096" spans="1:10" x14ac:dyDescent="0.2">
      <c r="A1096" s="2">
        <v>1088</v>
      </c>
      <c r="B1096" s="14">
        <f>A1096*Assumptions!$B$12</f>
        <v>10.88</v>
      </c>
      <c r="C1096" s="15">
        <f>IF(A1096&lt;=Assumptions!$B$13,IF(OR(A1096=0,A1096=Assumptions!$B$13),0.5,1),0)*Assumptions!$B$12</f>
        <v>0.01</v>
      </c>
      <c r="D1096" s="12">
        <f>D1095*(1-Assumptions!$B$12*(Assumptions!$B$5+Assumptions!$B$6))</f>
        <v>0.72148119144293554</v>
      </c>
      <c r="E1096" s="12">
        <f>E1095+Assumptions!$B$12*(D1095*Assumptions!$B$5-E1095*Assumptions!$B$7)</f>
        <v>0.14113823463388026</v>
      </c>
      <c r="F1096" s="12">
        <f t="shared" ref="F1096:F1159" si="51">1-D1096-E1096</f>
        <v>0.1373805739231842</v>
      </c>
      <c r="G1096" s="12">
        <f>EXP(-Assumptions!$B$8*B1096)</f>
        <v>0.58042191514074237</v>
      </c>
      <c r="H1096" s="12">
        <f t="shared" ref="H1096:H1159" si="52">G1096*D1096</f>
        <v>0.41876349487533321</v>
      </c>
      <c r="I1096" s="12">
        <f t="shared" ref="I1096:I1159" si="53">G1096*E1096</f>
        <v>8.1919724445780231E-2</v>
      </c>
      <c r="J1096" s="12">
        <f>G1096*(D1096*Assumptions!$B$6+E1096*Assumptions!$B$7)</f>
        <v>8.2836211710423449E-3</v>
      </c>
    </row>
    <row r="1097" spans="1:10" x14ac:dyDescent="0.2">
      <c r="A1097" s="2">
        <v>1089</v>
      </c>
      <c r="B1097" s="14">
        <f>A1097*Assumptions!$B$12</f>
        <v>10.89</v>
      </c>
      <c r="C1097" s="15">
        <f>IF(A1097&lt;=Assumptions!$B$13,IF(OR(A1097=0,A1097=Assumptions!$B$13),0.5,1),0)*Assumptions!$B$12</f>
        <v>0.01</v>
      </c>
      <c r="D1097" s="12">
        <f>D1096*(1-Assumptions!$B$12*(Assumptions!$B$5+Assumptions!$B$6))</f>
        <v>0.7212647470855027</v>
      </c>
      <c r="E1097" s="12">
        <f>E1096+Assumptions!$B$12*(D1096*Assumptions!$B$5-E1096*Assumptions!$B$7)</f>
        <v>0.1412119617548519</v>
      </c>
      <c r="F1097" s="12">
        <f t="shared" si="51"/>
        <v>0.1375232911596454</v>
      </c>
      <c r="G1097" s="12">
        <f>EXP(-Assumptions!$B$8*B1097)</f>
        <v>0.58013177672382066</v>
      </c>
      <c r="H1097" s="12">
        <f t="shared" si="52"/>
        <v>0.41842859921496983</v>
      </c>
      <c r="I1097" s="12">
        <f t="shared" si="53"/>
        <v>8.1921546267498438E-2</v>
      </c>
      <c r="J1097" s="12">
        <f>G1097*(D1097*Assumptions!$B$6+E1097*Assumptions!$B$7)</f>
        <v>8.2803633055246219E-3</v>
      </c>
    </row>
    <row r="1098" spans="1:10" x14ac:dyDescent="0.2">
      <c r="A1098" s="2">
        <v>1090</v>
      </c>
      <c r="B1098" s="14">
        <f>A1098*Assumptions!$B$12</f>
        <v>10.9</v>
      </c>
      <c r="C1098" s="15">
        <f>IF(A1098&lt;=Assumptions!$B$13,IF(OR(A1098=0,A1098=Assumptions!$B$13),0.5,1),0)*Assumptions!$B$12</f>
        <v>0.01</v>
      </c>
      <c r="D1098" s="12">
        <f>D1097*(1-Assumptions!$B$12*(Assumptions!$B$5+Assumptions!$B$6))</f>
        <v>0.72104836766137703</v>
      </c>
      <c r="E1098" s="12">
        <f>E1097+Assumptions!$B$12*(D1097*Assumptions!$B$5-E1097*Assumptions!$B$7)</f>
        <v>0.14128560872339158</v>
      </c>
      <c r="F1098" s="12">
        <f t="shared" si="51"/>
        <v>0.13766602361523139</v>
      </c>
      <c r="G1098" s="12">
        <f>EXP(-Assumptions!$B$8*B1098)</f>
        <v>0.57984178333984637</v>
      </c>
      <c r="H1098" s="12">
        <f t="shared" si="52"/>
        <v>0.41809397137905807</v>
      </c>
      <c r="I1098" s="12">
        <f t="shared" si="53"/>
        <v>8.1923299322427132E-2</v>
      </c>
      <c r="J1098" s="12">
        <f>G1098*(D1098*Assumptions!$B$6+E1098*Assumptions!$B$7)</f>
        <v>8.2771046799119379E-3</v>
      </c>
    </row>
    <row r="1099" spans="1:10" x14ac:dyDescent="0.2">
      <c r="A1099" s="2">
        <v>1091</v>
      </c>
      <c r="B1099" s="14">
        <f>A1099*Assumptions!$B$12</f>
        <v>10.91</v>
      </c>
      <c r="C1099" s="15">
        <f>IF(A1099&lt;=Assumptions!$B$13,IF(OR(A1099=0,A1099=Assumptions!$B$13),0.5,1),0)*Assumptions!$B$12</f>
        <v>0.01</v>
      </c>
      <c r="D1099" s="12">
        <f>D1098*(1-Assumptions!$B$12*(Assumptions!$B$5+Assumptions!$B$6))</f>
        <v>0.72083205315107868</v>
      </c>
      <c r="E1099" s="12">
        <f>E1098+Assumptions!$B$12*(D1098*Assumptions!$B$5-E1098*Assumptions!$B$7)</f>
        <v>0.14135917559256214</v>
      </c>
      <c r="F1099" s="12">
        <f t="shared" si="51"/>
        <v>0.13780877125635918</v>
      </c>
      <c r="G1099" s="12">
        <f>EXP(-Assumptions!$B$8*B1099)</f>
        <v>0.57955193491632084</v>
      </c>
      <c r="H1099" s="12">
        <f t="shared" si="52"/>
        <v>0.41775961115341187</v>
      </c>
      <c r="I1099" s="12">
        <f t="shared" si="53"/>
        <v>8.1924983732845347E-2</v>
      </c>
      <c r="J1099" s="12">
        <f>G1099*(D1099*Assumptions!$B$6+E1099*Assumptions!$B$7)</f>
        <v>8.2738452981763865E-3</v>
      </c>
    </row>
    <row r="1100" spans="1:10" x14ac:dyDescent="0.2">
      <c r="A1100" s="2">
        <v>1092</v>
      </c>
      <c r="B1100" s="14">
        <f>A1100*Assumptions!$B$12</f>
        <v>10.92</v>
      </c>
      <c r="C1100" s="15">
        <f>IF(A1100&lt;=Assumptions!$B$13,IF(OR(A1100=0,A1100=Assumptions!$B$13),0.5,1),0)*Assumptions!$B$12</f>
        <v>0.01</v>
      </c>
      <c r="D1100" s="12">
        <f>D1099*(1-Assumptions!$B$12*(Assumptions!$B$5+Assumptions!$B$6))</f>
        <v>0.72061580353513333</v>
      </c>
      <c r="E1100" s="12">
        <f>E1099+Assumptions!$B$12*(D1099*Assumptions!$B$5-E1099*Assumptions!$B$7)</f>
        <v>0.14143266241539607</v>
      </c>
      <c r="F1100" s="12">
        <f t="shared" si="51"/>
        <v>0.13795153404947061</v>
      </c>
      <c r="G1100" s="12">
        <f>EXP(-Assumptions!$B$8*B1100)</f>
        <v>0.57926223138078203</v>
      </c>
      <c r="H1100" s="12">
        <f t="shared" si="52"/>
        <v>0.41742551832401659</v>
      </c>
      <c r="I1100" s="12">
        <f t="shared" si="53"/>
        <v>8.1926599620867194E-2</v>
      </c>
      <c r="J1100" s="12">
        <f>G1100*(D1100*Assumptions!$B$6+E1100*Assumptions!$B$7)</f>
        <v>8.2705851642835265E-3</v>
      </c>
    </row>
    <row r="1101" spans="1:10" x14ac:dyDescent="0.2">
      <c r="A1101" s="2">
        <v>1093</v>
      </c>
      <c r="B1101" s="14">
        <f>A1101*Assumptions!$B$12</f>
        <v>10.93</v>
      </c>
      <c r="C1101" s="15">
        <f>IF(A1101&lt;=Assumptions!$B$13,IF(OR(A1101=0,A1101=Assumptions!$B$13),0.5,1),0)*Assumptions!$B$12</f>
        <v>0.01</v>
      </c>
      <c r="D1101" s="12">
        <f>D1100*(1-Assumptions!$B$12*(Assumptions!$B$5+Assumptions!$B$6))</f>
        <v>0.72039961879407277</v>
      </c>
      <c r="E1101" s="12">
        <f>E1100+Assumptions!$B$12*(D1100*Assumptions!$B$5-E1100*Assumptions!$B$7)</f>
        <v>0.14150606924489539</v>
      </c>
      <c r="F1101" s="12">
        <f t="shared" si="51"/>
        <v>0.13809431196103183</v>
      </c>
      <c r="G1101" s="12">
        <f>EXP(-Assumptions!$B$8*B1101)</f>
        <v>0.5789726726608041</v>
      </c>
      <c r="H1101" s="12">
        <f t="shared" si="52"/>
        <v>0.41709169267702872</v>
      </c>
      <c r="I1101" s="12">
        <f t="shared" si="53"/>
        <v>8.1928147108441901E-2</v>
      </c>
      <c r="J1101" s="12">
        <f>G1101*(D1101*Assumptions!$B$6+E1101*Assumptions!$B$7)</f>
        <v>8.2673242821923835E-3</v>
      </c>
    </row>
    <row r="1102" spans="1:10" x14ac:dyDescent="0.2">
      <c r="A1102" s="2">
        <v>1094</v>
      </c>
      <c r="B1102" s="14">
        <f>A1102*Assumptions!$B$12</f>
        <v>10.94</v>
      </c>
      <c r="C1102" s="15">
        <f>IF(A1102&lt;=Assumptions!$B$13,IF(OR(A1102=0,A1102=Assumptions!$B$13),0.5,1),0)*Assumptions!$B$12</f>
        <v>0.01</v>
      </c>
      <c r="D1102" s="12">
        <f>D1101*(1-Assumptions!$B$12*(Assumptions!$B$5+Assumptions!$B$6))</f>
        <v>0.72018349890843458</v>
      </c>
      <c r="E1102" s="12">
        <f>E1101+Assumptions!$B$12*(D1101*Assumptions!$B$5-E1101*Assumptions!$B$7)</f>
        <v>0.14157939613403175</v>
      </c>
      <c r="F1102" s="12">
        <f t="shared" si="51"/>
        <v>0.13823710495753366</v>
      </c>
      <c r="G1102" s="12">
        <f>EXP(-Assumptions!$B$8*B1102)</f>
        <v>0.57868325868399739</v>
      </c>
      <c r="H1102" s="12">
        <f t="shared" si="52"/>
        <v>0.41675813399877598</v>
      </c>
      <c r="I1102" s="12">
        <f t="shared" si="53"/>
        <v>8.1929626317354037E-2</v>
      </c>
      <c r="J1102" s="12">
        <f>G1102*(D1102*Assumptions!$B$6+E1102*Assumptions!$B$7)</f>
        <v>8.2640626558554628E-3</v>
      </c>
    </row>
    <row r="1103" spans="1:10" x14ac:dyDescent="0.2">
      <c r="A1103" s="2">
        <v>1095</v>
      </c>
      <c r="B1103" s="14">
        <f>A1103*Assumptions!$B$12</f>
        <v>10.950000000000001</v>
      </c>
      <c r="C1103" s="15">
        <f>IF(A1103&lt;=Assumptions!$B$13,IF(OR(A1103=0,A1103=Assumptions!$B$13),0.5,1),0)*Assumptions!$B$12</f>
        <v>0.01</v>
      </c>
      <c r="D1103" s="12">
        <f>D1102*(1-Assumptions!$B$12*(Assumptions!$B$5+Assumptions!$B$6))</f>
        <v>0.7199674438587621</v>
      </c>
      <c r="E1103" s="12">
        <f>E1102+Assumptions!$B$12*(D1102*Assumptions!$B$5-E1102*Assumptions!$B$7)</f>
        <v>0.14165264313574644</v>
      </c>
      <c r="F1103" s="12">
        <f t="shared" si="51"/>
        <v>0.13837991300549146</v>
      </c>
      <c r="G1103" s="12">
        <f>EXP(-Assumptions!$B$8*B1103)</f>
        <v>0.57839398937800823</v>
      </c>
      <c r="H1103" s="12">
        <f t="shared" si="52"/>
        <v>0.41642484207575658</v>
      </c>
      <c r="I1103" s="12">
        <f t="shared" si="53"/>
        <v>8.1931037369223719E-2</v>
      </c>
      <c r="J1103" s="12">
        <f>G1103*(D1103*Assumptions!$B$6+E1103*Assumptions!$B$7)</f>
        <v>8.2608002892187518E-3</v>
      </c>
    </row>
    <row r="1104" spans="1:10" x14ac:dyDescent="0.2">
      <c r="A1104" s="2">
        <v>1096</v>
      </c>
      <c r="B1104" s="14">
        <f>A1104*Assumptions!$B$12</f>
        <v>10.96</v>
      </c>
      <c r="C1104" s="15">
        <f>IF(A1104&lt;=Assumptions!$B$13,IF(OR(A1104=0,A1104=Assumptions!$B$13),0.5,1),0)*Assumptions!$B$12</f>
        <v>0.01</v>
      </c>
      <c r="D1104" s="12">
        <f>D1103*(1-Assumptions!$B$12*(Assumptions!$B$5+Assumptions!$B$6))</f>
        <v>0.71975145362560444</v>
      </c>
      <c r="E1104" s="12">
        <f>E1103+Assumptions!$B$12*(D1103*Assumptions!$B$5-E1103*Assumptions!$B$7)</f>
        <v>0.14172581030295031</v>
      </c>
      <c r="F1104" s="12">
        <f t="shared" si="51"/>
        <v>0.13852273607144525</v>
      </c>
      <c r="G1104" s="12">
        <f>EXP(-Assumptions!$B$8*B1104)</f>
        <v>0.57810486467051958</v>
      </c>
      <c r="H1104" s="12">
        <f t="shared" si="52"/>
        <v>0.41609181669463979</v>
      </c>
      <c r="I1104" s="12">
        <f t="shared" si="53"/>
        <v>8.193238038550682E-2</v>
      </c>
      <c r="J1104" s="12">
        <f>G1104*(D1104*Assumptions!$B$6+E1104*Assumptions!$B$7)</f>
        <v>8.25753718622174E-3</v>
      </c>
    </row>
    <row r="1105" spans="1:10" x14ac:dyDescent="0.2">
      <c r="A1105" s="2">
        <v>1097</v>
      </c>
      <c r="B1105" s="14">
        <f>A1105*Assumptions!$B$12</f>
        <v>10.97</v>
      </c>
      <c r="C1105" s="15">
        <f>IF(A1105&lt;=Assumptions!$B$13,IF(OR(A1105=0,A1105=Assumptions!$B$13),0.5,1),0)*Assumptions!$B$12</f>
        <v>0.01</v>
      </c>
      <c r="D1105" s="12">
        <f>D1104*(1-Assumptions!$B$12*(Assumptions!$B$5+Assumptions!$B$6))</f>
        <v>0.71953552818951683</v>
      </c>
      <c r="E1105" s="12">
        <f>E1104+Assumptions!$B$12*(D1104*Assumptions!$B$5-E1104*Assumptions!$B$7)</f>
        <v>0.14179889768852397</v>
      </c>
      <c r="F1105" s="12">
        <f t="shared" si="51"/>
        <v>0.13866557412195921</v>
      </c>
      <c r="G1105" s="12">
        <f>EXP(-Assumptions!$B$8*B1105)</f>
        <v>0.57781588448925003</v>
      </c>
      <c r="H1105" s="12">
        <f t="shared" si="52"/>
        <v>0.41575905764226534</v>
      </c>
      <c r="I1105" s="12">
        <f t="shared" si="53"/>
        <v>8.1933655487495149E-2</v>
      </c>
      <c r="J1105" s="12">
        <f>G1105*(D1105*Assumptions!$B$6+E1105*Assumptions!$B$7)</f>
        <v>8.2542733507974114E-3</v>
      </c>
    </row>
    <row r="1106" spans="1:10" x14ac:dyDescent="0.2">
      <c r="A1106" s="2">
        <v>1098</v>
      </c>
      <c r="B1106" s="14">
        <f>A1106*Assumptions!$B$12</f>
        <v>10.98</v>
      </c>
      <c r="C1106" s="15">
        <f>IF(A1106&lt;=Assumptions!$B$13,IF(OR(A1106=0,A1106=Assumptions!$B$13),0.5,1),0)*Assumptions!$B$12</f>
        <v>0.01</v>
      </c>
      <c r="D1106" s="12">
        <f>D1105*(1-Assumptions!$B$12*(Assumptions!$B$5+Assumptions!$B$6))</f>
        <v>0.71931966753106003</v>
      </c>
      <c r="E1106" s="12">
        <f>E1105+Assumptions!$B$12*(D1105*Assumptions!$B$5-E1105*Assumptions!$B$7)</f>
        <v>0.1418719053453176</v>
      </c>
      <c r="F1106" s="12">
        <f t="shared" si="51"/>
        <v>0.13880842712362237</v>
      </c>
      <c r="G1106" s="12">
        <f>EXP(-Assumptions!$B$8*B1106)</f>
        <v>0.57752704876195471</v>
      </c>
      <c r="H1106" s="12">
        <f t="shared" si="52"/>
        <v>0.41542656470564354</v>
      </c>
      <c r="I1106" s="12">
        <f t="shared" si="53"/>
        <v>8.1934862796316663E-2</v>
      </c>
      <c r="J1106" s="12">
        <f>G1106*(D1106*Assumptions!$B$6+E1106*Assumptions!$B$7)</f>
        <v>8.2510087868722694E-3</v>
      </c>
    </row>
    <row r="1107" spans="1:10" x14ac:dyDescent="0.2">
      <c r="A1107" s="2">
        <v>1099</v>
      </c>
      <c r="B1107" s="14">
        <f>A1107*Assumptions!$B$12</f>
        <v>10.99</v>
      </c>
      <c r="C1107" s="15">
        <f>IF(A1107&lt;=Assumptions!$B$13,IF(OR(A1107=0,A1107=Assumptions!$B$13),0.5,1),0)*Assumptions!$B$12</f>
        <v>0.01</v>
      </c>
      <c r="D1107" s="12">
        <f>D1106*(1-Assumptions!$B$12*(Assumptions!$B$5+Assumptions!$B$6))</f>
        <v>0.7191038716308007</v>
      </c>
      <c r="E1107" s="12">
        <f>E1106+Assumptions!$B$12*(D1106*Assumptions!$B$5-E1106*Assumptions!$B$7)</f>
        <v>0.14194483332615115</v>
      </c>
      <c r="F1107" s="12">
        <f t="shared" si="51"/>
        <v>0.13895129504304815</v>
      </c>
      <c r="G1107" s="12">
        <f>EXP(-Assumptions!$B$8*B1107)</f>
        <v>0.57723835741642449</v>
      </c>
      <c r="H1107" s="12">
        <f t="shared" si="52"/>
        <v>0.41509433767195475</v>
      </c>
      <c r="I1107" s="12">
        <f t="shared" si="53"/>
        <v>8.193600243293564E-2</v>
      </c>
      <c r="J1107" s="12">
        <f>G1107*(D1107*Assumptions!$B$6+E1107*Assumptions!$B$7)</f>
        <v>8.2477434983663292E-3</v>
      </c>
    </row>
    <row r="1108" spans="1:10" x14ac:dyDescent="0.2">
      <c r="A1108" s="2">
        <v>1100</v>
      </c>
      <c r="B1108" s="14">
        <f>A1108*Assumptions!$B$12</f>
        <v>11</v>
      </c>
      <c r="C1108" s="15">
        <f>IF(A1108&lt;=Assumptions!$B$13,IF(OR(A1108=0,A1108=Assumptions!$B$13),0.5,1),0)*Assumptions!$B$12</f>
        <v>0.01</v>
      </c>
      <c r="D1108" s="12">
        <f>D1107*(1-Assumptions!$B$12*(Assumptions!$B$5+Assumptions!$B$6))</f>
        <v>0.71888814046931149</v>
      </c>
      <c r="E1108" s="12">
        <f>E1107+Assumptions!$B$12*(D1107*Assumptions!$B$5-E1107*Assumptions!$B$7)</f>
        <v>0.14201768168381423</v>
      </c>
      <c r="F1108" s="12">
        <f t="shared" si="51"/>
        <v>0.13909417784687428</v>
      </c>
      <c r="G1108" s="12">
        <f>EXP(-Assumptions!$B$8*B1108)</f>
        <v>0.57694981038048665</v>
      </c>
      <c r="H1108" s="12">
        <f t="shared" si="52"/>
        <v>0.4147623763285499</v>
      </c>
      <c r="I1108" s="12">
        <f t="shared" si="53"/>
        <v>8.1937074518152936E-2</v>
      </c>
      <c r="J1108" s="12">
        <f>G1108*(D1108*Assumptions!$B$6+E1108*Assumptions!$B$7)</f>
        <v>8.2444774891931461E-3</v>
      </c>
    </row>
    <row r="1109" spans="1:10" x14ac:dyDescent="0.2">
      <c r="A1109" s="2">
        <v>1101</v>
      </c>
      <c r="B1109" s="14">
        <f>A1109*Assumptions!$B$12</f>
        <v>11.01</v>
      </c>
      <c r="C1109" s="15">
        <f>IF(A1109&lt;=Assumptions!$B$13,IF(OR(A1109=0,A1109=Assumptions!$B$13),0.5,1),0)*Assumptions!$B$12</f>
        <v>0.01</v>
      </c>
      <c r="D1109" s="12">
        <f>D1108*(1-Assumptions!$B$12*(Assumptions!$B$5+Assumptions!$B$6))</f>
        <v>0.71867247402717072</v>
      </c>
      <c r="E1109" s="12">
        <f>E1108+Assumptions!$B$12*(D1108*Assumptions!$B$5-E1108*Assumptions!$B$7)</f>
        <v>0.14209045047106619</v>
      </c>
      <c r="F1109" s="12">
        <f t="shared" si="51"/>
        <v>0.13923707550176309</v>
      </c>
      <c r="G1109" s="12">
        <f>EXP(-Assumptions!$B$8*B1109)</f>
        <v>0.57666140758200446</v>
      </c>
      <c r="H1109" s="12">
        <f t="shared" si="52"/>
        <v>0.41443068046294979</v>
      </c>
      <c r="I1109" s="12">
        <f t="shared" si="53"/>
        <v>8.1938079172606121E-2</v>
      </c>
      <c r="J1109" s="12">
        <f>G1109*(D1109*Assumptions!$B$6+E1109*Assumptions!$B$7)</f>
        <v>8.2412107632598049E-3</v>
      </c>
    </row>
    <row r="1110" spans="1:10" x14ac:dyDescent="0.2">
      <c r="A1110" s="2">
        <v>1102</v>
      </c>
      <c r="B1110" s="14">
        <f>A1110*Assumptions!$B$12</f>
        <v>11.02</v>
      </c>
      <c r="C1110" s="15">
        <f>IF(A1110&lt;=Assumptions!$B$13,IF(OR(A1110=0,A1110=Assumptions!$B$13),0.5,1),0)*Assumptions!$B$12</f>
        <v>0.01</v>
      </c>
      <c r="D1110" s="12">
        <f>D1109*(1-Assumptions!$B$12*(Assumptions!$B$5+Assumptions!$B$6))</f>
        <v>0.71845687228496258</v>
      </c>
      <c r="E1110" s="12">
        <f>E1109+Assumptions!$B$12*(D1109*Assumptions!$B$5-E1109*Assumptions!$B$7)</f>
        <v>0.1421631397406361</v>
      </c>
      <c r="F1110" s="12">
        <f t="shared" si="51"/>
        <v>0.13937998797440132</v>
      </c>
      <c r="G1110" s="12">
        <f>EXP(-Assumptions!$B$8*B1110)</f>
        <v>0.57637314894887715</v>
      </c>
      <c r="H1110" s="12">
        <f t="shared" si="52"/>
        <v>0.41409924986284513</v>
      </c>
      <c r="I1110" s="12">
        <f t="shared" si="53"/>
        <v>8.1939016516769686E-2</v>
      </c>
      <c r="J1110" s="12">
        <f>G1110*(D1110*Assumptions!$B$6+E1110*Assumptions!$B$7)</f>
        <v>8.2379433244669353E-3</v>
      </c>
    </row>
    <row r="1111" spans="1:10" x14ac:dyDescent="0.2">
      <c r="A1111" s="2">
        <v>1103</v>
      </c>
      <c r="B1111" s="14">
        <f>A1111*Assumptions!$B$12</f>
        <v>11.03</v>
      </c>
      <c r="C1111" s="15">
        <f>IF(A1111&lt;=Assumptions!$B$13,IF(OR(A1111=0,A1111=Assumptions!$B$13),0.5,1),0)*Assumptions!$B$12</f>
        <v>0.01</v>
      </c>
      <c r="D1111" s="12">
        <f>D1110*(1-Assumptions!$B$12*(Assumptions!$B$5+Assumptions!$B$6))</f>
        <v>0.71824133522327716</v>
      </c>
      <c r="E1111" s="12">
        <f>E1110+Assumptions!$B$12*(D1110*Assumptions!$B$5-E1110*Assumptions!$B$7)</f>
        <v>0.14223574954522278</v>
      </c>
      <c r="F1111" s="12">
        <f t="shared" si="51"/>
        <v>0.13952291523150007</v>
      </c>
      <c r="G1111" s="12">
        <f>EXP(-Assumptions!$B$8*B1111)</f>
        <v>0.57608503440904002</v>
      </c>
      <c r="H1111" s="12">
        <f t="shared" si="52"/>
        <v>0.41376808431609646</v>
      </c>
      <c r="I1111" s="12">
        <f t="shared" si="53"/>
        <v>8.1939886670955267E-2</v>
      </c>
      <c r="J1111" s="12">
        <f>G1111*(D1111*Assumptions!$B$6+E1111*Assumptions!$B$7)</f>
        <v>8.2346751767087278E-3</v>
      </c>
    </row>
    <row r="1112" spans="1:10" x14ac:dyDescent="0.2">
      <c r="A1112" s="2">
        <v>1104</v>
      </c>
      <c r="B1112" s="14">
        <f>A1112*Assumptions!$B$12</f>
        <v>11.040000000000001</v>
      </c>
      <c r="C1112" s="15">
        <f>IF(A1112&lt;=Assumptions!$B$13,IF(OR(A1112=0,A1112=Assumptions!$B$13),0.5,1),0)*Assumptions!$B$12</f>
        <v>0.01</v>
      </c>
      <c r="D1112" s="12">
        <f>D1111*(1-Assumptions!$B$12*(Assumptions!$B$5+Assumptions!$B$6))</f>
        <v>0.71802586282271019</v>
      </c>
      <c r="E1112" s="12">
        <f>E1111+Assumptions!$B$12*(D1111*Assumptions!$B$5-E1111*Assumptions!$B$7)</f>
        <v>0.14230827993749481</v>
      </c>
      <c r="F1112" s="12">
        <f t="shared" si="51"/>
        <v>0.13966585723979499</v>
      </c>
      <c r="G1112" s="12">
        <f>EXP(-Assumptions!$B$8*B1112)</f>
        <v>0.57579706389046448</v>
      </c>
      <c r="H1112" s="12">
        <f t="shared" si="52"/>
        <v>0.41343718361073395</v>
      </c>
      <c r="I1112" s="12">
        <f t="shared" si="53"/>
        <v>8.194068975531181E-2</v>
      </c>
      <c r="J1112" s="12">
        <f>G1112*(D1112*Assumptions!$B$6+E1112*Assumptions!$B$7)</f>
        <v>8.2314063238729304E-3</v>
      </c>
    </row>
    <row r="1113" spans="1:10" x14ac:dyDescent="0.2">
      <c r="A1113" s="2">
        <v>1105</v>
      </c>
      <c r="B1113" s="14">
        <f>A1113*Assumptions!$B$12</f>
        <v>11.05</v>
      </c>
      <c r="C1113" s="15">
        <f>IF(A1113&lt;=Assumptions!$B$13,IF(OR(A1113=0,A1113=Assumptions!$B$13),0.5,1),0)*Assumptions!$B$12</f>
        <v>0.01</v>
      </c>
      <c r="D1113" s="12">
        <f>D1112*(1-Assumptions!$B$12*(Assumptions!$B$5+Assumptions!$B$6))</f>
        <v>0.71781045506386343</v>
      </c>
      <c r="E1113" s="12">
        <f>E1112+Assumptions!$B$12*(D1112*Assumptions!$B$5-E1112*Assumptions!$B$7)</f>
        <v>0.1423807309700906</v>
      </c>
      <c r="F1113" s="12">
        <f t="shared" si="51"/>
        <v>0.13980881396604597</v>
      </c>
      <c r="G1113" s="12">
        <f>EXP(-Assumptions!$B$8*B1113)</f>
        <v>0.575509237321158</v>
      </c>
      <c r="H1113" s="12">
        <f t="shared" si="52"/>
        <v>0.4131065475349574</v>
      </c>
      <c r="I1113" s="12">
        <f t="shared" si="53"/>
        <v>8.1941425889825822E-2</v>
      </c>
      <c r="J1113" s="12">
        <f>G1113*(D1113*Assumptions!$B$6+E1113*Assumptions!$B$7)</f>
        <v>8.2281367698408651E-3</v>
      </c>
    </row>
    <row r="1114" spans="1:10" x14ac:dyDescent="0.2">
      <c r="A1114" s="2">
        <v>1106</v>
      </c>
      <c r="B1114" s="14">
        <f>A1114*Assumptions!$B$12</f>
        <v>11.06</v>
      </c>
      <c r="C1114" s="15">
        <f>IF(A1114&lt;=Assumptions!$B$13,IF(OR(A1114=0,A1114=Assumptions!$B$13),0.5,1),0)*Assumptions!$B$12</f>
        <v>0.01</v>
      </c>
      <c r="D1114" s="12">
        <f>D1113*(1-Assumptions!$B$12*(Assumptions!$B$5+Assumptions!$B$6))</f>
        <v>0.71759511192734426</v>
      </c>
      <c r="E1114" s="12">
        <f>E1113+Assumptions!$B$12*(D1113*Assumptions!$B$5-E1113*Assumptions!$B$7)</f>
        <v>0.14245310269561834</v>
      </c>
      <c r="F1114" s="12">
        <f t="shared" si="51"/>
        <v>0.1399517853770374</v>
      </c>
      <c r="G1114" s="12">
        <f>EXP(-Assumptions!$B$8*B1114)</f>
        <v>0.5752215546291638</v>
      </c>
      <c r="H1114" s="12">
        <f t="shared" si="52"/>
        <v>0.41277617587713578</v>
      </c>
      <c r="I1114" s="12">
        <f t="shared" si="53"/>
        <v>8.194209519432151E-2</v>
      </c>
      <c r="J1114" s="12">
        <f>G1114*(D1114*Assumptions!$B$6+E1114*Assumptions!$B$7)</f>
        <v>8.2248665184874326E-3</v>
      </c>
    </row>
    <row r="1115" spans="1:10" x14ac:dyDescent="0.2">
      <c r="A1115" s="2">
        <v>1107</v>
      </c>
      <c r="B1115" s="14">
        <f>A1115*Assumptions!$B$12</f>
        <v>11.07</v>
      </c>
      <c r="C1115" s="15">
        <f>IF(A1115&lt;=Assumptions!$B$13,IF(OR(A1115=0,A1115=Assumptions!$B$13),0.5,1),0)*Assumptions!$B$12</f>
        <v>0.01</v>
      </c>
      <c r="D1115" s="12">
        <f>D1114*(1-Assumptions!$B$12*(Assumptions!$B$5+Assumptions!$B$6))</f>
        <v>0.7173798333937661</v>
      </c>
      <c r="E1115" s="12">
        <f>E1114+Assumptions!$B$12*(D1114*Assumptions!$B$5-E1114*Assumptions!$B$7)</f>
        <v>0.14252539516665599</v>
      </c>
      <c r="F1115" s="12">
        <f t="shared" si="51"/>
        <v>0.14009477143957791</v>
      </c>
      <c r="G1115" s="12">
        <f>EXP(-Assumptions!$B$8*B1115)</f>
        <v>0.57493401574256131</v>
      </c>
      <c r="H1115" s="12">
        <f t="shared" si="52"/>
        <v>0.41244606842580755</v>
      </c>
      <c r="I1115" s="12">
        <f t="shared" si="53"/>
        <v>8.1942697788460972E-2</v>
      </c>
      <c r="J1115" s="12">
        <f>G1115*(D1115*Assumptions!$B$6+E1115*Assumptions!$B$7)</f>
        <v>8.2215955736811234E-3</v>
      </c>
    </row>
    <row r="1116" spans="1:10" x14ac:dyDescent="0.2">
      <c r="A1116" s="2">
        <v>1108</v>
      </c>
      <c r="B1116" s="14">
        <f>A1116*Assumptions!$B$12</f>
        <v>11.08</v>
      </c>
      <c r="C1116" s="15">
        <f>IF(A1116&lt;=Assumptions!$B$13,IF(OR(A1116=0,A1116=Assumptions!$B$13),0.5,1),0)*Assumptions!$B$12</f>
        <v>0.01</v>
      </c>
      <c r="D1116" s="12">
        <f>D1115*(1-Assumptions!$B$12*(Assumptions!$B$5+Assumptions!$B$6))</f>
        <v>0.71716461944374799</v>
      </c>
      <c r="E1116" s="12">
        <f>E1115+Assumptions!$B$12*(D1115*Assumptions!$B$5-E1115*Assumptions!$B$7)</f>
        <v>0.14259760843575142</v>
      </c>
      <c r="F1116" s="12">
        <f t="shared" si="51"/>
        <v>0.14023777212050059</v>
      </c>
      <c r="G1116" s="12">
        <f>EXP(-Assumptions!$B$8*B1116)</f>
        <v>0.5746466205894657</v>
      </c>
      <c r="H1116" s="12">
        <f t="shared" si="52"/>
        <v>0.41211622496967998</v>
      </c>
      <c r="I1116" s="12">
        <f t="shared" si="53"/>
        <v>8.1943233791744438E-2</v>
      </c>
      <c r="J1116" s="12">
        <f>G1116*(D1116*Assumptions!$B$6+E1116*Assumptions!$B$7)</f>
        <v>8.2183239392840234E-3</v>
      </c>
    </row>
    <row r="1117" spans="1:10" x14ac:dyDescent="0.2">
      <c r="A1117" s="2">
        <v>1109</v>
      </c>
      <c r="B1117" s="14">
        <f>A1117*Assumptions!$B$12</f>
        <v>11.09</v>
      </c>
      <c r="C1117" s="15">
        <f>IF(A1117&lt;=Assumptions!$B$13,IF(OR(A1117=0,A1117=Assumptions!$B$13),0.5,1),0)*Assumptions!$B$12</f>
        <v>0.01</v>
      </c>
      <c r="D1117" s="12">
        <f>D1116*(1-Assumptions!$B$12*(Assumptions!$B$5+Assumptions!$B$6))</f>
        <v>0.71694947005791487</v>
      </c>
      <c r="E1117" s="12">
        <f>E1116+Assumptions!$B$12*(D1116*Assumptions!$B$5-E1116*Assumptions!$B$7)</f>
        <v>0.14266974255542231</v>
      </c>
      <c r="F1117" s="12">
        <f t="shared" si="51"/>
        <v>0.14038078738666282</v>
      </c>
      <c r="G1117" s="12">
        <f>EXP(-Assumptions!$B$8*B1117)</f>
        <v>0.57435936909802821</v>
      </c>
      <c r="H1117" s="12">
        <f t="shared" si="52"/>
        <v>0.41178664529762965</v>
      </c>
      <c r="I1117" s="12">
        <f t="shared" si="53"/>
        <v>8.1943703323510461E-2</v>
      </c>
      <c r="J1117" s="12">
        <f>G1117*(D1117*Assumptions!$B$6+E1117*Assumptions!$B$7)</f>
        <v>8.2150516191518193E-3</v>
      </c>
    </row>
    <row r="1118" spans="1:10" x14ac:dyDescent="0.2">
      <c r="A1118" s="2">
        <v>1110</v>
      </c>
      <c r="B1118" s="14">
        <f>A1118*Assumptions!$B$12</f>
        <v>11.1</v>
      </c>
      <c r="C1118" s="15">
        <f>IF(A1118&lt;=Assumptions!$B$13,IF(OR(A1118=0,A1118=Assumptions!$B$13),0.5,1),0)*Assumptions!$B$12</f>
        <v>0.01</v>
      </c>
      <c r="D1118" s="12">
        <f>D1117*(1-Assumptions!$B$12*(Assumptions!$B$5+Assumptions!$B$6))</f>
        <v>0.71673438521689747</v>
      </c>
      <c r="E1118" s="12">
        <f>E1117+Assumptions!$B$12*(D1117*Assumptions!$B$5-E1117*Assumptions!$B$7)</f>
        <v>0.14274179757815619</v>
      </c>
      <c r="F1118" s="12">
        <f t="shared" si="51"/>
        <v>0.14052381720494633</v>
      </c>
      <c r="G1118" s="12">
        <f>EXP(-Assumptions!$B$8*B1118)</f>
        <v>0.57407226119643595</v>
      </c>
      <c r="H1118" s="12">
        <f t="shared" si="52"/>
        <v>0.4114573291987017</v>
      </c>
      <c r="I1118" s="12">
        <f t="shared" si="53"/>
        <v>8.194410650293607E-2</v>
      </c>
      <c r="J1118" s="12">
        <f>G1118*(D1118*Assumptions!$B$6+E1118*Assumptions!$B$7)</f>
        <v>8.2117786171338209E-3</v>
      </c>
    </row>
    <row r="1119" spans="1:10" x14ac:dyDescent="0.2">
      <c r="A1119" s="2">
        <v>1111</v>
      </c>
      <c r="B1119" s="14">
        <f>A1119*Assumptions!$B$12</f>
        <v>11.11</v>
      </c>
      <c r="C1119" s="15">
        <f>IF(A1119&lt;=Assumptions!$B$13,IF(OR(A1119=0,A1119=Assumptions!$B$13),0.5,1),0)*Assumptions!$B$12</f>
        <v>0.01</v>
      </c>
      <c r="D1119" s="12">
        <f>D1118*(1-Assumptions!$B$12*(Assumptions!$B$5+Assumptions!$B$6))</f>
        <v>0.71651936490133239</v>
      </c>
      <c r="E1119" s="12">
        <f>E1118+Assumptions!$B$12*(D1118*Assumptions!$B$5-E1118*Assumptions!$B$7)</f>
        <v>0.14281377355641051</v>
      </c>
      <c r="F1119" s="12">
        <f t="shared" si="51"/>
        <v>0.1406668615422571</v>
      </c>
      <c r="G1119" s="12">
        <f>EXP(-Assumptions!$B$8*B1119)</f>
        <v>0.57378529681291213</v>
      </c>
      <c r="H1119" s="12">
        <f t="shared" si="52"/>
        <v>0.41112827646211031</v>
      </c>
      <c r="I1119" s="12">
        <f t="shared" si="53"/>
        <v>8.1944443449037022E-2</v>
      </c>
      <c r="J1119" s="12">
        <f>G1119*(D1119*Assumptions!$B$6+E1119*Assumptions!$B$7)</f>
        <v>8.2085049370729541E-3</v>
      </c>
    </row>
    <row r="1120" spans="1:10" x14ac:dyDescent="0.2">
      <c r="A1120" s="2">
        <v>1112</v>
      </c>
      <c r="B1120" s="14">
        <f>A1120*Assumptions!$B$12</f>
        <v>11.120000000000001</v>
      </c>
      <c r="C1120" s="15">
        <f>IF(A1120&lt;=Assumptions!$B$13,IF(OR(A1120=0,A1120=Assumptions!$B$13),0.5,1),0)*Assumptions!$B$12</f>
        <v>0.01</v>
      </c>
      <c r="D1120" s="12">
        <f>D1119*(1-Assumptions!$B$12*(Assumptions!$B$5+Assumptions!$B$6))</f>
        <v>0.71630440909186199</v>
      </c>
      <c r="E1120" s="12">
        <f>E1119+Assumptions!$B$12*(D1119*Assumptions!$B$5-E1119*Assumptions!$B$7)</f>
        <v>0.14288567054261256</v>
      </c>
      <c r="F1120" s="12">
        <f t="shared" si="51"/>
        <v>0.14080992036552545</v>
      </c>
      <c r="G1120" s="12">
        <f>EXP(-Assumptions!$B$8*B1120)</f>
        <v>0.57349847587571534</v>
      </c>
      <c r="H1120" s="12">
        <f t="shared" si="52"/>
        <v>0.41079948687723777</v>
      </c>
      <c r="I1120" s="12">
        <f t="shared" si="53"/>
        <v>8.1944714280667894E-2</v>
      </c>
      <c r="J1120" s="12">
        <f>G1120*(D1120*Assumptions!$B$6+E1120*Assumptions!$B$7)</f>
        <v>8.2052305828057732E-3</v>
      </c>
    </row>
    <row r="1121" spans="1:10" x14ac:dyDescent="0.2">
      <c r="A1121" s="2">
        <v>1113</v>
      </c>
      <c r="B1121" s="14">
        <f>A1121*Assumptions!$B$12</f>
        <v>11.13</v>
      </c>
      <c r="C1121" s="15">
        <f>IF(A1121&lt;=Assumptions!$B$13,IF(OR(A1121=0,A1121=Assumptions!$B$13),0.5,1),0)*Assumptions!$B$12</f>
        <v>0.01</v>
      </c>
      <c r="D1121" s="12">
        <f>D1120*(1-Assumptions!$B$12*(Assumptions!$B$5+Assumptions!$B$6))</f>
        <v>0.71608951776913443</v>
      </c>
      <c r="E1121" s="12">
        <f>E1120+Assumptions!$B$12*(D1120*Assumptions!$B$5-E1120*Assumptions!$B$7)</f>
        <v>0.14295748858915963</v>
      </c>
      <c r="F1121" s="12">
        <f t="shared" si="51"/>
        <v>0.14095299364170594</v>
      </c>
      <c r="G1121" s="12">
        <f>EXP(-Assumptions!$B$8*B1121)</f>
        <v>0.57321179831314062</v>
      </c>
      <c r="H1121" s="12">
        <f t="shared" si="52"/>
        <v>0.41047096023363522</v>
      </c>
      <c r="I1121" s="12">
        <f t="shared" si="53"/>
        <v>8.1944919116522477E-2</v>
      </c>
      <c r="J1121" s="12">
        <f>G1121*(D1121*Assumptions!$B$6+E1121*Assumptions!$B$7)</f>
        <v>8.2019555581624767E-3</v>
      </c>
    </row>
    <row r="1122" spans="1:10" x14ac:dyDescent="0.2">
      <c r="A1122" s="2">
        <v>1114</v>
      </c>
      <c r="B1122" s="14">
        <f>A1122*Assumptions!$B$12</f>
        <v>11.14</v>
      </c>
      <c r="C1122" s="15">
        <f>IF(A1122&lt;=Assumptions!$B$13,IF(OR(A1122=0,A1122=Assumptions!$B$13),0.5,1),0)*Assumptions!$B$12</f>
        <v>0.01</v>
      </c>
      <c r="D1122" s="12">
        <f>D1121*(1-Assumptions!$B$12*(Assumptions!$B$5+Assumptions!$B$6))</f>
        <v>0.71587469091380374</v>
      </c>
      <c r="E1122" s="12">
        <f>E1121+Assumptions!$B$12*(D1121*Assumptions!$B$5-E1121*Assumptions!$B$7)</f>
        <v>0.14302922774841889</v>
      </c>
      <c r="F1122" s="12">
        <f t="shared" si="51"/>
        <v>0.14109608133777737</v>
      </c>
      <c r="G1122" s="12">
        <f>EXP(-Assumptions!$B$8*B1122)</f>
        <v>0.5729252640535184</v>
      </c>
      <c r="H1122" s="12">
        <f t="shared" si="52"/>
        <v>0.41014269632102185</v>
      </c>
      <c r="I1122" s="12">
        <f t="shared" si="53"/>
        <v>8.194505807513372E-2</v>
      </c>
      <c r="J1122" s="12">
        <f>G1122*(D1122*Assumptions!$B$6+E1122*Assumptions!$B$7)</f>
        <v>8.1986798669669049E-3</v>
      </c>
    </row>
    <row r="1123" spans="1:10" x14ac:dyDescent="0.2">
      <c r="A1123" s="2">
        <v>1115</v>
      </c>
      <c r="B1123" s="14">
        <f>A1123*Assumptions!$B$12</f>
        <v>11.15</v>
      </c>
      <c r="C1123" s="15">
        <f>IF(A1123&lt;=Assumptions!$B$13,IF(OR(A1123=0,A1123=Assumptions!$B$13),0.5,1),0)*Assumptions!$B$12</f>
        <v>0.01</v>
      </c>
      <c r="D1123" s="12">
        <f>D1122*(1-Assumptions!$B$12*(Assumptions!$B$5+Assumptions!$B$6))</f>
        <v>0.7156599285065296</v>
      </c>
      <c r="E1123" s="12">
        <f>E1122+Assumptions!$B$12*(D1122*Assumptions!$B$5-E1122*Assumptions!$B$7)</f>
        <v>0.14310088807272744</v>
      </c>
      <c r="F1123" s="12">
        <f t="shared" si="51"/>
        <v>0.14123918342074296</v>
      </c>
      <c r="G1123" s="12">
        <f>EXP(-Assumptions!$B$8*B1123)</f>
        <v>0.57263887302521521</v>
      </c>
      <c r="H1123" s="12">
        <f t="shared" si="52"/>
        <v>0.40981469492928518</v>
      </c>
      <c r="I1123" s="12">
        <f t="shared" si="53"/>
        <v>8.19451312748741E-2</v>
      </c>
      <c r="J1123" s="12">
        <f>G1123*(D1123*Assumptions!$B$6+E1123*Assumptions!$B$7)</f>
        <v>8.1954035130365581E-3</v>
      </c>
    </row>
    <row r="1124" spans="1:10" x14ac:dyDescent="0.2">
      <c r="A1124" s="2">
        <v>1116</v>
      </c>
      <c r="B1124" s="14">
        <f>A1124*Assumptions!$B$12</f>
        <v>11.16</v>
      </c>
      <c r="C1124" s="15">
        <f>IF(A1124&lt;=Assumptions!$B$13,IF(OR(A1124=0,A1124=Assumptions!$B$13),0.5,1),0)*Assumptions!$B$12</f>
        <v>0.01</v>
      </c>
      <c r="D1124" s="12">
        <f>D1123*(1-Assumptions!$B$12*(Assumptions!$B$5+Assumptions!$B$6))</f>
        <v>0.7154452305279777</v>
      </c>
      <c r="E1124" s="12">
        <f>E1123+Assumptions!$B$12*(D1123*Assumptions!$B$5-E1123*Assumptions!$B$7)</f>
        <v>0.14317246961439239</v>
      </c>
      <c r="F1124" s="12">
        <f t="shared" si="51"/>
        <v>0.1413822998576299</v>
      </c>
      <c r="G1124" s="12">
        <f>EXP(-Assumptions!$B$8*B1124)</f>
        <v>0.57235262515663321</v>
      </c>
      <c r="H1124" s="12">
        <f t="shared" si="52"/>
        <v>0.40948695584848066</v>
      </c>
      <c r="I1124" s="12">
        <f t="shared" si="53"/>
        <v>8.1945138833955794E-2</v>
      </c>
      <c r="J1124" s="12">
        <f>G1124*(D1124*Assumptions!$B$6+E1124*Assumptions!$B$7)</f>
        <v>8.192126500182596E-3</v>
      </c>
    </row>
    <row r="1125" spans="1:10" x14ac:dyDescent="0.2">
      <c r="A1125" s="2">
        <v>1117</v>
      </c>
      <c r="B1125" s="14">
        <f>A1125*Assumptions!$B$12</f>
        <v>11.17</v>
      </c>
      <c r="C1125" s="15">
        <f>IF(A1125&lt;=Assumptions!$B$13,IF(OR(A1125=0,A1125=Assumptions!$B$13),0.5,1),0)*Assumptions!$B$12</f>
        <v>0.01</v>
      </c>
      <c r="D1125" s="12">
        <f>D1124*(1-Assumptions!$B$12*(Assumptions!$B$5+Assumptions!$B$6))</f>
        <v>0.7152305969588193</v>
      </c>
      <c r="E1125" s="12">
        <f>E1124+Assumptions!$B$12*(D1124*Assumptions!$B$5-E1124*Assumptions!$B$7)</f>
        <v>0.14324397242569079</v>
      </c>
      <c r="F1125" s="12">
        <f t="shared" si="51"/>
        <v>0.14152543061548992</v>
      </c>
      <c r="G1125" s="12">
        <f>EXP(-Assumptions!$B$8*B1125)</f>
        <v>0.57206652037621053</v>
      </c>
      <c r="H1125" s="12">
        <f t="shared" si="52"/>
        <v>0.40915947886883164</v>
      </c>
      <c r="I1125" s="12">
        <f t="shared" si="53"/>
        <v>8.1945080870430773E-2</v>
      </c>
      <c r="J1125" s="12">
        <f>G1125*(D1125*Assumptions!$B$6+E1125*Assumptions!$B$7)</f>
        <v>8.1888488322098552E-3</v>
      </c>
    </row>
    <row r="1126" spans="1:10" x14ac:dyDescent="0.2">
      <c r="A1126" s="2">
        <v>1118</v>
      </c>
      <c r="B1126" s="14">
        <f>A1126*Assumptions!$B$12</f>
        <v>11.18</v>
      </c>
      <c r="C1126" s="15">
        <f>IF(A1126&lt;=Assumptions!$B$13,IF(OR(A1126=0,A1126=Assumptions!$B$13),0.5,1),0)*Assumptions!$B$12</f>
        <v>0.01</v>
      </c>
      <c r="D1126" s="12">
        <f>D1125*(1-Assumptions!$B$12*(Assumptions!$B$5+Assumptions!$B$6))</f>
        <v>0.71501602777973172</v>
      </c>
      <c r="E1126" s="12">
        <f>E1125+Assumptions!$B$12*(D1125*Assumptions!$B$5-E1125*Assumptions!$B$7)</f>
        <v>0.14331539655886971</v>
      </c>
      <c r="F1126" s="12">
        <f t="shared" si="51"/>
        <v>0.14166857566139857</v>
      </c>
      <c r="G1126" s="12">
        <f>EXP(-Assumptions!$B$8*B1126)</f>
        <v>0.57178055861242094</v>
      </c>
      <c r="H1126" s="12">
        <f t="shared" si="52"/>
        <v>0.40883226378072929</v>
      </c>
      <c r="I1126" s="12">
        <f t="shared" si="53"/>
        <v>8.1944957502191149E-2</v>
      </c>
      <c r="J1126" s="12">
        <f>G1126*(D1126*Assumptions!$B$6+E1126*Assumptions!$B$7)</f>
        <v>8.185570512916851E-3</v>
      </c>
    </row>
    <row r="1127" spans="1:10" x14ac:dyDescent="0.2">
      <c r="A1127" s="2">
        <v>1119</v>
      </c>
      <c r="B1127" s="14">
        <f>A1127*Assumptions!$B$12</f>
        <v>11.19</v>
      </c>
      <c r="C1127" s="15">
        <f>IF(A1127&lt;=Assumptions!$B$13,IF(OR(A1127=0,A1127=Assumptions!$B$13),0.5,1),0)*Assumptions!$B$12</f>
        <v>0.01</v>
      </c>
      <c r="D1127" s="12">
        <f>D1126*(1-Assumptions!$B$12*(Assumptions!$B$5+Assumptions!$B$6))</f>
        <v>0.71480152297139787</v>
      </c>
      <c r="E1127" s="12">
        <f>E1126+Assumptions!$B$12*(D1126*Assumptions!$B$5-E1126*Assumptions!$B$7)</f>
        <v>0.14338674206614621</v>
      </c>
      <c r="F1127" s="12">
        <f t="shared" si="51"/>
        <v>0.14181173496245592</v>
      </c>
      <c r="G1127" s="12">
        <f>EXP(-Assumptions!$B$8*B1127)</f>
        <v>0.57149473979377396</v>
      </c>
      <c r="H1127" s="12">
        <f t="shared" si="52"/>
        <v>0.40850531037473237</v>
      </c>
      <c r="I1127" s="12">
        <f t="shared" si="53"/>
        <v>8.1944768846969218E-2</v>
      </c>
      <c r="J1127" s="12">
        <f>G1127*(D1127*Assumptions!$B$6+E1127*Assumptions!$B$7)</f>
        <v>8.1822915460957844E-3</v>
      </c>
    </row>
    <row r="1128" spans="1:10" x14ac:dyDescent="0.2">
      <c r="A1128" s="2">
        <v>1120</v>
      </c>
      <c r="B1128" s="14">
        <f>A1128*Assumptions!$B$12</f>
        <v>11.200000000000001</v>
      </c>
      <c r="C1128" s="15">
        <f>IF(A1128&lt;=Assumptions!$B$13,IF(OR(A1128=0,A1128=Assumptions!$B$13),0.5,1),0)*Assumptions!$B$12</f>
        <v>0.01</v>
      </c>
      <c r="D1128" s="12">
        <f>D1127*(1-Assumptions!$B$12*(Assumptions!$B$5+Assumptions!$B$6))</f>
        <v>0.71458708251450653</v>
      </c>
      <c r="E1128" s="12">
        <f>E1127+Assumptions!$B$12*(D1127*Assumptions!$B$5-E1127*Assumptions!$B$7)</f>
        <v>0.14345800899970743</v>
      </c>
      <c r="F1128" s="12">
        <f t="shared" si="51"/>
        <v>0.14195490848578604</v>
      </c>
      <c r="G1128" s="12">
        <f>EXP(-Assumptions!$B$8*B1128)</f>
        <v>0.57120906384881487</v>
      </c>
      <c r="H1128" s="12">
        <f t="shared" si="52"/>
        <v>0.40817861844156711</v>
      </c>
      <c r="I1128" s="12">
        <f t="shared" si="53"/>
        <v>8.1944515022337738E-2</v>
      </c>
      <c r="J1128" s="12">
        <f>G1128*(D1128*Assumptions!$B$6+E1128*Assumptions!$B$7)</f>
        <v>8.1790119355325576E-3</v>
      </c>
    </row>
    <row r="1129" spans="1:10" x14ac:dyDescent="0.2">
      <c r="A1129" s="2">
        <v>1121</v>
      </c>
      <c r="B1129" s="14">
        <f>A1129*Assumptions!$B$12</f>
        <v>11.21</v>
      </c>
      <c r="C1129" s="15">
        <f>IF(A1129&lt;=Assumptions!$B$13,IF(OR(A1129=0,A1129=Assumptions!$B$13),0.5,1),0)*Assumptions!$B$12</f>
        <v>0.01</v>
      </c>
      <c r="D1129" s="12">
        <f>D1128*(1-Assumptions!$B$12*(Assumptions!$B$5+Assumptions!$B$6))</f>
        <v>0.71437270638975225</v>
      </c>
      <c r="E1129" s="12">
        <f>E1128+Assumptions!$B$12*(D1128*Assumptions!$B$5-E1128*Assumptions!$B$7)</f>
        <v>0.14352919741171047</v>
      </c>
      <c r="F1129" s="12">
        <f t="shared" si="51"/>
        <v>0.14209809619853728</v>
      </c>
      <c r="G1129" s="12">
        <f>EXP(-Assumptions!$B$8*B1129)</f>
        <v>0.57092353070612467</v>
      </c>
      <c r="H1129" s="12">
        <f t="shared" si="52"/>
        <v>0.40785218777212712</v>
      </c>
      <c r="I1129" s="12">
        <f t="shared" si="53"/>
        <v>8.1944196145710108E-2</v>
      </c>
      <c r="J1129" s="12">
        <f>G1129*(D1129*Assumptions!$B$6+E1129*Assumptions!$B$7)</f>
        <v>8.1757316850067756E-3</v>
      </c>
    </row>
    <row r="1130" spans="1:10" x14ac:dyDescent="0.2">
      <c r="A1130" s="2">
        <v>1122</v>
      </c>
      <c r="B1130" s="14">
        <f>A1130*Assumptions!$B$12</f>
        <v>11.22</v>
      </c>
      <c r="C1130" s="15">
        <f>IF(A1130&lt;=Assumptions!$B$13,IF(OR(A1130=0,A1130=Assumptions!$B$13),0.5,1),0)*Assumptions!$B$12</f>
        <v>0.01</v>
      </c>
      <c r="D1130" s="12">
        <f>D1129*(1-Assumptions!$B$12*(Assumptions!$B$5+Assumptions!$B$6))</f>
        <v>0.71415839457783536</v>
      </c>
      <c r="E1130" s="12">
        <f>E1129+Assumptions!$B$12*(D1129*Assumptions!$B$5-E1129*Assumptions!$B$7)</f>
        <v>0.14360030735428256</v>
      </c>
      <c r="F1130" s="12">
        <f t="shared" si="51"/>
        <v>0.14224129806788208</v>
      </c>
      <c r="G1130" s="12">
        <f>EXP(-Assumptions!$B$8*B1130)</f>
        <v>0.57063814029432025</v>
      </c>
      <c r="H1130" s="12">
        <f t="shared" si="52"/>
        <v>0.40752601815747336</v>
      </c>
      <c r="I1130" s="12">
        <f t="shared" si="53"/>
        <v>8.1943812334340602E-2</v>
      </c>
      <c r="J1130" s="12">
        <f>G1130*(D1130*Assumptions!$B$6+E1130*Assumptions!$B$7)</f>
        <v>8.1724507982917638E-3</v>
      </c>
    </row>
    <row r="1131" spans="1:10" x14ac:dyDescent="0.2">
      <c r="A1131" s="2">
        <v>1123</v>
      </c>
      <c r="B1131" s="14">
        <f>A1131*Assumptions!$B$12</f>
        <v>11.23</v>
      </c>
      <c r="C1131" s="15">
        <f>IF(A1131&lt;=Assumptions!$B$13,IF(OR(A1131=0,A1131=Assumptions!$B$13),0.5,1),0)*Assumptions!$B$12</f>
        <v>0.01</v>
      </c>
      <c r="D1131" s="12">
        <f>D1130*(1-Assumptions!$B$12*(Assumptions!$B$5+Assumptions!$B$6))</f>
        <v>0.71394414705946208</v>
      </c>
      <c r="E1131" s="12">
        <f>E1130+Assumptions!$B$12*(D1130*Assumptions!$B$5-E1130*Assumptions!$B$7)</f>
        <v>0.14367133887952099</v>
      </c>
      <c r="F1131" s="12">
        <f t="shared" si="51"/>
        <v>0.14238451406101693</v>
      </c>
      <c r="G1131" s="12">
        <f>EXP(-Assumptions!$B$8*B1131)</f>
        <v>0.5703528925420539</v>
      </c>
      <c r="H1131" s="12">
        <f t="shared" si="52"/>
        <v>0.40720010938883372</v>
      </c>
      <c r="I1131" s="12">
        <f t="shared" si="53"/>
        <v>8.1943363705324443E-2</v>
      </c>
      <c r="J1131" s="12">
        <f>G1131*(D1131*Assumptions!$B$6+E1131*Assumptions!$B$7)</f>
        <v>8.1691692791545593E-3</v>
      </c>
    </row>
    <row r="1132" spans="1:10" x14ac:dyDescent="0.2">
      <c r="A1132" s="2">
        <v>1124</v>
      </c>
      <c r="B1132" s="14">
        <f>A1132*Assumptions!$B$12</f>
        <v>11.24</v>
      </c>
      <c r="C1132" s="15">
        <f>IF(A1132&lt;=Assumptions!$B$13,IF(OR(A1132=0,A1132=Assumptions!$B$13),0.5,1),0)*Assumptions!$B$12</f>
        <v>0.01</v>
      </c>
      <c r="D1132" s="12">
        <f>D1131*(1-Assumptions!$B$12*(Assumptions!$B$5+Assumptions!$B$6))</f>
        <v>0.71372996381534426</v>
      </c>
      <c r="E1132" s="12">
        <f>E1131+Assumptions!$B$12*(D1131*Assumptions!$B$5-E1131*Assumptions!$B$7)</f>
        <v>0.14374229203949312</v>
      </c>
      <c r="F1132" s="12">
        <f t="shared" si="51"/>
        <v>0.14252774414516262</v>
      </c>
      <c r="G1132" s="12">
        <f>EXP(-Assumptions!$B$8*B1132)</f>
        <v>0.57006778737801345</v>
      </c>
      <c r="H1132" s="12">
        <f t="shared" si="52"/>
        <v>0.4068744612576029</v>
      </c>
      <c r="I1132" s="12">
        <f t="shared" si="53"/>
        <v>8.1942850375598078E-2</v>
      </c>
      <c r="J1132" s="12">
        <f>G1132*(D1132*Assumptions!$B$6+E1132*Assumptions!$B$7)</f>
        <v>8.1658871313559332E-3</v>
      </c>
    </row>
    <row r="1133" spans="1:10" x14ac:dyDescent="0.2">
      <c r="A1133" s="2">
        <v>1125</v>
      </c>
      <c r="B1133" s="14">
        <f>A1133*Assumptions!$B$12</f>
        <v>11.25</v>
      </c>
      <c r="C1133" s="15">
        <f>IF(A1133&lt;=Assumptions!$B$13,IF(OR(A1133=0,A1133=Assumptions!$B$13),0.5,1),0)*Assumptions!$B$12</f>
        <v>0.01</v>
      </c>
      <c r="D1133" s="12">
        <f>D1132*(1-Assumptions!$B$12*(Assumptions!$B$5+Assumptions!$B$6))</f>
        <v>0.71351584482619967</v>
      </c>
      <c r="E1133" s="12">
        <f>E1132+Assumptions!$B$12*(D1132*Assumptions!$B$5-E1132*Assumptions!$B$7)</f>
        <v>0.14381316688623644</v>
      </c>
      <c r="F1133" s="12">
        <f t="shared" si="51"/>
        <v>0.14267098828756389</v>
      </c>
      <c r="G1133" s="12">
        <f>EXP(-Assumptions!$B$8*B1133)</f>
        <v>0.56978282473092301</v>
      </c>
      <c r="H1133" s="12">
        <f t="shared" si="52"/>
        <v>0.40654907355534298</v>
      </c>
      <c r="I1133" s="12">
        <f t="shared" si="53"/>
        <v>8.1942272461939442E-2</v>
      </c>
      <c r="J1133" s="12">
        <f>G1133*(D1133*Assumptions!$B$6+E1133*Assumptions!$B$7)</f>
        <v>8.1626043586504014E-3</v>
      </c>
    </row>
    <row r="1134" spans="1:10" x14ac:dyDescent="0.2">
      <c r="A1134" s="2">
        <v>1126</v>
      </c>
      <c r="B1134" s="14">
        <f>A1134*Assumptions!$B$12</f>
        <v>11.26</v>
      </c>
      <c r="C1134" s="15">
        <f>IF(A1134&lt;=Assumptions!$B$13,IF(OR(A1134=0,A1134=Assumptions!$B$13),0.5,1),0)*Assumptions!$B$12</f>
        <v>0.01</v>
      </c>
      <c r="D1134" s="12">
        <f>D1133*(1-Assumptions!$B$12*(Assumptions!$B$5+Assumptions!$B$6))</f>
        <v>0.71330179007275185</v>
      </c>
      <c r="E1134" s="12">
        <f>E1133+Assumptions!$B$12*(D1133*Assumptions!$B$5-E1133*Assumptions!$B$7)</f>
        <v>0.14388396347175855</v>
      </c>
      <c r="F1134" s="12">
        <f t="shared" si="51"/>
        <v>0.1428142464554896</v>
      </c>
      <c r="G1134" s="12">
        <f>EXP(-Assumptions!$B$8*B1134)</f>
        <v>0.56949800452954158</v>
      </c>
      <c r="H1134" s="12">
        <f t="shared" si="52"/>
        <v>0.40622394607378215</v>
      </c>
      <c r="I1134" s="12">
        <f t="shared" si="53"/>
        <v>8.1941630080967942E-2</v>
      </c>
      <c r="J1134" s="12">
        <f>G1134*(D1134*Assumptions!$B$6+E1134*Assumptions!$B$7)</f>
        <v>8.1593209647862191E-3</v>
      </c>
    </row>
    <row r="1135" spans="1:10" x14ac:dyDescent="0.2">
      <c r="A1135" s="2">
        <v>1127</v>
      </c>
      <c r="B1135" s="14">
        <f>A1135*Assumptions!$B$12</f>
        <v>11.27</v>
      </c>
      <c r="C1135" s="15">
        <f>IF(A1135&lt;=Assumptions!$B$13,IF(OR(A1135=0,A1135=Assumptions!$B$13),0.5,1),0)*Assumptions!$B$12</f>
        <v>0.01</v>
      </c>
      <c r="D1135" s="12">
        <f>D1134*(1-Assumptions!$B$12*(Assumptions!$B$5+Assumptions!$B$6))</f>
        <v>0.71308779953573009</v>
      </c>
      <c r="E1135" s="12">
        <f>E1134+Assumptions!$B$12*(D1134*Assumptions!$B$5-E1134*Assumptions!$B$7)</f>
        <v>0.14395468184803722</v>
      </c>
      <c r="F1135" s="12">
        <f t="shared" si="51"/>
        <v>0.14295751861623268</v>
      </c>
      <c r="G1135" s="12">
        <f>EXP(-Assumptions!$B$8*B1135)</f>
        <v>0.56921332670266434</v>
      </c>
      <c r="H1135" s="12">
        <f t="shared" si="52"/>
        <v>0.40589907860481556</v>
      </c>
      <c r="I1135" s="12">
        <f t="shared" si="53"/>
        <v>8.194092334914492E-2</v>
      </c>
      <c r="J1135" s="12">
        <f>G1135*(D1135*Assumptions!$B$6+E1135*Assumptions!$B$7)</f>
        <v>8.1560369535054016E-3</v>
      </c>
    </row>
    <row r="1136" spans="1:10" x14ac:dyDescent="0.2">
      <c r="A1136" s="2">
        <v>1128</v>
      </c>
      <c r="B1136" s="14">
        <f>A1136*Assumptions!$B$12</f>
        <v>11.28</v>
      </c>
      <c r="C1136" s="15">
        <f>IF(A1136&lt;=Assumptions!$B$13,IF(OR(A1136=0,A1136=Assumptions!$B$13),0.5,1),0)*Assumptions!$B$12</f>
        <v>0.01</v>
      </c>
      <c r="D1136" s="12">
        <f>D1135*(1-Assumptions!$B$12*(Assumptions!$B$5+Assumptions!$B$6))</f>
        <v>0.71287387319586937</v>
      </c>
      <c r="E1136" s="12">
        <f>E1135+Assumptions!$B$12*(D1135*Assumptions!$B$5-E1135*Assumptions!$B$7)</f>
        <v>0.14402532206702034</v>
      </c>
      <c r="F1136" s="12">
        <f t="shared" si="51"/>
        <v>0.14310080473711029</v>
      </c>
      <c r="G1136" s="12">
        <f>EXP(-Assumptions!$B$8*B1136)</f>
        <v>0.56892879117912176</v>
      </c>
      <c r="H1136" s="12">
        <f t="shared" si="52"/>
        <v>0.40557447094050447</v>
      </c>
      <c r="I1136" s="12">
        <f t="shared" si="53"/>
        <v>8.1940152382773579E-2</v>
      </c>
      <c r="J1136" s="12">
        <f>G1136*(D1136*Assumptions!$B$6+E1136*Assumptions!$B$7)</f>
        <v>8.1527523285437227E-3</v>
      </c>
    </row>
    <row r="1137" spans="1:10" x14ac:dyDescent="0.2">
      <c r="A1137" s="2">
        <v>1129</v>
      </c>
      <c r="B1137" s="14">
        <f>A1137*Assumptions!$B$12</f>
        <v>11.290000000000001</v>
      </c>
      <c r="C1137" s="15">
        <f>IF(A1137&lt;=Assumptions!$B$13,IF(OR(A1137=0,A1137=Assumptions!$B$13),0.5,1),0)*Assumptions!$B$12</f>
        <v>0.01</v>
      </c>
      <c r="D1137" s="12">
        <f>D1136*(1-Assumptions!$B$12*(Assumptions!$B$5+Assumptions!$B$6))</f>
        <v>0.71266001103391063</v>
      </c>
      <c r="E1137" s="12">
        <f>E1136+Assumptions!$B$12*(D1136*Assumptions!$B$5-E1136*Assumptions!$B$7)</f>
        <v>0.14409588418062602</v>
      </c>
      <c r="F1137" s="12">
        <f t="shared" si="51"/>
        <v>0.14324410478546334</v>
      </c>
      <c r="G1137" s="12">
        <f>EXP(-Assumptions!$B$8*B1137)</f>
        <v>0.56864439788777987</v>
      </c>
      <c r="H1137" s="12">
        <f t="shared" si="52"/>
        <v>0.40525012287307666</v>
      </c>
      <c r="I1137" s="12">
        <f t="shared" si="53"/>
        <v>8.1939317297999345E-2</v>
      </c>
      <c r="J1137" s="12">
        <f>G1137*(D1137*Assumptions!$B$6+E1137*Assumptions!$B$7)</f>
        <v>8.1494670936307339E-3</v>
      </c>
    </row>
    <row r="1138" spans="1:10" x14ac:dyDescent="0.2">
      <c r="A1138" s="2">
        <v>1130</v>
      </c>
      <c r="B1138" s="14">
        <f>A1138*Assumptions!$B$12</f>
        <v>11.3</v>
      </c>
      <c r="C1138" s="15">
        <f>IF(A1138&lt;=Assumptions!$B$13,IF(OR(A1138=0,A1138=Assumptions!$B$13),0.5,1),0)*Assumptions!$B$12</f>
        <v>0.01</v>
      </c>
      <c r="D1138" s="12">
        <f>D1137*(1-Assumptions!$B$12*(Assumptions!$B$5+Assumptions!$B$6))</f>
        <v>0.71244621303060052</v>
      </c>
      <c r="E1138" s="12">
        <f>E1137+Assumptions!$B$12*(D1137*Assumptions!$B$5-E1137*Assumptions!$B$7)</f>
        <v>0.1441663682407425</v>
      </c>
      <c r="F1138" s="12">
        <f t="shared" si="51"/>
        <v>0.14338741872865698</v>
      </c>
      <c r="G1138" s="12">
        <f>EXP(-Assumptions!$B$8*B1138)</f>
        <v>0.56836014675754043</v>
      </c>
      <c r="H1138" s="12">
        <f t="shared" si="52"/>
        <v>0.40492603419492601</v>
      </c>
      <c r="I1138" s="12">
        <f t="shared" si="53"/>
        <v>8.1938418210810021E-2</v>
      </c>
      <c r="J1138" s="12">
        <f>G1138*(D1138*Assumptions!$B$6+E1138*Assumptions!$B$7)</f>
        <v>8.1461812524897606E-3</v>
      </c>
    </row>
    <row r="1139" spans="1:10" x14ac:dyDescent="0.2">
      <c r="A1139" s="2">
        <v>1131</v>
      </c>
      <c r="B1139" s="14">
        <f>A1139*Assumptions!$B$12</f>
        <v>11.31</v>
      </c>
      <c r="C1139" s="15">
        <f>IF(A1139&lt;=Assumptions!$B$13,IF(OR(A1139=0,A1139=Assumptions!$B$13),0.5,1),0)*Assumptions!$B$12</f>
        <v>0.01</v>
      </c>
      <c r="D1139" s="12">
        <f>D1138*(1-Assumptions!$B$12*(Assumptions!$B$5+Assumptions!$B$6))</f>
        <v>0.71223247916669141</v>
      </c>
      <c r="E1139" s="12">
        <f>E1138+Assumptions!$B$12*(D1138*Assumptions!$B$5-E1138*Assumptions!$B$7)</f>
        <v>0.14423677429922824</v>
      </c>
      <c r="F1139" s="12">
        <f t="shared" si="51"/>
        <v>0.14353074653408035</v>
      </c>
      <c r="G1139" s="12">
        <f>EXP(-Assumptions!$B$8*B1139)</f>
        <v>0.56807603771734072</v>
      </c>
      <c r="H1139" s="12">
        <f t="shared" si="52"/>
        <v>0.40460220469861247</v>
      </c>
      <c r="I1139" s="12">
        <f t="shared" si="53"/>
        <v>8.1937455237035939E-2</v>
      </c>
      <c r="J1139" s="12">
        <f>G1139*(D1139*Assumptions!$B$6+E1139*Assumptions!$B$7)</f>
        <v>8.1428948088379215E-3</v>
      </c>
    </row>
    <row r="1140" spans="1:10" x14ac:dyDescent="0.2">
      <c r="A1140" s="2">
        <v>1132</v>
      </c>
      <c r="B1140" s="14">
        <f>A1140*Assumptions!$B$12</f>
        <v>11.32</v>
      </c>
      <c r="C1140" s="15">
        <f>IF(A1140&lt;=Assumptions!$B$13,IF(OR(A1140=0,A1140=Assumptions!$B$13),0.5,1),0)*Assumptions!$B$12</f>
        <v>0.01</v>
      </c>
      <c r="D1140" s="12">
        <f>D1139*(1-Assumptions!$B$12*(Assumptions!$B$5+Assumptions!$B$6))</f>
        <v>0.71201880942294138</v>
      </c>
      <c r="E1140" s="12">
        <f>E1139+Assumptions!$B$12*(D1139*Assumptions!$B$5-E1139*Assumptions!$B$7)</f>
        <v>0.14430710240791197</v>
      </c>
      <c r="F1140" s="12">
        <f t="shared" si="51"/>
        <v>0.14367408816914665</v>
      </c>
      <c r="G1140" s="12">
        <f>EXP(-Assumptions!$B$8*B1140)</f>
        <v>0.56779207069615323</v>
      </c>
      <c r="H1140" s="12">
        <f t="shared" si="52"/>
        <v>0.40427863417686161</v>
      </c>
      <c r="I1140" s="12">
        <f t="shared" si="53"/>
        <v>8.193642849235018E-2</v>
      </c>
      <c r="J1140" s="12">
        <f>G1140*(D1140*Assumptions!$B$6+E1140*Assumptions!$B$7)</f>
        <v>8.1396077663861248E-3</v>
      </c>
    </row>
    <row r="1141" spans="1:10" x14ac:dyDescent="0.2">
      <c r="A1141" s="2">
        <v>1133</v>
      </c>
      <c r="B1141" s="14">
        <f>A1141*Assumptions!$B$12</f>
        <v>11.33</v>
      </c>
      <c r="C1141" s="15">
        <f>IF(A1141&lt;=Assumptions!$B$13,IF(OR(A1141=0,A1141=Assumptions!$B$13),0.5,1),0)*Assumptions!$B$12</f>
        <v>0.01</v>
      </c>
      <c r="D1141" s="12">
        <f>D1140*(1-Assumptions!$B$12*(Assumptions!$B$5+Assumptions!$B$6))</f>
        <v>0.71180520378011447</v>
      </c>
      <c r="E1141" s="12">
        <f>E1140+Assumptions!$B$12*(D1140*Assumptions!$B$5-E1140*Assumptions!$B$7)</f>
        <v>0.14437735261859261</v>
      </c>
      <c r="F1141" s="12">
        <f t="shared" si="51"/>
        <v>0.14381744360129292</v>
      </c>
      <c r="G1141" s="12">
        <f>EXP(-Assumptions!$B$8*B1141)</f>
        <v>0.56750824562298652</v>
      </c>
      <c r="H1141" s="12">
        <f t="shared" si="52"/>
        <v>0.40395532242256516</v>
      </c>
      <c r="I1141" s="12">
        <f t="shared" si="53"/>
        <v>8.1935338092268786E-2</v>
      </c>
      <c r="J1141" s="12">
        <f>G1141*(D1141*Assumptions!$B$6+E1141*Assumptions!$B$7)</f>
        <v>8.1363201288390911E-3</v>
      </c>
    </row>
    <row r="1142" spans="1:10" x14ac:dyDescent="0.2">
      <c r="A1142" s="2">
        <v>1134</v>
      </c>
      <c r="B1142" s="14">
        <f>A1142*Assumptions!$B$12</f>
        <v>11.34</v>
      </c>
      <c r="C1142" s="15">
        <f>IF(A1142&lt;=Assumptions!$B$13,IF(OR(A1142=0,A1142=Assumptions!$B$13),0.5,1),0)*Assumptions!$B$12</f>
        <v>0.01</v>
      </c>
      <c r="D1142" s="12">
        <f>D1141*(1-Assumptions!$B$12*(Assumptions!$B$5+Assumptions!$B$6))</f>
        <v>0.71159166221898051</v>
      </c>
      <c r="E1142" s="12">
        <f>E1141+Assumptions!$B$12*(D1141*Assumptions!$B$5-E1141*Assumptions!$B$7)</f>
        <v>0.14444752498303934</v>
      </c>
      <c r="F1142" s="12">
        <f t="shared" si="51"/>
        <v>0.14396081279798015</v>
      </c>
      <c r="G1142" s="12">
        <f>EXP(-Assumptions!$B$8*B1142)</f>
        <v>0.56722456242688413</v>
      </c>
      <c r="H1142" s="12">
        <f t="shared" si="52"/>
        <v>0.40363226922878037</v>
      </c>
      <c r="I1142" s="12">
        <f t="shared" si="53"/>
        <v>8.1934184152150896E-2</v>
      </c>
      <c r="J1142" s="12">
        <f>G1142*(D1142*Assumptions!$B$6+E1142*Assumptions!$B$7)</f>
        <v>8.1330318998953481E-3</v>
      </c>
    </row>
    <row r="1143" spans="1:10" x14ac:dyDescent="0.2">
      <c r="A1143" s="2">
        <v>1135</v>
      </c>
      <c r="B1143" s="14">
        <f>A1143*Assumptions!$B$12</f>
        <v>11.35</v>
      </c>
      <c r="C1143" s="15">
        <f>IF(A1143&lt;=Assumptions!$B$13,IF(OR(A1143=0,A1143=Assumptions!$B$13),0.5,1),0)*Assumptions!$B$12</f>
        <v>0.01</v>
      </c>
      <c r="D1143" s="12">
        <f>D1142*(1-Assumptions!$B$12*(Assumptions!$B$5+Assumptions!$B$6))</f>
        <v>0.71137818472031489</v>
      </c>
      <c r="E1143" s="12">
        <f>E1142+Assumptions!$B$12*(D1142*Assumptions!$B$5-E1142*Assumptions!$B$7)</f>
        <v>0.14451761955299161</v>
      </c>
      <c r="F1143" s="12">
        <f t="shared" si="51"/>
        <v>0.1441041957266935</v>
      </c>
      <c r="G1143" s="12">
        <f>EXP(-Assumptions!$B$8*B1143)</f>
        <v>0.56694102103692523</v>
      </c>
      <c r="H1143" s="12">
        <f t="shared" si="52"/>
        <v>0.40330947438872972</v>
      </c>
      <c r="I1143" s="12">
        <f t="shared" si="53"/>
        <v>8.1932966787198969E-2</v>
      </c>
      <c r="J1143" s="12">
        <f>G1143*(D1143*Assumptions!$B$6+E1143*Assumptions!$B$7)</f>
        <v>8.1297430832472459E-3</v>
      </c>
    </row>
    <row r="1144" spans="1:10" x14ac:dyDescent="0.2">
      <c r="A1144" s="2">
        <v>1136</v>
      </c>
      <c r="B1144" s="14">
        <f>A1144*Assumptions!$B$12</f>
        <v>11.36</v>
      </c>
      <c r="C1144" s="15">
        <f>IF(A1144&lt;=Assumptions!$B$13,IF(OR(A1144=0,A1144=Assumptions!$B$13),0.5,1),0)*Assumptions!$B$12</f>
        <v>0.01</v>
      </c>
      <c r="D1144" s="12">
        <f>D1143*(1-Assumptions!$B$12*(Assumptions!$B$5+Assumptions!$B$6))</f>
        <v>0.71116477126489885</v>
      </c>
      <c r="E1144" s="12">
        <f>E1143+Assumptions!$B$12*(D1143*Assumptions!$B$5-E1143*Assumptions!$B$7)</f>
        <v>0.14458763638015917</v>
      </c>
      <c r="F1144" s="12">
        <f t="shared" si="51"/>
        <v>0.14424759235494197</v>
      </c>
      <c r="G1144" s="12">
        <f>EXP(-Assumptions!$B$8*B1144)</f>
        <v>0.56665762138222464</v>
      </c>
      <c r="H1144" s="12">
        <f t="shared" si="52"/>
        <v>0.40298693769580146</v>
      </c>
      <c r="I1144" s="12">
        <f t="shared" si="53"/>
        <v>8.1931686112459004E-2</v>
      </c>
      <c r="J1144" s="12">
        <f>G1144*(D1144*Assumptions!$B$6+E1144*Assumptions!$B$7)</f>
        <v>8.1264536825809645E-3</v>
      </c>
    </row>
    <row r="1145" spans="1:10" x14ac:dyDescent="0.2">
      <c r="A1145" s="2">
        <v>1137</v>
      </c>
      <c r="B1145" s="14">
        <f>A1145*Assumptions!$B$12</f>
        <v>11.370000000000001</v>
      </c>
      <c r="C1145" s="15">
        <f>IF(A1145&lt;=Assumptions!$B$13,IF(OR(A1145=0,A1145=Assumptions!$B$13),0.5,1),0)*Assumptions!$B$12</f>
        <v>0.01</v>
      </c>
      <c r="D1145" s="12">
        <f>D1144*(1-Assumptions!$B$12*(Assumptions!$B$5+Assumptions!$B$6))</f>
        <v>0.71095142183351945</v>
      </c>
      <c r="E1145" s="12">
        <f>E1144+Assumptions!$B$12*(D1144*Assumptions!$B$5-E1144*Assumptions!$B$7)</f>
        <v>0.14465757551622208</v>
      </c>
      <c r="F1145" s="12">
        <f t="shared" si="51"/>
        <v>0.14439100265025848</v>
      </c>
      <c r="G1145" s="12">
        <f>EXP(-Assumptions!$B$8*B1145)</f>
        <v>0.56637436339193226</v>
      </c>
      <c r="H1145" s="12">
        <f t="shared" si="52"/>
        <v>0.40266465894354864</v>
      </c>
      <c r="I1145" s="12">
        <f t="shared" si="53"/>
        <v>8.1930342242820642E-2</v>
      </c>
      <c r="J1145" s="12">
        <f>G1145*(D1145*Assumptions!$B$6+E1145*Assumptions!$B$7)</f>
        <v>8.1231637015765201E-3</v>
      </c>
    </row>
    <row r="1146" spans="1:10" x14ac:dyDescent="0.2">
      <c r="A1146" s="2">
        <v>1138</v>
      </c>
      <c r="B1146" s="14">
        <f>A1146*Assumptions!$B$12</f>
        <v>11.38</v>
      </c>
      <c r="C1146" s="15">
        <f>IF(A1146&lt;=Assumptions!$B$13,IF(OR(A1146=0,A1146=Assumptions!$B$13),0.5,1),0)*Assumptions!$B$12</f>
        <v>0.01</v>
      </c>
      <c r="D1146" s="12">
        <f>D1145*(1-Assumptions!$B$12*(Assumptions!$B$5+Assumptions!$B$6))</f>
        <v>0.71073813640696937</v>
      </c>
      <c r="E1146" s="12">
        <f>E1145+Assumptions!$B$12*(D1145*Assumptions!$B$5-E1145*Assumptions!$B$7)</f>
        <v>0.14472743701283067</v>
      </c>
      <c r="F1146" s="12">
        <f t="shared" si="51"/>
        <v>0.14453442658019997</v>
      </c>
      <c r="G1146" s="12">
        <f>EXP(-Assumptions!$B$8*B1146)</f>
        <v>0.56609124699523372</v>
      </c>
      <c r="H1146" s="12">
        <f t="shared" si="52"/>
        <v>0.40234263792568981</v>
      </c>
      <c r="I1146" s="12">
        <f t="shared" si="53"/>
        <v>8.1928935293017452E-2</v>
      </c>
      <c r="J1146" s="12">
        <f>G1146*(D1146*Assumptions!$B$6+E1146*Assumptions!$B$7)</f>
        <v>8.1198731439077725E-3</v>
      </c>
    </row>
    <row r="1147" spans="1:10" x14ac:dyDescent="0.2">
      <c r="A1147" s="2">
        <v>1139</v>
      </c>
      <c r="B1147" s="14">
        <f>A1147*Assumptions!$B$12</f>
        <v>11.39</v>
      </c>
      <c r="C1147" s="15">
        <f>IF(A1147&lt;=Assumptions!$B$13,IF(OR(A1147=0,A1147=Assumptions!$B$13),0.5,1),0)*Assumptions!$B$12</f>
        <v>0.01</v>
      </c>
      <c r="D1147" s="12">
        <f>D1146*(1-Assumptions!$B$12*(Assumptions!$B$5+Assumptions!$B$6))</f>
        <v>0.71052491496604731</v>
      </c>
      <c r="E1147" s="12">
        <f>E1146+Assumptions!$B$12*(D1146*Assumptions!$B$5-E1146*Assumptions!$B$7)</f>
        <v>0.14479722092160566</v>
      </c>
      <c r="F1147" s="12">
        <f t="shared" si="51"/>
        <v>0.14467786411234704</v>
      </c>
      <c r="G1147" s="12">
        <f>EXP(-Assumptions!$B$8*B1147)</f>
        <v>0.56580827212134999</v>
      </c>
      <c r="H1147" s="12">
        <f t="shared" si="52"/>
        <v>0.40202087443610834</v>
      </c>
      <c r="I1147" s="12">
        <f t="shared" si="53"/>
        <v>8.1927465377627087E-2</v>
      </c>
      <c r="J1147" s="12">
        <f>G1147*(D1147*Assumptions!$B$6+E1147*Assumptions!$B$7)</f>
        <v>8.1165820132424373E-3</v>
      </c>
    </row>
    <row r="1148" spans="1:10" x14ac:dyDescent="0.2">
      <c r="A1148" s="2">
        <v>1140</v>
      </c>
      <c r="B1148" s="14">
        <f>A1148*Assumptions!$B$12</f>
        <v>11.4</v>
      </c>
      <c r="C1148" s="15">
        <f>IF(A1148&lt;=Assumptions!$B$13,IF(OR(A1148=0,A1148=Assumptions!$B$13),0.5,1),0)*Assumptions!$B$12</f>
        <v>0.01</v>
      </c>
      <c r="D1148" s="12">
        <f>D1147*(1-Assumptions!$B$12*(Assumptions!$B$5+Assumptions!$B$6))</f>
        <v>0.7103117574915575</v>
      </c>
      <c r="E1148" s="12">
        <f>E1147+Assumptions!$B$12*(D1147*Assumptions!$B$5-E1147*Assumptions!$B$7)</f>
        <v>0.14486692729413805</v>
      </c>
      <c r="F1148" s="12">
        <f t="shared" si="51"/>
        <v>0.14482131521430444</v>
      </c>
      <c r="G1148" s="12">
        <f>EXP(-Assumptions!$B$8*B1148)</f>
        <v>0.56552543869953709</v>
      </c>
      <c r="H1148" s="12">
        <f t="shared" si="52"/>
        <v>0.40169936826885227</v>
      </c>
      <c r="I1148" s="12">
        <f t="shared" si="53"/>
        <v>8.1925932611071367E-2</v>
      </c>
      <c r="J1148" s="12">
        <f>G1148*(D1148*Assumptions!$B$6+E1148*Assumptions!$B$7)</f>
        <v>8.1132903132420907E-3</v>
      </c>
    </row>
    <row r="1149" spans="1:10" x14ac:dyDescent="0.2">
      <c r="A1149" s="2">
        <v>1141</v>
      </c>
      <c r="B1149" s="14">
        <f>A1149*Assumptions!$B$12</f>
        <v>11.41</v>
      </c>
      <c r="C1149" s="15">
        <f>IF(A1149&lt;=Assumptions!$B$13,IF(OR(A1149=0,A1149=Assumptions!$B$13),0.5,1),0)*Assumptions!$B$12</f>
        <v>0.01</v>
      </c>
      <c r="D1149" s="12">
        <f>D1148*(1-Assumptions!$B$12*(Assumptions!$B$5+Assumptions!$B$6))</f>
        <v>0.7100986639643101</v>
      </c>
      <c r="E1149" s="12">
        <f>E1148+Assumptions!$B$12*(D1148*Assumptions!$B$5-E1148*Assumptions!$B$7)</f>
        <v>0.14493655618198931</v>
      </c>
      <c r="F1149" s="12">
        <f t="shared" si="51"/>
        <v>0.1449647798537006</v>
      </c>
      <c r="G1149" s="12">
        <f>EXP(-Assumptions!$B$8*B1149)</f>
        <v>0.5652427466590868</v>
      </c>
      <c r="H1149" s="12">
        <f t="shared" si="52"/>
        <v>0.40137811921813454</v>
      </c>
      <c r="I1149" s="12">
        <f t="shared" si="53"/>
        <v>8.1924337107616679E-2</v>
      </c>
      <c r="J1149" s="12">
        <f>G1149*(D1149*Assumptions!$B$6+E1149*Assumptions!$B$7)</f>
        <v>8.1099980475621801E-3</v>
      </c>
    </row>
    <row r="1150" spans="1:10" x14ac:dyDescent="0.2">
      <c r="A1150" s="2">
        <v>1142</v>
      </c>
      <c r="B1150" s="14">
        <f>A1150*Assumptions!$B$12</f>
        <v>11.42</v>
      </c>
      <c r="C1150" s="15">
        <f>IF(A1150&lt;=Assumptions!$B$13,IF(OR(A1150=0,A1150=Assumptions!$B$13),0.5,1),0)*Assumptions!$B$12</f>
        <v>0.01</v>
      </c>
      <c r="D1150" s="12">
        <f>D1149*(1-Assumptions!$B$12*(Assumptions!$B$5+Assumptions!$B$6))</f>
        <v>0.70988563436512087</v>
      </c>
      <c r="E1150" s="12">
        <f>E1149+Assumptions!$B$12*(D1149*Assumptions!$B$5-E1149*Assumptions!$B$7)</f>
        <v>0.14500610763669117</v>
      </c>
      <c r="F1150" s="12">
        <f t="shared" si="51"/>
        <v>0.14510825799818797</v>
      </c>
      <c r="G1150" s="12">
        <f>EXP(-Assumptions!$B$8*B1150)</f>
        <v>0.56496019592932623</v>
      </c>
      <c r="H1150" s="12">
        <f t="shared" si="52"/>
        <v>0.40105712707833274</v>
      </c>
      <c r="I1150" s="12">
        <f t="shared" si="53"/>
        <v>8.1922678981374009E-2</v>
      </c>
      <c r="J1150" s="12">
        <f>G1150*(D1150*Assumptions!$B$6+E1150*Assumptions!$B$7)</f>
        <v>8.1067052198520277E-3</v>
      </c>
    </row>
    <row r="1151" spans="1:10" x14ac:dyDescent="0.2">
      <c r="A1151" s="2">
        <v>1143</v>
      </c>
      <c r="B1151" s="14">
        <f>A1151*Assumptions!$B$12</f>
        <v>11.43</v>
      </c>
      <c r="C1151" s="15">
        <f>IF(A1151&lt;=Assumptions!$B$13,IF(OR(A1151=0,A1151=Assumptions!$B$13),0.5,1),0)*Assumptions!$B$12</f>
        <v>0.01</v>
      </c>
      <c r="D1151" s="12">
        <f>D1150*(1-Assumptions!$B$12*(Assumptions!$B$5+Assumptions!$B$6))</f>
        <v>0.70967266867481138</v>
      </c>
      <c r="E1151" s="12">
        <f>E1150+Assumptions!$B$12*(D1150*Assumptions!$B$5-E1150*Assumptions!$B$7)</f>
        <v>0.14507558170974585</v>
      </c>
      <c r="F1151" s="12">
        <f t="shared" si="51"/>
        <v>0.14525174961544277</v>
      </c>
      <c r="G1151" s="12">
        <f>EXP(-Assumptions!$B$8*B1151)</f>
        <v>0.56467778643961752</v>
      </c>
      <c r="H1151" s="12">
        <f t="shared" si="52"/>
        <v>0.40073639164398861</v>
      </c>
      <c r="I1151" s="12">
        <f t="shared" si="53"/>
        <v>8.1920958346299158E-2</v>
      </c>
      <c r="J1151" s="12">
        <f>G1151*(D1151*Assumptions!$B$6+E1151*Assumptions!$B$7)</f>
        <v>8.1034118337548443E-3</v>
      </c>
    </row>
    <row r="1152" spans="1:10" x14ac:dyDescent="0.2">
      <c r="A1152" s="2">
        <v>1144</v>
      </c>
      <c r="B1152" s="14">
        <f>A1152*Assumptions!$B$12</f>
        <v>11.44</v>
      </c>
      <c r="C1152" s="15">
        <f>IF(A1152&lt;=Assumptions!$B$13,IF(OR(A1152=0,A1152=Assumptions!$B$13),0.5,1),0)*Assumptions!$B$12</f>
        <v>0.01</v>
      </c>
      <c r="D1152" s="12">
        <f>D1151*(1-Assumptions!$B$12*(Assumptions!$B$5+Assumptions!$B$6))</f>
        <v>0.70945976687420897</v>
      </c>
      <c r="E1152" s="12">
        <f>E1151+Assumptions!$B$12*(D1151*Assumptions!$B$5-E1151*Assumptions!$B$7)</f>
        <v>0.14514497845262594</v>
      </c>
      <c r="F1152" s="12">
        <f t="shared" si="51"/>
        <v>0.14539525467316508</v>
      </c>
      <c r="G1152" s="12">
        <f>EXP(-Assumptions!$B$8*B1152)</f>
        <v>0.5643955181193584</v>
      </c>
      <c r="H1152" s="12">
        <f t="shared" si="52"/>
        <v>0.40041591270980842</v>
      </c>
      <c r="I1152" s="12">
        <f t="shared" si="53"/>
        <v>8.191917531619293E-2</v>
      </c>
      <c r="J1152" s="12">
        <f>G1152*(D1152*Assumptions!$B$6+E1152*Assumptions!$B$7)</f>
        <v>8.1001178929077308E-3</v>
      </c>
    </row>
    <row r="1153" spans="1:10" x14ac:dyDescent="0.2">
      <c r="A1153" s="2">
        <v>1145</v>
      </c>
      <c r="B1153" s="14">
        <f>A1153*Assumptions!$B$12</f>
        <v>11.450000000000001</v>
      </c>
      <c r="C1153" s="15">
        <f>IF(A1153&lt;=Assumptions!$B$13,IF(OR(A1153=0,A1153=Assumptions!$B$13),0.5,1),0)*Assumptions!$B$12</f>
        <v>0.01</v>
      </c>
      <c r="D1153" s="12">
        <f>D1152*(1-Assumptions!$B$12*(Assumptions!$B$5+Assumptions!$B$6))</f>
        <v>0.70924692894414676</v>
      </c>
      <c r="E1153" s="12">
        <f>E1152+Assumptions!$B$12*(D1152*Assumptions!$B$5-E1152*Assumptions!$B$7)</f>
        <v>0.14521429791677448</v>
      </c>
      <c r="F1153" s="12">
        <f t="shared" si="51"/>
        <v>0.14553877313907876</v>
      </c>
      <c r="G1153" s="12">
        <f>EXP(-Assumptions!$B$8*B1153)</f>
        <v>0.56411339089798163</v>
      </c>
      <c r="H1153" s="12">
        <f t="shared" si="52"/>
        <v>0.40009569007066248</v>
      </c>
      <c r="I1153" s="12">
        <f t="shared" si="53"/>
        <v>8.1917330004701361E-2</v>
      </c>
      <c r="J1153" s="12">
        <f>G1153*(D1153*Assumptions!$B$6+E1153*Assumptions!$B$7)</f>
        <v>8.0968234009416926E-3</v>
      </c>
    </row>
    <row r="1154" spans="1:10" x14ac:dyDescent="0.2">
      <c r="A1154" s="2">
        <v>1146</v>
      </c>
      <c r="B1154" s="14">
        <f>A1154*Assumptions!$B$12</f>
        <v>11.46</v>
      </c>
      <c r="C1154" s="15">
        <f>IF(A1154&lt;=Assumptions!$B$13,IF(OR(A1154=0,A1154=Assumptions!$B$13),0.5,1),0)*Assumptions!$B$12</f>
        <v>0.01</v>
      </c>
      <c r="D1154" s="12">
        <f>D1153*(1-Assumptions!$B$12*(Assumptions!$B$5+Assumptions!$B$6))</f>
        <v>0.70903415486546351</v>
      </c>
      <c r="E1154" s="12">
        <f>E1153+Assumptions!$B$12*(D1153*Assumptions!$B$5-E1153*Assumptions!$B$7)</f>
        <v>0.14528354015360492</v>
      </c>
      <c r="F1154" s="12">
        <f t="shared" si="51"/>
        <v>0.14568230498093157</v>
      </c>
      <c r="G1154" s="12">
        <f>EXP(-Assumptions!$B$8*B1154)</f>
        <v>0.56383140470495563</v>
      </c>
      <c r="H1154" s="12">
        <f t="shared" si="52"/>
        <v>0.39977572352158536</v>
      </c>
      <c r="I1154" s="12">
        <f t="shared" si="53"/>
        <v>8.191542252531589E-2</v>
      </c>
      <c r="J1154" s="12">
        <f>G1154*(D1154*Assumptions!$B$6+E1154*Assumptions!$B$7)</f>
        <v>8.0935283614816476E-3</v>
      </c>
    </row>
    <row r="1155" spans="1:10" x14ac:dyDescent="0.2">
      <c r="A1155" s="2">
        <v>1147</v>
      </c>
      <c r="B1155" s="14">
        <f>A1155*Assumptions!$B$12</f>
        <v>11.47</v>
      </c>
      <c r="C1155" s="15">
        <f>IF(A1155&lt;=Assumptions!$B$13,IF(OR(A1155=0,A1155=Assumptions!$B$13),0.5,1),0)*Assumptions!$B$12</f>
        <v>0.01</v>
      </c>
      <c r="D1155" s="12">
        <f>D1154*(1-Assumptions!$B$12*(Assumptions!$B$5+Assumptions!$B$6))</f>
        <v>0.70882144461900387</v>
      </c>
      <c r="E1155" s="12">
        <f>E1154+Assumptions!$B$12*(D1154*Assumptions!$B$5-E1154*Assumptions!$B$7)</f>
        <v>0.14535270521450122</v>
      </c>
      <c r="F1155" s="12">
        <f t="shared" si="51"/>
        <v>0.14582585016649491</v>
      </c>
      <c r="G1155" s="12">
        <f>EXP(-Assumptions!$B$8*B1155)</f>
        <v>0.5635495594697838</v>
      </c>
      <c r="H1155" s="12">
        <f t="shared" si="52"/>
        <v>0.39945601285777538</v>
      </c>
      <c r="I1155" s="12">
        <f t="shared" si="53"/>
        <v>8.1913452991373509E-2</v>
      </c>
      <c r="J1155" s="12">
        <f>G1155*(D1155*Assumptions!$B$6+E1155*Assumptions!$B$7)</f>
        <v>8.0902327781464285E-3</v>
      </c>
    </row>
    <row r="1156" spans="1:10" x14ac:dyDescent="0.2">
      <c r="A1156" s="2">
        <v>1148</v>
      </c>
      <c r="B1156" s="14">
        <f>A1156*Assumptions!$B$12</f>
        <v>11.48</v>
      </c>
      <c r="C1156" s="15">
        <f>IF(A1156&lt;=Assumptions!$B$13,IF(OR(A1156=0,A1156=Assumptions!$B$13),0.5,1),0)*Assumptions!$B$12</f>
        <v>0.01</v>
      </c>
      <c r="D1156" s="12">
        <f>D1155*(1-Assumptions!$B$12*(Assumptions!$B$5+Assumptions!$B$6))</f>
        <v>0.70860879818561817</v>
      </c>
      <c r="E1156" s="12">
        <f>E1155+Assumptions!$B$12*(D1155*Assumptions!$B$5-E1155*Assumptions!$B$7)</f>
        <v>0.14542179315081777</v>
      </c>
      <c r="F1156" s="12">
        <f t="shared" si="51"/>
        <v>0.14596940866356406</v>
      </c>
      <c r="G1156" s="12">
        <f>EXP(-Assumptions!$B$8*B1156)</f>
        <v>0.56326785512200461</v>
      </c>
      <c r="H1156" s="12">
        <f t="shared" si="52"/>
        <v>0.39913655787459457</v>
      </c>
      <c r="I1156" s="12">
        <f t="shared" si="53"/>
        <v>8.1911421516056945E-2</v>
      </c>
      <c r="J1156" s="12">
        <f>G1156*(D1156*Assumptions!$B$6+E1156*Assumptions!$B$7)</f>
        <v>8.0869366545487931E-3</v>
      </c>
    </row>
    <row r="1157" spans="1:10" x14ac:dyDescent="0.2">
      <c r="A1157" s="2">
        <v>1149</v>
      </c>
      <c r="B1157" s="14">
        <f>A1157*Assumptions!$B$12</f>
        <v>11.49</v>
      </c>
      <c r="C1157" s="15">
        <f>IF(A1157&lt;=Assumptions!$B$13,IF(OR(A1157=0,A1157=Assumptions!$B$13),0.5,1),0)*Assumptions!$B$12</f>
        <v>0.01</v>
      </c>
      <c r="D1157" s="12">
        <f>D1156*(1-Assumptions!$B$12*(Assumptions!$B$5+Assumptions!$B$6))</f>
        <v>0.7083962155461625</v>
      </c>
      <c r="E1157" s="12">
        <f>E1156+Assumptions!$B$12*(D1156*Assumptions!$B$5-E1156*Assumptions!$B$7)</f>
        <v>0.14549080401387948</v>
      </c>
      <c r="F1157" s="12">
        <f t="shared" si="51"/>
        <v>0.14611298043995802</v>
      </c>
      <c r="G1157" s="12">
        <f>EXP(-Assumptions!$B$8*B1157)</f>
        <v>0.56298629159119229</v>
      </c>
      <c r="H1157" s="12">
        <f t="shared" si="52"/>
        <v>0.39881735836756893</v>
      </c>
      <c r="I1157" s="12">
        <f t="shared" si="53"/>
        <v>8.1909328212394966E-2</v>
      </c>
      <c r="J1157" s="12">
        <f>G1157*(D1157*Assumptions!$B$6+E1157*Assumptions!$B$7)</f>
        <v>8.0836399942954378E-3</v>
      </c>
    </row>
    <row r="1158" spans="1:10" x14ac:dyDescent="0.2">
      <c r="A1158" s="2">
        <v>1150</v>
      </c>
      <c r="B1158" s="14">
        <f>A1158*Assumptions!$B$12</f>
        <v>11.5</v>
      </c>
      <c r="C1158" s="15">
        <f>IF(A1158&lt;=Assumptions!$B$13,IF(OR(A1158=0,A1158=Assumptions!$B$13),0.5,1),0)*Assumptions!$B$12</f>
        <v>0.01</v>
      </c>
      <c r="D1158" s="12">
        <f>D1157*(1-Assumptions!$B$12*(Assumptions!$B$5+Assumptions!$B$6))</f>
        <v>0.70818369668149872</v>
      </c>
      <c r="E1158" s="12">
        <f>E1157+Assumptions!$B$12*(D1157*Assumptions!$B$5-E1157*Assumptions!$B$7)</f>
        <v>0.14555973785498177</v>
      </c>
      <c r="F1158" s="12">
        <f t="shared" si="51"/>
        <v>0.14625656546351951</v>
      </c>
      <c r="G1158" s="12">
        <f>EXP(-Assumptions!$B$8*B1158)</f>
        <v>0.56270486880695569</v>
      </c>
      <c r="H1158" s="12">
        <f t="shared" si="52"/>
        <v>0.39849841413238762</v>
      </c>
      <c r="I1158" s="12">
        <f t="shared" si="53"/>
        <v>8.1907173193262378E-2</v>
      </c>
      <c r="J1158" s="12">
        <f>G1158*(D1158*Assumptions!$B$6+E1158*Assumptions!$B$7)</f>
        <v>8.0803428009869963E-3</v>
      </c>
    </row>
    <row r="1159" spans="1:10" x14ac:dyDescent="0.2">
      <c r="A1159" s="2">
        <v>1151</v>
      </c>
      <c r="B1159" s="14">
        <f>A1159*Assumptions!$B$12</f>
        <v>11.51</v>
      </c>
      <c r="C1159" s="15">
        <f>IF(A1159&lt;=Assumptions!$B$13,IF(OR(A1159=0,A1159=Assumptions!$B$13),0.5,1),0)*Assumptions!$B$12</f>
        <v>0.01</v>
      </c>
      <c r="D1159" s="12">
        <f>D1158*(1-Assumptions!$B$12*(Assumptions!$B$5+Assumptions!$B$6))</f>
        <v>0.70797124157249425</v>
      </c>
      <c r="E1159" s="12">
        <f>E1158+Assumptions!$B$12*(D1158*Assumptions!$B$5-E1158*Assumptions!$B$7)</f>
        <v>0.14562859472539058</v>
      </c>
      <c r="F1159" s="12">
        <f t="shared" si="51"/>
        <v>0.14640016370211517</v>
      </c>
      <c r="G1159" s="12">
        <f>EXP(-Assumptions!$B$8*B1159)</f>
        <v>0.56242358669893922</v>
      </c>
      <c r="H1159" s="12">
        <f t="shared" si="52"/>
        <v>0.39817972496490334</v>
      </c>
      <c r="I1159" s="12">
        <f t="shared" si="53"/>
        <v>8.1904956571380388E-2</v>
      </c>
      <c r="J1159" s="12">
        <f>G1159*(D1159*Assumptions!$B$6+E1159*Assumptions!$B$7)</f>
        <v>8.0770450782180533E-3</v>
      </c>
    </row>
    <row r="1160" spans="1:10" x14ac:dyDescent="0.2">
      <c r="A1160" s="2">
        <v>1152</v>
      </c>
      <c r="B1160" s="14">
        <f>A1160*Assumptions!$B$12</f>
        <v>11.52</v>
      </c>
      <c r="C1160" s="15">
        <f>IF(A1160&lt;=Assumptions!$B$13,IF(OR(A1160=0,A1160=Assumptions!$B$13),0.5,1),0)*Assumptions!$B$12</f>
        <v>0.01</v>
      </c>
      <c r="D1160" s="12">
        <f>D1159*(1-Assumptions!$B$12*(Assumptions!$B$5+Assumptions!$B$6))</f>
        <v>0.70775885020002249</v>
      </c>
      <c r="E1160" s="12">
        <f>E1159+Assumptions!$B$12*(D1159*Assumptions!$B$5-E1159*Assumptions!$B$7)</f>
        <v>0.14569737467634239</v>
      </c>
      <c r="F1160" s="12">
        <f t="shared" ref="F1160:F1223" si="54">1-D1160-E1160</f>
        <v>0.14654377512363512</v>
      </c>
      <c r="G1160" s="12">
        <f>EXP(-Assumptions!$B$8*B1160)</f>
        <v>0.56214244519682244</v>
      </c>
      <c r="H1160" s="12">
        <f t="shared" ref="H1160:H1223" si="55">G1160*D1160</f>
        <v>0.39786129066113218</v>
      </c>
      <c r="I1160" s="12">
        <f t="shared" ref="I1160:I1223" si="56">G1160*E1160</f>
        <v>8.1902678459316702E-2</v>
      </c>
      <c r="J1160" s="12">
        <f>G1160*(D1160*Assumptions!$B$6+E1160*Assumptions!$B$7)</f>
        <v>8.0737468295771584E-3</v>
      </c>
    </row>
    <row r="1161" spans="1:10" x14ac:dyDescent="0.2">
      <c r="A1161" s="2">
        <v>1153</v>
      </c>
      <c r="B1161" s="14">
        <f>A1161*Assumptions!$B$12</f>
        <v>11.53</v>
      </c>
      <c r="C1161" s="15">
        <f>IF(A1161&lt;=Assumptions!$B$13,IF(OR(A1161=0,A1161=Assumptions!$B$13),0.5,1),0)*Assumptions!$B$12</f>
        <v>0.01</v>
      </c>
      <c r="D1161" s="12">
        <f>D1160*(1-Assumptions!$B$12*(Assumptions!$B$5+Assumptions!$B$6))</f>
        <v>0.70754652254496253</v>
      </c>
      <c r="E1161" s="12">
        <f>E1160+Assumptions!$B$12*(D1160*Assumptions!$B$5-E1160*Assumptions!$B$7)</f>
        <v>0.14576607775904421</v>
      </c>
      <c r="F1161" s="12">
        <f t="shared" si="54"/>
        <v>0.14668739969599326</v>
      </c>
      <c r="G1161" s="12">
        <f>EXP(-Assumptions!$B$8*B1161)</f>
        <v>0.56186144423031981</v>
      </c>
      <c r="H1161" s="12">
        <f t="shared" si="55"/>
        <v>0.3975431110172532</v>
      </c>
      <c r="I1161" s="12">
        <f t="shared" si="56"/>
        <v>8.1900338969485675E-2</v>
      </c>
      <c r="J1161" s="12">
        <f>G1161*(D1161*Assumptions!$B$6+E1161*Assumptions!$B$7)</f>
        <v>8.0704480586468157E-3</v>
      </c>
    </row>
    <row r="1162" spans="1:10" x14ac:dyDescent="0.2">
      <c r="A1162" s="2">
        <v>1154</v>
      </c>
      <c r="B1162" s="14">
        <f>A1162*Assumptions!$B$12</f>
        <v>11.540000000000001</v>
      </c>
      <c r="C1162" s="15">
        <f>IF(A1162&lt;=Assumptions!$B$13,IF(OR(A1162=0,A1162=Assumptions!$B$13),0.5,1),0)*Assumptions!$B$12</f>
        <v>0.01</v>
      </c>
      <c r="D1162" s="12">
        <f>D1161*(1-Assumptions!$B$12*(Assumptions!$B$5+Assumptions!$B$6))</f>
        <v>0.70733425858819909</v>
      </c>
      <c r="E1162" s="12">
        <f>E1161+Assumptions!$B$12*(D1161*Assumptions!$B$5-E1161*Assumptions!$B$7)</f>
        <v>0.14583470402467369</v>
      </c>
      <c r="F1162" s="12">
        <f t="shared" si="54"/>
        <v>0.14683103738712722</v>
      </c>
      <c r="G1162" s="12">
        <f>EXP(-Assumptions!$B$8*B1162)</f>
        <v>0.56158058372918118</v>
      </c>
      <c r="H1162" s="12">
        <f t="shared" si="55"/>
        <v>0.39722518582960842</v>
      </c>
      <c r="I1162" s="12">
        <f t="shared" si="56"/>
        <v>8.1897938214148619E-2</v>
      </c>
      <c r="J1162" s="12">
        <f>G1162*(D1162*Assumptions!$B$6+E1162*Assumptions!$B$7)</f>
        <v>8.0671487690035151E-3</v>
      </c>
    </row>
    <row r="1163" spans="1:10" x14ac:dyDescent="0.2">
      <c r="A1163" s="2">
        <v>1155</v>
      </c>
      <c r="B1163" s="14">
        <f>A1163*Assumptions!$B$12</f>
        <v>11.55</v>
      </c>
      <c r="C1163" s="15">
        <f>IF(A1163&lt;=Assumptions!$B$13,IF(OR(A1163=0,A1163=Assumptions!$B$13),0.5,1),0)*Assumptions!$B$12</f>
        <v>0.01</v>
      </c>
      <c r="D1163" s="12">
        <f>D1162*(1-Assumptions!$B$12*(Assumptions!$B$5+Assumptions!$B$6))</f>
        <v>0.70712205831062269</v>
      </c>
      <c r="E1163" s="12">
        <f>E1162+Assumptions!$B$12*(D1162*Assumptions!$B$5-E1162*Assumptions!$B$7)</f>
        <v>0.145903253524379</v>
      </c>
      <c r="F1163" s="12">
        <f t="shared" si="54"/>
        <v>0.14697468816499831</v>
      </c>
      <c r="G1163" s="12">
        <f>EXP(-Assumptions!$B$8*B1163)</f>
        <v>0.56129986362319151</v>
      </c>
      <c r="H1163" s="12">
        <f t="shared" si="55"/>
        <v>0.396907514894703</v>
      </c>
      <c r="I1163" s="12">
        <f t="shared" si="56"/>
        <v>8.189547630541387E-2</v>
      </c>
      <c r="J1163" s="12">
        <f>G1163*(D1163*Assumptions!$B$6+E1163*Assumptions!$B$7)</f>
        <v>8.0638489642177232E-3</v>
      </c>
    </row>
    <row r="1164" spans="1:10" x14ac:dyDescent="0.2">
      <c r="A1164" s="2">
        <v>1156</v>
      </c>
      <c r="B1164" s="14">
        <f>A1164*Assumptions!$B$12</f>
        <v>11.56</v>
      </c>
      <c r="C1164" s="15">
        <f>IF(A1164&lt;=Assumptions!$B$13,IF(OR(A1164=0,A1164=Assumptions!$B$13),0.5,1),0)*Assumptions!$B$12</f>
        <v>0.01</v>
      </c>
      <c r="D1164" s="12">
        <f>D1163*(1-Assumptions!$B$12*(Assumptions!$B$5+Assumptions!$B$6))</f>
        <v>0.70690992169312949</v>
      </c>
      <c r="E1164" s="12">
        <f>E1163+Assumptions!$B$12*(D1163*Assumptions!$B$5-E1163*Assumptions!$B$7)</f>
        <v>0.14597172630927893</v>
      </c>
      <c r="F1164" s="12">
        <f t="shared" si="54"/>
        <v>0.14711835199759157</v>
      </c>
      <c r="G1164" s="12">
        <f>EXP(-Assumptions!$B$8*B1164)</f>
        <v>0.56101928384217048</v>
      </c>
      <c r="H1164" s="12">
        <f t="shared" si="55"/>
        <v>0.39659009800920431</v>
      </c>
      <c r="I1164" s="12">
        <f t="shared" si="56"/>
        <v>8.1892953355236983E-2</v>
      </c>
      <c r="J1164" s="12">
        <f>G1164*(D1164*Assumptions!$B$6+E1164*Assumptions!$B$7)</f>
        <v>8.060548647853891E-3</v>
      </c>
    </row>
    <row r="1165" spans="1:10" x14ac:dyDescent="0.2">
      <c r="A1165" s="2">
        <v>1157</v>
      </c>
      <c r="B1165" s="14">
        <f>A1165*Assumptions!$B$12</f>
        <v>11.57</v>
      </c>
      <c r="C1165" s="15">
        <f>IF(A1165&lt;=Assumptions!$B$13,IF(OR(A1165=0,A1165=Assumptions!$B$13),0.5,1),0)*Assumptions!$B$12</f>
        <v>0.01</v>
      </c>
      <c r="D1165" s="12">
        <f>D1164*(1-Assumptions!$B$12*(Assumptions!$B$5+Assumptions!$B$6))</f>
        <v>0.70669784871662156</v>
      </c>
      <c r="E1165" s="12">
        <f>E1164+Assumptions!$B$12*(D1164*Assumptions!$B$5-E1164*Assumptions!$B$7)</f>
        <v>0.14604012243046291</v>
      </c>
      <c r="F1165" s="12">
        <f t="shared" si="54"/>
        <v>0.14726202885291553</v>
      </c>
      <c r="G1165" s="12">
        <f>EXP(-Assumptions!$B$8*B1165)</f>
        <v>0.56073884431597354</v>
      </c>
      <c r="H1165" s="12">
        <f t="shared" si="55"/>
        <v>0.39627293496994309</v>
      </c>
      <c r="I1165" s="12">
        <f t="shared" si="56"/>
        <v>8.1890369475421054E-2</v>
      </c>
      <c r="J1165" s="12">
        <f>G1165*(D1165*Assumptions!$B$6+E1165*Assumptions!$B$7)</f>
        <v>8.0572478234704828E-3</v>
      </c>
    </row>
    <row r="1166" spans="1:10" x14ac:dyDescent="0.2">
      <c r="A1166" s="2">
        <v>1158</v>
      </c>
      <c r="B1166" s="14">
        <f>A1166*Assumptions!$B$12</f>
        <v>11.58</v>
      </c>
      <c r="C1166" s="15">
        <f>IF(A1166&lt;=Assumptions!$B$13,IF(OR(A1166=0,A1166=Assumptions!$B$13),0.5,1),0)*Assumptions!$B$12</f>
        <v>0.01</v>
      </c>
      <c r="D1166" s="12">
        <f>D1165*(1-Assumptions!$B$12*(Assumptions!$B$5+Assumptions!$B$6))</f>
        <v>0.7064858393620066</v>
      </c>
      <c r="E1166" s="12">
        <f>E1165+Assumptions!$B$12*(D1165*Assumptions!$B$5-E1165*Assumptions!$B$7)</f>
        <v>0.146108441938991</v>
      </c>
      <c r="F1166" s="12">
        <f t="shared" si="54"/>
        <v>0.1474057186990024</v>
      </c>
      <c r="G1166" s="12">
        <f>EXP(-Assumptions!$B$8*B1166)</f>
        <v>0.56045854497449044</v>
      </c>
      <c r="H1166" s="12">
        <f t="shared" si="55"/>
        <v>0.3959560255739118</v>
      </c>
      <c r="I1166" s="12">
        <f t="shared" si="56"/>
        <v>8.1887724777616716E-2</v>
      </c>
      <c r="J1166" s="12">
        <f>G1166*(D1166*Assumptions!$B$6+E1166*Assumptions!$B$7)</f>
        <v>8.0539464946199537E-3</v>
      </c>
    </row>
    <row r="1167" spans="1:10" x14ac:dyDescent="0.2">
      <c r="A1167" s="2">
        <v>1159</v>
      </c>
      <c r="B1167" s="14">
        <f>A1167*Assumptions!$B$12</f>
        <v>11.59</v>
      </c>
      <c r="C1167" s="15">
        <f>IF(A1167&lt;=Assumptions!$B$13,IF(OR(A1167=0,A1167=Assumptions!$B$13),0.5,1),0)*Assumptions!$B$12</f>
        <v>0.01</v>
      </c>
      <c r="D1167" s="12">
        <f>D1166*(1-Assumptions!$B$12*(Assumptions!$B$5+Assumptions!$B$6))</f>
        <v>0.70627389361019799</v>
      </c>
      <c r="E1167" s="12">
        <f>E1166+Assumptions!$B$12*(D1166*Assumptions!$B$5-E1166*Assumptions!$B$7)</f>
        <v>0.14617668488589391</v>
      </c>
      <c r="F1167" s="12">
        <f t="shared" si="54"/>
        <v>0.1475494215039081</v>
      </c>
      <c r="G1167" s="12">
        <f>EXP(-Assumptions!$B$8*B1167)</f>
        <v>0.56017838574764656</v>
      </c>
      <c r="H1167" s="12">
        <f t="shared" si="55"/>
        <v>0.39563936961826579</v>
      </c>
      <c r="I1167" s="12">
        <f t="shared" si="56"/>
        <v>8.188501937332246E-2</v>
      </c>
      <c r="J1167" s="12">
        <f>G1167*(D1167*Assumptions!$B$6+E1167*Assumptions!$B$7)</f>
        <v>8.0506446648487811E-3</v>
      </c>
    </row>
    <row r="1168" spans="1:10" x14ac:dyDescent="0.2">
      <c r="A1168" s="2">
        <v>1160</v>
      </c>
      <c r="B1168" s="14">
        <f>A1168*Assumptions!$B$12</f>
        <v>11.6</v>
      </c>
      <c r="C1168" s="15">
        <f>IF(A1168&lt;=Assumptions!$B$13,IF(OR(A1168=0,A1168=Assumptions!$B$13),0.5,1),0)*Assumptions!$B$12</f>
        <v>0.01</v>
      </c>
      <c r="D1168" s="12">
        <f>D1167*(1-Assumptions!$B$12*(Assumptions!$B$5+Assumptions!$B$6))</f>
        <v>0.706062011442115</v>
      </c>
      <c r="E1168" s="12">
        <f>E1167+Assumptions!$B$12*(D1167*Assumptions!$B$5-E1167*Assumptions!$B$7)</f>
        <v>0.14624485132217302</v>
      </c>
      <c r="F1168" s="12">
        <f t="shared" si="54"/>
        <v>0.14769313723571198</v>
      </c>
      <c r="G1168" s="12">
        <f>EXP(-Assumptions!$B$8*B1168)</f>
        <v>0.55989836656540204</v>
      </c>
      <c r="H1168" s="12">
        <f t="shared" si="55"/>
        <v>0.39532296690032237</v>
      </c>
      <c r="I1168" s="12">
        <f t="shared" si="56"/>
        <v>8.1882253373884745E-2</v>
      </c>
      <c r="J1168" s="12">
        <f>G1168*(D1168*Assumptions!$B$6+E1168*Assumptions!$B$7)</f>
        <v>8.047342337697461E-3</v>
      </c>
    </row>
    <row r="1169" spans="1:10" x14ac:dyDescent="0.2">
      <c r="A1169" s="2">
        <v>1161</v>
      </c>
      <c r="B1169" s="14">
        <f>A1169*Assumptions!$B$12</f>
        <v>11.61</v>
      </c>
      <c r="C1169" s="15">
        <f>IF(A1169&lt;=Assumptions!$B$13,IF(OR(A1169=0,A1169=Assumptions!$B$13),0.5,1),0)*Assumptions!$B$12</f>
        <v>0.01</v>
      </c>
      <c r="D1169" s="12">
        <f>D1168*(1-Assumptions!$B$12*(Assumptions!$B$5+Assumptions!$B$6))</f>
        <v>0.70585019283868244</v>
      </c>
      <c r="E1169" s="12">
        <f>E1168+Assumptions!$B$12*(D1168*Assumptions!$B$5-E1168*Assumptions!$B$7)</f>
        <v>0.14631294129880035</v>
      </c>
      <c r="F1169" s="12">
        <f t="shared" si="54"/>
        <v>0.14783686586251721</v>
      </c>
      <c r="G1169" s="12">
        <f>EXP(-Assumptions!$B$8*B1169)</f>
        <v>0.5596184873577521</v>
      </c>
      <c r="H1169" s="12">
        <f t="shared" si="55"/>
        <v>0.39500681721756109</v>
      </c>
      <c r="I1169" s="12">
        <f t="shared" si="56"/>
        <v>8.1879426890498222E-2</v>
      </c>
      <c r="J1169" s="12">
        <f>G1169*(D1169*Assumptions!$B$6+E1169*Assumptions!$B$7)</f>
        <v>8.044039516700522E-3</v>
      </c>
    </row>
    <row r="1170" spans="1:10" x14ac:dyDescent="0.2">
      <c r="A1170" s="2">
        <v>1162</v>
      </c>
      <c r="B1170" s="14">
        <f>A1170*Assumptions!$B$12</f>
        <v>11.620000000000001</v>
      </c>
      <c r="C1170" s="15">
        <f>IF(A1170&lt;=Assumptions!$B$13,IF(OR(A1170=0,A1170=Assumptions!$B$13),0.5,1),0)*Assumptions!$B$12</f>
        <v>0.01</v>
      </c>
      <c r="D1170" s="12">
        <f>D1169*(1-Assumptions!$B$12*(Assumptions!$B$5+Assumptions!$B$6))</f>
        <v>0.70563843778083091</v>
      </c>
      <c r="E1170" s="12">
        <f>E1169+Assumptions!$B$12*(D1169*Assumptions!$B$5-E1169*Assumptions!$B$7)</f>
        <v>0.14638095486671868</v>
      </c>
      <c r="F1170" s="12">
        <f t="shared" si="54"/>
        <v>0.14798060735245042</v>
      </c>
      <c r="G1170" s="12">
        <f>EXP(-Assumptions!$B$8*B1170)</f>
        <v>0.55933874805472683</v>
      </c>
      <c r="H1170" s="12">
        <f t="shared" si="55"/>
        <v>0.39469092036762321</v>
      </c>
      <c r="I1170" s="12">
        <f t="shared" si="56"/>
        <v>8.18765400342059E-2</v>
      </c>
      <c r="J1170" s="12">
        <f>G1170*(D1170*Assumptions!$B$6+E1170*Assumptions!$B$7)</f>
        <v>8.0407362053865287E-3</v>
      </c>
    </row>
    <row r="1171" spans="1:10" x14ac:dyDescent="0.2">
      <c r="A1171" s="2">
        <v>1163</v>
      </c>
      <c r="B1171" s="14">
        <f>A1171*Assumptions!$B$12</f>
        <v>11.63</v>
      </c>
      <c r="C1171" s="15">
        <f>IF(A1171&lt;=Assumptions!$B$13,IF(OR(A1171=0,A1171=Assumptions!$B$13),0.5,1),0)*Assumptions!$B$12</f>
        <v>0.01</v>
      </c>
      <c r="D1171" s="12">
        <f>D1170*(1-Assumptions!$B$12*(Assumptions!$B$5+Assumptions!$B$6))</f>
        <v>0.70542674624949664</v>
      </c>
      <c r="E1171" s="12">
        <f>E1170+Assumptions!$B$12*(D1170*Assumptions!$B$5-E1170*Assumptions!$B$7)</f>
        <v>0.14644889207684147</v>
      </c>
      <c r="F1171" s="12">
        <f t="shared" si="54"/>
        <v>0.14812436167366189</v>
      </c>
      <c r="G1171" s="12">
        <f>EXP(-Assumptions!$B$8*B1171)</f>
        <v>0.5590591485863915</v>
      </c>
      <c r="H1171" s="12">
        <f t="shared" si="55"/>
        <v>0.39437527614831203</v>
      </c>
      <c r="I1171" s="12">
        <f t="shared" si="56"/>
        <v>8.1873592915899324E-2</v>
      </c>
      <c r="J1171" s="12">
        <f>G1171*(D1171*Assumptions!$B$6+E1171*Assumptions!$B$7)</f>
        <v>8.0374324072780869E-3</v>
      </c>
    </row>
    <row r="1172" spans="1:10" x14ac:dyDescent="0.2">
      <c r="A1172" s="2">
        <v>1164</v>
      </c>
      <c r="B1172" s="14">
        <f>A1172*Assumptions!$B$12</f>
        <v>11.64</v>
      </c>
      <c r="C1172" s="15">
        <f>IF(A1172&lt;=Assumptions!$B$13,IF(OR(A1172=0,A1172=Assumptions!$B$13),0.5,1),0)*Assumptions!$B$12</f>
        <v>0.01</v>
      </c>
      <c r="D1172" s="12">
        <f>D1171*(1-Assumptions!$B$12*(Assumptions!$B$5+Assumptions!$B$6))</f>
        <v>0.70521511822562177</v>
      </c>
      <c r="E1172" s="12">
        <f>E1171+Assumptions!$B$12*(D1171*Assumptions!$B$5-E1171*Assumptions!$B$7)</f>
        <v>0.14651675298005296</v>
      </c>
      <c r="F1172" s="12">
        <f t="shared" si="54"/>
        <v>0.14826812879432527</v>
      </c>
      <c r="G1172" s="12">
        <f>EXP(-Assumptions!$B$8*B1172)</f>
        <v>0.55877968888284624</v>
      </c>
      <c r="H1172" s="12">
        <f t="shared" si="55"/>
        <v>0.39405988435759254</v>
      </c>
      <c r="I1172" s="12">
        <f t="shared" si="56"/>
        <v>8.1870585646318828E-2</v>
      </c>
      <c r="J1172" s="12">
        <f>G1172*(D1172*Assumptions!$B$6+E1172*Assumptions!$B$7)</f>
        <v>8.0341281258918661E-3</v>
      </c>
    </row>
    <row r="1173" spans="1:10" x14ac:dyDescent="0.2">
      <c r="A1173" s="2">
        <v>1165</v>
      </c>
      <c r="B1173" s="14">
        <f>A1173*Assumptions!$B$12</f>
        <v>11.65</v>
      </c>
      <c r="C1173" s="15">
        <f>IF(A1173&lt;=Assumptions!$B$13,IF(OR(A1173=0,A1173=Assumptions!$B$13),0.5,1),0)*Assumptions!$B$12</f>
        <v>0.01</v>
      </c>
      <c r="D1173" s="12">
        <f>D1172*(1-Assumptions!$B$12*(Assumptions!$B$5+Assumptions!$B$6))</f>
        <v>0.70500355369015411</v>
      </c>
      <c r="E1173" s="12">
        <f>E1172+Assumptions!$B$12*(D1172*Assumptions!$B$5-E1172*Assumptions!$B$7)</f>
        <v>0.14658453762720805</v>
      </c>
      <c r="F1173" s="12">
        <f t="shared" si="54"/>
        <v>0.14841190868263784</v>
      </c>
      <c r="G1173" s="12">
        <f>EXP(-Assumptions!$B$8*B1173)</f>
        <v>0.55850036887422616</v>
      </c>
      <c r="H1173" s="12">
        <f t="shared" si="55"/>
        <v>0.39374474479359139</v>
      </c>
      <c r="I1173" s="12">
        <f t="shared" si="56"/>
        <v>8.1867518336053574E-2</v>
      </c>
      <c r="J1173" s="12">
        <f>G1173*(D1173*Assumptions!$B$6+E1173*Assumptions!$B$7)</f>
        <v>8.0308233647385929E-3</v>
      </c>
    </row>
    <row r="1174" spans="1:10" x14ac:dyDescent="0.2">
      <c r="A1174" s="2">
        <v>1166</v>
      </c>
      <c r="B1174" s="14">
        <f>A1174*Assumptions!$B$12</f>
        <v>11.66</v>
      </c>
      <c r="C1174" s="15">
        <f>IF(A1174&lt;=Assumptions!$B$13,IF(OR(A1174=0,A1174=Assumptions!$B$13),0.5,1),0)*Assumptions!$B$12</f>
        <v>0.01</v>
      </c>
      <c r="D1174" s="12">
        <f>D1173*(1-Assumptions!$B$12*(Assumptions!$B$5+Assumptions!$B$6))</f>
        <v>0.70479205262404709</v>
      </c>
      <c r="E1174" s="12">
        <f>E1173+Assumptions!$B$12*(D1173*Assumptions!$B$5-E1173*Assumptions!$B$7)</f>
        <v>0.14665224606913246</v>
      </c>
      <c r="F1174" s="12">
        <f t="shared" si="54"/>
        <v>0.14855570130682044</v>
      </c>
      <c r="G1174" s="12">
        <f>EXP(-Assumptions!$B$8*B1174)</f>
        <v>0.55822118849070124</v>
      </c>
      <c r="H1174" s="12">
        <f t="shared" si="55"/>
        <v>0.39342985725459639</v>
      </c>
      <c r="I1174" s="12">
        <f t="shared" si="56"/>
        <v>8.1864391095541889E-2</v>
      </c>
      <c r="J1174" s="12">
        <f>G1174*(D1174*Assumptions!$B$6+E1174*Assumptions!$B$7)</f>
        <v>8.0275181273230592E-3</v>
      </c>
    </row>
    <row r="1175" spans="1:10" x14ac:dyDescent="0.2">
      <c r="A1175" s="2">
        <v>1167</v>
      </c>
      <c r="B1175" s="14">
        <f>A1175*Assumptions!$B$12</f>
        <v>11.67</v>
      </c>
      <c r="C1175" s="15">
        <f>IF(A1175&lt;=Assumptions!$B$13,IF(OR(A1175=0,A1175=Assumptions!$B$13),0.5,1),0)*Assumptions!$B$12</f>
        <v>0.01</v>
      </c>
      <c r="D1175" s="12">
        <f>D1174*(1-Assumptions!$B$12*(Assumptions!$B$5+Assumptions!$B$6))</f>
        <v>0.70458061500825986</v>
      </c>
      <c r="E1175" s="12">
        <f>E1174+Assumptions!$B$12*(D1174*Assumptions!$B$5-E1174*Assumptions!$B$7)</f>
        <v>0.1467198783566227</v>
      </c>
      <c r="F1175" s="12">
        <f t="shared" si="54"/>
        <v>0.14869950663511744</v>
      </c>
      <c r="G1175" s="12">
        <f>EXP(-Assumptions!$B$8*B1175)</f>
        <v>0.5579421476624763</v>
      </c>
      <c r="H1175" s="12">
        <f t="shared" si="55"/>
        <v>0.39311522153905687</v>
      </c>
      <c r="I1175" s="12">
        <f t="shared" si="56"/>
        <v>8.1861204035071342E-2</v>
      </c>
      <c r="J1175" s="12">
        <f>G1175*(D1175*Assumptions!$B$6+E1175*Assumptions!$B$7)</f>
        <v>8.0242124171441363E-3</v>
      </c>
    </row>
    <row r="1176" spans="1:10" x14ac:dyDescent="0.2">
      <c r="A1176" s="2">
        <v>1168</v>
      </c>
      <c r="B1176" s="14">
        <f>A1176*Assumptions!$B$12</f>
        <v>11.68</v>
      </c>
      <c r="C1176" s="15">
        <f>IF(A1176&lt;=Assumptions!$B$13,IF(OR(A1176=0,A1176=Assumptions!$B$13),0.5,1),0)*Assumptions!$B$12</f>
        <v>0.01</v>
      </c>
      <c r="D1176" s="12">
        <f>D1175*(1-Assumptions!$B$12*(Assumptions!$B$5+Assumptions!$B$6))</f>
        <v>0.7043692408237574</v>
      </c>
      <c r="E1176" s="12">
        <f>E1175+Assumptions!$B$12*(D1175*Assumptions!$B$5-E1175*Assumptions!$B$7)</f>
        <v>0.14678743454044604</v>
      </c>
      <c r="F1176" s="12">
        <f t="shared" si="54"/>
        <v>0.14884332463579655</v>
      </c>
      <c r="G1176" s="12">
        <f>EXP(-Assumptions!$B$8*B1176)</f>
        <v>0.55766324631979125</v>
      </c>
      <c r="H1176" s="12">
        <f t="shared" si="55"/>
        <v>0.39280083744558336</v>
      </c>
      <c r="I1176" s="12">
        <f t="shared" si="56"/>
        <v>8.1857957264778999E-2</v>
      </c>
      <c r="J1176" s="12">
        <f>G1176*(D1176*Assumptions!$B$6+E1176*Assumptions!$B$7)</f>
        <v>8.0209062376947835E-3</v>
      </c>
    </row>
    <row r="1177" spans="1:10" x14ac:dyDescent="0.2">
      <c r="A1177" s="2">
        <v>1169</v>
      </c>
      <c r="B1177" s="14">
        <f>A1177*Assumptions!$B$12</f>
        <v>11.69</v>
      </c>
      <c r="C1177" s="15">
        <f>IF(A1177&lt;=Assumptions!$B$13,IF(OR(A1177=0,A1177=Assumptions!$B$13),0.5,1),0)*Assumptions!$B$12</f>
        <v>0.01</v>
      </c>
      <c r="D1177" s="12">
        <f>D1176*(1-Assumptions!$B$12*(Assumptions!$B$5+Assumptions!$B$6))</f>
        <v>0.70415793005151028</v>
      </c>
      <c r="E1177" s="12">
        <f>E1176+Assumptions!$B$12*(D1176*Assumptions!$B$5-E1176*Assumptions!$B$7)</f>
        <v>0.14685491467134057</v>
      </c>
      <c r="F1177" s="12">
        <f t="shared" si="54"/>
        <v>0.14898715527714915</v>
      </c>
      <c r="G1177" s="12">
        <f>EXP(-Assumptions!$B$8*B1177)</f>
        <v>0.55738448439292054</v>
      </c>
      <c r="H1177" s="12">
        <f t="shared" si="55"/>
        <v>0.39248670477294728</v>
      </c>
      <c r="I1177" s="12">
        <f t="shared" si="56"/>
        <v>8.1854650894651507E-2</v>
      </c>
      <c r="J1177" s="12">
        <f>G1177*(D1177*Assumptions!$B$6+E1177*Assumptions!$B$7)</f>
        <v>8.0175995924620484E-3</v>
      </c>
    </row>
    <row r="1178" spans="1:10" x14ac:dyDescent="0.2">
      <c r="A1178" s="2">
        <v>1170</v>
      </c>
      <c r="B1178" s="14">
        <f>A1178*Assumptions!$B$12</f>
        <v>11.700000000000001</v>
      </c>
      <c r="C1178" s="15">
        <f>IF(A1178&lt;=Assumptions!$B$13,IF(OR(A1178=0,A1178=Assumptions!$B$13),0.5,1),0)*Assumptions!$B$12</f>
        <v>0.01</v>
      </c>
      <c r="D1178" s="12">
        <f>D1177*(1-Assumptions!$B$12*(Assumptions!$B$5+Assumptions!$B$6))</f>
        <v>0.70394668267249483</v>
      </c>
      <c r="E1178" s="12">
        <f>E1177+Assumptions!$B$12*(D1177*Assumptions!$B$5-E1177*Assumptions!$B$7)</f>
        <v>0.14692231880001519</v>
      </c>
      <c r="F1178" s="12">
        <f t="shared" si="54"/>
        <v>0.14913099852748998</v>
      </c>
      <c r="G1178" s="12">
        <f>EXP(-Assumptions!$B$8*B1178)</f>
        <v>0.55710586181217381</v>
      </c>
      <c r="H1178" s="12">
        <f t="shared" si="55"/>
        <v>0.39217282332008108</v>
      </c>
      <c r="I1178" s="12">
        <f t="shared" si="56"/>
        <v>8.1851285034525406E-2</v>
      </c>
      <c r="J1178" s="12">
        <f>G1178*(D1178*Assumptions!$B$6+E1178*Assumptions!$B$7)</f>
        <v>8.0142924849270821E-3</v>
      </c>
    </row>
    <row r="1179" spans="1:10" x14ac:dyDescent="0.2">
      <c r="A1179" s="2">
        <v>1171</v>
      </c>
      <c r="B1179" s="14">
        <f>A1179*Assumptions!$B$12</f>
        <v>11.71</v>
      </c>
      <c r="C1179" s="15">
        <f>IF(A1179&lt;=Assumptions!$B$13,IF(OR(A1179=0,A1179=Assumptions!$B$13),0.5,1),0)*Assumptions!$B$12</f>
        <v>0.01</v>
      </c>
      <c r="D1179" s="12">
        <f>D1178*(1-Assumptions!$B$12*(Assumptions!$B$5+Assumptions!$B$6))</f>
        <v>0.70373549866769314</v>
      </c>
      <c r="E1179" s="12">
        <f>E1178+Assumptions!$B$12*(D1178*Assumptions!$B$5-E1178*Assumptions!$B$7)</f>
        <v>0.14698964697714967</v>
      </c>
      <c r="F1179" s="12">
        <f t="shared" si="54"/>
        <v>0.14927485435515719</v>
      </c>
      <c r="G1179" s="12">
        <f>EXP(-Assumptions!$B$8*B1179)</f>
        <v>0.55682737850789565</v>
      </c>
      <c r="H1179" s="12">
        <f t="shared" si="55"/>
        <v>0.39185919288607829</v>
      </c>
      <c r="I1179" s="12">
        <f t="shared" si="56"/>
        <v>8.1847859794087277E-2</v>
      </c>
      <c r="J1179" s="12">
        <f>G1179*(D1179*Assumptions!$B$6+E1179*Assumptions!$B$7)</f>
        <v>8.0109849185651463E-3</v>
      </c>
    </row>
    <row r="1180" spans="1:10" x14ac:dyDescent="0.2">
      <c r="A1180" s="2">
        <v>1172</v>
      </c>
      <c r="B1180" s="14">
        <f>A1180*Assumptions!$B$12</f>
        <v>11.72</v>
      </c>
      <c r="C1180" s="15">
        <f>IF(A1180&lt;=Assumptions!$B$13,IF(OR(A1180=0,A1180=Assumptions!$B$13),0.5,1),0)*Assumptions!$B$12</f>
        <v>0.01</v>
      </c>
      <c r="D1180" s="12">
        <f>D1179*(1-Assumptions!$B$12*(Assumptions!$B$5+Assumptions!$B$6))</f>
        <v>0.70352437801809287</v>
      </c>
      <c r="E1180" s="12">
        <f>E1179+Assumptions!$B$12*(D1179*Assumptions!$B$5-E1179*Assumptions!$B$7)</f>
        <v>0.14705689925339463</v>
      </c>
      <c r="F1180" s="12">
        <f t="shared" si="54"/>
        <v>0.1494187227285125</v>
      </c>
      <c r="G1180" s="12">
        <f>EXP(-Assumptions!$B$8*B1180)</f>
        <v>0.55654903441046477</v>
      </c>
      <c r="H1180" s="12">
        <f t="shared" si="55"/>
        <v>0.39154581327019239</v>
      </c>
      <c r="I1180" s="12">
        <f t="shared" si="56"/>
        <v>8.1844375282873777E-2</v>
      </c>
      <c r="J1180" s="12">
        <f>G1180*(D1180*Assumptions!$B$6+E1180*Assumptions!$B$7)</f>
        <v>8.0076768968456134E-3</v>
      </c>
    </row>
    <row r="1181" spans="1:10" x14ac:dyDescent="0.2">
      <c r="A1181" s="2">
        <v>1173</v>
      </c>
      <c r="B1181" s="14">
        <f>A1181*Assumptions!$B$12</f>
        <v>11.73</v>
      </c>
      <c r="C1181" s="15">
        <f>IF(A1181&lt;=Assumptions!$B$13,IF(OR(A1181=0,A1181=Assumptions!$B$13),0.5,1),0)*Assumptions!$B$12</f>
        <v>0.01</v>
      </c>
      <c r="D1181" s="12">
        <f>D1180*(1-Assumptions!$B$12*(Assumptions!$B$5+Assumptions!$B$6))</f>
        <v>0.70331332070468744</v>
      </c>
      <c r="E1181" s="12">
        <f>E1180+Assumptions!$B$12*(D1180*Assumptions!$B$5-E1180*Assumptions!$B$7)</f>
        <v>0.14712407567937155</v>
      </c>
      <c r="F1181" s="12">
        <f t="shared" si="54"/>
        <v>0.14956260361594101</v>
      </c>
      <c r="G1181" s="12">
        <f>EXP(-Assumptions!$B$8*B1181)</f>
        <v>0.5562708294502956</v>
      </c>
      <c r="H1181" s="12">
        <f t="shared" si="55"/>
        <v>0.39123268427183822</v>
      </c>
      <c r="I1181" s="12">
        <f t="shared" si="56"/>
        <v>8.1840831610272072E-2</v>
      </c>
      <c r="J1181" s="12">
        <f>G1181*(D1181*Assumptions!$B$6+E1181*Assumptions!$B$7)</f>
        <v>8.0043684232319872E-3</v>
      </c>
    </row>
    <row r="1182" spans="1:10" x14ac:dyDescent="0.2">
      <c r="A1182" s="2">
        <v>1174</v>
      </c>
      <c r="B1182" s="14">
        <f>A1182*Assumptions!$B$12</f>
        <v>11.74</v>
      </c>
      <c r="C1182" s="15">
        <f>IF(A1182&lt;=Assumptions!$B$13,IF(OR(A1182=0,A1182=Assumptions!$B$13),0.5,1),0)*Assumptions!$B$12</f>
        <v>0.01</v>
      </c>
      <c r="D1182" s="12">
        <f>D1181*(1-Assumptions!$B$12*(Assumptions!$B$5+Assumptions!$B$6))</f>
        <v>0.70310232670847606</v>
      </c>
      <c r="E1182" s="12">
        <f>E1181+Assumptions!$B$12*(D1181*Assumptions!$B$5-E1181*Assumptions!$B$7)</f>
        <v>0.1471911763056728</v>
      </c>
      <c r="F1182" s="12">
        <f t="shared" si="54"/>
        <v>0.14970649698585115</v>
      </c>
      <c r="G1182" s="12">
        <f>EXP(-Assumptions!$B$8*B1182)</f>
        <v>0.55599276355783656</v>
      </c>
      <c r="H1182" s="12">
        <f t="shared" si="55"/>
        <v>0.39091980569059048</v>
      </c>
      <c r="I1182" s="12">
        <f t="shared" si="56"/>
        <v>8.1837228885519767E-2</v>
      </c>
      <c r="J1182" s="12">
        <f>G1182*(D1182*Assumptions!$B$6+E1182*Assumptions!$B$7)</f>
        <v>8.0010595011818942E-3</v>
      </c>
    </row>
    <row r="1183" spans="1:10" x14ac:dyDescent="0.2">
      <c r="A1183" s="2">
        <v>1175</v>
      </c>
      <c r="B1183" s="14">
        <f>A1183*Assumptions!$B$12</f>
        <v>11.75</v>
      </c>
      <c r="C1183" s="15">
        <f>IF(A1183&lt;=Assumptions!$B$13,IF(OR(A1183=0,A1183=Assumptions!$B$13),0.5,1),0)*Assumptions!$B$12</f>
        <v>0.01</v>
      </c>
      <c r="D1183" s="12">
        <f>D1182*(1-Assumptions!$B$12*(Assumptions!$B$5+Assumptions!$B$6))</f>
        <v>0.70289139601046358</v>
      </c>
      <c r="E1183" s="12">
        <f>E1182+Assumptions!$B$12*(D1182*Assumptions!$B$5-E1182*Assumptions!$B$7)</f>
        <v>0.14725820118286165</v>
      </c>
      <c r="F1183" s="12">
        <f t="shared" si="54"/>
        <v>0.14985040280667478</v>
      </c>
      <c r="G1183" s="12">
        <f>EXP(-Assumptions!$B$8*B1183)</f>
        <v>0.55571483666357135</v>
      </c>
      <c r="H1183" s="12">
        <f t="shared" si="55"/>
        <v>0.39060717732618444</v>
      </c>
      <c r="I1183" s="12">
        <f t="shared" si="56"/>
        <v>8.1833567217705294E-2</v>
      </c>
      <c r="J1183" s="12">
        <f>G1183*(D1183*Assumptions!$B$6+E1183*Assumptions!$B$7)</f>
        <v>7.9977501341471097E-3</v>
      </c>
    </row>
    <row r="1184" spans="1:10" x14ac:dyDescent="0.2">
      <c r="A1184" s="2">
        <v>1176</v>
      </c>
      <c r="B1184" s="14">
        <f>A1184*Assumptions!$B$12</f>
        <v>11.76</v>
      </c>
      <c r="C1184" s="15">
        <f>IF(A1184&lt;=Assumptions!$B$13,IF(OR(A1184=0,A1184=Assumptions!$B$13),0.5,1),0)*Assumptions!$B$12</f>
        <v>0.01</v>
      </c>
      <c r="D1184" s="12">
        <f>D1183*(1-Assumptions!$B$12*(Assumptions!$B$5+Assumptions!$B$6))</f>
        <v>0.70268052859166041</v>
      </c>
      <c r="E1184" s="12">
        <f>E1183+Assumptions!$B$12*(D1183*Assumptions!$B$5-E1183*Assumptions!$B$7)</f>
        <v>0.14732515036147231</v>
      </c>
      <c r="F1184" s="12">
        <f t="shared" si="54"/>
        <v>0.14999432104686727</v>
      </c>
      <c r="G1184" s="12">
        <f>EXP(-Assumptions!$B$8*B1184)</f>
        <v>0.55543704869801824</v>
      </c>
      <c r="H1184" s="12">
        <f t="shared" si="55"/>
        <v>0.39029479897851527</v>
      </c>
      <c r="I1184" s="12">
        <f t="shared" si="56"/>
        <v>8.1829846715767957E-2</v>
      </c>
      <c r="J1184" s="12">
        <f>G1184*(D1184*Assumptions!$B$6+E1184*Assumptions!$B$7)</f>
        <v>7.994440325573551E-3</v>
      </c>
    </row>
    <row r="1185" spans="1:10" x14ac:dyDescent="0.2">
      <c r="A1185" s="2">
        <v>1177</v>
      </c>
      <c r="B1185" s="14">
        <f>A1185*Assumptions!$B$12</f>
        <v>11.77</v>
      </c>
      <c r="C1185" s="15">
        <f>IF(A1185&lt;=Assumptions!$B$13,IF(OR(A1185=0,A1185=Assumptions!$B$13),0.5,1),0)*Assumptions!$B$12</f>
        <v>0.01</v>
      </c>
      <c r="D1185" s="12">
        <f>D1184*(1-Assumptions!$B$12*(Assumptions!$B$5+Assumptions!$B$6))</f>
        <v>0.70246972443308298</v>
      </c>
      <c r="E1185" s="12">
        <f>E1184+Assumptions!$B$12*(D1184*Assumptions!$B$5-E1184*Assumptions!$B$7)</f>
        <v>0.14739202389200992</v>
      </c>
      <c r="F1185" s="12">
        <f t="shared" si="54"/>
        <v>0.1501382516749071</v>
      </c>
      <c r="G1185" s="12">
        <f>EXP(-Assumptions!$B$8*B1185)</f>
        <v>0.55515939959173022</v>
      </c>
      <c r="H1185" s="12">
        <f t="shared" si="55"/>
        <v>0.38998267044763851</v>
      </c>
      <c r="I1185" s="12">
        <f t="shared" si="56"/>
        <v>8.1826067488498189E-2</v>
      </c>
      <c r="J1185" s="12">
        <f>G1185*(D1185*Assumptions!$B$6+E1185*Assumptions!$B$7)</f>
        <v>7.9911300789012943E-3</v>
      </c>
    </row>
    <row r="1186" spans="1:10" x14ac:dyDescent="0.2">
      <c r="A1186" s="2">
        <v>1178</v>
      </c>
      <c r="B1186" s="14">
        <f>A1186*Assumptions!$B$12</f>
        <v>11.78</v>
      </c>
      <c r="C1186" s="15">
        <f>IF(A1186&lt;=Assumptions!$B$13,IF(OR(A1186=0,A1186=Assumptions!$B$13),0.5,1),0)*Assumptions!$B$12</f>
        <v>0.01</v>
      </c>
      <c r="D1186" s="12">
        <f>D1185*(1-Assumptions!$B$12*(Assumptions!$B$5+Assumptions!$B$6))</f>
        <v>0.70225898351575311</v>
      </c>
      <c r="E1186" s="12">
        <f>E1185+Assumptions!$B$12*(D1185*Assumptions!$B$5-E1185*Assumptions!$B$7)</f>
        <v>0.14745882182495054</v>
      </c>
      <c r="F1186" s="12">
        <f t="shared" si="54"/>
        <v>0.15028219465929635</v>
      </c>
      <c r="G1186" s="12">
        <f>EXP(-Assumptions!$B$8*B1186)</f>
        <v>0.55488188927529492</v>
      </c>
      <c r="H1186" s="12">
        <f t="shared" si="55"/>
        <v>0.38967079153376927</v>
      </c>
      <c r="I1186" s="12">
        <f t="shared" si="56"/>
        <v>8.1822229644537642E-2</v>
      </c>
      <c r="J1186" s="12">
        <f>G1186*(D1186*Assumptions!$B$6+E1186*Assumptions!$B$7)</f>
        <v>7.9878193975645752E-3</v>
      </c>
    </row>
    <row r="1187" spans="1:10" x14ac:dyDescent="0.2">
      <c r="A1187" s="2">
        <v>1179</v>
      </c>
      <c r="B1187" s="14">
        <f>A1187*Assumptions!$B$12</f>
        <v>11.790000000000001</v>
      </c>
      <c r="C1187" s="15">
        <f>IF(A1187&lt;=Assumptions!$B$13,IF(OR(A1187=0,A1187=Assumptions!$B$13),0.5,1),0)*Assumptions!$B$12</f>
        <v>0.01</v>
      </c>
      <c r="D1187" s="12">
        <f>D1186*(1-Assumptions!$B$12*(Assumptions!$B$5+Assumptions!$B$6))</f>
        <v>0.70204830582069844</v>
      </c>
      <c r="E1187" s="12">
        <f>E1186+Assumptions!$B$12*(D1186*Assumptions!$B$5-E1186*Assumptions!$B$7)</f>
        <v>0.14752554421074121</v>
      </c>
      <c r="F1187" s="12">
        <f t="shared" si="54"/>
        <v>0.15042614996856035</v>
      </c>
      <c r="G1187" s="12">
        <f>EXP(-Assumptions!$B$8*B1187)</f>
        <v>0.55460451767933483</v>
      </c>
      <c r="H1187" s="12">
        <f t="shared" si="55"/>
        <v>0.3893591620372826</v>
      </c>
      <c r="I1187" s="12">
        <f t="shared" si="56"/>
        <v>8.1818333292379516E-2</v>
      </c>
      <c r="J1187" s="12">
        <f>G1187*(D1187*Assumptions!$B$6+E1187*Assumptions!$B$7)</f>
        <v>7.9845082849918023E-3</v>
      </c>
    </row>
    <row r="1188" spans="1:10" x14ac:dyDescent="0.2">
      <c r="A1188" s="2">
        <v>1180</v>
      </c>
      <c r="B1188" s="14">
        <f>A1188*Assumptions!$B$12</f>
        <v>11.8</v>
      </c>
      <c r="C1188" s="15">
        <f>IF(A1188&lt;=Assumptions!$B$13,IF(OR(A1188=0,A1188=Assumptions!$B$13),0.5,1),0)*Assumptions!$B$12</f>
        <v>0.01</v>
      </c>
      <c r="D1188" s="12">
        <f>D1187*(1-Assumptions!$B$12*(Assumptions!$B$5+Assumptions!$B$6))</f>
        <v>0.70183769132895224</v>
      </c>
      <c r="E1188" s="12">
        <f>E1187+Assumptions!$B$12*(D1187*Assumptions!$B$5-E1187*Assumptions!$B$7)</f>
        <v>0.14759219109979999</v>
      </c>
      <c r="F1188" s="12">
        <f t="shared" si="54"/>
        <v>0.15057011757124777</v>
      </c>
      <c r="G1188" s="12">
        <f>EXP(-Assumptions!$B$8*B1188)</f>
        <v>0.55432728473450699</v>
      </c>
      <c r="H1188" s="12">
        <f t="shared" si="55"/>
        <v>0.38904778175871313</v>
      </c>
      <c r="I1188" s="12">
        <f t="shared" si="56"/>
        <v>8.181437854036859E-2</v>
      </c>
      <c r="J1188" s="12">
        <f>G1188*(D1188*Assumptions!$B$6+E1188*Assumptions!$B$7)</f>
        <v>7.9811967446055624E-3</v>
      </c>
    </row>
    <row r="1189" spans="1:10" x14ac:dyDescent="0.2">
      <c r="A1189" s="2">
        <v>1181</v>
      </c>
      <c r="B1189" s="14">
        <f>A1189*Assumptions!$B$12</f>
        <v>11.81</v>
      </c>
      <c r="C1189" s="15">
        <f>IF(A1189&lt;=Assumptions!$B$13,IF(OR(A1189=0,A1189=Assumptions!$B$13),0.5,1),0)*Assumptions!$B$12</f>
        <v>0.01</v>
      </c>
      <c r="D1189" s="12">
        <f>D1188*(1-Assumptions!$B$12*(Assumptions!$B$5+Assumptions!$B$6))</f>
        <v>0.70162714002155357</v>
      </c>
      <c r="E1189" s="12">
        <f>E1188+Assumptions!$B$12*(D1188*Assumptions!$B$5-E1188*Assumptions!$B$7)</f>
        <v>0.14765876254251586</v>
      </c>
      <c r="F1189" s="12">
        <f t="shared" si="54"/>
        <v>0.15071409743593056</v>
      </c>
      <c r="G1189" s="12">
        <f>EXP(-Assumptions!$B$8*B1189)</f>
        <v>0.55405019037150327</v>
      </c>
      <c r="H1189" s="12">
        <f t="shared" si="55"/>
        <v>0.38873665049875517</v>
      </c>
      <c r="I1189" s="12">
        <f t="shared" si="56"/>
        <v>8.1810365496701509E-2</v>
      </c>
      <c r="J1189" s="12">
        <f>G1189*(D1189*Assumptions!$B$6+E1189*Assumptions!$B$7)</f>
        <v>7.9778847798226277E-3</v>
      </c>
    </row>
    <row r="1190" spans="1:10" x14ac:dyDescent="0.2">
      <c r="A1190" s="2">
        <v>1182</v>
      </c>
      <c r="B1190" s="14">
        <f>A1190*Assumptions!$B$12</f>
        <v>11.82</v>
      </c>
      <c r="C1190" s="15">
        <f>IF(A1190&lt;=Assumptions!$B$13,IF(OR(A1190=0,A1190=Assumptions!$B$13),0.5,1),0)*Assumptions!$B$12</f>
        <v>0.01</v>
      </c>
      <c r="D1190" s="12">
        <f>D1189*(1-Assumptions!$B$12*(Assumptions!$B$5+Assumptions!$B$6))</f>
        <v>0.70141665187954716</v>
      </c>
      <c r="E1190" s="12">
        <f>E1189+Assumptions!$B$12*(D1189*Assumptions!$B$5-E1189*Assumptions!$B$7)</f>
        <v>0.14772525858924893</v>
      </c>
      <c r="F1190" s="12">
        <f t="shared" si="54"/>
        <v>0.15085808953120391</v>
      </c>
      <c r="G1190" s="12">
        <f>EXP(-Assumptions!$B$8*B1190)</f>
        <v>0.5537732345210501</v>
      </c>
      <c r="H1190" s="12">
        <f t="shared" si="55"/>
        <v>0.38842576805826223</v>
      </c>
      <c r="I1190" s="12">
        <f t="shared" si="56"/>
        <v>8.1806294269426913E-2</v>
      </c>
      <c r="J1190" s="12">
        <f>G1190*(D1190*Assumptions!$B$6+E1190*Assumptions!$B$7)</f>
        <v>7.9745723940539675E-3</v>
      </c>
    </row>
    <row r="1191" spans="1:10" x14ac:dyDescent="0.2">
      <c r="A1191" s="2">
        <v>1183</v>
      </c>
      <c r="B1191" s="14">
        <f>A1191*Assumptions!$B$12</f>
        <v>11.83</v>
      </c>
      <c r="C1191" s="15">
        <f>IF(A1191&lt;=Assumptions!$B$13,IF(OR(A1191=0,A1191=Assumptions!$B$13),0.5,1),0)*Assumptions!$B$12</f>
        <v>0.01</v>
      </c>
      <c r="D1191" s="12">
        <f>D1190*(1-Assumptions!$B$12*(Assumptions!$B$5+Assumptions!$B$6))</f>
        <v>0.70120622688398326</v>
      </c>
      <c r="E1191" s="12">
        <f>E1190+Assumptions!$B$12*(D1190*Assumptions!$B$5-E1190*Assumptions!$B$7)</f>
        <v>0.14779167929033021</v>
      </c>
      <c r="F1191" s="12">
        <f t="shared" si="54"/>
        <v>0.15100209382568652</v>
      </c>
      <c r="G1191" s="12">
        <f>EXP(-Assumptions!$B$8*B1191)</f>
        <v>0.5534964171139084</v>
      </c>
      <c r="H1191" s="12">
        <f t="shared" si="55"/>
        <v>0.38811513423824712</v>
      </c>
      <c r="I1191" s="12">
        <f t="shared" si="56"/>
        <v>8.1802164966445587E-2</v>
      </c>
      <c r="J1191" s="12">
        <f>G1191*(D1191*Assumptions!$B$6+E1191*Assumptions!$B$7)</f>
        <v>7.9712595907047504E-3</v>
      </c>
    </row>
    <row r="1192" spans="1:10" x14ac:dyDescent="0.2">
      <c r="A1192" s="2">
        <v>1184</v>
      </c>
      <c r="B1192" s="14">
        <f>A1192*Assumptions!$B$12</f>
        <v>11.84</v>
      </c>
      <c r="C1192" s="15">
        <f>IF(A1192&lt;=Assumptions!$B$13,IF(OR(A1192=0,A1192=Assumptions!$B$13),0.5,1),0)*Assumptions!$B$12</f>
        <v>0.01</v>
      </c>
      <c r="D1192" s="12">
        <f>D1191*(1-Assumptions!$B$12*(Assumptions!$B$5+Assumptions!$B$6))</f>
        <v>0.70099586501591804</v>
      </c>
      <c r="E1192" s="12">
        <f>E1191+Assumptions!$B$12*(D1191*Assumptions!$B$5-E1191*Assumptions!$B$7)</f>
        <v>0.14785802469606185</v>
      </c>
      <c r="F1192" s="12">
        <f t="shared" si="54"/>
        <v>0.15114611028802011</v>
      </c>
      <c r="G1192" s="12">
        <f>EXP(-Assumptions!$B$8*B1192)</f>
        <v>0.55321973808087388</v>
      </c>
      <c r="H1192" s="12">
        <f t="shared" si="55"/>
        <v>0.38780474883988181</v>
      </c>
      <c r="I1192" s="12">
        <f t="shared" si="56"/>
        <v>8.1797977695510712E-2</v>
      </c>
      <c r="J1192" s="12">
        <f>G1192*(D1192*Assumptions!$B$6+E1192*Assumptions!$B$7)</f>
        <v>7.9679463731743543E-3</v>
      </c>
    </row>
    <row r="1193" spans="1:10" x14ac:dyDescent="0.2">
      <c r="A1193" s="2">
        <v>1185</v>
      </c>
      <c r="B1193" s="14">
        <f>A1193*Assumptions!$B$12</f>
        <v>11.85</v>
      </c>
      <c r="C1193" s="15">
        <f>IF(A1193&lt;=Assumptions!$B$13,IF(OR(A1193=0,A1193=Assumptions!$B$13),0.5,1),0)*Assumptions!$B$12</f>
        <v>0.01</v>
      </c>
      <c r="D1193" s="12">
        <f>D1192*(1-Assumptions!$B$12*(Assumptions!$B$5+Assumptions!$B$6))</f>
        <v>0.70078556625641331</v>
      </c>
      <c r="E1193" s="12">
        <f>E1192+Assumptions!$B$12*(D1192*Assumptions!$B$5-E1192*Assumptions!$B$7)</f>
        <v>0.14792429485671701</v>
      </c>
      <c r="F1193" s="12">
        <f t="shared" si="54"/>
        <v>0.15129013888686968</v>
      </c>
      <c r="G1193" s="12">
        <f>EXP(-Assumptions!$B$8*B1193)</f>
        <v>0.55294319735277664</v>
      </c>
      <c r="H1193" s="12">
        <f t="shared" si="55"/>
        <v>0.38749461166449728</v>
      </c>
      <c r="I1193" s="12">
        <f t="shared" si="56"/>
        <v>8.1793732564227992E-2</v>
      </c>
      <c r="J1193" s="12">
        <f>G1193*(D1193*Assumptions!$B$6+E1193*Assumptions!$B$7)</f>
        <v>7.964632744856372E-3</v>
      </c>
    </row>
    <row r="1194" spans="1:10" x14ac:dyDescent="0.2">
      <c r="A1194" s="2">
        <v>1186</v>
      </c>
      <c r="B1194" s="14">
        <f>A1194*Assumptions!$B$12</f>
        <v>11.86</v>
      </c>
      <c r="C1194" s="15">
        <f>IF(A1194&lt;=Assumptions!$B$13,IF(OR(A1194=0,A1194=Assumptions!$B$13),0.5,1),0)*Assumptions!$B$12</f>
        <v>0.01</v>
      </c>
      <c r="D1194" s="12">
        <f>D1193*(1-Assumptions!$B$12*(Assumptions!$B$5+Assumptions!$B$6))</f>
        <v>0.70057533058653643</v>
      </c>
      <c r="E1194" s="12">
        <f>E1193+Assumptions!$B$12*(D1193*Assumptions!$B$5-E1193*Assumptions!$B$7)</f>
        <v>0.14799048982253993</v>
      </c>
      <c r="F1194" s="12">
        <f t="shared" si="54"/>
        <v>0.15143417959092365</v>
      </c>
      <c r="G1194" s="12">
        <f>EXP(-Assumptions!$B$8*B1194)</f>
        <v>0.55266679486048176</v>
      </c>
      <c r="H1194" s="12">
        <f t="shared" si="55"/>
        <v>0.38718472251358355</v>
      </c>
      <c r="I1194" s="12">
        <f t="shared" si="56"/>
        <v>8.1789429680055883E-2</v>
      </c>
      <c r="J1194" s="12">
        <f>G1194*(D1194*Assumptions!$B$6+E1194*Assumptions!$B$7)</f>
        <v>7.96131870913863E-3</v>
      </c>
    </row>
    <row r="1195" spans="1:10" x14ac:dyDescent="0.2">
      <c r="A1195" s="2">
        <v>1187</v>
      </c>
      <c r="B1195" s="14">
        <f>A1195*Assumptions!$B$12</f>
        <v>11.870000000000001</v>
      </c>
      <c r="C1195" s="15">
        <f>IF(A1195&lt;=Assumptions!$B$13,IF(OR(A1195=0,A1195=Assumptions!$B$13),0.5,1),0)*Assumptions!$B$12</f>
        <v>0.01</v>
      </c>
      <c r="D1195" s="12">
        <f>D1194*(1-Assumptions!$B$12*(Assumptions!$B$5+Assumptions!$B$6))</f>
        <v>0.70036515798736054</v>
      </c>
      <c r="E1195" s="12">
        <f>E1194+Assumptions!$B$12*(D1194*Assumptions!$B$5-E1194*Assumptions!$B$7)</f>
        <v>0.14805660964374598</v>
      </c>
      <c r="F1195" s="12">
        <f t="shared" si="54"/>
        <v>0.15157823236889348</v>
      </c>
      <c r="G1195" s="12">
        <f>EXP(-Assumptions!$B$8*B1195)</f>
        <v>0.5523905305348884</v>
      </c>
      <c r="H1195" s="12">
        <f t="shared" si="55"/>
        <v>0.38687508118878905</v>
      </c>
      <c r="I1195" s="12">
        <f t="shared" si="56"/>
        <v>8.1785069150305714E-2</v>
      </c>
      <c r="J1195" s="12">
        <f>G1195*(D1195*Assumptions!$B$6+E1195*Assumptions!$B$7)</f>
        <v>7.9580042694031763E-3</v>
      </c>
    </row>
    <row r="1196" spans="1:10" x14ac:dyDescent="0.2">
      <c r="A1196" s="2">
        <v>1188</v>
      </c>
      <c r="B1196" s="14">
        <f>A1196*Assumptions!$B$12</f>
        <v>11.88</v>
      </c>
      <c r="C1196" s="15">
        <f>IF(A1196&lt;=Assumptions!$B$13,IF(OR(A1196=0,A1196=Assumptions!$B$13),0.5,1),0)*Assumptions!$B$12</f>
        <v>0.01</v>
      </c>
      <c r="D1196" s="12">
        <f>D1195*(1-Assumptions!$B$12*(Assumptions!$B$5+Assumptions!$B$6))</f>
        <v>0.70015504843996434</v>
      </c>
      <c r="E1196" s="12">
        <f>E1195+Assumptions!$B$12*(D1195*Assumptions!$B$5-E1195*Assumptions!$B$7)</f>
        <v>0.14812265437052158</v>
      </c>
      <c r="F1196" s="12">
        <f t="shared" si="54"/>
        <v>0.15172229718951408</v>
      </c>
      <c r="G1196" s="12">
        <f>EXP(-Assumptions!$B$8*B1196)</f>
        <v>0.5521144043069306</v>
      </c>
      <c r="H1196" s="12">
        <f t="shared" si="55"/>
        <v>0.38656568749192105</v>
      </c>
      <c r="I1196" s="12">
        <f t="shared" si="56"/>
        <v>8.1780651082141886E-2</v>
      </c>
      <c r="J1196" s="12">
        <f>G1196*(D1196*Assumptions!$B$6+E1196*Assumptions!$B$7)</f>
        <v>7.954689429026305E-3</v>
      </c>
    </row>
    <row r="1197" spans="1:10" x14ac:dyDescent="0.2">
      <c r="A1197" s="2">
        <v>1189</v>
      </c>
      <c r="B1197" s="14">
        <f>A1197*Assumptions!$B$12</f>
        <v>11.89</v>
      </c>
      <c r="C1197" s="15">
        <f>IF(A1197&lt;=Assumptions!$B$13,IF(OR(A1197=0,A1197=Assumptions!$B$13),0.5,1),0)*Assumptions!$B$12</f>
        <v>0.01</v>
      </c>
      <c r="D1197" s="12">
        <f>D1196*(1-Assumptions!$B$12*(Assumptions!$B$5+Assumptions!$B$6))</f>
        <v>0.69994500192543241</v>
      </c>
      <c r="E1197" s="12">
        <f>E1196+Assumptions!$B$12*(D1196*Assumptions!$B$5-E1196*Assumptions!$B$7)</f>
        <v>0.1481886240530243</v>
      </c>
      <c r="F1197" s="12">
        <f t="shared" si="54"/>
        <v>0.15186637402154329</v>
      </c>
      <c r="G1197" s="12">
        <f>EXP(-Assumptions!$B$8*B1197)</f>
        <v>0.55183841610757667</v>
      </c>
      <c r="H1197" s="12">
        <f t="shared" si="55"/>
        <v>0.38625654122494535</v>
      </c>
      <c r="I1197" s="12">
        <f t="shared" si="56"/>
        <v>8.1776175582582072E-2</v>
      </c>
      <c r="J1197" s="12">
        <f>G1197*(D1197*Assumptions!$B$6+E1197*Assumptions!$B$7)</f>
        <v>7.9513741913785577E-3</v>
      </c>
    </row>
    <row r="1198" spans="1:10" x14ac:dyDescent="0.2">
      <c r="A1198" s="2">
        <v>1190</v>
      </c>
      <c r="B1198" s="14">
        <f>A1198*Assumptions!$B$12</f>
        <v>11.9</v>
      </c>
      <c r="C1198" s="15">
        <f>IF(A1198&lt;=Assumptions!$B$13,IF(OR(A1198=0,A1198=Assumptions!$B$13),0.5,1),0)*Assumptions!$B$12</f>
        <v>0.01</v>
      </c>
      <c r="D1198" s="12">
        <f>D1197*(1-Assumptions!$B$12*(Assumptions!$B$5+Assumptions!$B$6))</f>
        <v>0.69973501842485475</v>
      </c>
      <c r="E1198" s="12">
        <f>E1197+Assumptions!$B$12*(D1197*Assumptions!$B$5-E1197*Assumptions!$B$7)</f>
        <v>0.14825451874138287</v>
      </c>
      <c r="F1198" s="12">
        <f t="shared" si="54"/>
        <v>0.15201046283376238</v>
      </c>
      <c r="G1198" s="12">
        <f>EXP(-Assumptions!$B$8*B1198)</f>
        <v>0.5515625658678297</v>
      </c>
      <c r="H1198" s="12">
        <f t="shared" si="55"/>
        <v>0.38594764218998595</v>
      </c>
      <c r="I1198" s="12">
        <f t="shared" si="56"/>
        <v>8.1771642758497382E-2</v>
      </c>
      <c r="J1198" s="12">
        <f>G1198*(D1198*Assumptions!$B$6+E1198*Assumptions!$B$7)</f>
        <v>7.9480585598247291E-3</v>
      </c>
    </row>
    <row r="1199" spans="1:10" x14ac:dyDescent="0.2">
      <c r="A1199" s="2">
        <v>1191</v>
      </c>
      <c r="B1199" s="14">
        <f>A1199*Assumptions!$B$12</f>
        <v>11.91</v>
      </c>
      <c r="C1199" s="15">
        <f>IF(A1199&lt;=Assumptions!$B$13,IF(OR(A1199=0,A1199=Assumptions!$B$13),0.5,1),0)*Assumptions!$B$12</f>
        <v>0.01</v>
      </c>
      <c r="D1199" s="12">
        <f>D1198*(1-Assumptions!$B$12*(Assumptions!$B$5+Assumptions!$B$6))</f>
        <v>0.69952509791932727</v>
      </c>
      <c r="E1199" s="12">
        <f>E1198+Assumptions!$B$12*(D1198*Assumptions!$B$5-E1198*Assumptions!$B$7)</f>
        <v>0.14832033848569715</v>
      </c>
      <c r="F1199" s="12">
        <f t="shared" si="54"/>
        <v>0.15215456359497559</v>
      </c>
      <c r="G1199" s="12">
        <f>EXP(-Assumptions!$B$8*B1199)</f>
        <v>0.55128685351872708</v>
      </c>
      <c r="H1199" s="12">
        <f t="shared" si="55"/>
        <v>0.3856389901893254</v>
      </c>
      <c r="I1199" s="12">
        <f t="shared" si="56"/>
        <v>8.176705271661254E-2</v>
      </c>
      <c r="J1199" s="12">
        <f>G1199*(D1199*Assumptions!$B$6+E1199*Assumptions!$B$7)</f>
        <v>7.9447425377238822E-3</v>
      </c>
    </row>
    <row r="1200" spans="1:10" x14ac:dyDescent="0.2">
      <c r="A1200" s="2">
        <v>1192</v>
      </c>
      <c r="B1200" s="14">
        <f>A1200*Assumptions!$B$12</f>
        <v>11.92</v>
      </c>
      <c r="C1200" s="15">
        <f>IF(A1200&lt;=Assumptions!$B$13,IF(OR(A1200=0,A1200=Assumptions!$B$13),0.5,1),0)*Assumptions!$B$12</f>
        <v>0.01</v>
      </c>
      <c r="D1200" s="12">
        <f>D1199*(1-Assumptions!$B$12*(Assumptions!$B$5+Assumptions!$B$6))</f>
        <v>0.69931524038995152</v>
      </c>
      <c r="E1200" s="12">
        <f>E1199+Assumptions!$B$12*(D1199*Assumptions!$B$5-E1199*Assumptions!$B$7)</f>
        <v>0.14838608333603817</v>
      </c>
      <c r="F1200" s="12">
        <f t="shared" si="54"/>
        <v>0.15229867627401031</v>
      </c>
      <c r="G1200" s="12">
        <f>EXP(-Assumptions!$B$8*B1200)</f>
        <v>0.55101127899134072</v>
      </c>
      <c r="H1200" s="12">
        <f t="shared" si="55"/>
        <v>0.38533058502540407</v>
      </c>
      <c r="I1200" s="12">
        <f t="shared" si="56"/>
        <v>8.1762405563506058E-2</v>
      </c>
      <c r="J1200" s="12">
        <f>G1200*(D1200*Assumptions!$B$6+E1200*Assumptions!$B$7)</f>
        <v>7.941426128429345E-3</v>
      </c>
    </row>
    <row r="1201" spans="1:10" x14ac:dyDescent="0.2">
      <c r="A1201" s="2">
        <v>1193</v>
      </c>
      <c r="B1201" s="14">
        <f>A1201*Assumptions!$B$12</f>
        <v>11.93</v>
      </c>
      <c r="C1201" s="15">
        <f>IF(A1201&lt;=Assumptions!$B$13,IF(OR(A1201=0,A1201=Assumptions!$B$13),0.5,1),0)*Assumptions!$B$12</f>
        <v>0.01</v>
      </c>
      <c r="D1201" s="12">
        <f>D1200*(1-Assumptions!$B$12*(Assumptions!$B$5+Assumptions!$B$6))</f>
        <v>0.69910544581783451</v>
      </c>
      <c r="E1201" s="12">
        <f>E1200+Assumptions!$B$12*(D1200*Assumptions!$B$5-E1200*Assumptions!$B$7)</f>
        <v>0.14845175334244815</v>
      </c>
      <c r="F1201" s="12">
        <f t="shared" si="54"/>
        <v>0.15244280083971734</v>
      </c>
      <c r="G1201" s="12">
        <f>EXP(-Assumptions!$B$8*B1201)</f>
        <v>0.55073584221677696</v>
      </c>
      <c r="H1201" s="12">
        <f t="shared" si="55"/>
        <v>0.38502242650082041</v>
      </c>
      <c r="I1201" s="12">
        <f t="shared" si="56"/>
        <v>8.1757701405610408E-2</v>
      </c>
      <c r="J1201" s="12">
        <f>G1201*(D1201*Assumptions!$B$6+E1201*Assumptions!$B$7)</f>
        <v>7.9381093352887261E-3</v>
      </c>
    </row>
    <row r="1202" spans="1:10" x14ac:dyDescent="0.2">
      <c r="A1202" s="2">
        <v>1194</v>
      </c>
      <c r="B1202" s="14">
        <f>A1202*Assumptions!$B$12</f>
        <v>11.94</v>
      </c>
      <c r="C1202" s="15">
        <f>IF(A1202&lt;=Assumptions!$B$13,IF(OR(A1202=0,A1202=Assumptions!$B$13),0.5,1),0)*Assumptions!$B$12</f>
        <v>0.01</v>
      </c>
      <c r="D1202" s="12">
        <f>D1201*(1-Assumptions!$B$12*(Assumptions!$B$5+Assumptions!$B$6))</f>
        <v>0.69889571418408913</v>
      </c>
      <c r="E1202" s="12">
        <f>E1201+Assumptions!$B$12*(D1201*Assumptions!$B$5-E1201*Assumptions!$B$7)</f>
        <v>0.14851734855494048</v>
      </c>
      <c r="F1202" s="12">
        <f t="shared" si="54"/>
        <v>0.15258693726097039</v>
      </c>
      <c r="G1202" s="12">
        <f>EXP(-Assumptions!$B$8*B1202)</f>
        <v>0.55046054312617665</v>
      </c>
      <c r="H1202" s="12">
        <f t="shared" si="55"/>
        <v>0.38471451441833082</v>
      </c>
      <c r="I1202" s="12">
        <f t="shared" si="56"/>
        <v>8.1752940349212225E-2</v>
      </c>
      <c r="J1202" s="12">
        <f>G1202*(D1202*Assumptions!$B$6+E1202*Assumptions!$B$7)</f>
        <v>7.9347921616439183E-3</v>
      </c>
    </row>
    <row r="1203" spans="1:10" x14ac:dyDescent="0.2">
      <c r="A1203" s="2">
        <v>1195</v>
      </c>
      <c r="B1203" s="14">
        <f>A1203*Assumptions!$B$12</f>
        <v>11.950000000000001</v>
      </c>
      <c r="C1203" s="15">
        <f>IF(A1203&lt;=Assumptions!$B$13,IF(OR(A1203=0,A1203=Assumptions!$B$13),0.5,1),0)*Assumptions!$B$12</f>
        <v>0.01</v>
      </c>
      <c r="D1203" s="12">
        <f>D1202*(1-Assumptions!$B$12*(Assumptions!$B$5+Assumptions!$B$6))</f>
        <v>0.69868604546983393</v>
      </c>
      <c r="E1203" s="12">
        <f>E1202+Assumptions!$B$12*(D1202*Assumptions!$B$5-E1202*Assumptions!$B$7)</f>
        <v>0.14858286902349982</v>
      </c>
      <c r="F1203" s="12">
        <f t="shared" si="54"/>
        <v>0.15273108550666625</v>
      </c>
      <c r="G1203" s="12">
        <f>EXP(-Assumptions!$B$8*B1203)</f>
        <v>0.55018538165071496</v>
      </c>
      <c r="H1203" s="12">
        <f t="shared" si="55"/>
        <v>0.38440684858084934</v>
      </c>
      <c r="I1203" s="12">
        <f t="shared" si="56"/>
        <v>8.1748122500452436E-2</v>
      </c>
      <c r="J1203" s="12">
        <f>G1203*(D1203*Assumptions!$B$6+E1203*Assumptions!$B$7)</f>
        <v>7.9314746108311157E-3</v>
      </c>
    </row>
    <row r="1204" spans="1:10" x14ac:dyDescent="0.2">
      <c r="A1204" s="2">
        <v>1196</v>
      </c>
      <c r="B1204" s="14">
        <f>A1204*Assumptions!$B$12</f>
        <v>11.96</v>
      </c>
      <c r="C1204" s="15">
        <f>IF(A1204&lt;=Assumptions!$B$13,IF(OR(A1204=0,A1204=Assumptions!$B$13),0.5,1),0)*Assumptions!$B$12</f>
        <v>0.01</v>
      </c>
      <c r="D1204" s="12">
        <f>D1203*(1-Assumptions!$B$12*(Assumptions!$B$5+Assumptions!$B$6))</f>
        <v>0.69847643965619299</v>
      </c>
      <c r="E1204" s="12">
        <f>E1203+Assumptions!$B$12*(D1203*Assumptions!$B$5-E1203*Assumptions!$B$7)</f>
        <v>0.14864831479808205</v>
      </c>
      <c r="F1204" s="12">
        <f t="shared" si="54"/>
        <v>0.15287524554572496</v>
      </c>
      <c r="G1204" s="12">
        <f>EXP(-Assumptions!$B$8*B1204)</f>
        <v>0.54991035772160146</v>
      </c>
      <c r="H1204" s="12">
        <f t="shared" si="55"/>
        <v>0.38409942879144765</v>
      </c>
      <c r="I1204" s="12">
        <f t="shared" si="56"/>
        <v>8.1743247965326518E-2</v>
      </c>
      <c r="J1204" s="12">
        <f>G1204*(D1204*Assumptions!$B$6+E1204*Assumptions!$B$7)</f>
        <v>7.9281566861808036E-3</v>
      </c>
    </row>
    <row r="1205" spans="1:10" x14ac:dyDescent="0.2">
      <c r="A1205" s="2">
        <v>1197</v>
      </c>
      <c r="B1205" s="14">
        <f>A1205*Assumptions!$B$12</f>
        <v>11.97</v>
      </c>
      <c r="C1205" s="15">
        <f>IF(A1205&lt;=Assumptions!$B$13,IF(OR(A1205=0,A1205=Assumptions!$B$13),0.5,1),0)*Assumptions!$B$12</f>
        <v>0.01</v>
      </c>
      <c r="D1205" s="12">
        <f>D1204*(1-Assumptions!$B$12*(Assumptions!$B$5+Assumptions!$B$6))</f>
        <v>0.6982668967242962</v>
      </c>
      <c r="E1205" s="12">
        <f>E1204+Assumptions!$B$12*(D1204*Assumptions!$B$5-E1204*Assumptions!$B$7)</f>
        <v>0.14871368592861425</v>
      </c>
      <c r="F1205" s="12">
        <f t="shared" si="54"/>
        <v>0.15301941734708954</v>
      </c>
      <c r="G1205" s="12">
        <f>EXP(-Assumptions!$B$8*B1205)</f>
        <v>0.54963547127008039</v>
      </c>
      <c r="H1205" s="12">
        <f t="shared" si="55"/>
        <v>0.38379225485335511</v>
      </c>
      <c r="I1205" s="12">
        <f t="shared" si="56"/>
        <v>8.173831684968462E-2</v>
      </c>
      <c r="J1205" s="12">
        <f>G1205*(D1205*Assumptions!$B$6+E1205*Assumptions!$B$7)</f>
        <v>7.9248383910177824E-3</v>
      </c>
    </row>
    <row r="1206" spans="1:10" x14ac:dyDescent="0.2">
      <c r="A1206" s="2">
        <v>1198</v>
      </c>
      <c r="B1206" s="14">
        <f>A1206*Assumptions!$B$12</f>
        <v>11.98</v>
      </c>
      <c r="C1206" s="15">
        <f>IF(A1206&lt;=Assumptions!$B$13,IF(OR(A1206=0,A1206=Assumptions!$B$13),0.5,1),0)*Assumptions!$B$12</f>
        <v>0.01</v>
      </c>
      <c r="D1206" s="12">
        <f>D1205*(1-Assumptions!$B$12*(Assumptions!$B$5+Assumptions!$B$6))</f>
        <v>0.69805741665527898</v>
      </c>
      <c r="E1206" s="12">
        <f>E1205+Assumptions!$B$12*(D1205*Assumptions!$B$5-E1205*Assumptions!$B$7)</f>
        <v>0.1487789824649948</v>
      </c>
      <c r="F1206" s="12">
        <f t="shared" si="54"/>
        <v>0.15316360087972622</v>
      </c>
      <c r="G1206" s="12">
        <f>EXP(-Assumptions!$B$8*B1206)</f>
        <v>0.54936072222742993</v>
      </c>
      <c r="H1206" s="12">
        <f t="shared" si="55"/>
        <v>0.38348532656995804</v>
      </c>
      <c r="I1206" s="12">
        <f t="shared" si="56"/>
        <v>8.1733329259231671E-2</v>
      </c>
      <c r="J1206" s="12">
        <f>G1206*(D1206*Assumptions!$B$6+E1206*Assumptions!$B$7)</f>
        <v>7.9215197286611645E-3</v>
      </c>
    </row>
    <row r="1207" spans="1:10" x14ac:dyDescent="0.2">
      <c r="A1207" s="2">
        <v>1199</v>
      </c>
      <c r="B1207" s="14">
        <f>A1207*Assumptions!$B$12</f>
        <v>11.99</v>
      </c>
      <c r="C1207" s="15">
        <f>IF(A1207&lt;=Assumptions!$B$13,IF(OR(A1207=0,A1207=Assumptions!$B$13),0.5,1),0)*Assumptions!$B$12</f>
        <v>0.01</v>
      </c>
      <c r="D1207" s="12">
        <f>D1206*(1-Assumptions!$B$12*(Assumptions!$B$5+Assumptions!$B$6))</f>
        <v>0.69784799943028242</v>
      </c>
      <c r="E1207" s="12">
        <f>E1206+Assumptions!$B$12*(D1206*Assumptions!$B$5-E1206*Assumptions!$B$7)</f>
        <v>0.14884420445709334</v>
      </c>
      <c r="F1207" s="12">
        <f t="shared" si="54"/>
        <v>0.15330779611262424</v>
      </c>
      <c r="G1207" s="12">
        <f>EXP(-Assumptions!$B$8*B1207)</f>
        <v>0.54908611052496292</v>
      </c>
      <c r="H1207" s="12">
        <f t="shared" si="55"/>
        <v>0.38317864374480032</v>
      </c>
      <c r="I1207" s="12">
        <f t="shared" si="56"/>
        <v>8.1728285299527734E-2</v>
      </c>
      <c r="J1207" s="12">
        <f>G1207*(D1207*Assumptions!$B$6+E1207*Assumptions!$B$7)</f>
        <v>7.9182007024243897E-3</v>
      </c>
    </row>
    <row r="1208" spans="1:10" x14ac:dyDescent="0.2">
      <c r="A1208" s="2">
        <v>1200</v>
      </c>
      <c r="B1208" s="14">
        <f>A1208*Assumptions!$B$12</f>
        <v>12</v>
      </c>
      <c r="C1208" s="15">
        <f>IF(A1208&lt;=Assumptions!$B$13,IF(OR(A1208=0,A1208=Assumptions!$B$13),0.5,1),0)*Assumptions!$B$12</f>
        <v>0.01</v>
      </c>
      <c r="D1208" s="12">
        <f>D1207*(1-Assumptions!$B$12*(Assumptions!$B$5+Assumptions!$B$6))</f>
        <v>0.69763864503045336</v>
      </c>
      <c r="E1208" s="12">
        <f>E1207+Assumptions!$B$12*(D1207*Assumptions!$B$5-E1207*Assumptions!$B$7)</f>
        <v>0.14890935195475086</v>
      </c>
      <c r="F1208" s="12">
        <f t="shared" si="54"/>
        <v>0.15345200301479578</v>
      </c>
      <c r="G1208" s="12">
        <f>EXP(-Assumptions!$B$8*B1208)</f>
        <v>0.54881163609402639</v>
      </c>
      <c r="H1208" s="12">
        <f t="shared" si="55"/>
        <v>0.3828722061815828</v>
      </c>
      <c r="I1208" s="12">
        <f t="shared" si="56"/>
        <v>8.1723185075988025E-2</v>
      </c>
      <c r="J1208" s="12">
        <f>G1208*(D1208*Assumptions!$B$6+E1208*Assumptions!$B$7)</f>
        <v>7.9148813156152305E-3</v>
      </c>
    </row>
    <row r="1209" spans="1:10" x14ac:dyDescent="0.2">
      <c r="A1209" s="2">
        <v>1201</v>
      </c>
      <c r="B1209" s="14">
        <f>A1209*Assumptions!$B$12</f>
        <v>12.01</v>
      </c>
      <c r="C1209" s="15">
        <f>IF(A1209&lt;=Assumptions!$B$13,IF(OR(A1209=0,A1209=Assumptions!$B$13),0.5,1),0)*Assumptions!$B$12</f>
        <v>0.01</v>
      </c>
      <c r="D1209" s="12">
        <f>D1208*(1-Assumptions!$B$12*(Assumptions!$B$5+Assumptions!$B$6))</f>
        <v>0.69742935343694423</v>
      </c>
      <c r="E1209" s="12">
        <f>E1208+Assumptions!$B$12*(D1208*Assumptions!$B$5-E1208*Assumptions!$B$7)</f>
        <v>0.14897442500777958</v>
      </c>
      <c r="F1209" s="12">
        <f t="shared" si="54"/>
        <v>0.15359622155527619</v>
      </c>
      <c r="G1209" s="12">
        <f>EXP(-Assumptions!$B$8*B1209)</f>
        <v>0.54853729886600178</v>
      </c>
      <c r="H1209" s="12">
        <f t="shared" si="55"/>
        <v>0.38256601368416349</v>
      </c>
      <c r="I1209" s="12">
        <f t="shared" si="56"/>
        <v>8.1718028693883157E-2</v>
      </c>
      <c r="J1209" s="12">
        <f>G1209*(D1209*Assumptions!$B$6+E1209*Assumptions!$B$7)</f>
        <v>7.9115615715357919E-3</v>
      </c>
    </row>
    <row r="1210" spans="1:10" x14ac:dyDescent="0.2">
      <c r="A1210" s="2">
        <v>1202</v>
      </c>
      <c r="B1210" s="14">
        <f>A1210*Assumptions!$B$12</f>
        <v>12.02</v>
      </c>
      <c r="C1210" s="15">
        <f>IF(A1210&lt;=Assumptions!$B$13,IF(OR(A1210=0,A1210=Assumptions!$B$13),0.5,1),0)*Assumptions!$B$12</f>
        <v>0.01</v>
      </c>
      <c r="D1210" s="12">
        <f>D1209*(1-Assumptions!$B$12*(Assumptions!$B$5+Assumptions!$B$6))</f>
        <v>0.69722012463091321</v>
      </c>
      <c r="E1210" s="12">
        <f>E1209+Assumptions!$B$12*(D1209*Assumptions!$B$5-E1209*Assumptions!$B$7)</f>
        <v>0.14903942366596307</v>
      </c>
      <c r="F1210" s="12">
        <f t="shared" si="54"/>
        <v>0.15374045170312373</v>
      </c>
      <c r="G1210" s="12">
        <f>EXP(-Assumptions!$B$8*B1210)</f>
        <v>0.54826309877230472</v>
      </c>
      <c r="H1210" s="12">
        <f t="shared" si="55"/>
        <v>0.38226006605655699</v>
      </c>
      <c r="I1210" s="12">
        <f t="shared" si="56"/>
        <v>8.1712816258339274E-2</v>
      </c>
      <c r="J1210" s="12">
        <f>G1210*(D1210*Assumptions!$B$6+E1210*Assumptions!$B$7)</f>
        <v>7.9082414734825343E-3</v>
      </c>
    </row>
    <row r="1211" spans="1:10" x14ac:dyDescent="0.2">
      <c r="A1211" s="2">
        <v>1203</v>
      </c>
      <c r="B1211" s="14">
        <f>A1211*Assumptions!$B$12</f>
        <v>12.030000000000001</v>
      </c>
      <c r="C1211" s="15">
        <f>IF(A1211&lt;=Assumptions!$B$13,IF(OR(A1211=0,A1211=Assumptions!$B$13),0.5,1),0)*Assumptions!$B$12</f>
        <v>0.01</v>
      </c>
      <c r="D1211" s="12">
        <f>D1210*(1-Assumptions!$B$12*(Assumptions!$B$5+Assumptions!$B$6))</f>
        <v>0.69701095859352391</v>
      </c>
      <c r="E1211" s="12">
        <f>E1210+Assumptions!$B$12*(D1210*Assumptions!$B$5-E1210*Assumptions!$B$7)</f>
        <v>0.14910434797905628</v>
      </c>
      <c r="F1211" s="12">
        <f t="shared" si="54"/>
        <v>0.15388469342741981</v>
      </c>
      <c r="G1211" s="12">
        <f>EXP(-Assumptions!$B$8*B1211)</f>
        <v>0.54798903574438507</v>
      </c>
      <c r="H1211" s="12">
        <f t="shared" si="55"/>
        <v>0.38195436310293468</v>
      </c>
      <c r="I1211" s="12">
        <f t="shared" si="56"/>
        <v>8.1707547874338302E-2</v>
      </c>
      <c r="J1211" s="12">
        <f>G1211*(D1211*Assumptions!$B$6+E1211*Assumptions!$B$7)</f>
        <v>7.9049210247462628E-3</v>
      </c>
    </row>
    <row r="1212" spans="1:10" x14ac:dyDescent="0.2">
      <c r="A1212" s="2">
        <v>1204</v>
      </c>
      <c r="B1212" s="14">
        <f>A1212*Assumptions!$B$12</f>
        <v>12.040000000000001</v>
      </c>
      <c r="C1212" s="15">
        <f>IF(A1212&lt;=Assumptions!$B$13,IF(OR(A1212=0,A1212=Assumptions!$B$13),0.5,1),0)*Assumptions!$B$12</f>
        <v>0.01</v>
      </c>
      <c r="D1212" s="12">
        <f>D1211*(1-Assumptions!$B$12*(Assumptions!$B$5+Assumptions!$B$6))</f>
        <v>0.69680185530594585</v>
      </c>
      <c r="E1212" s="12">
        <f>E1211+Assumptions!$B$12*(D1211*Assumptions!$B$5-E1211*Assumptions!$B$7)</f>
        <v>0.14916919799678546</v>
      </c>
      <c r="F1212" s="12">
        <f t="shared" si="54"/>
        <v>0.15402894669726869</v>
      </c>
      <c r="G1212" s="12">
        <f>EXP(-Assumptions!$B$8*B1212)</f>
        <v>0.54771510971372739</v>
      </c>
      <c r="H1212" s="12">
        <f t="shared" si="55"/>
        <v>0.38164890462762491</v>
      </c>
      <c r="I1212" s="12">
        <f t="shared" si="56"/>
        <v>8.1702223646718072E-2</v>
      </c>
      <c r="J1212" s="12">
        <f>G1212*(D1212*Assumptions!$B$6+E1212*Assumptions!$B$7)</f>
        <v>7.9016002286121535E-3</v>
      </c>
    </row>
    <row r="1213" spans="1:10" x14ac:dyDescent="0.2">
      <c r="A1213" s="2">
        <v>1205</v>
      </c>
      <c r="B1213" s="14">
        <f>A1213*Assumptions!$B$12</f>
        <v>12.05</v>
      </c>
      <c r="C1213" s="15">
        <f>IF(A1213&lt;=Assumptions!$B$13,IF(OR(A1213=0,A1213=Assumptions!$B$13),0.5,1),0)*Assumptions!$B$12</f>
        <v>0.01</v>
      </c>
      <c r="D1213" s="12">
        <f>D1212*(1-Assumptions!$B$12*(Assumptions!$B$5+Assumptions!$B$6))</f>
        <v>0.69659281474935408</v>
      </c>
      <c r="E1213" s="12">
        <f>E1212+Assumptions!$B$12*(D1212*Assumptions!$B$5-E1212*Assumptions!$B$7)</f>
        <v>0.14923397376884825</v>
      </c>
      <c r="F1213" s="12">
        <f t="shared" si="54"/>
        <v>0.15417321148179766</v>
      </c>
      <c r="G1213" s="12">
        <f>EXP(-Assumptions!$B$8*B1213)</f>
        <v>0.54744132061185002</v>
      </c>
      <c r="H1213" s="12">
        <f t="shared" si="55"/>
        <v>0.38134369043511218</v>
      </c>
      <c r="I1213" s="12">
        <f t="shared" si="56"/>
        <v>8.1696843680172479E-2</v>
      </c>
      <c r="J1213" s="12">
        <f>G1213*(D1213*Assumptions!$B$6+E1213*Assumptions!$B$7)</f>
        <v>7.898279088359746E-3</v>
      </c>
    </row>
    <row r="1214" spans="1:10" x14ac:dyDescent="0.2">
      <c r="A1214" s="2">
        <v>1206</v>
      </c>
      <c r="B1214" s="14">
        <f>A1214*Assumptions!$B$12</f>
        <v>12.06</v>
      </c>
      <c r="C1214" s="15">
        <f>IF(A1214&lt;=Assumptions!$B$13,IF(OR(A1214=0,A1214=Assumptions!$B$13),0.5,1),0)*Assumptions!$B$12</f>
        <v>0.01</v>
      </c>
      <c r="D1214" s="12">
        <f>D1213*(1-Assumptions!$B$12*(Assumptions!$B$5+Assumptions!$B$6))</f>
        <v>0.69638383690492933</v>
      </c>
      <c r="E1214" s="12">
        <f>E1213+Assumptions!$B$12*(D1213*Assumptions!$B$5-E1213*Assumptions!$B$7)</f>
        <v>0.1492986753449137</v>
      </c>
      <c r="F1214" s="12">
        <f t="shared" si="54"/>
        <v>0.15431748775015697</v>
      </c>
      <c r="G1214" s="12">
        <f>EXP(-Assumptions!$B$8*B1214)</f>
        <v>0.5471676683703055</v>
      </c>
      <c r="H1214" s="12">
        <f t="shared" si="55"/>
        <v>0.38103872033003727</v>
      </c>
      <c r="I1214" s="12">
        <f t="shared" si="56"/>
        <v>8.169140807925164E-2</v>
      </c>
      <c r="J1214" s="12">
        <f>G1214*(D1214*Assumptions!$B$6+E1214*Assumptions!$B$7)</f>
        <v>7.8949576072629545E-3</v>
      </c>
    </row>
    <row r="1215" spans="1:10" x14ac:dyDescent="0.2">
      <c r="A1215" s="2">
        <v>1207</v>
      </c>
      <c r="B1215" s="14">
        <f>A1215*Assumptions!$B$12</f>
        <v>12.07</v>
      </c>
      <c r="C1215" s="15">
        <f>IF(A1215&lt;=Assumptions!$B$13,IF(OR(A1215=0,A1215=Assumptions!$B$13),0.5,1),0)*Assumptions!$B$12</f>
        <v>0.01</v>
      </c>
      <c r="D1215" s="12">
        <f>D1214*(1-Assumptions!$B$12*(Assumptions!$B$5+Assumptions!$B$6))</f>
        <v>0.69617492175385787</v>
      </c>
      <c r="E1215" s="12">
        <f>E1214+Assumptions!$B$12*(D1214*Assumptions!$B$5-E1214*Assumptions!$B$7)</f>
        <v>0.14936330277462223</v>
      </c>
      <c r="F1215" s="12">
        <f t="shared" si="54"/>
        <v>0.1544617754715199</v>
      </c>
      <c r="G1215" s="12">
        <f>EXP(-Assumptions!$B$8*B1215)</f>
        <v>0.546894152920681</v>
      </c>
      <c r="H1215" s="12">
        <f t="shared" si="55"/>
        <v>0.38073399411719749</v>
      </c>
      <c r="I1215" s="12">
        <f t="shared" si="56"/>
        <v>8.1685916948362233E-2</v>
      </c>
      <c r="J1215" s="12">
        <f>G1215*(D1215*Assumptions!$B$6+E1215*Assumptions!$B$7)</f>
        <v>7.8916357885900866E-3</v>
      </c>
    </row>
    <row r="1216" spans="1:10" x14ac:dyDescent="0.2">
      <c r="A1216" s="2">
        <v>1208</v>
      </c>
      <c r="B1216" s="14">
        <f>A1216*Assumptions!$B$12</f>
        <v>12.08</v>
      </c>
      <c r="C1216" s="15">
        <f>IF(A1216&lt;=Assumptions!$B$13,IF(OR(A1216=0,A1216=Assumptions!$B$13),0.5,1),0)*Assumptions!$B$12</f>
        <v>0.01</v>
      </c>
      <c r="D1216" s="12">
        <f>D1215*(1-Assumptions!$B$12*(Assumptions!$B$5+Assumptions!$B$6))</f>
        <v>0.69596606927733173</v>
      </c>
      <c r="E1216" s="12">
        <f>E1215+Assumptions!$B$12*(D1215*Assumptions!$B$5-E1215*Assumptions!$B$7)</f>
        <v>0.14942785610758569</v>
      </c>
      <c r="F1216" s="12">
        <f t="shared" si="54"/>
        <v>0.15460607461508258</v>
      </c>
      <c r="G1216" s="12">
        <f>EXP(-Assumptions!$B$8*B1216)</f>
        <v>0.54662077419459754</v>
      </c>
      <c r="H1216" s="12">
        <f t="shared" si="55"/>
        <v>0.38042951160154598</v>
      </c>
      <c r="I1216" s="12">
        <f t="shared" si="56"/>
        <v>8.1680370391767412E-2</v>
      </c>
      <c r="J1216" s="12">
        <f>G1216*(D1216*Assumptions!$B$6+E1216*Assumptions!$B$7)</f>
        <v>7.8883136356038309E-3</v>
      </c>
    </row>
    <row r="1217" spans="1:10" x14ac:dyDescent="0.2">
      <c r="A1217" s="2">
        <v>1209</v>
      </c>
      <c r="B1217" s="14">
        <f>A1217*Assumptions!$B$12</f>
        <v>12.09</v>
      </c>
      <c r="C1217" s="15">
        <f>IF(A1217&lt;=Assumptions!$B$13,IF(OR(A1217=0,A1217=Assumptions!$B$13),0.5,1),0)*Assumptions!$B$12</f>
        <v>0.01</v>
      </c>
      <c r="D1217" s="12">
        <f>D1216*(1-Assumptions!$B$12*(Assumptions!$B$5+Assumptions!$B$6))</f>
        <v>0.69575727945654853</v>
      </c>
      <c r="E1217" s="12">
        <f>E1216+Assumptions!$B$12*(D1216*Assumptions!$B$5-E1216*Assumptions!$B$7)</f>
        <v>0.14949233539338735</v>
      </c>
      <c r="F1217" s="12">
        <f t="shared" si="54"/>
        <v>0.15475038515006412</v>
      </c>
      <c r="G1217" s="12">
        <f>EXP(-Assumptions!$B$8*B1217)</f>
        <v>0.54634753212371057</v>
      </c>
      <c r="H1217" s="12">
        <f t="shared" si="55"/>
        <v>0.38012527258819212</v>
      </c>
      <c r="I1217" s="12">
        <f t="shared" si="56"/>
        <v>8.1674768513587209E-2</v>
      </c>
      <c r="J1217" s="12">
        <f>G1217*(D1217*Assumptions!$B$6+E1217*Assumptions!$B$7)</f>
        <v>7.8849911515612818E-3</v>
      </c>
    </row>
    <row r="1218" spans="1:10" x14ac:dyDescent="0.2">
      <c r="A1218" s="2">
        <v>1210</v>
      </c>
      <c r="B1218" s="14">
        <f>A1218*Assumptions!$B$12</f>
        <v>12.1</v>
      </c>
      <c r="C1218" s="15">
        <f>IF(A1218&lt;=Assumptions!$B$13,IF(OR(A1218=0,A1218=Assumptions!$B$13),0.5,1),0)*Assumptions!$B$12</f>
        <v>0.01</v>
      </c>
      <c r="D1218" s="12">
        <f>D1217*(1-Assumptions!$B$12*(Assumptions!$B$5+Assumptions!$B$6))</f>
        <v>0.69554855227271162</v>
      </c>
      <c r="E1218" s="12">
        <f>E1217+Assumptions!$B$12*(D1217*Assumptions!$B$5-E1217*Assumptions!$B$7)</f>
        <v>0.14955674068158198</v>
      </c>
      <c r="F1218" s="12">
        <f t="shared" si="54"/>
        <v>0.1548947070457064</v>
      </c>
      <c r="G1218" s="12">
        <f>EXP(-Assumptions!$B$8*B1218)</f>
        <v>0.5460744266397094</v>
      </c>
      <c r="H1218" s="12">
        <f t="shared" si="55"/>
        <v>0.37982127688240092</v>
      </c>
      <c r="I1218" s="12">
        <f t="shared" si="56"/>
        <v>8.1669111417798576E-2</v>
      </c>
      <c r="J1218" s="12">
        <f>G1218*(D1218*Assumptions!$B$6+E1218*Assumptions!$B$7)</f>
        <v>7.8816683397139372E-3</v>
      </c>
    </row>
    <row r="1219" spans="1:10" x14ac:dyDescent="0.2">
      <c r="A1219" s="2">
        <v>1211</v>
      </c>
      <c r="B1219" s="14">
        <f>A1219*Assumptions!$B$12</f>
        <v>12.11</v>
      </c>
      <c r="C1219" s="15">
        <f>IF(A1219&lt;=Assumptions!$B$13,IF(OR(A1219=0,A1219=Assumptions!$B$13),0.5,1),0)*Assumptions!$B$12</f>
        <v>0.01</v>
      </c>
      <c r="D1219" s="12">
        <f>D1218*(1-Assumptions!$B$12*(Assumptions!$B$5+Assumptions!$B$6))</f>
        <v>0.69533988770702981</v>
      </c>
      <c r="E1219" s="12">
        <f>E1218+Assumptions!$B$12*(D1218*Assumptions!$B$5-E1218*Assumptions!$B$7)</f>
        <v>0.14962107202169572</v>
      </c>
      <c r="F1219" s="12">
        <f t="shared" si="54"/>
        <v>0.15503904027127446</v>
      </c>
      <c r="G1219" s="12">
        <f>EXP(-Assumptions!$B$8*B1219)</f>
        <v>0.54580145767431776</v>
      </c>
      <c r="H1219" s="12">
        <f t="shared" si="55"/>
        <v>0.37951752428959329</v>
      </c>
      <c r="I1219" s="12">
        <f t="shared" si="56"/>
        <v>8.1663399208235607E-2</v>
      </c>
      <c r="J1219" s="12">
        <f>G1219*(D1219*Assumptions!$B$6+E1219*Assumptions!$B$7)</f>
        <v>7.8783452033077146E-3</v>
      </c>
    </row>
    <row r="1220" spans="1:10" x14ac:dyDescent="0.2">
      <c r="A1220" s="2">
        <v>1212</v>
      </c>
      <c r="B1220" s="14">
        <f>A1220*Assumptions!$B$12</f>
        <v>12.120000000000001</v>
      </c>
      <c r="C1220" s="15">
        <f>IF(A1220&lt;=Assumptions!$B$13,IF(OR(A1220=0,A1220=Assumptions!$B$13),0.5,1),0)*Assumptions!$B$12</f>
        <v>0.01</v>
      </c>
      <c r="D1220" s="12">
        <f>D1219*(1-Assumptions!$B$12*(Assumptions!$B$5+Assumptions!$B$6))</f>
        <v>0.6951312857407177</v>
      </c>
      <c r="E1220" s="12">
        <f>E1219+Assumptions!$B$12*(D1219*Assumptions!$B$5-E1219*Assumptions!$B$7)</f>
        <v>0.14968532946322627</v>
      </c>
      <c r="F1220" s="12">
        <f t="shared" si="54"/>
        <v>0.15518338479605603</v>
      </c>
      <c r="G1220" s="12">
        <f>EXP(-Assumptions!$B$8*B1220)</f>
        <v>0.54552862515929335</v>
      </c>
      <c r="H1220" s="12">
        <f t="shared" si="55"/>
        <v>0.3792140146153456</v>
      </c>
      <c r="I1220" s="12">
        <f t="shared" si="56"/>
        <v>8.1657631988589691E-2</v>
      </c>
      <c r="J1220" s="12">
        <f>G1220*(D1220*Assumptions!$B$6+E1220*Assumptions!$B$7)</f>
        <v>7.8750217455829403E-3</v>
      </c>
    </row>
    <row r="1221" spans="1:10" x14ac:dyDescent="0.2">
      <c r="A1221" s="2">
        <v>1213</v>
      </c>
      <c r="B1221" s="14">
        <f>A1221*Assumptions!$B$12</f>
        <v>12.13</v>
      </c>
      <c r="C1221" s="15">
        <f>IF(A1221&lt;=Assumptions!$B$13,IF(OR(A1221=0,A1221=Assumptions!$B$13),0.5,1),0)*Assumptions!$B$12</f>
        <v>0.01</v>
      </c>
      <c r="D1221" s="12">
        <f>D1220*(1-Assumptions!$B$12*(Assumptions!$B$5+Assumptions!$B$6))</f>
        <v>0.69492274635499551</v>
      </c>
      <c r="E1221" s="12">
        <f>E1220+Assumptions!$B$12*(D1220*Assumptions!$B$5-E1220*Assumptions!$B$7)</f>
        <v>0.1497495130556428</v>
      </c>
      <c r="F1221" s="12">
        <f t="shared" si="54"/>
        <v>0.15532774058936169</v>
      </c>
      <c r="G1221" s="12">
        <f>EXP(-Assumptions!$B$8*B1221)</f>
        <v>0.54525592902642805</v>
      </c>
      <c r="H1221" s="12">
        <f t="shared" si="55"/>
        <v>0.3789107476653899</v>
      </c>
      <c r="I1221" s="12">
        <f t="shared" si="56"/>
        <v>8.1651809862409733E-2</v>
      </c>
      <c r="J1221" s="12">
        <f>G1221*(D1221*Assumptions!$B$6+E1221*Assumptions!$B$7)</f>
        <v>7.8716979697743862E-3</v>
      </c>
    </row>
    <row r="1222" spans="1:10" x14ac:dyDescent="0.2">
      <c r="A1222" s="2">
        <v>1214</v>
      </c>
      <c r="B1222" s="14">
        <f>A1222*Assumptions!$B$12</f>
        <v>12.14</v>
      </c>
      <c r="C1222" s="15">
        <f>IF(A1222&lt;=Assumptions!$B$13,IF(OR(A1222=0,A1222=Assumptions!$B$13),0.5,1),0)*Assumptions!$B$12</f>
        <v>0.01</v>
      </c>
      <c r="D1222" s="12">
        <f>D1221*(1-Assumptions!$B$12*(Assumptions!$B$5+Assumptions!$B$6))</f>
        <v>0.69471426953108906</v>
      </c>
      <c r="E1222" s="12">
        <f>E1221+Assumptions!$B$12*(D1221*Assumptions!$B$5-E1221*Assumptions!$B$7)</f>
        <v>0.14981362284838598</v>
      </c>
      <c r="F1222" s="12">
        <f t="shared" si="54"/>
        <v>0.15547210762052496</v>
      </c>
      <c r="G1222" s="12">
        <f>EXP(-Assumptions!$B$8*B1222)</f>
        <v>0.54498336920754786</v>
      </c>
      <c r="H1222" s="12">
        <f t="shared" si="55"/>
        <v>0.37860772324561343</v>
      </c>
      <c r="I1222" s="12">
        <f t="shared" si="56"/>
        <v>8.1645932933102267E-2</v>
      </c>
      <c r="J1222" s="12">
        <f>G1222*(D1222*Assumptions!$B$6+E1222*Assumptions!$B$7)</f>
        <v>7.868373879111247E-3</v>
      </c>
    </row>
    <row r="1223" spans="1:10" x14ac:dyDescent="0.2">
      <c r="A1223" s="2">
        <v>1215</v>
      </c>
      <c r="B1223" s="14">
        <f>A1223*Assumptions!$B$12</f>
        <v>12.15</v>
      </c>
      <c r="C1223" s="15">
        <f>IF(A1223&lt;=Assumptions!$B$13,IF(OR(A1223=0,A1223=Assumptions!$B$13),0.5,1),0)*Assumptions!$B$12</f>
        <v>0.01</v>
      </c>
      <c r="D1223" s="12">
        <f>D1222*(1-Assumptions!$B$12*(Assumptions!$B$5+Assumptions!$B$6))</f>
        <v>0.69450585525022979</v>
      </c>
      <c r="E1223" s="12">
        <f>E1222+Assumptions!$B$12*(D1222*Assumptions!$B$5-E1222*Assumptions!$B$7)</f>
        <v>0.14987765889086802</v>
      </c>
      <c r="F1223" s="12">
        <f t="shared" si="54"/>
        <v>0.1556164858589022</v>
      </c>
      <c r="G1223" s="12">
        <f>EXP(-Assumptions!$B$8*B1223)</f>
        <v>0.54471094563451294</v>
      </c>
      <c r="H1223" s="12">
        <f t="shared" si="55"/>
        <v>0.37830494116205882</v>
      </c>
      <c r="I1223" s="12">
        <f t="shared" si="56"/>
        <v>8.1640001303931689E-2</v>
      </c>
      <c r="J1223" s="12">
        <f>G1223*(D1223*Assumptions!$B$6+E1223*Assumptions!$B$7)</f>
        <v>7.8650494768171732E-3</v>
      </c>
    </row>
    <row r="1224" spans="1:10" x14ac:dyDescent="0.2">
      <c r="A1224" s="2">
        <v>1216</v>
      </c>
      <c r="B1224" s="14">
        <f>A1224*Assumptions!$B$12</f>
        <v>12.16</v>
      </c>
      <c r="C1224" s="15">
        <f>IF(A1224&lt;=Assumptions!$B$13,IF(OR(A1224=0,A1224=Assumptions!$B$13),0.5,1),0)*Assumptions!$B$12</f>
        <v>0.01</v>
      </c>
      <c r="D1224" s="12">
        <f>D1223*(1-Assumptions!$B$12*(Assumptions!$B$5+Assumptions!$B$6))</f>
        <v>0.69429750349365471</v>
      </c>
      <c r="E1224" s="12">
        <f>E1223+Assumptions!$B$12*(D1223*Assumptions!$B$5-E1223*Assumptions!$B$7)</f>
        <v>0.14994162123247262</v>
      </c>
      <c r="F1224" s="12">
        <f t="shared" ref="F1224:F1287" si="57">1-D1224-E1224</f>
        <v>0.15576087527387267</v>
      </c>
      <c r="G1224" s="12">
        <f>EXP(-Assumptions!$B$8*B1224)</f>
        <v>0.54443865823921711</v>
      </c>
      <c r="H1224" s="12">
        <f t="shared" ref="H1224:H1287" si="58">G1224*D1224</f>
        <v>0.37800240122092355</v>
      </c>
      <c r="I1224" s="12">
        <f t="shared" ref="I1224:I1287" si="59">G1224*E1224</f>
        <v>8.1634015078020303E-2</v>
      </c>
      <c r="J1224" s="12">
        <f>G1224*(D1224*Assumptions!$B$6+E1224*Assumptions!$B$7)</f>
        <v>7.8617247661102504E-3</v>
      </c>
    </row>
    <row r="1225" spans="1:10" x14ac:dyDescent="0.2">
      <c r="A1225" s="2">
        <v>1217</v>
      </c>
      <c r="B1225" s="14">
        <f>A1225*Assumptions!$B$12</f>
        <v>12.17</v>
      </c>
      <c r="C1225" s="15">
        <f>IF(A1225&lt;=Assumptions!$B$13,IF(OR(A1225=0,A1225=Assumptions!$B$13),0.5,1),0)*Assumptions!$B$12</f>
        <v>0.01</v>
      </c>
      <c r="D1225" s="12">
        <f>D1224*(1-Assumptions!$B$12*(Assumptions!$B$5+Assumptions!$B$6))</f>
        <v>0.69408921424260661</v>
      </c>
      <c r="E1225" s="12">
        <f>E1224+Assumptions!$B$12*(D1224*Assumptions!$B$5-E1224*Assumptions!$B$7)</f>
        <v>0.15000550992255512</v>
      </c>
      <c r="F1225" s="12">
        <f t="shared" si="57"/>
        <v>0.15590527583483826</v>
      </c>
      <c r="G1225" s="12">
        <f>EXP(-Assumptions!$B$8*B1225)</f>
        <v>0.5441665069535887</v>
      </c>
      <c r="H1225" s="12">
        <f t="shared" si="58"/>
        <v>0.37770010322856029</v>
      </c>
      <c r="I1225" s="12">
        <f t="shared" si="59"/>
        <v>8.1627974358348718E-2</v>
      </c>
      <c r="J1225" s="12">
        <f>G1225*(D1225*Assumptions!$B$6+E1225*Assumptions!$B$7)</f>
        <v>7.8583997502030389E-3</v>
      </c>
    </row>
    <row r="1226" spans="1:10" x14ac:dyDescent="0.2">
      <c r="A1226" s="2">
        <v>1218</v>
      </c>
      <c r="B1226" s="14">
        <f>A1226*Assumptions!$B$12</f>
        <v>12.18</v>
      </c>
      <c r="C1226" s="15">
        <f>IF(A1226&lt;=Assumptions!$B$13,IF(OR(A1226=0,A1226=Assumptions!$B$13),0.5,1),0)*Assumptions!$B$12</f>
        <v>0.01</v>
      </c>
      <c r="D1226" s="12">
        <f>D1225*(1-Assumptions!$B$12*(Assumptions!$B$5+Assumptions!$B$6))</f>
        <v>0.69388098747833382</v>
      </c>
      <c r="E1226" s="12">
        <f>E1225+Assumptions!$B$12*(D1225*Assumptions!$B$5-E1225*Assumptions!$B$7)</f>
        <v>0.15006932501044237</v>
      </c>
      <c r="F1226" s="12">
        <f t="shared" si="57"/>
        <v>0.15604968751122381</v>
      </c>
      <c r="G1226" s="12">
        <f>EXP(-Assumptions!$B$8*B1226)</f>
        <v>0.54389449170958992</v>
      </c>
      <c r="H1226" s="12">
        <f t="shared" si="58"/>
        <v>0.37739804699147672</v>
      </c>
      <c r="I1226" s="12">
        <f t="shared" si="59"/>
        <v>8.162187924775581E-2</v>
      </c>
      <c r="J1226" s="12">
        <f>G1226*(D1226*Assumptions!$B$6+E1226*Assumptions!$B$7)</f>
        <v>7.8550744323025584E-3</v>
      </c>
    </row>
    <row r="1227" spans="1:10" x14ac:dyDescent="0.2">
      <c r="A1227" s="2">
        <v>1219</v>
      </c>
      <c r="B1227" s="14">
        <f>A1227*Assumptions!$B$12</f>
        <v>12.19</v>
      </c>
      <c r="C1227" s="15">
        <f>IF(A1227&lt;=Assumptions!$B$13,IF(OR(A1227=0,A1227=Assumptions!$B$13),0.5,1),0)*Assumptions!$B$12</f>
        <v>0.01</v>
      </c>
      <c r="D1227" s="12">
        <f>D1226*(1-Assumptions!$B$12*(Assumptions!$B$5+Assumptions!$B$6))</f>
        <v>0.69367282318209034</v>
      </c>
      <c r="E1227" s="12">
        <f>E1226+Assumptions!$B$12*(D1226*Assumptions!$B$5-E1226*Assumptions!$B$7)</f>
        <v>0.15013306654543282</v>
      </c>
      <c r="F1227" s="12">
        <f t="shared" si="57"/>
        <v>0.15619411027247684</v>
      </c>
      <c r="G1227" s="12">
        <f>EXP(-Assumptions!$B$8*B1227)</f>
        <v>0.54362261243921683</v>
      </c>
      <c r="H1227" s="12">
        <f t="shared" si="58"/>
        <v>0.37709623231633488</v>
      </c>
      <c r="I1227" s="12">
        <f t="shared" si="59"/>
        <v>8.1615729848938973E-2</v>
      </c>
      <c r="J1227" s="12">
        <f>G1227*(D1227*Assumptions!$B$6+E1227*Assumptions!$B$7)</f>
        <v>7.8517488156102985E-3</v>
      </c>
    </row>
    <row r="1228" spans="1:10" x14ac:dyDescent="0.2">
      <c r="A1228" s="2">
        <v>1220</v>
      </c>
      <c r="B1228" s="14">
        <f>A1228*Assumptions!$B$12</f>
        <v>12.200000000000001</v>
      </c>
      <c r="C1228" s="15">
        <f>IF(A1228&lt;=Assumptions!$B$13,IF(OR(A1228=0,A1228=Assumptions!$B$13),0.5,1),0)*Assumptions!$B$12</f>
        <v>0.01</v>
      </c>
      <c r="D1228" s="12">
        <f>D1227*(1-Assumptions!$B$12*(Assumptions!$B$5+Assumptions!$B$6))</f>
        <v>0.6934647213351357</v>
      </c>
      <c r="E1228" s="12">
        <f>E1227+Assumptions!$B$12*(D1227*Assumptions!$B$5-E1227*Assumptions!$B$7)</f>
        <v>0.15019673457679653</v>
      </c>
      <c r="F1228" s="12">
        <f t="shared" si="57"/>
        <v>0.15633854408806777</v>
      </c>
      <c r="G1228" s="12">
        <f>EXP(-Assumptions!$B$8*B1228)</f>
        <v>0.5433508690744997</v>
      </c>
      <c r="H1228" s="12">
        <f t="shared" si="58"/>
        <v>0.37679465900995174</v>
      </c>
      <c r="I1228" s="12">
        <f t="shared" si="59"/>
        <v>8.1609526264454349E-2</v>
      </c>
      <c r="J1228" s="12">
        <f>G1228*(D1228*Assumptions!$B$6+E1228*Assumptions!$B$7)</f>
        <v>7.8484229033222355E-3</v>
      </c>
    </row>
    <row r="1229" spans="1:10" x14ac:dyDescent="0.2">
      <c r="A1229" s="2">
        <v>1221</v>
      </c>
      <c r="B1229" s="14">
        <f>A1229*Assumptions!$B$12</f>
        <v>12.21</v>
      </c>
      <c r="C1229" s="15">
        <f>IF(A1229&lt;=Assumptions!$B$13,IF(OR(A1229=0,A1229=Assumptions!$B$13),0.5,1),0)*Assumptions!$B$12</f>
        <v>0.01</v>
      </c>
      <c r="D1229" s="12">
        <f>D1228*(1-Assumptions!$B$12*(Assumptions!$B$5+Assumptions!$B$6))</f>
        <v>0.69325668191873524</v>
      </c>
      <c r="E1229" s="12">
        <f>E1228+Assumptions!$B$12*(D1228*Assumptions!$B$5-E1228*Assumptions!$B$7)</f>
        <v>0.15026032915377516</v>
      </c>
      <c r="F1229" s="12">
        <f t="shared" si="57"/>
        <v>0.1564829889274896</v>
      </c>
      <c r="G1229" s="12">
        <f>EXP(-Assumptions!$B$8*B1229)</f>
        <v>0.54307926154750275</v>
      </c>
      <c r="H1229" s="12">
        <f t="shared" si="58"/>
        <v>0.37649332687929871</v>
      </c>
      <c r="I1229" s="12">
        <f t="shared" si="59"/>
        <v>8.1603268596716905E-2</v>
      </c>
      <c r="J1229" s="12">
        <f>G1229*(D1229*Assumptions!$B$6+E1229*Assumptions!$B$7)</f>
        <v>7.8450966986288329E-3</v>
      </c>
    </row>
    <row r="1230" spans="1:10" x14ac:dyDescent="0.2">
      <c r="A1230" s="2">
        <v>1222</v>
      </c>
      <c r="B1230" s="14">
        <f>A1230*Assumptions!$B$12</f>
        <v>12.22</v>
      </c>
      <c r="C1230" s="15">
        <f>IF(A1230&lt;=Assumptions!$B$13,IF(OR(A1230=0,A1230=Assumptions!$B$13),0.5,1),0)*Assumptions!$B$12</f>
        <v>0.01</v>
      </c>
      <c r="D1230" s="12">
        <f>D1229*(1-Assumptions!$B$12*(Assumptions!$B$5+Assumptions!$B$6))</f>
        <v>0.6930487049141596</v>
      </c>
      <c r="E1230" s="12">
        <f>E1229+Assumptions!$B$12*(D1229*Assumptions!$B$5-E1229*Assumptions!$B$7)</f>
        <v>0.15032385032558201</v>
      </c>
      <c r="F1230" s="12">
        <f t="shared" si="57"/>
        <v>0.15662744476025839</v>
      </c>
      <c r="G1230" s="12">
        <f>EXP(-Assumptions!$B$8*B1230)</f>
        <v>0.54280778979032396</v>
      </c>
      <c r="H1230" s="12">
        <f t="shared" si="58"/>
        <v>0.3761922357315014</v>
      </c>
      <c r="I1230" s="12">
        <f t="shared" si="59"/>
        <v>8.1596956948000648E-2</v>
      </c>
      <c r="J1230" s="12">
        <f>G1230*(D1230*Assumptions!$B$6+E1230*Assumptions!$B$7)</f>
        <v>7.8417702047150466E-3</v>
      </c>
    </row>
    <row r="1231" spans="1:10" x14ac:dyDescent="0.2">
      <c r="A1231" s="2">
        <v>1223</v>
      </c>
      <c r="B1231" s="14">
        <f>A1231*Assumptions!$B$12</f>
        <v>12.23</v>
      </c>
      <c r="C1231" s="15">
        <f>IF(A1231&lt;=Assumptions!$B$13,IF(OR(A1231=0,A1231=Assumptions!$B$13),0.5,1),0)*Assumptions!$B$12</f>
        <v>0.01</v>
      </c>
      <c r="D1231" s="12">
        <f>D1230*(1-Assumptions!$B$12*(Assumptions!$B$5+Assumptions!$B$6))</f>
        <v>0.69284079030268542</v>
      </c>
      <c r="E1231" s="12">
        <f>E1230+Assumptions!$B$12*(D1230*Assumptions!$B$5-E1230*Assumptions!$B$7)</f>
        <v>0.15038729814140206</v>
      </c>
      <c r="F1231" s="12">
        <f t="shared" si="57"/>
        <v>0.15677191155591252</v>
      </c>
      <c r="G1231" s="12">
        <f>EXP(-Assumptions!$B$8*B1231)</f>
        <v>0.5425364537350954</v>
      </c>
      <c r="H1231" s="12">
        <f t="shared" si="58"/>
        <v>0.37589138537383981</v>
      </c>
      <c r="I1231" s="12">
        <f t="shared" si="59"/>
        <v>8.1590591420438771E-2</v>
      </c>
      <c r="J1231" s="12">
        <f>G1231*(D1231*Assumptions!$B$6+E1231*Assumptions!$B$7)</f>
        <v>7.8384434247603368E-3</v>
      </c>
    </row>
    <row r="1232" spans="1:10" x14ac:dyDescent="0.2">
      <c r="A1232" s="2">
        <v>1224</v>
      </c>
      <c r="B1232" s="14">
        <f>A1232*Assumptions!$B$12</f>
        <v>12.24</v>
      </c>
      <c r="C1232" s="15">
        <f>IF(A1232&lt;=Assumptions!$B$13,IF(OR(A1232=0,A1232=Assumptions!$B$13),0.5,1),0)*Assumptions!$B$12</f>
        <v>0.01</v>
      </c>
      <c r="D1232" s="12">
        <f>D1231*(1-Assumptions!$B$12*(Assumptions!$B$5+Assumptions!$B$6))</f>
        <v>0.69263293806559467</v>
      </c>
      <c r="E1232" s="12">
        <f>E1231+Assumptions!$B$12*(D1231*Assumptions!$B$5-E1231*Assumptions!$B$7)</f>
        <v>0.15045067265039189</v>
      </c>
      <c r="F1232" s="12">
        <f t="shared" si="57"/>
        <v>0.15691638928401344</v>
      </c>
      <c r="G1232" s="12">
        <f>EXP(-Assumptions!$B$8*B1232)</f>
        <v>0.54226525331398312</v>
      </c>
      <c r="H1232" s="12">
        <f t="shared" si="58"/>
        <v>0.3755907756137481</v>
      </c>
      <c r="I1232" s="12">
        <f t="shared" si="59"/>
        <v>8.1584172116023909E-2</v>
      </c>
      <c r="J1232" s="12">
        <f>G1232*(D1232*Assumptions!$B$6+E1232*Assumptions!$B$7)</f>
        <v>7.8351163619386766E-3</v>
      </c>
    </row>
    <row r="1233" spans="1:10" x14ac:dyDescent="0.2">
      <c r="A1233" s="2">
        <v>1225</v>
      </c>
      <c r="B1233" s="14">
        <f>A1233*Assumptions!$B$12</f>
        <v>12.25</v>
      </c>
      <c r="C1233" s="15">
        <f>IF(A1233&lt;=Assumptions!$B$13,IF(OR(A1233=0,A1233=Assumptions!$B$13),0.5,1),0)*Assumptions!$B$12</f>
        <v>0.01</v>
      </c>
      <c r="D1233" s="12">
        <f>D1232*(1-Assumptions!$B$12*(Assumptions!$B$5+Assumptions!$B$6))</f>
        <v>0.692425148184175</v>
      </c>
      <c r="E1233" s="12">
        <f>E1232+Assumptions!$B$12*(D1232*Assumptions!$B$5-E1232*Assumptions!$B$7)</f>
        <v>0.15051397390167981</v>
      </c>
      <c r="F1233" s="12">
        <f t="shared" si="57"/>
        <v>0.15706087791414519</v>
      </c>
      <c r="G1233" s="12">
        <f>EXP(-Assumptions!$B$8*B1233)</f>
        <v>0.54199418845918712</v>
      </c>
      <c r="H1233" s="12">
        <f t="shared" si="58"/>
        <v>0.37529040625881432</v>
      </c>
      <c r="I1233" s="12">
        <f t="shared" si="59"/>
        <v>8.1577699136608214E-2</v>
      </c>
      <c r="J1233" s="12">
        <f>G1233*(D1233*Assumptions!$B$6+E1233*Assumptions!$B$7)</f>
        <v>7.831789019418554E-3</v>
      </c>
    </row>
    <row r="1234" spans="1:10" x14ac:dyDescent="0.2">
      <c r="A1234" s="2">
        <v>1226</v>
      </c>
      <c r="B1234" s="14">
        <f>A1234*Assumptions!$B$12</f>
        <v>12.26</v>
      </c>
      <c r="C1234" s="15">
        <f>IF(A1234&lt;=Assumptions!$B$13,IF(OR(A1234=0,A1234=Assumptions!$B$13),0.5,1),0)*Assumptions!$B$12</f>
        <v>0.01</v>
      </c>
      <c r="D1234" s="12">
        <f>D1233*(1-Assumptions!$B$12*(Assumptions!$B$5+Assumptions!$B$6))</f>
        <v>0.6922174206397198</v>
      </c>
      <c r="E1234" s="12">
        <f>E1233+Assumptions!$B$12*(D1233*Assumptions!$B$5-E1233*Assumptions!$B$7)</f>
        <v>0.1505772019443658</v>
      </c>
      <c r="F1234" s="12">
        <f t="shared" si="57"/>
        <v>0.15720537741591439</v>
      </c>
      <c r="G1234" s="12">
        <f>EXP(-Assumptions!$B$8*B1234)</f>
        <v>0.54172325910294095</v>
      </c>
      <c r="H1234" s="12">
        <f t="shared" si="58"/>
        <v>0.3749902771167804</v>
      </c>
      <c r="I1234" s="12">
        <f t="shared" si="59"/>
        <v>8.1571172583903534E-2</v>
      </c>
      <c r="J1234" s="12">
        <f>G1234*(D1234*Assumptions!$B$6+E1234*Assumptions!$B$7)</f>
        <v>7.8284614003629807E-3</v>
      </c>
    </row>
    <row r="1235" spans="1:10" x14ac:dyDescent="0.2">
      <c r="A1235" s="2">
        <v>1227</v>
      </c>
      <c r="B1235" s="14">
        <f>A1235*Assumptions!$B$12</f>
        <v>12.27</v>
      </c>
      <c r="C1235" s="15">
        <f>IF(A1235&lt;=Assumptions!$B$13,IF(OR(A1235=0,A1235=Assumptions!$B$13),0.5,1),0)*Assumptions!$B$12</f>
        <v>0.01</v>
      </c>
      <c r="D1235" s="12">
        <f>D1234*(1-Assumptions!$B$12*(Assumptions!$B$5+Assumptions!$B$6))</f>
        <v>0.69200975541352794</v>
      </c>
      <c r="E1235" s="12">
        <f>E1234+Assumptions!$B$12*(D1234*Assumptions!$B$5-E1234*Assumptions!$B$7)</f>
        <v>0.15064035682752155</v>
      </c>
      <c r="F1235" s="12">
        <f t="shared" si="57"/>
        <v>0.15734988775895051</v>
      </c>
      <c r="G1235" s="12">
        <f>EXP(-Assumptions!$B$8*B1235)</f>
        <v>0.54145246517751233</v>
      </c>
      <c r="H1235" s="12">
        <f t="shared" si="58"/>
        <v>0.37469038799554205</v>
      </c>
      <c r="I1235" s="12">
        <f t="shared" si="59"/>
        <v>8.1564592559481647E-2</v>
      </c>
      <c r="J1235" s="12">
        <f>G1235*(D1235*Assumptions!$B$6+E1235*Assumptions!$B$7)</f>
        <v>7.8251335079295038E-3</v>
      </c>
    </row>
    <row r="1236" spans="1:10" x14ac:dyDescent="0.2">
      <c r="A1236" s="2">
        <v>1228</v>
      </c>
      <c r="B1236" s="14">
        <f>A1236*Assumptions!$B$12</f>
        <v>12.280000000000001</v>
      </c>
      <c r="C1236" s="15">
        <f>IF(A1236&lt;=Assumptions!$B$13,IF(OR(A1236=0,A1236=Assumptions!$B$13),0.5,1),0)*Assumptions!$B$12</f>
        <v>0.01</v>
      </c>
      <c r="D1236" s="12">
        <f>D1235*(1-Assumptions!$B$12*(Assumptions!$B$5+Assumptions!$B$6))</f>
        <v>0.69180215248690391</v>
      </c>
      <c r="E1236" s="12">
        <f>E1235+Assumptions!$B$12*(D1235*Assumptions!$B$5-E1235*Assumptions!$B$7)</f>
        <v>0.1507034386001905</v>
      </c>
      <c r="F1236" s="12">
        <f t="shared" si="57"/>
        <v>0.15749440891290559</v>
      </c>
      <c r="G1236" s="12">
        <f>EXP(-Assumptions!$B$8*B1236)</f>
        <v>0.54118180661520288</v>
      </c>
      <c r="H1236" s="12">
        <f t="shared" si="58"/>
        <v>0.37439073870314871</v>
      </c>
      <c r="I1236" s="12">
        <f t="shared" si="59"/>
        <v>8.1557959164774402E-2</v>
      </c>
      <c r="J1236" s="12">
        <f>G1236*(D1236*Assumptions!$B$6+E1236*Assumptions!$B$7)</f>
        <v>7.8218053452702076E-3</v>
      </c>
    </row>
    <row r="1237" spans="1:10" x14ac:dyDescent="0.2">
      <c r="A1237" s="2">
        <v>1229</v>
      </c>
      <c r="B1237" s="14">
        <f>A1237*Assumptions!$B$12</f>
        <v>12.290000000000001</v>
      </c>
      <c r="C1237" s="15">
        <f>IF(A1237&lt;=Assumptions!$B$13,IF(OR(A1237=0,A1237=Assumptions!$B$13),0.5,1),0)*Assumptions!$B$12</f>
        <v>0.01</v>
      </c>
      <c r="D1237" s="12">
        <f>D1236*(1-Assumptions!$B$12*(Assumptions!$B$5+Assumptions!$B$6))</f>
        <v>0.69159461184115789</v>
      </c>
      <c r="E1237" s="12">
        <f>E1236+Assumptions!$B$12*(D1236*Assumptions!$B$5-E1236*Assumptions!$B$7)</f>
        <v>0.1507664473113878</v>
      </c>
      <c r="F1237" s="12">
        <f t="shared" si="57"/>
        <v>0.15763894084745431</v>
      </c>
      <c r="G1237" s="12">
        <f>EXP(-Assumptions!$B$8*B1237)</f>
        <v>0.54091128334834793</v>
      </c>
      <c r="H1237" s="12">
        <f t="shared" si="58"/>
        <v>0.37409132904780323</v>
      </c>
      <c r="I1237" s="12">
        <f t="shared" si="59"/>
        <v>8.1551272501073857E-2</v>
      </c>
      <c r="J1237" s="12">
        <f>G1237*(D1237*Assumptions!$B$6+E1237*Assumptions!$B$7)</f>
        <v>7.8184769155317246E-3</v>
      </c>
    </row>
    <row r="1238" spans="1:10" x14ac:dyDescent="0.2">
      <c r="A1238" s="2">
        <v>1230</v>
      </c>
      <c r="B1238" s="14">
        <f>A1238*Assumptions!$B$12</f>
        <v>12.3</v>
      </c>
      <c r="C1238" s="15">
        <f>IF(A1238&lt;=Assumptions!$B$13,IF(OR(A1238=0,A1238=Assumptions!$B$13),0.5,1),0)*Assumptions!$B$12</f>
        <v>0.01</v>
      </c>
      <c r="D1238" s="12">
        <f>D1237*(1-Assumptions!$B$12*(Assumptions!$B$5+Assumptions!$B$6))</f>
        <v>0.69138713345760561</v>
      </c>
      <c r="E1238" s="12">
        <f>E1237+Assumptions!$B$12*(D1237*Assumptions!$B$5-E1237*Assumptions!$B$7)</f>
        <v>0.15082938301010035</v>
      </c>
      <c r="F1238" s="12">
        <f t="shared" si="57"/>
        <v>0.15778348353229404</v>
      </c>
      <c r="G1238" s="12">
        <f>EXP(-Assumptions!$B$8*B1238)</f>
        <v>0.54064089530931647</v>
      </c>
      <c r="H1238" s="12">
        <f t="shared" si="58"/>
        <v>0.37379215883786177</v>
      </c>
      <c r="I1238" s="12">
        <f t="shared" si="59"/>
        <v>8.154453266953246E-2</v>
      </c>
      <c r="J1238" s="12">
        <f>G1238*(D1238*Assumptions!$B$6+E1238*Assumptions!$B$7)</f>
        <v>7.81514822185524E-3</v>
      </c>
    </row>
    <row r="1239" spans="1:10" x14ac:dyDescent="0.2">
      <c r="A1239" s="2">
        <v>1231</v>
      </c>
      <c r="B1239" s="14">
        <f>A1239*Assumptions!$B$12</f>
        <v>12.31</v>
      </c>
      <c r="C1239" s="15">
        <f>IF(A1239&lt;=Assumptions!$B$13,IF(OR(A1239=0,A1239=Assumptions!$B$13),0.5,1),0)*Assumptions!$B$12</f>
        <v>0.01</v>
      </c>
      <c r="D1239" s="12">
        <f>D1238*(1-Assumptions!$B$12*(Assumptions!$B$5+Assumptions!$B$6))</f>
        <v>0.69117971731756833</v>
      </c>
      <c r="E1239" s="12">
        <f>E1238+Assumptions!$B$12*(D1238*Assumptions!$B$5-E1238*Assumptions!$B$7)</f>
        <v>0.15089224574528681</v>
      </c>
      <c r="F1239" s="12">
        <f t="shared" si="57"/>
        <v>0.15792803693714486</v>
      </c>
      <c r="G1239" s="12">
        <f>EXP(-Assumptions!$B$8*B1239)</f>
        <v>0.54037064243051181</v>
      </c>
      <c r="H1239" s="12">
        <f t="shared" si="58"/>
        <v>0.37349322788183392</v>
      </c>
      <c r="I1239" s="12">
        <f t="shared" si="59"/>
        <v>8.1537739771163298E-2</v>
      </c>
      <c r="J1239" s="12">
        <f>G1239*(D1239*Assumptions!$B$6+E1239*Assumptions!$B$7)</f>
        <v>7.8118192673765048E-3</v>
      </c>
    </row>
    <row r="1240" spans="1:10" x14ac:dyDescent="0.2">
      <c r="A1240" s="2">
        <v>1232</v>
      </c>
      <c r="B1240" s="14">
        <f>A1240*Assumptions!$B$12</f>
        <v>12.32</v>
      </c>
      <c r="C1240" s="15">
        <f>IF(A1240&lt;=Assumptions!$B$13,IF(OR(A1240=0,A1240=Assumptions!$B$13),0.5,1),0)*Assumptions!$B$12</f>
        <v>0.01</v>
      </c>
      <c r="D1240" s="12">
        <f>D1239*(1-Assumptions!$B$12*(Assumptions!$B$5+Assumptions!$B$6))</f>
        <v>0.69097236340237311</v>
      </c>
      <c r="E1240" s="12">
        <f>E1239+Assumptions!$B$12*(D1239*Assumptions!$B$5-E1239*Assumptions!$B$7)</f>
        <v>0.15095503556587769</v>
      </c>
      <c r="F1240" s="12">
        <f t="shared" si="57"/>
        <v>0.15807260103174919</v>
      </c>
      <c r="G1240" s="12">
        <f>EXP(-Assumptions!$B$8*B1240)</f>
        <v>0.54010052464437053</v>
      </c>
      <c r="H1240" s="12">
        <f t="shared" si="58"/>
        <v>0.37319453598838237</v>
      </c>
      <c r="I1240" s="12">
        <f t="shared" si="59"/>
        <v>8.1530893906840152E-2</v>
      </c>
      <c r="J1240" s="12">
        <f>G1240*(D1240*Assumptions!$B$6+E1240*Assumptions!$B$7)</f>
        <v>7.8084900552258321E-3</v>
      </c>
    </row>
    <row r="1241" spans="1:10" x14ac:dyDescent="0.2">
      <c r="A1241" s="2">
        <v>1233</v>
      </c>
      <c r="B1241" s="14">
        <f>A1241*Assumptions!$B$12</f>
        <v>12.33</v>
      </c>
      <c r="C1241" s="15">
        <f>IF(A1241&lt;=Assumptions!$B$13,IF(OR(A1241=0,A1241=Assumptions!$B$13),0.5,1),0)*Assumptions!$B$12</f>
        <v>0.01</v>
      </c>
      <c r="D1241" s="12">
        <f>D1240*(1-Assumptions!$B$12*(Assumptions!$B$5+Assumptions!$B$6))</f>
        <v>0.69076507169335244</v>
      </c>
      <c r="E1241" s="12">
        <f>E1240+Assumptions!$B$12*(D1240*Assumptions!$B$5-E1240*Assumptions!$B$7)</f>
        <v>0.15101775252077523</v>
      </c>
      <c r="F1241" s="12">
        <f t="shared" si="57"/>
        <v>0.15821717578587233</v>
      </c>
      <c r="G1241" s="12">
        <f>EXP(-Assumptions!$B$8*B1241)</f>
        <v>0.53983054188336332</v>
      </c>
      <c r="H1241" s="12">
        <f t="shared" si="58"/>
        <v>0.37289608296632276</v>
      </c>
      <c r="I1241" s="12">
        <f t="shared" si="59"/>
        <v>8.1523995177297748E-2</v>
      </c>
      <c r="J1241" s="12">
        <f>G1241*(D1241*Assumptions!$B$6+E1241*Assumptions!$B$7)</f>
        <v>7.8051605885281154E-3</v>
      </c>
    </row>
    <row r="1242" spans="1:10" x14ac:dyDescent="0.2">
      <c r="A1242" s="2">
        <v>1234</v>
      </c>
      <c r="B1242" s="14">
        <f>A1242*Assumptions!$B$12</f>
        <v>12.34</v>
      </c>
      <c r="C1242" s="15">
        <f>IF(A1242&lt;=Assumptions!$B$13,IF(OR(A1242=0,A1242=Assumptions!$B$13),0.5,1),0)*Assumptions!$B$12</f>
        <v>0.01</v>
      </c>
      <c r="D1242" s="12">
        <f>D1241*(1-Assumptions!$B$12*(Assumptions!$B$5+Assumptions!$B$6))</f>
        <v>0.69055784217184446</v>
      </c>
      <c r="E1242" s="12">
        <f>E1241+Assumptions!$B$12*(D1241*Assumptions!$B$5-E1241*Assumptions!$B$7)</f>
        <v>0.15108039665885351</v>
      </c>
      <c r="F1242" s="12">
        <f t="shared" si="57"/>
        <v>0.15836176116930203</v>
      </c>
      <c r="G1242" s="12">
        <f>EXP(-Assumptions!$B$8*B1242)</f>
        <v>0.5395606940799943</v>
      </c>
      <c r="H1242" s="12">
        <f t="shared" si="58"/>
        <v>0.37259786862462357</v>
      </c>
      <c r="I1242" s="12">
        <f t="shared" si="59"/>
        <v>8.1517043683131854E-2</v>
      </c>
      <c r="J1242" s="12">
        <f>G1242*(D1242*Assumptions!$B$6+E1242*Assumptions!$B$7)</f>
        <v>7.801830870402828E-3</v>
      </c>
    </row>
    <row r="1243" spans="1:10" x14ac:dyDescent="0.2">
      <c r="A1243" s="2">
        <v>1235</v>
      </c>
      <c r="B1243" s="14">
        <f>A1243*Assumptions!$B$12</f>
        <v>12.35</v>
      </c>
      <c r="C1243" s="15">
        <f>IF(A1243&lt;=Assumptions!$B$13,IF(OR(A1243=0,A1243=Assumptions!$B$13),0.5,1),0)*Assumptions!$B$12</f>
        <v>0.01</v>
      </c>
      <c r="D1243" s="12">
        <f>D1242*(1-Assumptions!$B$12*(Assumptions!$B$5+Assumptions!$B$6))</f>
        <v>0.69035067481919288</v>
      </c>
      <c r="E1243" s="12">
        <f>E1242+Assumptions!$B$12*(D1242*Assumptions!$B$5-E1242*Assumptions!$B$7)</f>
        <v>0.15114296802895844</v>
      </c>
      <c r="F1243" s="12">
        <f t="shared" si="57"/>
        <v>0.15850635715184869</v>
      </c>
      <c r="G1243" s="12">
        <f>EXP(-Assumptions!$B$8*B1243)</f>
        <v>0.53929098116680163</v>
      </c>
      <c r="H1243" s="12">
        <f t="shared" si="58"/>
        <v>0.37229989277240616</v>
      </c>
      <c r="I1243" s="12">
        <f t="shared" si="59"/>
        <v>8.151003952479953E-2</v>
      </c>
      <c r="J1243" s="12">
        <f>G1243*(D1243*Assumptions!$B$6+E1243*Assumptions!$B$7)</f>
        <v>7.798500903964038E-3</v>
      </c>
    </row>
    <row r="1244" spans="1:10" x14ac:dyDescent="0.2">
      <c r="A1244" s="2">
        <v>1236</v>
      </c>
      <c r="B1244" s="14">
        <f>A1244*Assumptions!$B$12</f>
        <v>12.36</v>
      </c>
      <c r="C1244" s="15">
        <f>IF(A1244&lt;=Assumptions!$B$13,IF(OR(A1244=0,A1244=Assumptions!$B$13),0.5,1),0)*Assumptions!$B$12</f>
        <v>0.01</v>
      </c>
      <c r="D1244" s="12">
        <f>D1243*(1-Assumptions!$B$12*(Assumptions!$B$5+Assumptions!$B$6))</f>
        <v>0.69014356961674717</v>
      </c>
      <c r="E1244" s="12">
        <f>E1243+Assumptions!$B$12*(D1243*Assumptions!$B$5-E1243*Assumptions!$B$7)</f>
        <v>0.15120546667990781</v>
      </c>
      <c r="F1244" s="12">
        <f t="shared" si="57"/>
        <v>0.15865096370334503</v>
      </c>
      <c r="G1244" s="12">
        <f>EXP(-Assumptions!$B$8*B1244)</f>
        <v>0.53902140307635704</v>
      </c>
      <c r="H1244" s="12">
        <f t="shared" si="58"/>
        <v>0.37200215521894453</v>
      </c>
      <c r="I1244" s="12">
        <f t="shared" si="59"/>
        <v>8.1502982802619264E-2</v>
      </c>
      <c r="J1244" s="12">
        <f>G1244*(D1244*Assumptions!$B$6+E1244*Assumptions!$B$7)</f>
        <v>7.7951706923204082E-3</v>
      </c>
    </row>
    <row r="1245" spans="1:10" x14ac:dyDescent="0.2">
      <c r="A1245" s="2">
        <v>1237</v>
      </c>
      <c r="B1245" s="14">
        <f>A1245*Assumptions!$B$12</f>
        <v>12.370000000000001</v>
      </c>
      <c r="C1245" s="15">
        <f>IF(A1245&lt;=Assumptions!$B$13,IF(OR(A1245=0,A1245=Assumptions!$B$13),0.5,1),0)*Assumptions!$B$12</f>
        <v>0.01</v>
      </c>
      <c r="D1245" s="12">
        <f>D1244*(1-Assumptions!$B$12*(Assumptions!$B$5+Assumptions!$B$6))</f>
        <v>0.68993652654586213</v>
      </c>
      <c r="E1245" s="12">
        <f>E1244+Assumptions!$B$12*(D1244*Assumptions!$B$5-E1244*Assumptions!$B$7)</f>
        <v>0.1512678926604912</v>
      </c>
      <c r="F1245" s="12">
        <f t="shared" si="57"/>
        <v>0.15879558079364667</v>
      </c>
      <c r="G1245" s="12">
        <f>EXP(-Assumptions!$B$8*B1245)</f>
        <v>0.538751959741266</v>
      </c>
      <c r="H1245" s="12">
        <f t="shared" si="58"/>
        <v>0.37170465577366524</v>
      </c>
      <c r="I1245" s="12">
        <f t="shared" si="59"/>
        <v>8.1495873616771103E-2</v>
      </c>
      <c r="J1245" s="12">
        <f>G1245*(D1245*Assumptions!$B$6+E1245*Assumptions!$B$7)</f>
        <v>7.7918402385752077E-3</v>
      </c>
    </row>
    <row r="1246" spans="1:10" x14ac:dyDescent="0.2">
      <c r="A1246" s="2">
        <v>1238</v>
      </c>
      <c r="B1246" s="14">
        <f>A1246*Assumptions!$B$12</f>
        <v>12.38</v>
      </c>
      <c r="C1246" s="15">
        <f>IF(A1246&lt;=Assumptions!$B$13,IF(OR(A1246=0,A1246=Assumptions!$B$13),0.5,1),0)*Assumptions!$B$12</f>
        <v>0.01</v>
      </c>
      <c r="D1246" s="12">
        <f>D1245*(1-Assumptions!$B$12*(Assumptions!$B$5+Assumptions!$B$6))</f>
        <v>0.68972954558789834</v>
      </c>
      <c r="E1246" s="12">
        <f>E1245+Assumptions!$B$12*(D1245*Assumptions!$B$5-E1245*Assumptions!$B$7)</f>
        <v>0.15133024601947012</v>
      </c>
      <c r="F1246" s="12">
        <f t="shared" si="57"/>
        <v>0.15894020839263154</v>
      </c>
      <c r="G1246" s="12">
        <f>EXP(-Assumptions!$B$8*B1246)</f>
        <v>0.53848265109416771</v>
      </c>
      <c r="H1246" s="12">
        <f t="shared" si="58"/>
        <v>0.3714073942461471</v>
      </c>
      <c r="I1246" s="12">
        <f t="shared" si="59"/>
        <v>8.1488712067296895E-2</v>
      </c>
      <c r="J1246" s="12">
        <f>G1246*(D1246*Assumptions!$B$6+E1246*Assumptions!$B$7)</f>
        <v>7.7885095458263155E-3</v>
      </c>
    </row>
    <row r="1247" spans="1:10" x14ac:dyDescent="0.2">
      <c r="A1247" s="2">
        <v>1239</v>
      </c>
      <c r="B1247" s="14">
        <f>A1247*Assumptions!$B$12</f>
        <v>12.39</v>
      </c>
      <c r="C1247" s="15">
        <f>IF(A1247&lt;=Assumptions!$B$13,IF(OR(A1247=0,A1247=Assumptions!$B$13),0.5,1),0)*Assumptions!$B$12</f>
        <v>0.01</v>
      </c>
      <c r="D1247" s="12">
        <f>D1246*(1-Assumptions!$B$12*(Assumptions!$B$5+Assumptions!$B$6))</f>
        <v>0.68952262672422204</v>
      </c>
      <c r="E1247" s="12">
        <f>E1246+Assumptions!$B$12*(D1246*Assumptions!$B$5-E1246*Assumptions!$B$7)</f>
        <v>0.15139252680557796</v>
      </c>
      <c r="F1247" s="12">
        <f t="shared" si="57"/>
        <v>0.15908484647019999</v>
      </c>
      <c r="G1247" s="12">
        <f>EXP(-Assumptions!$B$8*B1247)</f>
        <v>0.53821347706773504</v>
      </c>
      <c r="H1247" s="12">
        <f t="shared" si="58"/>
        <v>0.3711103704461215</v>
      </c>
      <c r="I1247" s="12">
        <f t="shared" si="59"/>
        <v>8.1481498254100393E-2</v>
      </c>
      <c r="J1247" s="12">
        <f>G1247*(D1247*Assumptions!$B$6+E1247*Assumptions!$B$7)</f>
        <v>7.785178617166235E-3</v>
      </c>
    </row>
    <row r="1248" spans="1:10" x14ac:dyDescent="0.2">
      <c r="A1248" s="2">
        <v>1240</v>
      </c>
      <c r="B1248" s="14">
        <f>A1248*Assumptions!$B$12</f>
        <v>12.4</v>
      </c>
      <c r="C1248" s="15">
        <f>IF(A1248&lt;=Assumptions!$B$13,IF(OR(A1248=0,A1248=Assumptions!$B$13),0.5,1),0)*Assumptions!$B$12</f>
        <v>0.01</v>
      </c>
      <c r="D1248" s="12">
        <f>D1247*(1-Assumptions!$B$12*(Assumptions!$B$5+Assumptions!$B$6))</f>
        <v>0.6893157699362048</v>
      </c>
      <c r="E1248" s="12">
        <f>E1247+Assumptions!$B$12*(D1247*Assumptions!$B$5-E1247*Assumptions!$B$7)</f>
        <v>0.15145473506752002</v>
      </c>
      <c r="F1248" s="12">
        <f t="shared" si="57"/>
        <v>0.15922949499627517</v>
      </c>
      <c r="G1248" s="12">
        <f>EXP(-Assumptions!$B$8*B1248)</f>
        <v>0.53794443759467447</v>
      </c>
      <c r="H1248" s="12">
        <f t="shared" si="58"/>
        <v>0.37081358418347171</v>
      </c>
      <c r="I1248" s="12">
        <f t="shared" si="59"/>
        <v>8.1474232276947486E-2</v>
      </c>
      <c r="J1248" s="12">
        <f>G1248*(D1248*Assumptions!$B$6+E1248*Assumptions!$B$7)</f>
        <v>7.7818474556820907E-3</v>
      </c>
    </row>
    <row r="1249" spans="1:10" x14ac:dyDescent="0.2">
      <c r="A1249" s="2">
        <v>1241</v>
      </c>
      <c r="B1249" s="14">
        <f>A1249*Assumptions!$B$12</f>
        <v>12.41</v>
      </c>
      <c r="C1249" s="15">
        <f>IF(A1249&lt;=Assumptions!$B$13,IF(OR(A1249=0,A1249=Assumptions!$B$13),0.5,1),0)*Assumptions!$B$12</f>
        <v>0.01</v>
      </c>
      <c r="D1249" s="12">
        <f>D1248*(1-Assumptions!$B$12*(Assumptions!$B$5+Assumptions!$B$6))</f>
        <v>0.68910897520522396</v>
      </c>
      <c r="E1249" s="12">
        <f>E1248+Assumptions!$B$12*(D1248*Assumptions!$B$5-E1248*Assumptions!$B$7)</f>
        <v>0.1515168708539735</v>
      </c>
      <c r="F1249" s="12">
        <f t="shared" si="57"/>
        <v>0.15937415394080254</v>
      </c>
      <c r="G1249" s="12">
        <f>EXP(-Assumptions!$B$8*B1249)</f>
        <v>0.53767553260772605</v>
      </c>
      <c r="H1249" s="12">
        <f t="shared" si="58"/>
        <v>0.3705170352682331</v>
      </c>
      <c r="I1249" s="12">
        <f t="shared" si="59"/>
        <v>8.1466914235466245E-2</v>
      </c>
      <c r="J1249" s="12">
        <f>G1249*(D1249*Assumptions!$B$6+E1249*Assumptions!$B$7)</f>
        <v>7.778516064455644E-3</v>
      </c>
    </row>
    <row r="1250" spans="1:10" x14ac:dyDescent="0.2">
      <c r="A1250" s="2">
        <v>1242</v>
      </c>
      <c r="B1250" s="14">
        <f>A1250*Assumptions!$B$12</f>
        <v>12.42</v>
      </c>
      <c r="C1250" s="15">
        <f>IF(A1250&lt;=Assumptions!$B$13,IF(OR(A1250=0,A1250=Assumptions!$B$13),0.5,1),0)*Assumptions!$B$12</f>
        <v>0.01</v>
      </c>
      <c r="D1250" s="12">
        <f>D1249*(1-Assumptions!$B$12*(Assumptions!$B$5+Assumptions!$B$6))</f>
        <v>0.68890224251266241</v>
      </c>
      <c r="E1250" s="12">
        <f>E1249+Assumptions!$B$12*(D1249*Assumptions!$B$5-E1249*Assumptions!$B$7)</f>
        <v>0.15157893421358756</v>
      </c>
      <c r="F1250" s="12">
        <f t="shared" si="57"/>
        <v>0.15951882327375003</v>
      </c>
      <c r="G1250" s="12">
        <f>EXP(-Assumptions!$B$8*B1250)</f>
        <v>0.53740676203966364</v>
      </c>
      <c r="H1250" s="12">
        <f t="shared" si="58"/>
        <v>0.37022072351059304</v>
      </c>
      <c r="I1250" s="12">
        <f t="shared" si="59"/>
        <v>8.1459544229147279E-2</v>
      </c>
      <c r="J1250" s="12">
        <f>G1250*(D1250*Assumptions!$B$6+E1250*Assumptions!$B$7)</f>
        <v>7.7751844465632942E-3</v>
      </c>
    </row>
    <row r="1251" spans="1:10" x14ac:dyDescent="0.2">
      <c r="A1251" s="2">
        <v>1243</v>
      </c>
      <c r="B1251" s="14">
        <f>A1251*Assumptions!$B$12</f>
        <v>12.43</v>
      </c>
      <c r="C1251" s="15">
        <f>IF(A1251&lt;=Assumptions!$B$13,IF(OR(A1251=0,A1251=Assumptions!$B$13),0.5,1),0)*Assumptions!$B$12</f>
        <v>0.01</v>
      </c>
      <c r="D1251" s="12">
        <f>D1250*(1-Assumptions!$B$12*(Assumptions!$B$5+Assumptions!$B$6))</f>
        <v>0.68869557183990859</v>
      </c>
      <c r="E1251" s="12">
        <f>E1250+Assumptions!$B$12*(D1250*Assumptions!$B$5-E1250*Assumptions!$B$7)</f>
        <v>0.15164092519498329</v>
      </c>
      <c r="F1251" s="12">
        <f t="shared" si="57"/>
        <v>0.15966350296510812</v>
      </c>
      <c r="G1251" s="12">
        <f>EXP(-Assumptions!$B$8*B1251)</f>
        <v>0.53713812582329445</v>
      </c>
      <c r="H1251" s="12">
        <f t="shared" si="58"/>
        <v>0.36992464872089054</v>
      </c>
      <c r="I1251" s="12">
        <f t="shared" si="59"/>
        <v>8.1452122357343712E-2</v>
      </c>
      <c r="J1251" s="12">
        <f>G1251*(D1251*Assumptions!$B$6+E1251*Assumptions!$B$7)</f>
        <v>7.7718526050760918E-3</v>
      </c>
    </row>
    <row r="1252" spans="1:10" x14ac:dyDescent="0.2">
      <c r="A1252" s="2">
        <v>1244</v>
      </c>
      <c r="B1252" s="14">
        <f>A1252*Assumptions!$B$12</f>
        <v>12.44</v>
      </c>
      <c r="C1252" s="15">
        <f>IF(A1252&lt;=Assumptions!$B$13,IF(OR(A1252=0,A1252=Assumptions!$B$13),0.5,1),0)*Assumptions!$B$12</f>
        <v>0.01</v>
      </c>
      <c r="D1252" s="12">
        <f>D1251*(1-Assumptions!$B$12*(Assumptions!$B$5+Assumptions!$B$6))</f>
        <v>0.68848896316835662</v>
      </c>
      <c r="E1252" s="12">
        <f>E1251+Assumptions!$B$12*(D1251*Assumptions!$B$5-E1251*Assumptions!$B$7)</f>
        <v>0.15170284384675378</v>
      </c>
      <c r="F1252" s="12">
        <f t="shared" si="57"/>
        <v>0.1598081929848896</v>
      </c>
      <c r="G1252" s="12">
        <f>EXP(-Assumptions!$B$8*B1252)</f>
        <v>0.53686962389145954</v>
      </c>
      <c r="H1252" s="12">
        <f t="shared" si="58"/>
        <v>0.36962881070961656</v>
      </c>
      <c r="I1252" s="12">
        <f t="shared" si="59"/>
        <v>8.1444648719271526E-2</v>
      </c>
      <c r="J1252" s="12">
        <f>G1252*(D1252*Assumptions!$B$6+E1252*Assumptions!$B$7)</f>
        <v>7.7685205430597414E-3</v>
      </c>
    </row>
    <row r="1253" spans="1:10" x14ac:dyDescent="0.2">
      <c r="A1253" s="2">
        <v>1245</v>
      </c>
      <c r="B1253" s="14">
        <f>A1253*Assumptions!$B$12</f>
        <v>12.450000000000001</v>
      </c>
      <c r="C1253" s="15">
        <f>IF(A1253&lt;=Assumptions!$B$13,IF(OR(A1253=0,A1253=Assumptions!$B$13),0.5,1),0)*Assumptions!$B$12</f>
        <v>0.01</v>
      </c>
      <c r="D1253" s="12">
        <f>D1252*(1-Assumptions!$B$12*(Assumptions!$B$5+Assumptions!$B$6))</f>
        <v>0.68828241647940613</v>
      </c>
      <c r="E1253" s="12">
        <f>E1252+Assumptions!$B$12*(D1252*Assumptions!$B$5-E1252*Assumptions!$B$7)</f>
        <v>0.15176469021746408</v>
      </c>
      <c r="F1253" s="12">
        <f t="shared" si="57"/>
        <v>0.15995289330312978</v>
      </c>
      <c r="G1253" s="12">
        <f>EXP(-Assumptions!$B$8*B1253)</f>
        <v>0.53660125617703336</v>
      </c>
      <c r="H1253" s="12">
        <f t="shared" si="58"/>
        <v>0.36933320928741337</v>
      </c>
      <c r="I1253" s="12">
        <f t="shared" si="59"/>
        <v>8.1437123414009549E-2</v>
      </c>
      <c r="J1253" s="12">
        <f>G1253*(D1253*Assumptions!$B$6+E1253*Assumptions!$B$7)</f>
        <v>7.765188263574611E-3</v>
      </c>
    </row>
    <row r="1254" spans="1:10" x14ac:dyDescent="0.2">
      <c r="A1254" s="2">
        <v>1246</v>
      </c>
      <c r="B1254" s="14">
        <f>A1254*Assumptions!$B$12</f>
        <v>12.46</v>
      </c>
      <c r="C1254" s="15">
        <f>IF(A1254&lt;=Assumptions!$B$13,IF(OR(A1254=0,A1254=Assumptions!$B$13),0.5,1),0)*Assumptions!$B$12</f>
        <v>0.01</v>
      </c>
      <c r="D1254" s="12">
        <f>D1253*(1-Assumptions!$B$12*(Assumptions!$B$5+Assumptions!$B$6))</f>
        <v>0.68807593175446236</v>
      </c>
      <c r="E1254" s="12">
        <f>E1253+Assumptions!$B$12*(D1253*Assumptions!$B$5-E1253*Assumptions!$B$7)</f>
        <v>0.15182646435565123</v>
      </c>
      <c r="F1254" s="12">
        <f t="shared" si="57"/>
        <v>0.16009760388988642</v>
      </c>
      <c r="G1254" s="12">
        <f>EXP(-Assumptions!$B$8*B1254)</f>
        <v>0.53633302261292404</v>
      </c>
      <c r="H1254" s="12">
        <f t="shared" si="58"/>
        <v>0.36903784426507485</v>
      </c>
      <c r="I1254" s="12">
        <f t="shared" si="59"/>
        <v>8.1429546540499789E-2</v>
      </c>
      <c r="J1254" s="12">
        <f>G1254*(D1254*Assumptions!$B$6+E1254*Assumptions!$B$7)</f>
        <v>7.7618557696757387E-3</v>
      </c>
    </row>
    <row r="1255" spans="1:10" x14ac:dyDescent="0.2">
      <c r="A1255" s="2">
        <v>1247</v>
      </c>
      <c r="B1255" s="14">
        <f>A1255*Assumptions!$B$12</f>
        <v>12.47</v>
      </c>
      <c r="C1255" s="15">
        <f>IF(A1255&lt;=Assumptions!$B$13,IF(OR(A1255=0,A1255=Assumptions!$B$13),0.5,1),0)*Assumptions!$B$12</f>
        <v>0.01</v>
      </c>
      <c r="D1255" s="12">
        <f>D1254*(1-Assumptions!$B$12*(Assumptions!$B$5+Assumptions!$B$6))</f>
        <v>0.68786950897493604</v>
      </c>
      <c r="E1255" s="12">
        <f>E1254+Assumptions!$B$12*(D1254*Assumptions!$B$5-E1254*Assumptions!$B$7)</f>
        <v>0.1518881663098243</v>
      </c>
      <c r="F1255" s="12">
        <f t="shared" si="57"/>
        <v>0.16024232471523966</v>
      </c>
      <c r="G1255" s="12">
        <f>EXP(-Assumptions!$B$8*B1255)</f>
        <v>0.53606492313207332</v>
      </c>
      <c r="H1255" s="12">
        <f t="shared" si="58"/>
        <v>0.36874271545354609</v>
      </c>
      <c r="I1255" s="12">
        <f t="shared" si="59"/>
        <v>8.142191819754753E-2</v>
      </c>
      <c r="J1255" s="12">
        <f>G1255*(D1255*Assumptions!$B$6+E1255*Assumptions!$B$7)</f>
        <v>7.7585230644128377E-3</v>
      </c>
    </row>
    <row r="1256" spans="1:10" x14ac:dyDescent="0.2">
      <c r="A1256" s="2">
        <v>1248</v>
      </c>
      <c r="B1256" s="14">
        <f>A1256*Assumptions!$B$12</f>
        <v>12.48</v>
      </c>
      <c r="C1256" s="15">
        <f>IF(A1256&lt;=Assumptions!$B$13,IF(OR(A1256=0,A1256=Assumptions!$B$13),0.5,1),0)*Assumptions!$B$12</f>
        <v>0.01</v>
      </c>
      <c r="D1256" s="12">
        <f>D1255*(1-Assumptions!$B$12*(Assumptions!$B$5+Assumptions!$B$6))</f>
        <v>0.68766314812224361</v>
      </c>
      <c r="E1256" s="12">
        <f>E1255+Assumptions!$B$12*(D1255*Assumptions!$B$5-E1255*Assumptions!$B$7)</f>
        <v>0.15194979612846438</v>
      </c>
      <c r="F1256" s="12">
        <f t="shared" si="57"/>
        <v>0.16038705574929202</v>
      </c>
      <c r="G1256" s="12">
        <f>EXP(-Assumptions!$B$8*B1256)</f>
        <v>0.53579695766745594</v>
      </c>
      <c r="H1256" s="12">
        <f t="shared" si="58"/>
        <v>0.36844782266392323</v>
      </c>
      <c r="I1256" s="12">
        <f t="shared" si="59"/>
        <v>8.1414238483821386E-2</v>
      </c>
      <c r="J1256" s="12">
        <f>G1256*(D1256*Assumptions!$B$6+E1256*Assumptions!$B$7)</f>
        <v>7.7551901508303017E-3</v>
      </c>
    </row>
    <row r="1257" spans="1:10" x14ac:dyDescent="0.2">
      <c r="A1257" s="2">
        <v>1249</v>
      </c>
      <c r="B1257" s="14">
        <f>A1257*Assumptions!$B$12</f>
        <v>12.49</v>
      </c>
      <c r="C1257" s="15">
        <f>IF(A1257&lt;=Assumptions!$B$13,IF(OR(A1257=0,A1257=Assumptions!$B$13),0.5,1),0)*Assumptions!$B$12</f>
        <v>0.01</v>
      </c>
      <c r="D1257" s="12">
        <f>D1256*(1-Assumptions!$B$12*(Assumptions!$B$5+Assumptions!$B$6))</f>
        <v>0.68745684917780692</v>
      </c>
      <c r="E1257" s="12">
        <f>E1256+Assumptions!$B$12*(D1256*Assumptions!$B$5-E1256*Assumptions!$B$7)</f>
        <v>0.1520113538600246</v>
      </c>
      <c r="F1257" s="12">
        <f t="shared" si="57"/>
        <v>0.16053179696216849</v>
      </c>
      <c r="G1257" s="12">
        <f>EXP(-Assumptions!$B$8*B1257)</f>
        <v>0.53552912615208093</v>
      </c>
      <c r="H1257" s="12">
        <f t="shared" si="58"/>
        <v>0.36815316570745382</v>
      </c>
      <c r="I1257" s="12">
        <f t="shared" si="59"/>
        <v>8.140650749785372E-2</v>
      </c>
      <c r="J1257" s="12">
        <f>G1257*(D1257*Assumptions!$B$6+E1257*Assumptions!$B$7)</f>
        <v>7.7518570319672249E-3</v>
      </c>
    </row>
    <row r="1258" spans="1:10" x14ac:dyDescent="0.2">
      <c r="A1258" s="2">
        <v>1250</v>
      </c>
      <c r="B1258" s="14">
        <f>A1258*Assumptions!$B$12</f>
        <v>12.5</v>
      </c>
      <c r="C1258" s="15">
        <f>IF(A1258&lt;=Assumptions!$B$13,IF(OR(A1258=0,A1258=Assumptions!$B$13),0.5,1),0)*Assumptions!$B$12</f>
        <v>0.01</v>
      </c>
      <c r="D1258" s="12">
        <f>D1257*(1-Assumptions!$B$12*(Assumptions!$B$5+Assumptions!$B$6))</f>
        <v>0.68725061212305361</v>
      </c>
      <c r="E1258" s="12">
        <f>E1257+Assumptions!$B$12*(D1257*Assumptions!$B$5-E1257*Assumptions!$B$7)</f>
        <v>0.15207283955293013</v>
      </c>
      <c r="F1258" s="12">
        <f t="shared" si="57"/>
        <v>0.16067654832401626</v>
      </c>
      <c r="G1258" s="12">
        <f>EXP(-Assumptions!$B$8*B1258)</f>
        <v>0.53526142851899028</v>
      </c>
      <c r="H1258" s="12">
        <f t="shared" si="58"/>
        <v>0.36785874439553617</v>
      </c>
      <c r="I1258" s="12">
        <f t="shared" si="59"/>
        <v>8.1398725338040587E-2</v>
      </c>
      <c r="J1258" s="12">
        <f>G1258*(D1258*Assumptions!$B$6+E1258*Assumptions!$B$7)</f>
        <v>7.7485237108573914E-3</v>
      </c>
    </row>
    <row r="1259" spans="1:10" x14ac:dyDescent="0.2">
      <c r="A1259" s="2">
        <v>1251</v>
      </c>
      <c r="B1259" s="14">
        <f>A1259*Assumptions!$B$12</f>
        <v>12.51</v>
      </c>
      <c r="C1259" s="15">
        <f>IF(A1259&lt;=Assumptions!$B$13,IF(OR(A1259=0,A1259=Assumptions!$B$13),0.5,1),0)*Assumptions!$B$12</f>
        <v>0.01</v>
      </c>
      <c r="D1259" s="12">
        <f>D1258*(1-Assumptions!$B$12*(Assumptions!$B$5+Assumptions!$B$6))</f>
        <v>0.68704443693941675</v>
      </c>
      <c r="E1259" s="12">
        <f>E1258+Assumptions!$B$12*(D1258*Assumptions!$B$5-E1258*Assumptions!$B$7)</f>
        <v>0.15213425325557828</v>
      </c>
      <c r="F1259" s="12">
        <f t="shared" si="57"/>
        <v>0.16082130980500497</v>
      </c>
      <c r="G1259" s="12">
        <f>EXP(-Assumptions!$B$8*B1259)</f>
        <v>0.53499386470125943</v>
      </c>
      <c r="H1259" s="12">
        <f t="shared" si="58"/>
        <v>0.36756455853971931</v>
      </c>
      <c r="I1259" s="12">
        <f t="shared" si="59"/>
        <v>8.1390892102641985E-2</v>
      </c>
      <c r="J1259" s="12">
        <f>G1259*(D1259*Assumptions!$B$6+E1259*Assumptions!$B$7)</f>
        <v>7.7451901905292919E-3</v>
      </c>
    </row>
    <row r="1260" spans="1:10" x14ac:dyDescent="0.2">
      <c r="A1260" s="2">
        <v>1252</v>
      </c>
      <c r="B1260" s="14">
        <f>A1260*Assumptions!$B$12</f>
        <v>12.52</v>
      </c>
      <c r="C1260" s="15">
        <f>IF(A1260&lt;=Assumptions!$B$13,IF(OR(A1260=0,A1260=Assumptions!$B$13),0.5,1),0)*Assumptions!$B$12</f>
        <v>0.01</v>
      </c>
      <c r="D1260" s="12">
        <f>D1259*(1-Assumptions!$B$12*(Assumptions!$B$5+Assumptions!$B$6))</f>
        <v>0.68683832360833497</v>
      </c>
      <c r="E1260" s="12">
        <f>E1259+Assumptions!$B$12*(D1259*Assumptions!$B$5-E1259*Assumptions!$B$7)</f>
        <v>0.15219559501633836</v>
      </c>
      <c r="F1260" s="12">
        <f t="shared" si="57"/>
        <v>0.16096608137532667</v>
      </c>
      <c r="G1260" s="12">
        <f>EXP(-Assumptions!$B$8*B1260)</f>
        <v>0.53472643463199754</v>
      </c>
      <c r="H1260" s="12">
        <f t="shared" si="58"/>
        <v>0.36727060795170308</v>
      </c>
      <c r="I1260" s="12">
        <f t="shared" si="59"/>
        <v>8.1383007889782033E-2</v>
      </c>
      <c r="J1260" s="12">
        <f>G1260*(D1260*Assumptions!$B$6+E1260*Assumptions!$B$7)</f>
        <v>7.741856474006133E-3</v>
      </c>
    </row>
    <row r="1261" spans="1:10" x14ac:dyDescent="0.2">
      <c r="A1261" s="2">
        <v>1253</v>
      </c>
      <c r="B1261" s="14">
        <f>A1261*Assumptions!$B$12</f>
        <v>12.530000000000001</v>
      </c>
      <c r="C1261" s="15">
        <f>IF(A1261&lt;=Assumptions!$B$13,IF(OR(A1261=0,A1261=Assumptions!$B$13),0.5,1),0)*Assumptions!$B$12</f>
        <v>0.01</v>
      </c>
      <c r="D1261" s="12">
        <f>D1260*(1-Assumptions!$B$12*(Assumptions!$B$5+Assumptions!$B$6))</f>
        <v>0.68663227211125244</v>
      </c>
      <c r="E1261" s="12">
        <f>E1260+Assumptions!$B$12*(D1260*Assumptions!$B$5-E1260*Assumptions!$B$7)</f>
        <v>0.15225686488355186</v>
      </c>
      <c r="F1261" s="12">
        <f t="shared" si="57"/>
        <v>0.1611108630051957</v>
      </c>
      <c r="G1261" s="12">
        <f>EXP(-Assumptions!$B$8*B1261)</f>
        <v>0.5344591382443471</v>
      </c>
      <c r="H1261" s="12">
        <f t="shared" si="58"/>
        <v>0.36697689244333803</v>
      </c>
      <c r="I1261" s="12">
        <f t="shared" si="59"/>
        <v>8.1375072797449127E-2</v>
      </c>
      <c r="J1261" s="12">
        <f>G1261*(D1261*Assumptions!$B$6+E1261*Assumptions!$B$7)</f>
        <v>7.7385225643058358E-3</v>
      </c>
    </row>
    <row r="1262" spans="1:10" x14ac:dyDescent="0.2">
      <c r="A1262" s="2">
        <v>1254</v>
      </c>
      <c r="B1262" s="14">
        <f>A1262*Assumptions!$B$12</f>
        <v>12.540000000000001</v>
      </c>
      <c r="C1262" s="15">
        <f>IF(A1262&lt;=Assumptions!$B$13,IF(OR(A1262=0,A1262=Assumptions!$B$13),0.5,1),0)*Assumptions!$B$12</f>
        <v>0.01</v>
      </c>
      <c r="D1262" s="12">
        <f>D1261*(1-Assumptions!$B$12*(Assumptions!$B$5+Assumptions!$B$6))</f>
        <v>0.68642628242961912</v>
      </c>
      <c r="E1262" s="12">
        <f>E1261+Assumptions!$B$12*(D1261*Assumptions!$B$5-E1261*Assumptions!$B$7)</f>
        <v>0.15231806290553235</v>
      </c>
      <c r="F1262" s="12">
        <f t="shared" si="57"/>
        <v>0.16125565466484854</v>
      </c>
      <c r="G1262" s="12">
        <f>EXP(-Assumptions!$B$8*B1262)</f>
        <v>0.534191975471484</v>
      </c>
      <c r="H1262" s="12">
        <f t="shared" si="58"/>
        <v>0.36668341182662506</v>
      </c>
      <c r="I1262" s="12">
        <f t="shared" si="59"/>
        <v>8.136708692349609E-2</v>
      </c>
      <c r="J1262" s="12">
        <f>G1262*(D1262*Assumptions!$B$6+E1262*Assumptions!$B$7)</f>
        <v>7.7351884644410555E-3</v>
      </c>
    </row>
    <row r="1263" spans="1:10" x14ac:dyDescent="0.2">
      <c r="A1263" s="2">
        <v>1255</v>
      </c>
      <c r="B1263" s="14">
        <f>A1263*Assumptions!$B$12</f>
        <v>12.55</v>
      </c>
      <c r="C1263" s="15">
        <f>IF(A1263&lt;=Assumptions!$B$13,IF(OR(A1263=0,A1263=Assumptions!$B$13),0.5,1),0)*Assumptions!$B$12</f>
        <v>0.01</v>
      </c>
      <c r="D1263" s="12">
        <f>D1262*(1-Assumptions!$B$12*(Assumptions!$B$5+Assumptions!$B$6))</f>
        <v>0.68622035454489028</v>
      </c>
      <c r="E1263" s="12">
        <f>E1262+Assumptions!$B$12*(D1262*Assumptions!$B$5-E1262*Assumptions!$B$7)</f>
        <v>0.1523791891305655</v>
      </c>
      <c r="F1263" s="12">
        <f t="shared" si="57"/>
        <v>0.16140045632454422</v>
      </c>
      <c r="G1263" s="12">
        <f>EXP(-Assumptions!$B$8*B1263)</f>
        <v>0.53392494624661768</v>
      </c>
      <c r="H1263" s="12">
        <f t="shared" si="58"/>
        <v>0.36639016591371548</v>
      </c>
      <c r="I1263" s="12">
        <f t="shared" si="59"/>
        <v>8.1359050365640381E-2</v>
      </c>
      <c r="J1263" s="12">
        <f>G1263*(D1263*Assumptions!$B$6+E1263*Assumptions!$B$7)</f>
        <v>7.7318541774191729E-3</v>
      </c>
    </row>
    <row r="1264" spans="1:10" x14ac:dyDescent="0.2">
      <c r="A1264" s="2">
        <v>1256</v>
      </c>
      <c r="B1264" s="14">
        <f>A1264*Assumptions!$B$12</f>
        <v>12.56</v>
      </c>
      <c r="C1264" s="15">
        <f>IF(A1264&lt;=Assumptions!$B$13,IF(OR(A1264=0,A1264=Assumptions!$B$13),0.5,1),0)*Assumptions!$B$12</f>
        <v>0.01</v>
      </c>
      <c r="D1264" s="12">
        <f>D1263*(1-Assumptions!$B$12*(Assumptions!$B$5+Assumptions!$B$6))</f>
        <v>0.68601448843852686</v>
      </c>
      <c r="E1264" s="12">
        <f>E1263+Assumptions!$B$12*(D1263*Assumptions!$B$5-E1263*Assumptions!$B$7)</f>
        <v>0.15244024360690919</v>
      </c>
      <c r="F1264" s="12">
        <f t="shared" si="57"/>
        <v>0.16154526795456395</v>
      </c>
      <c r="G1264" s="12">
        <f>EXP(-Assumptions!$B$8*B1264)</f>
        <v>0.53365805050299053</v>
      </c>
      <c r="H1264" s="12">
        <f t="shared" si="58"/>
        <v>0.36609715451691061</v>
      </c>
      <c r="I1264" s="12">
        <f t="shared" si="59"/>
        <v>8.1350963221464123E-2</v>
      </c>
      <c r="J1264" s="12">
        <f>G1264*(D1264*Assumptions!$B$6+E1264*Assumptions!$B$7)</f>
        <v>7.7285197062423126E-3</v>
      </c>
    </row>
    <row r="1265" spans="1:10" x14ac:dyDescent="0.2">
      <c r="A1265" s="2">
        <v>1257</v>
      </c>
      <c r="B1265" s="14">
        <f>A1265*Assumptions!$B$12</f>
        <v>12.57</v>
      </c>
      <c r="C1265" s="15">
        <f>IF(A1265&lt;=Assumptions!$B$13,IF(OR(A1265=0,A1265=Assumptions!$B$13),0.5,1),0)*Assumptions!$B$12</f>
        <v>0.01</v>
      </c>
      <c r="D1265" s="12">
        <f>D1264*(1-Assumptions!$B$12*(Assumptions!$B$5+Assumptions!$B$6))</f>
        <v>0.68580868409199536</v>
      </c>
      <c r="E1265" s="12">
        <f>E1264+Assumptions!$B$12*(D1264*Assumptions!$B$5-E1264*Assumptions!$B$7)</f>
        <v>0.15250122638279345</v>
      </c>
      <c r="F1265" s="12">
        <f t="shared" si="57"/>
        <v>0.16169008952521119</v>
      </c>
      <c r="G1265" s="12">
        <f>EXP(-Assumptions!$B$8*B1265)</f>
        <v>0.53339128817387893</v>
      </c>
      <c r="H1265" s="12">
        <f t="shared" si="58"/>
        <v>0.36580437744866218</v>
      </c>
      <c r="I1265" s="12">
        <f t="shared" si="59"/>
        <v>8.1342825588414533E-2</v>
      </c>
      <c r="J1265" s="12">
        <f>G1265*(D1265*Assumptions!$B$6+E1265*Assumptions!$B$7)</f>
        <v>7.7251850539073489E-3</v>
      </c>
    </row>
    <row r="1266" spans="1:10" x14ac:dyDescent="0.2">
      <c r="A1266" s="2">
        <v>1258</v>
      </c>
      <c r="B1266" s="14">
        <f>A1266*Assumptions!$B$12</f>
        <v>12.58</v>
      </c>
      <c r="C1266" s="15">
        <f>IF(A1266&lt;=Assumptions!$B$13,IF(OR(A1266=0,A1266=Assumptions!$B$13),0.5,1),0)*Assumptions!$B$12</f>
        <v>0.01</v>
      </c>
      <c r="D1266" s="12">
        <f>D1265*(1-Assumptions!$B$12*(Assumptions!$B$5+Assumptions!$B$6))</f>
        <v>0.68560294148676781</v>
      </c>
      <c r="E1266" s="12">
        <f>E1265+Assumptions!$B$12*(D1265*Assumptions!$B$5-E1265*Assumptions!$B$7)</f>
        <v>0.15256213750642045</v>
      </c>
      <c r="F1266" s="12">
        <f t="shared" si="57"/>
        <v>0.16183492100681174</v>
      </c>
      <c r="G1266" s="12">
        <f>EXP(-Assumptions!$B$8*B1266)</f>
        <v>0.53312465919259211</v>
      </c>
      <c r="H1266" s="12">
        <f t="shared" si="58"/>
        <v>0.36551183452157177</v>
      </c>
      <c r="I1266" s="12">
        <f t="shared" si="59"/>
        <v>8.1334637563803769E-2</v>
      </c>
      <c r="J1266" s="12">
        <f>G1266*(D1266*Assumptions!$B$6+E1266*Assumptions!$B$7)</f>
        <v>7.7218502234059063E-3</v>
      </c>
    </row>
    <row r="1267" spans="1:10" x14ac:dyDescent="0.2">
      <c r="A1267" s="2">
        <v>1259</v>
      </c>
      <c r="B1267" s="14">
        <f>A1267*Assumptions!$B$12</f>
        <v>12.59</v>
      </c>
      <c r="C1267" s="15">
        <f>IF(A1267&lt;=Assumptions!$B$13,IF(OR(A1267=0,A1267=Assumptions!$B$13),0.5,1),0)*Assumptions!$B$12</f>
        <v>0.01</v>
      </c>
      <c r="D1267" s="12">
        <f>D1266*(1-Assumptions!$B$12*(Assumptions!$B$5+Assumptions!$B$6))</f>
        <v>0.68539726060432182</v>
      </c>
      <c r="E1267" s="12">
        <f>E1266+Assumptions!$B$12*(D1266*Assumptions!$B$5-E1266*Assumptions!$B$7)</f>
        <v>0.15262297702596458</v>
      </c>
      <c r="F1267" s="12">
        <f t="shared" si="57"/>
        <v>0.16197976236971359</v>
      </c>
      <c r="G1267" s="12">
        <f>EXP(-Assumptions!$B$8*B1267)</f>
        <v>0.53285816349247284</v>
      </c>
      <c r="H1267" s="12">
        <f t="shared" si="58"/>
        <v>0.36521952554839071</v>
      </c>
      <c r="I1267" s="12">
        <f t="shared" si="59"/>
        <v>8.1326399244809361E-2</v>
      </c>
      <c r="J1267" s="12">
        <f>G1267*(D1267*Assumptions!$B$6+E1267*Assumptions!$B$7)</f>
        <v>7.7185152177243754E-3</v>
      </c>
    </row>
    <row r="1268" spans="1:10" x14ac:dyDescent="0.2">
      <c r="A1268" s="2">
        <v>1260</v>
      </c>
      <c r="B1268" s="14">
        <f>A1268*Assumptions!$B$12</f>
        <v>12.6</v>
      </c>
      <c r="C1268" s="15">
        <f>IF(A1268&lt;=Assumptions!$B$13,IF(OR(A1268=0,A1268=Assumptions!$B$13),0.5,1),0)*Assumptions!$B$12</f>
        <v>0.01</v>
      </c>
      <c r="D1268" s="12">
        <f>D1267*(1-Assumptions!$B$12*(Assumptions!$B$5+Assumptions!$B$6))</f>
        <v>0.68519164142614053</v>
      </c>
      <c r="E1268" s="12">
        <f>E1267+Assumptions!$B$12*(D1267*Assumptions!$B$5-E1267*Assumptions!$B$7)</f>
        <v>0.15268374498957246</v>
      </c>
      <c r="F1268" s="12">
        <f t="shared" si="57"/>
        <v>0.16212461358428701</v>
      </c>
      <c r="G1268" s="12">
        <f>EXP(-Assumptions!$B$8*B1268)</f>
        <v>0.53259180100689718</v>
      </c>
      <c r="H1268" s="12">
        <f t="shared" si="58"/>
        <v>0.36492745034202029</v>
      </c>
      <c r="I1268" s="12">
        <f t="shared" si="59"/>
        <v>8.1318110728474211E-2</v>
      </c>
      <c r="J1268" s="12">
        <f>G1268*(D1268*Assumptions!$B$6+E1268*Assumptions!$B$7)</f>
        <v>7.7151800398439132E-3</v>
      </c>
    </row>
    <row r="1269" spans="1:10" x14ac:dyDescent="0.2">
      <c r="A1269" s="2">
        <v>1261</v>
      </c>
      <c r="B1269" s="14">
        <f>A1269*Assumptions!$B$12</f>
        <v>12.61</v>
      </c>
      <c r="C1269" s="15">
        <f>IF(A1269&lt;=Assumptions!$B$13,IF(OR(A1269=0,A1269=Assumptions!$B$13),0.5,1),0)*Assumptions!$B$12</f>
        <v>0.01</v>
      </c>
      <c r="D1269" s="12">
        <f>D1268*(1-Assumptions!$B$12*(Assumptions!$B$5+Assumptions!$B$6))</f>
        <v>0.68498608393371274</v>
      </c>
      <c r="E1269" s="12">
        <f>E1268+Assumptions!$B$12*(D1268*Assumptions!$B$5-E1268*Assumptions!$B$7)</f>
        <v>0.15274444144536289</v>
      </c>
      <c r="F1269" s="12">
        <f t="shared" si="57"/>
        <v>0.16226947462092436</v>
      </c>
      <c r="G1269" s="12">
        <f>EXP(-Assumptions!$B$8*B1269)</f>
        <v>0.53232557166927452</v>
      </c>
      <c r="H1269" s="12">
        <f t="shared" si="58"/>
        <v>0.36463560871551132</v>
      </c>
      <c r="I1269" s="12">
        <f t="shared" si="59"/>
        <v>8.1309772111706827E-2</v>
      </c>
      <c r="J1269" s="12">
        <f>G1269*(D1269*Assumptions!$B$6+E1269*Assumptions!$B$7)</f>
        <v>7.7118446927404542E-3</v>
      </c>
    </row>
    <row r="1270" spans="1:10" x14ac:dyDescent="0.2">
      <c r="A1270" s="2">
        <v>1262</v>
      </c>
      <c r="B1270" s="14">
        <f>A1270*Assumptions!$B$12</f>
        <v>12.620000000000001</v>
      </c>
      <c r="C1270" s="15">
        <f>IF(A1270&lt;=Assumptions!$B$13,IF(OR(A1270=0,A1270=Assumptions!$B$13),0.5,1),0)*Assumptions!$B$12</f>
        <v>0.01</v>
      </c>
      <c r="D1270" s="12">
        <f>D1269*(1-Assumptions!$B$12*(Assumptions!$B$5+Assumptions!$B$6))</f>
        <v>0.6847805881085326</v>
      </c>
      <c r="E1270" s="12">
        <f>E1269+Assumptions!$B$12*(D1269*Assumptions!$B$5-E1269*Assumptions!$B$7)</f>
        <v>0.15280506644142697</v>
      </c>
      <c r="F1270" s="12">
        <f t="shared" si="57"/>
        <v>0.16241434545004044</v>
      </c>
      <c r="G1270" s="12">
        <f>EXP(-Assumptions!$B$8*B1270)</f>
        <v>0.53205947541304766</v>
      </c>
      <c r="H1270" s="12">
        <f t="shared" si="58"/>
        <v>0.36434400048206411</v>
      </c>
      <c r="I1270" s="12">
        <f t="shared" si="59"/>
        <v>8.130138349128152E-2</v>
      </c>
      <c r="J1270" s="12">
        <f>G1270*(D1270*Assumptions!$B$6+E1270*Assumptions!$B$7)</f>
        <v>7.7085091793847177E-3</v>
      </c>
    </row>
    <row r="1271" spans="1:10" x14ac:dyDescent="0.2">
      <c r="A1271" s="2">
        <v>1263</v>
      </c>
      <c r="B1271" s="14">
        <f>A1271*Assumptions!$B$12</f>
        <v>12.63</v>
      </c>
      <c r="C1271" s="15">
        <f>IF(A1271&lt;=Assumptions!$B$13,IF(OR(A1271=0,A1271=Assumptions!$B$13),0.5,1),0)*Assumptions!$B$12</f>
        <v>0.01</v>
      </c>
      <c r="D1271" s="12">
        <f>D1270*(1-Assumptions!$B$12*(Assumptions!$B$5+Assumptions!$B$6))</f>
        <v>0.68457515393210011</v>
      </c>
      <c r="E1271" s="12">
        <f>E1270+Assumptions!$B$12*(D1270*Assumptions!$B$5-E1270*Assumptions!$B$7)</f>
        <v>0.15286562002582796</v>
      </c>
      <c r="F1271" s="12">
        <f t="shared" si="57"/>
        <v>0.16255922604207193</v>
      </c>
      <c r="G1271" s="12">
        <f>EXP(-Assumptions!$B$8*B1271)</f>
        <v>0.53179351217169235</v>
      </c>
      <c r="H1271" s="12">
        <f t="shared" si="58"/>
        <v>0.36405262545502842</v>
      </c>
      <c r="I1271" s="12">
        <f t="shared" si="59"/>
        <v>8.1292944963838432E-2</v>
      </c>
      <c r="J1271" s="12">
        <f>G1271*(D1271*Assumptions!$B$6+E1271*Assumptions!$B$7)</f>
        <v>7.7051735027422073E-3</v>
      </c>
    </row>
    <row r="1272" spans="1:10" x14ac:dyDescent="0.2">
      <c r="A1272" s="2">
        <v>1264</v>
      </c>
      <c r="B1272" s="14">
        <f>A1272*Assumptions!$B$12</f>
        <v>12.64</v>
      </c>
      <c r="C1272" s="15">
        <f>IF(A1272&lt;=Assumptions!$B$13,IF(OR(A1272=0,A1272=Assumptions!$B$13),0.5,1),0)*Assumptions!$B$12</f>
        <v>0.01</v>
      </c>
      <c r="D1272" s="12">
        <f>D1271*(1-Assumptions!$B$12*(Assumptions!$B$5+Assumptions!$B$6))</f>
        <v>0.68436978138592053</v>
      </c>
      <c r="E1272" s="12">
        <f>E1271+Assumptions!$B$12*(D1271*Assumptions!$B$5-E1271*Assumptions!$B$7)</f>
        <v>0.15292610224660147</v>
      </c>
      <c r="F1272" s="12">
        <f t="shared" si="57"/>
        <v>0.162704116367478</v>
      </c>
      <c r="G1272" s="12">
        <f>EXP(-Assumptions!$B$8*B1272)</f>
        <v>0.53152768187871791</v>
      </c>
      <c r="H1272" s="12">
        <f t="shared" si="58"/>
        <v>0.36376148344790327</v>
      </c>
      <c r="I1272" s="12">
        <f t="shared" si="59"/>
        <v>8.1284456625883877E-2</v>
      </c>
      <c r="J1272" s="12">
        <f>G1272*(D1272*Assumptions!$B$6+E1272*Assumptions!$B$7)</f>
        <v>7.7018376657732269E-3</v>
      </c>
    </row>
    <row r="1273" spans="1:10" x14ac:dyDescent="0.2">
      <c r="A1273" s="2">
        <v>1265</v>
      </c>
      <c r="B1273" s="14">
        <f>A1273*Assumptions!$B$12</f>
        <v>12.65</v>
      </c>
      <c r="C1273" s="15">
        <f>IF(A1273&lt;=Assumptions!$B$13,IF(OR(A1273=0,A1273=Assumptions!$B$13),0.5,1),0)*Assumptions!$B$12</f>
        <v>0.01</v>
      </c>
      <c r="D1273" s="12">
        <f>D1272*(1-Assumptions!$B$12*(Assumptions!$B$5+Assumptions!$B$6))</f>
        <v>0.68416447045150475</v>
      </c>
      <c r="E1273" s="12">
        <f>E1272+Assumptions!$B$12*(D1272*Assumptions!$B$5-E1272*Assumptions!$B$7)</f>
        <v>0.15298651315175535</v>
      </c>
      <c r="F1273" s="12">
        <f t="shared" si="57"/>
        <v>0.1628490163967399</v>
      </c>
      <c r="G1273" s="12">
        <f>EXP(-Assumptions!$B$8*B1273)</f>
        <v>0.5312619844676667</v>
      </c>
      <c r="H1273" s="12">
        <f t="shared" si="58"/>
        <v>0.36347057427433671</v>
      </c>
      <c r="I1273" s="12">
        <f t="shared" si="59"/>
        <v>8.1275918573790337E-2</v>
      </c>
      <c r="J1273" s="12">
        <f>G1273*(D1273*Assumptions!$B$6+E1273*Assumptions!$B$7)</f>
        <v>7.6985016714328841E-3</v>
      </c>
    </row>
    <row r="1274" spans="1:10" x14ac:dyDescent="0.2">
      <c r="A1274" s="2">
        <v>1266</v>
      </c>
      <c r="B1274" s="14">
        <f>A1274*Assumptions!$B$12</f>
        <v>12.66</v>
      </c>
      <c r="C1274" s="15">
        <f>IF(A1274&lt;=Assumptions!$B$13,IF(OR(A1274=0,A1274=Assumptions!$B$13),0.5,1),0)*Assumptions!$B$12</f>
        <v>0.01</v>
      </c>
      <c r="D1274" s="12">
        <f>D1273*(1-Assumptions!$B$12*(Assumptions!$B$5+Assumptions!$B$6))</f>
        <v>0.68395922111036933</v>
      </c>
      <c r="E1274" s="12">
        <f>E1273+Assumptions!$B$12*(D1273*Assumptions!$B$5-E1273*Assumptions!$B$7)</f>
        <v>0.15304685278926977</v>
      </c>
      <c r="F1274" s="12">
        <f t="shared" si="57"/>
        <v>0.1629939261003609</v>
      </c>
      <c r="G1274" s="12">
        <f>EXP(-Assumptions!$B$8*B1274)</f>
        <v>0.53099641987211432</v>
      </c>
      <c r="H1274" s="12">
        <f t="shared" si="58"/>
        <v>0.36317989774812592</v>
      </c>
      <c r="I1274" s="12">
        <f t="shared" si="59"/>
        <v>8.1267330903796758E-2</v>
      </c>
      <c r="J1274" s="12">
        <f>G1274*(D1274*Assumptions!$B$6+E1274*Assumptions!$B$7)</f>
        <v>7.6951655226710977E-3</v>
      </c>
    </row>
    <row r="1275" spans="1:10" x14ac:dyDescent="0.2">
      <c r="A1275" s="2">
        <v>1267</v>
      </c>
      <c r="B1275" s="14">
        <f>A1275*Assumptions!$B$12</f>
        <v>12.67</v>
      </c>
      <c r="C1275" s="15">
        <f>IF(A1275&lt;=Assumptions!$B$13,IF(OR(A1275=0,A1275=Assumptions!$B$13),0.5,1),0)*Assumptions!$B$12</f>
        <v>0.01</v>
      </c>
      <c r="D1275" s="12">
        <f>D1274*(1-Assumptions!$B$12*(Assumptions!$B$5+Assumptions!$B$6))</f>
        <v>0.68375403334403628</v>
      </c>
      <c r="E1275" s="12">
        <f>E1274+Assumptions!$B$12*(D1274*Assumptions!$B$5-E1274*Assumptions!$B$7)</f>
        <v>0.15310712120709721</v>
      </c>
      <c r="F1275" s="12">
        <f t="shared" si="57"/>
        <v>0.1631388454488665</v>
      </c>
      <c r="G1275" s="12">
        <f>EXP(-Assumptions!$B$8*B1275)</f>
        <v>0.53073098802566965</v>
      </c>
      <c r="H1275" s="12">
        <f t="shared" si="58"/>
        <v>0.36288945368321707</v>
      </c>
      <c r="I1275" s="12">
        <f t="shared" si="59"/>
        <v>8.1258693712008667E-2</v>
      </c>
      <c r="J1275" s="12">
        <f>G1275*(D1275*Assumptions!$B$6+E1275*Assumptions!$B$7)</f>
        <v>7.6918292224326034E-3</v>
      </c>
    </row>
    <row r="1276" spans="1:10" x14ac:dyDescent="0.2">
      <c r="A1276" s="2">
        <v>1268</v>
      </c>
      <c r="B1276" s="14">
        <f>A1276*Assumptions!$B$12</f>
        <v>12.68</v>
      </c>
      <c r="C1276" s="15">
        <f>IF(A1276&lt;=Assumptions!$B$13,IF(OR(A1276=0,A1276=Assumptions!$B$13),0.5,1),0)*Assumptions!$B$12</f>
        <v>0.01</v>
      </c>
      <c r="D1276" s="12">
        <f>D1275*(1-Assumptions!$B$12*(Assumptions!$B$5+Assumptions!$B$6))</f>
        <v>0.68354890713403305</v>
      </c>
      <c r="E1276" s="12">
        <f>E1275+Assumptions!$B$12*(D1275*Assumptions!$B$5-E1275*Assumptions!$B$7)</f>
        <v>0.15316731845316248</v>
      </c>
      <c r="F1276" s="12">
        <f t="shared" si="57"/>
        <v>0.16328377441280448</v>
      </c>
      <c r="G1276" s="12">
        <f>EXP(-Assumptions!$B$8*B1276)</f>
        <v>0.53046568886197487</v>
      </c>
      <c r="H1276" s="12">
        <f t="shared" si="58"/>
        <v>0.3625992418937049</v>
      </c>
      <c r="I1276" s="12">
        <f t="shared" si="59"/>
        <v>8.1250007094398308E-2</v>
      </c>
      <c r="J1276" s="12">
        <f>G1276*(D1276*Assumptions!$B$6+E1276*Assumptions!$B$7)</f>
        <v>7.6884927736569639E-3</v>
      </c>
    </row>
    <row r="1277" spans="1:10" x14ac:dyDescent="0.2">
      <c r="A1277" s="2">
        <v>1269</v>
      </c>
      <c r="B1277" s="14">
        <f>A1277*Assumptions!$B$12</f>
        <v>12.69</v>
      </c>
      <c r="C1277" s="15">
        <f>IF(A1277&lt;=Assumptions!$B$13,IF(OR(A1277=0,A1277=Assumptions!$B$13),0.5,1),0)*Assumptions!$B$12</f>
        <v>0.01</v>
      </c>
      <c r="D1277" s="12">
        <f>D1276*(1-Assumptions!$B$12*(Assumptions!$B$5+Assumptions!$B$6))</f>
        <v>0.68334384246189284</v>
      </c>
      <c r="E1277" s="12">
        <f>E1276+Assumptions!$B$12*(D1276*Assumptions!$B$5-E1276*Assumptions!$B$7)</f>
        <v>0.15322744457536269</v>
      </c>
      <c r="F1277" s="12">
        <f t="shared" si="57"/>
        <v>0.16342871296274447</v>
      </c>
      <c r="G1277" s="12">
        <f>EXP(-Assumptions!$B$8*B1277)</f>
        <v>0.53020052231470494</v>
      </c>
      <c r="H1277" s="12">
        <f t="shared" si="58"/>
        <v>0.36230926219383303</v>
      </c>
      <c r="I1277" s="12">
        <f t="shared" si="59"/>
        <v>8.1241271146804794E-2</v>
      </c>
      <c r="J1277" s="12">
        <f>G1277*(D1277*Assumptions!$B$6+E1277*Assumptions!$B$7)</f>
        <v>7.6851561792785706E-3</v>
      </c>
    </row>
    <row r="1278" spans="1:10" x14ac:dyDescent="0.2">
      <c r="A1278" s="2">
        <v>1270</v>
      </c>
      <c r="B1278" s="14">
        <f>A1278*Assumptions!$B$12</f>
        <v>12.700000000000001</v>
      </c>
      <c r="C1278" s="15">
        <f>IF(A1278&lt;=Assumptions!$B$13,IF(OR(A1278=0,A1278=Assumptions!$B$13),0.5,1),0)*Assumptions!$B$12</f>
        <v>0.01</v>
      </c>
      <c r="D1278" s="12">
        <f>D1277*(1-Assumptions!$B$12*(Assumptions!$B$5+Assumptions!$B$6))</f>
        <v>0.68313883930915431</v>
      </c>
      <c r="E1278" s="12">
        <f>E1277+Assumptions!$B$12*(D1277*Assumptions!$B$5-E1277*Assumptions!$B$7)</f>
        <v>0.1532874996215674</v>
      </c>
      <c r="F1278" s="12">
        <f t="shared" si="57"/>
        <v>0.16357366106927829</v>
      </c>
      <c r="G1278" s="12">
        <f>EXP(-Assumptions!$B$8*B1278)</f>
        <v>0.52993548831756843</v>
      </c>
      <c r="H1278" s="12">
        <f t="shared" si="58"/>
        <v>0.36201951439799362</v>
      </c>
      <c r="I1278" s="12">
        <f t="shared" si="59"/>
        <v>8.1232485964934403E-2</v>
      </c>
      <c r="J1278" s="12">
        <f>G1278*(D1278*Assumptions!$B$6+E1278*Assumptions!$B$7)</f>
        <v>7.6818194422266567E-3</v>
      </c>
    </row>
    <row r="1279" spans="1:10" x14ac:dyDescent="0.2">
      <c r="A1279" s="2">
        <v>1271</v>
      </c>
      <c r="B1279" s="14">
        <f>A1279*Assumptions!$B$12</f>
        <v>12.71</v>
      </c>
      <c r="C1279" s="15">
        <f>IF(A1279&lt;=Assumptions!$B$13,IF(OR(A1279=0,A1279=Assumptions!$B$13),0.5,1),0)*Assumptions!$B$12</f>
        <v>0.01</v>
      </c>
      <c r="D1279" s="12">
        <f>D1278*(1-Assumptions!$B$12*(Assumptions!$B$5+Assumptions!$B$6))</f>
        <v>0.68293389765736157</v>
      </c>
      <c r="E1279" s="12">
        <f>E1278+Assumptions!$B$12*(D1278*Assumptions!$B$5-E1278*Assumptions!$B$7)</f>
        <v>0.15334748363961845</v>
      </c>
      <c r="F1279" s="12">
        <f t="shared" si="57"/>
        <v>0.16371861870301999</v>
      </c>
      <c r="G1279" s="12">
        <f>EXP(-Assumptions!$B$8*B1279)</f>
        <v>0.52967058680430679</v>
      </c>
      <c r="H1279" s="12">
        <f t="shared" si="58"/>
        <v>0.36172999832072711</v>
      </c>
      <c r="I1279" s="12">
        <f t="shared" si="59"/>
        <v>8.1223651644360545E-2</v>
      </c>
      <c r="J1279" s="12">
        <f>G1279*(D1279*Assumptions!$B$6+E1279*Assumptions!$B$7)</f>
        <v>7.6784825654252981E-3</v>
      </c>
    </row>
    <row r="1280" spans="1:10" x14ac:dyDescent="0.2">
      <c r="A1280" s="2">
        <v>1272</v>
      </c>
      <c r="B1280" s="14">
        <f>A1280*Assumptions!$B$12</f>
        <v>12.72</v>
      </c>
      <c r="C1280" s="15">
        <f>IF(A1280&lt;=Assumptions!$B$13,IF(OR(A1280=0,A1280=Assumptions!$B$13),0.5,1),0)*Assumptions!$B$12</f>
        <v>0.01</v>
      </c>
      <c r="D1280" s="12">
        <f>D1279*(1-Assumptions!$B$12*(Assumptions!$B$5+Assumptions!$B$6))</f>
        <v>0.68272901748806436</v>
      </c>
      <c r="E1280" s="12">
        <f>E1279+Assumptions!$B$12*(D1279*Assumptions!$B$5-E1279*Assumptions!$B$7)</f>
        <v>0.15340739667733011</v>
      </c>
      <c r="F1280" s="12">
        <f t="shared" si="57"/>
        <v>0.16386358583460553</v>
      </c>
      <c r="G1280" s="12">
        <f>EXP(-Assumptions!$B$8*B1280)</f>
        <v>0.52940581770869455</v>
      </c>
      <c r="H1280" s="12">
        <f t="shared" si="58"/>
        <v>0.36144071377672232</v>
      </c>
      <c r="I1280" s="12">
        <f t="shared" si="59"/>
        <v>8.1214768280524013E-2</v>
      </c>
      <c r="J1280" s="12">
        <f>G1280*(D1280*Assumptions!$B$6+E1280*Assumptions!$B$7)</f>
        <v>7.6751455517934247E-3</v>
      </c>
    </row>
    <row r="1281" spans="1:10" x14ac:dyDescent="0.2">
      <c r="A1281" s="2">
        <v>1273</v>
      </c>
      <c r="B1281" s="14">
        <f>A1281*Assumptions!$B$12</f>
        <v>12.73</v>
      </c>
      <c r="C1281" s="15">
        <f>IF(A1281&lt;=Assumptions!$B$13,IF(OR(A1281=0,A1281=Assumptions!$B$13),0.5,1),0)*Assumptions!$B$12</f>
        <v>0.01</v>
      </c>
      <c r="D1281" s="12">
        <f>D1280*(1-Assumptions!$B$12*(Assumptions!$B$5+Assumptions!$B$6))</f>
        <v>0.682524198782818</v>
      </c>
      <c r="E1281" s="12">
        <f>E1280+Assumptions!$B$12*(D1280*Assumptions!$B$5-E1280*Assumptions!$B$7)</f>
        <v>0.15346723878248905</v>
      </c>
      <c r="F1281" s="12">
        <f t="shared" si="57"/>
        <v>0.16400856243469294</v>
      </c>
      <c r="G1281" s="12">
        <f>EXP(-Assumptions!$B$8*B1281)</f>
        <v>0.52914118096453955</v>
      </c>
      <c r="H1281" s="12">
        <f t="shared" si="58"/>
        <v>0.36115166058081649</v>
      </c>
      <c r="I1281" s="12">
        <f t="shared" si="59"/>
        <v>8.1205835968733237E-2</v>
      </c>
      <c r="J1281" s="12">
        <f>G1281*(D1281*Assumptions!$B$6+E1281*Assumptions!$B$7)</f>
        <v>7.6718084042448273E-3</v>
      </c>
    </row>
    <row r="1282" spans="1:10" x14ac:dyDescent="0.2">
      <c r="A1282" s="2">
        <v>1274</v>
      </c>
      <c r="B1282" s="14">
        <f>A1282*Assumptions!$B$12</f>
        <v>12.74</v>
      </c>
      <c r="C1282" s="15">
        <f>IF(A1282&lt;=Assumptions!$B$13,IF(OR(A1282=0,A1282=Assumptions!$B$13),0.5,1),0)*Assumptions!$B$12</f>
        <v>0.01</v>
      </c>
      <c r="D1282" s="12">
        <f>D1281*(1-Assumptions!$B$12*(Assumptions!$B$5+Assumptions!$B$6))</f>
        <v>0.68231944152318313</v>
      </c>
      <c r="E1282" s="12">
        <f>E1281+Assumptions!$B$12*(D1281*Assumptions!$B$5-E1281*Assumptions!$B$7)</f>
        <v>0.15352701000285437</v>
      </c>
      <c r="F1282" s="12">
        <f t="shared" si="57"/>
        <v>0.16415354847396249</v>
      </c>
      <c r="G1282" s="12">
        <f>EXP(-Assumptions!$B$8*B1282)</f>
        <v>0.52887667650568249</v>
      </c>
      <c r="H1282" s="12">
        <f t="shared" si="58"/>
        <v>0.36086283854799445</v>
      </c>
      <c r="I1282" s="12">
        <f t="shared" si="59"/>
        <v>8.119685480416429E-2</v>
      </c>
      <c r="J1282" s="12">
        <f>G1282*(D1282*Assumptions!$B$6+E1282*Assumptions!$B$7)</f>
        <v>7.6684711256881592E-3</v>
      </c>
    </row>
    <row r="1283" spans="1:10" x14ac:dyDescent="0.2">
      <c r="A1283" s="2">
        <v>1275</v>
      </c>
      <c r="B1283" s="14">
        <f>A1283*Assumptions!$B$12</f>
        <v>12.75</v>
      </c>
      <c r="C1283" s="15">
        <f>IF(A1283&lt;=Assumptions!$B$13,IF(OR(A1283=0,A1283=Assumptions!$B$13),0.5,1),0)*Assumptions!$B$12</f>
        <v>0.01</v>
      </c>
      <c r="D1283" s="12">
        <f>D1282*(1-Assumptions!$B$12*(Assumptions!$B$5+Assumptions!$B$6))</f>
        <v>0.68211474569072617</v>
      </c>
      <c r="E1283" s="12">
        <f>E1282+Assumptions!$B$12*(D1282*Assumptions!$B$5-E1282*Assumptions!$B$7)</f>
        <v>0.15358671038615759</v>
      </c>
      <c r="F1283" s="12">
        <f t="shared" si="57"/>
        <v>0.16429854392311624</v>
      </c>
      <c r="G1283" s="12">
        <f>EXP(-Assumptions!$B$8*B1283)</f>
        <v>0.52861230426599726</v>
      </c>
      <c r="H1283" s="12">
        <f t="shared" si="58"/>
        <v>0.36057424749338945</v>
      </c>
      <c r="I1283" s="12">
        <f t="shared" si="59"/>
        <v>8.1187824881861145E-2</v>
      </c>
      <c r="J1283" s="12">
        <f>G1283*(D1283*Assumptions!$B$6+E1283*Assumptions!$B$7)</f>
        <v>7.6651337190269519E-3</v>
      </c>
    </row>
    <row r="1284" spans="1:10" x14ac:dyDescent="0.2">
      <c r="A1284" s="2">
        <v>1276</v>
      </c>
      <c r="B1284" s="14">
        <f>A1284*Assumptions!$B$12</f>
        <v>12.76</v>
      </c>
      <c r="C1284" s="15">
        <f>IF(A1284&lt;=Assumptions!$B$13,IF(OR(A1284=0,A1284=Assumptions!$B$13),0.5,1),0)*Assumptions!$B$12</f>
        <v>0.01</v>
      </c>
      <c r="D1284" s="12">
        <f>D1283*(1-Assumptions!$B$12*(Assumptions!$B$5+Assumptions!$B$6))</f>
        <v>0.68191011126701895</v>
      </c>
      <c r="E1284" s="12">
        <f>E1283+Assumptions!$B$12*(D1283*Assumptions!$B$5-E1283*Assumptions!$B$7)</f>
        <v>0.15364633998010266</v>
      </c>
      <c r="F1284" s="12">
        <f t="shared" si="57"/>
        <v>0.16444354875287839</v>
      </c>
      <c r="G1284" s="12">
        <f>EXP(-Assumptions!$B$8*B1284)</f>
        <v>0.52834806417939095</v>
      </c>
      <c r="H1284" s="12">
        <f t="shared" si="58"/>
        <v>0.36028588723228255</v>
      </c>
      <c r="I1284" s="12">
        <f t="shared" si="59"/>
        <v>8.1178746296735799E-2</v>
      </c>
      <c r="J1284" s="12">
        <f>G1284*(D1284*Assumptions!$B$6+E1284*Assumptions!$B$7)</f>
        <v>7.6617961871596162E-3</v>
      </c>
    </row>
    <row r="1285" spans="1:10" x14ac:dyDescent="0.2">
      <c r="A1285" s="2">
        <v>1277</v>
      </c>
      <c r="B1285" s="14">
        <f>A1285*Assumptions!$B$12</f>
        <v>12.77</v>
      </c>
      <c r="C1285" s="15">
        <f>IF(A1285&lt;=Assumptions!$B$13,IF(OR(A1285=0,A1285=Assumptions!$B$13),0.5,1),0)*Assumptions!$B$12</f>
        <v>0.01</v>
      </c>
      <c r="D1285" s="12">
        <f>D1284*(1-Assumptions!$B$12*(Assumptions!$B$5+Assumptions!$B$6))</f>
        <v>0.68170553823363889</v>
      </c>
      <c r="E1285" s="12">
        <f>E1284+Assumptions!$B$12*(D1284*Assumptions!$B$5-E1284*Assumptions!$B$7)</f>
        <v>0.15370589883236602</v>
      </c>
      <c r="F1285" s="12">
        <f t="shared" si="57"/>
        <v>0.1645885629339951</v>
      </c>
      <c r="G1285" s="12">
        <f>EXP(-Assumptions!$B$8*B1285)</f>
        <v>0.52808395617980342</v>
      </c>
      <c r="H1285" s="12">
        <f t="shared" si="58"/>
        <v>0.35999775758010227</v>
      </c>
      <c r="I1285" s="12">
        <f t="shared" si="59"/>
        <v>8.1169619143568475E-2</v>
      </c>
      <c r="J1285" s="12">
        <f>G1285*(D1285*Assumptions!$B$6+E1285*Assumptions!$B$7)</f>
        <v>7.6584585329794461E-3</v>
      </c>
    </row>
    <row r="1286" spans="1:10" x14ac:dyDescent="0.2">
      <c r="A1286" s="2">
        <v>1278</v>
      </c>
      <c r="B1286" s="14">
        <f>A1286*Assumptions!$B$12</f>
        <v>12.780000000000001</v>
      </c>
      <c r="C1286" s="15">
        <f>IF(A1286&lt;=Assumptions!$B$13,IF(OR(A1286=0,A1286=Assumptions!$B$13),0.5,1),0)*Assumptions!$B$12</f>
        <v>0.01</v>
      </c>
      <c r="D1286" s="12">
        <f>D1285*(1-Assumptions!$B$12*(Assumptions!$B$5+Assumptions!$B$6))</f>
        <v>0.68150102657216882</v>
      </c>
      <c r="E1286" s="12">
        <f>E1285+Assumptions!$B$12*(D1285*Assumptions!$B$5-E1285*Assumptions!$B$7)</f>
        <v>0.15376538699059655</v>
      </c>
      <c r="F1286" s="12">
        <f t="shared" si="57"/>
        <v>0.16473358643723462</v>
      </c>
      <c r="G1286" s="12">
        <f>EXP(-Assumptions!$B$8*B1286)</f>
        <v>0.52781998020120757</v>
      </c>
      <c r="H1286" s="12">
        <f t="shared" si="58"/>
        <v>0.3597098583524248</v>
      </c>
      <c r="I1286" s="12">
        <f t="shared" si="59"/>
        <v>8.1160443517007699E-2</v>
      </c>
      <c r="J1286" s="12">
        <f>G1286*(D1286*Assumptions!$B$6+E1286*Assumptions!$B$7)</f>
        <v>7.6551207593746331E-3</v>
      </c>
    </row>
    <row r="1287" spans="1:10" x14ac:dyDescent="0.2">
      <c r="A1287" s="2">
        <v>1279</v>
      </c>
      <c r="B1287" s="14">
        <f>A1287*Assumptions!$B$12</f>
        <v>12.790000000000001</v>
      </c>
      <c r="C1287" s="15">
        <f>IF(A1287&lt;=Assumptions!$B$13,IF(OR(A1287=0,A1287=Assumptions!$B$13),0.5,1),0)*Assumptions!$B$12</f>
        <v>0.01</v>
      </c>
      <c r="D1287" s="12">
        <f>D1286*(1-Assumptions!$B$12*(Assumptions!$B$5+Assumptions!$B$6))</f>
        <v>0.68129657626419715</v>
      </c>
      <c r="E1287" s="12">
        <f>E1286+Assumptions!$B$12*(D1286*Assumptions!$B$5-E1286*Assumptions!$B$7)</f>
        <v>0.1538248045024157</v>
      </c>
      <c r="F1287" s="12">
        <f t="shared" si="57"/>
        <v>0.16487861923338715</v>
      </c>
      <c r="G1287" s="12">
        <f>EXP(-Assumptions!$B$8*B1287)</f>
        <v>0.52755613617760966</v>
      </c>
      <c r="H1287" s="12">
        <f t="shared" si="58"/>
        <v>0.359422189364974</v>
      </c>
      <c r="I1287" s="12">
        <f t="shared" si="59"/>
        <v>8.1151219511570602E-2</v>
      </c>
      <c r="J1287" s="12">
        <f>G1287*(D1287*Assumptions!$B$6+E1287*Assumptions!$B$7)</f>
        <v>7.6517828692282703E-3</v>
      </c>
    </row>
    <row r="1288" spans="1:10" x14ac:dyDescent="0.2">
      <c r="A1288" s="2">
        <v>1280</v>
      </c>
      <c r="B1288" s="14">
        <f>A1288*Assumptions!$B$12</f>
        <v>12.8</v>
      </c>
      <c r="C1288" s="15">
        <f>IF(A1288&lt;=Assumptions!$B$13,IF(OR(A1288=0,A1288=Assumptions!$B$13),0.5,1),0)*Assumptions!$B$12</f>
        <v>0.01</v>
      </c>
      <c r="D1288" s="12">
        <f>D1287*(1-Assumptions!$B$12*(Assumptions!$B$5+Assumptions!$B$6))</f>
        <v>0.68109218729131793</v>
      </c>
      <c r="E1288" s="12">
        <f>E1287+Assumptions!$B$12*(D1287*Assumptions!$B$5-E1287*Assumptions!$B$7)</f>
        <v>0.15388415141541734</v>
      </c>
      <c r="F1288" s="12">
        <f t="shared" ref="F1288:F1351" si="60">1-D1288-E1288</f>
        <v>0.16502366129326473</v>
      </c>
      <c r="G1288" s="12">
        <f>EXP(-Assumptions!$B$8*B1288)</f>
        <v>0.52729242404304855</v>
      </c>
      <c r="H1288" s="12">
        <f t="shared" ref="H1288:H1351" si="61">G1288*D1288</f>
        <v>0.35913475043362103</v>
      </c>
      <c r="I1288" s="12">
        <f t="shared" ref="I1288:I1351" si="62">G1288*E1288</f>
        <v>8.1141947221642932E-2</v>
      </c>
      <c r="J1288" s="12">
        <f>G1288*(D1288*Assumptions!$B$6+E1288*Assumptions!$B$7)</f>
        <v>7.6484448654183567E-3</v>
      </c>
    </row>
    <row r="1289" spans="1:10" x14ac:dyDescent="0.2">
      <c r="A1289" s="2">
        <v>1281</v>
      </c>
      <c r="B1289" s="14">
        <f>A1289*Assumptions!$B$12</f>
        <v>12.81</v>
      </c>
      <c r="C1289" s="15">
        <f>IF(A1289&lt;=Assumptions!$B$13,IF(OR(A1289=0,A1289=Assumptions!$B$13),0.5,1),0)*Assumptions!$B$12</f>
        <v>0.01</v>
      </c>
      <c r="D1289" s="12">
        <f>D1288*(1-Assumptions!$B$12*(Assumptions!$B$5+Assumptions!$B$6))</f>
        <v>0.68088785963513054</v>
      </c>
      <c r="E1289" s="12">
        <f>E1288+Assumptions!$B$12*(D1288*Assumptions!$B$5-E1288*Assumptions!$B$7)</f>
        <v>0.15394342777716788</v>
      </c>
      <c r="F1289" s="12">
        <f t="shared" si="60"/>
        <v>0.16516871258770158</v>
      </c>
      <c r="G1289" s="12">
        <f>EXP(-Assumptions!$B$8*B1289)</f>
        <v>0.52702884373159609</v>
      </c>
      <c r="H1289" s="12">
        <f t="shared" si="61"/>
        <v>0.35884754137438413</v>
      </c>
      <c r="I1289" s="12">
        <f t="shared" si="62"/>
        <v>8.1132626741479252E-2</v>
      </c>
      <c r="J1289" s="12">
        <f>G1289*(D1289*Assumptions!$B$6+E1289*Assumptions!$B$7)</f>
        <v>7.6451067508178051E-3</v>
      </c>
    </row>
    <row r="1290" spans="1:10" x14ac:dyDescent="0.2">
      <c r="A1290" s="2">
        <v>1282</v>
      </c>
      <c r="B1290" s="14">
        <f>A1290*Assumptions!$B$12</f>
        <v>12.82</v>
      </c>
      <c r="C1290" s="15">
        <f>IF(A1290&lt;=Assumptions!$B$13,IF(OR(A1290=0,A1290=Assumptions!$B$13),0.5,1),0)*Assumptions!$B$12</f>
        <v>0.01</v>
      </c>
      <c r="D1290" s="12">
        <f>D1289*(1-Assumptions!$B$12*(Assumptions!$B$5+Assumptions!$B$6))</f>
        <v>0.68068359327724004</v>
      </c>
      <c r="E1290" s="12">
        <f>E1289+Assumptions!$B$12*(D1289*Assumptions!$B$5-E1289*Assumptions!$B$7)</f>
        <v>0.15400263363520633</v>
      </c>
      <c r="F1290" s="12">
        <f t="shared" si="60"/>
        <v>0.16531377308755363</v>
      </c>
      <c r="G1290" s="12">
        <f>EXP(-Assumptions!$B$8*B1290)</f>
        <v>0.52676539517735743</v>
      </c>
      <c r="H1290" s="12">
        <f t="shared" si="61"/>
        <v>0.35856056200342901</v>
      </c>
      <c r="I1290" s="12">
        <f t="shared" si="62"/>
        <v>8.1123258165203257E-2</v>
      </c>
      <c r="J1290" s="12">
        <f>G1290*(D1290*Assumptions!$B$6+E1290*Assumptions!$B$7)</f>
        <v>7.6417685282944544E-3</v>
      </c>
    </row>
    <row r="1291" spans="1:10" x14ac:dyDescent="0.2">
      <c r="A1291" s="2">
        <v>1283</v>
      </c>
      <c r="B1291" s="14">
        <f>A1291*Assumptions!$B$12</f>
        <v>12.83</v>
      </c>
      <c r="C1291" s="15">
        <f>IF(A1291&lt;=Assumptions!$B$13,IF(OR(A1291=0,A1291=Assumptions!$B$13),0.5,1),0)*Assumptions!$B$12</f>
        <v>0.01</v>
      </c>
      <c r="D1291" s="12">
        <f>D1290*(1-Assumptions!$B$12*(Assumptions!$B$5+Assumptions!$B$6))</f>
        <v>0.68047938819925691</v>
      </c>
      <c r="E1291" s="12">
        <f>E1290+Assumptions!$B$12*(D1290*Assumptions!$B$5-E1290*Assumptions!$B$7)</f>
        <v>0.15406176903704419</v>
      </c>
      <c r="F1291" s="12">
        <f t="shared" si="60"/>
        <v>0.1654588427636989</v>
      </c>
      <c r="G1291" s="12">
        <f>EXP(-Assumptions!$B$8*B1291)</f>
        <v>0.52650207831447016</v>
      </c>
      <c r="H1291" s="12">
        <f t="shared" si="61"/>
        <v>0.35827381213706788</v>
      </c>
      <c r="I1291" s="12">
        <f t="shared" si="62"/>
        <v>8.111384158680765E-2</v>
      </c>
      <c r="J1291" s="12">
        <f>G1291*(D1291*Assumptions!$B$6+E1291*Assumptions!$B$7)</f>
        <v>7.6384302007110614E-3</v>
      </c>
    </row>
    <row r="1292" spans="1:10" x14ac:dyDescent="0.2">
      <c r="A1292" s="2">
        <v>1284</v>
      </c>
      <c r="B1292" s="14">
        <f>A1292*Assumptions!$B$12</f>
        <v>12.84</v>
      </c>
      <c r="C1292" s="15">
        <f>IF(A1292&lt;=Assumptions!$B$13,IF(OR(A1292=0,A1292=Assumptions!$B$13),0.5,1),0)*Assumptions!$B$12</f>
        <v>0.01</v>
      </c>
      <c r="D1292" s="12">
        <f>D1291*(1-Assumptions!$B$12*(Assumptions!$B$5+Assumptions!$B$6))</f>
        <v>0.68027524438279718</v>
      </c>
      <c r="E1292" s="12">
        <f>E1291+Assumptions!$B$12*(D1291*Assumptions!$B$5-E1291*Assumptions!$B$7)</f>
        <v>0.15412083403016552</v>
      </c>
      <c r="F1292" s="12">
        <f t="shared" si="60"/>
        <v>0.16560392158703729</v>
      </c>
      <c r="G1292" s="12">
        <f>EXP(-Assumptions!$B$8*B1292)</f>
        <v>0.52623889307710536</v>
      </c>
      <c r="H1292" s="12">
        <f t="shared" si="61"/>
        <v>0.35798729159176051</v>
      </c>
      <c r="I1292" s="12">
        <f t="shared" si="62"/>
        <v>8.110437710015457E-2</v>
      </c>
      <c r="J1292" s="12">
        <f>G1292*(D1292*Assumptions!$B$6+E1292*Assumptions!$B$7)</f>
        <v>7.6350917709253341E-3</v>
      </c>
    </row>
    <row r="1293" spans="1:10" x14ac:dyDescent="0.2">
      <c r="A1293" s="2">
        <v>1285</v>
      </c>
      <c r="B1293" s="14">
        <f>A1293*Assumptions!$B$12</f>
        <v>12.85</v>
      </c>
      <c r="C1293" s="15">
        <f>IF(A1293&lt;=Assumptions!$B$13,IF(OR(A1293=0,A1293=Assumptions!$B$13),0.5,1),0)*Assumptions!$B$12</f>
        <v>0.01</v>
      </c>
      <c r="D1293" s="12">
        <f>D1292*(1-Assumptions!$B$12*(Assumptions!$B$5+Assumptions!$B$6))</f>
        <v>0.68007116180948235</v>
      </c>
      <c r="E1293" s="12">
        <f>E1292+Assumptions!$B$12*(D1292*Assumptions!$B$5-E1292*Assumptions!$B$7)</f>
        <v>0.15417982866202701</v>
      </c>
      <c r="F1293" s="12">
        <f t="shared" si="60"/>
        <v>0.16574900952849064</v>
      </c>
      <c r="G1293" s="12">
        <f>EXP(-Assumptions!$B$8*B1293)</f>
        <v>0.52597583939946646</v>
      </c>
      <c r="H1293" s="12">
        <f t="shared" si="61"/>
        <v>0.35770100018411288</v>
      </c>
      <c r="I1293" s="12">
        <f t="shared" si="62"/>
        <v>8.1094864798975569E-2</v>
      </c>
      <c r="J1293" s="12">
        <f>G1293*(D1293*Assumptions!$B$6+E1293*Assumptions!$B$7)</f>
        <v>7.6317532417899073E-3</v>
      </c>
    </row>
    <row r="1294" spans="1:10" x14ac:dyDescent="0.2">
      <c r="A1294" s="2">
        <v>1286</v>
      </c>
      <c r="B1294" s="14">
        <f>A1294*Assumptions!$B$12</f>
        <v>12.86</v>
      </c>
      <c r="C1294" s="15">
        <f>IF(A1294&lt;=Assumptions!$B$13,IF(OR(A1294=0,A1294=Assumptions!$B$13),0.5,1),0)*Assumptions!$B$12</f>
        <v>0.01</v>
      </c>
      <c r="D1294" s="12">
        <f>D1293*(1-Assumptions!$B$12*(Assumptions!$B$5+Assumptions!$B$6))</f>
        <v>0.67986714046093955</v>
      </c>
      <c r="E1294" s="12">
        <f>E1293+Assumptions!$B$12*(D1293*Assumptions!$B$5-E1293*Assumptions!$B$7)</f>
        <v>0.1542387529800579</v>
      </c>
      <c r="F1294" s="12">
        <f t="shared" si="60"/>
        <v>0.16589410655900255</v>
      </c>
      <c r="G1294" s="12">
        <f>EXP(-Assumptions!$B$8*B1294)</f>
        <v>0.52571291721579028</v>
      </c>
      <c r="H1294" s="12">
        <f t="shared" si="61"/>
        <v>0.35741493773087796</v>
      </c>
      <c r="I1294" s="12">
        <f t="shared" si="62"/>
        <v>8.1085304776871911E-2</v>
      </c>
      <c r="J1294" s="12">
        <f>G1294*(D1294*Assumptions!$B$6+E1294*Assumptions!$B$7)</f>
        <v>7.6284146161523748E-3</v>
      </c>
    </row>
    <row r="1295" spans="1:10" x14ac:dyDescent="0.2">
      <c r="A1295" s="2">
        <v>1287</v>
      </c>
      <c r="B1295" s="14">
        <f>A1295*Assumptions!$B$12</f>
        <v>12.870000000000001</v>
      </c>
      <c r="C1295" s="15">
        <f>IF(A1295&lt;=Assumptions!$B$13,IF(OR(A1295=0,A1295=Assumptions!$B$13),0.5,1),0)*Assumptions!$B$12</f>
        <v>0.01</v>
      </c>
      <c r="D1295" s="12">
        <f>D1294*(1-Assumptions!$B$12*(Assumptions!$B$5+Assumptions!$B$6))</f>
        <v>0.67966318031880124</v>
      </c>
      <c r="E1295" s="12">
        <f>E1294+Assumptions!$B$12*(D1294*Assumptions!$B$5-E1294*Assumptions!$B$7)</f>
        <v>0.15429760703166007</v>
      </c>
      <c r="F1295" s="12">
        <f t="shared" si="60"/>
        <v>0.16603921264953869</v>
      </c>
      <c r="G1295" s="12">
        <f>EXP(-Assumptions!$B$8*B1295)</f>
        <v>0.52545012646034595</v>
      </c>
      <c r="H1295" s="12">
        <f t="shared" si="61"/>
        <v>0.35712910404895504</v>
      </c>
      <c r="I1295" s="12">
        <f t="shared" si="62"/>
        <v>8.107569712731455E-2</v>
      </c>
      <c r="J1295" s="12">
        <f>G1295*(D1295*Assumptions!$B$6+E1295*Assumptions!$B$7)</f>
        <v>7.6250758968552778E-3</v>
      </c>
    </row>
    <row r="1296" spans="1:10" x14ac:dyDescent="0.2">
      <c r="A1296" s="2">
        <v>1288</v>
      </c>
      <c r="B1296" s="14">
        <f>A1296*Assumptions!$B$12</f>
        <v>12.88</v>
      </c>
      <c r="C1296" s="15">
        <f>IF(A1296&lt;=Assumptions!$B$13,IF(OR(A1296=0,A1296=Assumptions!$B$13),0.5,1),0)*Assumptions!$B$12</f>
        <v>0.01</v>
      </c>
      <c r="D1296" s="12">
        <f>D1295*(1-Assumptions!$B$12*(Assumptions!$B$5+Assumptions!$B$6))</f>
        <v>0.67945928136470557</v>
      </c>
      <c r="E1296" s="12">
        <f>E1295+Assumptions!$B$12*(D1295*Assumptions!$B$5-E1295*Assumptions!$B$7)</f>
        <v>0.15435639086420799</v>
      </c>
      <c r="F1296" s="12">
        <f t="shared" si="60"/>
        <v>0.16618432777108644</v>
      </c>
      <c r="G1296" s="12">
        <f>EXP(-Assumptions!$B$8*B1296)</f>
        <v>0.52518746706743602</v>
      </c>
      <c r="H1296" s="12">
        <f t="shared" si="61"/>
        <v>0.35684349895539003</v>
      </c>
      <c r="I1296" s="12">
        <f t="shared" si="62"/>
        <v>8.1066041943644515E-2</v>
      </c>
      <c r="J1296" s="12">
        <f>G1296*(D1296*Assumptions!$B$6+E1296*Assumptions!$B$7)</f>
        <v>7.6217370867361269E-3</v>
      </c>
    </row>
    <row r="1297" spans="1:10" x14ac:dyDescent="0.2">
      <c r="A1297" s="2">
        <v>1289</v>
      </c>
      <c r="B1297" s="14">
        <f>A1297*Assumptions!$B$12</f>
        <v>12.89</v>
      </c>
      <c r="C1297" s="15">
        <f>IF(A1297&lt;=Assumptions!$B$13,IF(OR(A1297=0,A1297=Assumptions!$B$13),0.5,1),0)*Assumptions!$B$12</f>
        <v>0.01</v>
      </c>
      <c r="D1297" s="12">
        <f>D1296*(1-Assumptions!$B$12*(Assumptions!$B$5+Assumptions!$B$6))</f>
        <v>0.67925544358029621</v>
      </c>
      <c r="E1297" s="12">
        <f>E1296+Assumptions!$B$12*(D1296*Assumptions!$B$5-E1296*Assumptions!$B$7)</f>
        <v>0.15441510452504884</v>
      </c>
      <c r="F1297" s="12">
        <f t="shared" si="60"/>
        <v>0.16632945189465495</v>
      </c>
      <c r="G1297" s="12">
        <f>EXP(-Assumptions!$B$8*B1297)</f>
        <v>0.52492493897139569</v>
      </c>
      <c r="H1297" s="12">
        <f t="shared" si="61"/>
        <v>0.35655812226737532</v>
      </c>
      <c r="I1297" s="12">
        <f t="shared" si="62"/>
        <v>8.1056339319072954E-2</v>
      </c>
      <c r="J1297" s="12">
        <f>G1297*(D1297*Assumptions!$B$6+E1297*Assumptions!$B$7)</f>
        <v>7.6183981886274012E-3</v>
      </c>
    </row>
    <row r="1298" spans="1:10" x14ac:dyDescent="0.2">
      <c r="A1298" s="2">
        <v>1290</v>
      </c>
      <c r="B1298" s="14">
        <f>A1298*Assumptions!$B$12</f>
        <v>12.9</v>
      </c>
      <c r="C1298" s="15">
        <f>IF(A1298&lt;=Assumptions!$B$13,IF(OR(A1298=0,A1298=Assumptions!$B$13),0.5,1),0)*Assumptions!$B$12</f>
        <v>0.01</v>
      </c>
      <c r="D1298" s="12">
        <f>D1297*(1-Assumptions!$B$12*(Assumptions!$B$5+Assumptions!$B$6))</f>
        <v>0.67905166694722219</v>
      </c>
      <c r="E1298" s="12">
        <f>E1297+Assumptions!$B$12*(D1297*Assumptions!$B$5-E1297*Assumptions!$B$7)</f>
        <v>0.15447374806150238</v>
      </c>
      <c r="F1298" s="12">
        <f t="shared" si="60"/>
        <v>0.16647458499127543</v>
      </c>
      <c r="G1298" s="12">
        <f>EXP(-Assumptions!$B$8*B1298)</f>
        <v>0.52466254210659291</v>
      </c>
      <c r="H1298" s="12">
        <f t="shared" si="61"/>
        <v>0.35627297380224909</v>
      </c>
      <c r="I1298" s="12">
        <f t="shared" si="62"/>
        <v>8.1046589346681214E-2</v>
      </c>
      <c r="J1298" s="12">
        <f>G1298*(D1298*Assumptions!$B$6+E1298*Assumptions!$B$7)</f>
        <v>7.6150592053565525E-3</v>
      </c>
    </row>
    <row r="1299" spans="1:10" x14ac:dyDescent="0.2">
      <c r="A1299" s="2">
        <v>1291</v>
      </c>
      <c r="B1299" s="14">
        <f>A1299*Assumptions!$B$12</f>
        <v>12.91</v>
      </c>
      <c r="C1299" s="15">
        <f>IF(A1299&lt;=Assumptions!$B$13,IF(OR(A1299=0,A1299=Assumptions!$B$13),0.5,1),0)*Assumptions!$B$12</f>
        <v>0.01</v>
      </c>
      <c r="D1299" s="12">
        <f>D1298*(1-Assumptions!$B$12*(Assumptions!$B$5+Assumptions!$B$6))</f>
        <v>0.67884795144713805</v>
      </c>
      <c r="E1299" s="12">
        <f>E1298+Assumptions!$B$12*(D1298*Assumptions!$B$5-E1298*Assumptions!$B$7)</f>
        <v>0.15453232152086108</v>
      </c>
      <c r="F1299" s="12">
        <f t="shared" si="60"/>
        <v>0.16661972703200087</v>
      </c>
      <c r="G1299" s="12">
        <f>EXP(-Assumptions!$B$8*B1299)</f>
        <v>0.52440027640742815</v>
      </c>
      <c r="H1299" s="12">
        <f t="shared" si="61"/>
        <v>0.35598805337749556</v>
      </c>
      <c r="I1299" s="12">
        <f t="shared" si="62"/>
        <v>8.1036792119421108E-2</v>
      </c>
      <c r="J1299" s="12">
        <f>G1299*(D1299*Assumptions!$B$6+E1299*Assumptions!$B$7)</f>
        <v>7.6117201397460114E-3</v>
      </c>
    </row>
    <row r="1300" spans="1:10" x14ac:dyDescent="0.2">
      <c r="A1300" s="2">
        <v>1292</v>
      </c>
      <c r="B1300" s="14">
        <f>A1300*Assumptions!$B$12</f>
        <v>12.92</v>
      </c>
      <c r="C1300" s="15">
        <f>IF(A1300&lt;=Assumptions!$B$13,IF(OR(A1300=0,A1300=Assumptions!$B$13),0.5,1),0)*Assumptions!$B$12</f>
        <v>0.01</v>
      </c>
      <c r="D1300" s="12">
        <f>D1299*(1-Assumptions!$B$12*(Assumptions!$B$5+Assumptions!$B$6))</f>
        <v>0.67864429706170393</v>
      </c>
      <c r="E1300" s="12">
        <f>E1299+Assumptions!$B$12*(D1299*Assumptions!$B$5-E1299*Assumptions!$B$7)</f>
        <v>0.15459082495039006</v>
      </c>
      <c r="F1300" s="12">
        <f t="shared" si="60"/>
        <v>0.16676487798790601</v>
      </c>
      <c r="G1300" s="12">
        <f>EXP(-Assumptions!$B$8*B1300)</f>
        <v>0.5241381418083354</v>
      </c>
      <c r="H1300" s="12">
        <f t="shared" si="61"/>
        <v>0.35570336081074549</v>
      </c>
      <c r="I1300" s="12">
        <f t="shared" si="62"/>
        <v>8.1026947730115095E-2</v>
      </c>
      <c r="J1300" s="12">
        <f>G1300*(D1300*Assumptions!$B$6+E1300*Assumptions!$B$7)</f>
        <v>7.60838099461321E-3</v>
      </c>
    </row>
    <row r="1301" spans="1:10" x14ac:dyDescent="0.2">
      <c r="A1301" s="2">
        <v>1293</v>
      </c>
      <c r="B1301" s="14">
        <f>A1301*Assumptions!$B$12</f>
        <v>12.93</v>
      </c>
      <c r="C1301" s="15">
        <f>IF(A1301&lt;=Assumptions!$B$13,IF(OR(A1301=0,A1301=Assumptions!$B$13),0.5,1),0)*Assumptions!$B$12</f>
        <v>0.01</v>
      </c>
      <c r="D1301" s="12">
        <f>D1300*(1-Assumptions!$B$12*(Assumptions!$B$5+Assumptions!$B$6))</f>
        <v>0.67844070377258547</v>
      </c>
      <c r="E1301" s="12">
        <f>E1300+Assumptions!$B$12*(D1300*Assumptions!$B$5-E1300*Assumptions!$B$7)</f>
        <v>0.15464925839732721</v>
      </c>
      <c r="F1301" s="12">
        <f t="shared" si="60"/>
        <v>0.16691003783008732</v>
      </c>
      <c r="G1301" s="12">
        <f>EXP(-Assumptions!$B$8*B1301)</f>
        <v>0.52387613824378076</v>
      </c>
      <c r="H1301" s="12">
        <f t="shared" si="61"/>
        <v>0.35541889591977488</v>
      </c>
      <c r="I1301" s="12">
        <f t="shared" si="62"/>
        <v>8.1017056271456361E-2</v>
      </c>
      <c r="J1301" s="12">
        <f>G1301*(D1301*Assumptions!$B$6+E1301*Assumptions!$B$7)</f>
        <v>7.605041772770567E-3</v>
      </c>
    </row>
    <row r="1302" spans="1:10" x14ac:dyDescent="0.2">
      <c r="A1302" s="2">
        <v>1294</v>
      </c>
      <c r="B1302" s="14">
        <f>A1302*Assumptions!$B$12</f>
        <v>12.94</v>
      </c>
      <c r="C1302" s="15">
        <f>IF(A1302&lt;=Assumptions!$B$13,IF(OR(A1302=0,A1302=Assumptions!$B$13),0.5,1),0)*Assumptions!$B$12</f>
        <v>0.01</v>
      </c>
      <c r="D1302" s="12">
        <f>D1301*(1-Assumptions!$B$12*(Assumptions!$B$5+Assumptions!$B$6))</f>
        <v>0.67823717156145369</v>
      </c>
      <c r="E1302" s="12">
        <f>E1301+Assumptions!$B$12*(D1301*Assumptions!$B$5-E1301*Assumptions!$B$7)</f>
        <v>0.15470762190888307</v>
      </c>
      <c r="F1302" s="12">
        <f t="shared" si="60"/>
        <v>0.16705520652966324</v>
      </c>
      <c r="G1302" s="12">
        <f>EXP(-Assumptions!$B$8*B1302)</f>
        <v>0.52361426564826352</v>
      </c>
      <c r="H1302" s="12">
        <f t="shared" si="61"/>
        <v>0.35513465852250592</v>
      </c>
      <c r="I1302" s="12">
        <f t="shared" si="62"/>
        <v>8.1007117836009015E-2</v>
      </c>
      <c r="J1302" s="12">
        <f>G1302*(D1302*Assumptions!$B$6+E1302*Assumptions!$B$7)</f>
        <v>7.6017024770255095E-3</v>
      </c>
    </row>
    <row r="1303" spans="1:10" x14ac:dyDescent="0.2">
      <c r="A1303" s="2">
        <v>1295</v>
      </c>
      <c r="B1303" s="14">
        <f>A1303*Assumptions!$B$12</f>
        <v>12.950000000000001</v>
      </c>
      <c r="C1303" s="15">
        <f>IF(A1303&lt;=Assumptions!$B$13,IF(OR(A1303=0,A1303=Assumptions!$B$13),0.5,1),0)*Assumptions!$B$12</f>
        <v>0.01</v>
      </c>
      <c r="D1303" s="12">
        <f>D1302*(1-Assumptions!$B$12*(Assumptions!$B$5+Assumptions!$B$6))</f>
        <v>0.67803370040998523</v>
      </c>
      <c r="E1303" s="12">
        <f>E1302+Assumptions!$B$12*(D1302*Assumptions!$B$5-E1302*Assumptions!$B$7)</f>
        <v>0.15476591553224092</v>
      </c>
      <c r="F1303" s="12">
        <f t="shared" si="60"/>
        <v>0.16720038405777385</v>
      </c>
      <c r="G1303" s="12">
        <f>EXP(-Assumptions!$B$8*B1303)</f>
        <v>0.52335252395631526</v>
      </c>
      <c r="H1303" s="12">
        <f t="shared" si="61"/>
        <v>0.35485064843700587</v>
      </c>
      <c r="I1303" s="12">
        <f t="shared" si="62"/>
        <v>8.0997132516208187E-2</v>
      </c>
      <c r="J1303" s="12">
        <f>G1303*(D1303*Assumptions!$B$6+E1303*Assumptions!$B$7)</f>
        <v>7.5983631101804675E-3</v>
      </c>
    </row>
    <row r="1304" spans="1:10" x14ac:dyDescent="0.2">
      <c r="A1304" s="2">
        <v>1296</v>
      </c>
      <c r="B1304" s="14">
        <f>A1304*Assumptions!$B$12</f>
        <v>12.96</v>
      </c>
      <c r="C1304" s="15">
        <f>IF(A1304&lt;=Assumptions!$B$13,IF(OR(A1304=0,A1304=Assumptions!$B$13),0.5,1),0)*Assumptions!$B$12</f>
        <v>0.01</v>
      </c>
      <c r="D1304" s="12">
        <f>D1303*(1-Assumptions!$B$12*(Assumptions!$B$5+Assumptions!$B$6))</f>
        <v>0.6778302902998623</v>
      </c>
      <c r="E1304" s="12">
        <f>E1303+Assumptions!$B$12*(D1303*Assumptions!$B$5-E1303*Assumptions!$B$7)</f>
        <v>0.1548241393145568</v>
      </c>
      <c r="F1304" s="12">
        <f t="shared" si="60"/>
        <v>0.1673455703855809</v>
      </c>
      <c r="G1304" s="12">
        <f>EXP(-Assumptions!$B$8*B1304)</f>
        <v>0.52309091310250078</v>
      </c>
      <c r="H1304" s="12">
        <f t="shared" si="61"/>
        <v>0.35456686548148814</v>
      </c>
      <c r="I1304" s="12">
        <f t="shared" si="62"/>
        <v>8.0987100404360302E-2</v>
      </c>
      <c r="J1304" s="12">
        <f>G1304*(D1304*Assumptions!$B$6+E1304*Assumptions!$B$7)</f>
        <v>7.5950236750328961E-3</v>
      </c>
    </row>
    <row r="1305" spans="1:10" x14ac:dyDescent="0.2">
      <c r="A1305" s="2">
        <v>1297</v>
      </c>
      <c r="B1305" s="14">
        <f>A1305*Assumptions!$B$12</f>
        <v>12.97</v>
      </c>
      <c r="C1305" s="15">
        <f>IF(A1305&lt;=Assumptions!$B$13,IF(OR(A1305=0,A1305=Assumptions!$B$13),0.5,1),0)*Assumptions!$B$12</f>
        <v>0.01</v>
      </c>
      <c r="D1305" s="12">
        <f>D1304*(1-Assumptions!$B$12*(Assumptions!$B$5+Assumptions!$B$6))</f>
        <v>0.67762694121277234</v>
      </c>
      <c r="E1305" s="12">
        <f>E1304+Assumptions!$B$12*(D1304*Assumptions!$B$5-E1304*Assumptions!$B$7)</f>
        <v>0.1548822933029595</v>
      </c>
      <c r="F1305" s="12">
        <f t="shared" si="60"/>
        <v>0.16749076548426817</v>
      </c>
      <c r="G1305" s="12">
        <f>EXP(-Assumptions!$B$8*B1305)</f>
        <v>0.52282943302141727</v>
      </c>
      <c r="H1305" s="12">
        <f t="shared" si="61"/>
        <v>0.35428330947431103</v>
      </c>
      <c r="I1305" s="12">
        <f t="shared" si="62"/>
        <v>8.0977021592643167E-2</v>
      </c>
      <c r="J1305" s="12">
        <f>G1305*(D1305*Assumptions!$B$6+E1305*Assumptions!$B$7)</f>
        <v>7.5916841743752682E-3</v>
      </c>
    </row>
    <row r="1306" spans="1:10" x14ac:dyDescent="0.2">
      <c r="A1306" s="2">
        <v>1298</v>
      </c>
      <c r="B1306" s="14">
        <f>A1306*Assumptions!$B$12</f>
        <v>12.98</v>
      </c>
      <c r="C1306" s="15">
        <f>IF(A1306&lt;=Assumptions!$B$13,IF(OR(A1306=0,A1306=Assumptions!$B$13),0.5,1),0)*Assumptions!$B$12</f>
        <v>0.01</v>
      </c>
      <c r="D1306" s="12">
        <f>D1305*(1-Assumptions!$B$12*(Assumptions!$B$5+Assumptions!$B$6))</f>
        <v>0.67742365313040853</v>
      </c>
      <c r="E1306" s="12">
        <f>E1305+Assumptions!$B$12*(D1305*Assumptions!$B$5-E1305*Assumptions!$B$7)</f>
        <v>0.15494037754455056</v>
      </c>
      <c r="F1306" s="12">
        <f t="shared" si="60"/>
        <v>0.16763596932504091</v>
      </c>
      <c r="G1306" s="12">
        <f>EXP(-Assumptions!$B$8*B1306)</f>
        <v>0.5225680836476948</v>
      </c>
      <c r="H1306" s="12">
        <f t="shared" si="61"/>
        <v>0.35399998023397833</v>
      </c>
      <c r="I1306" s="12">
        <f t="shared" si="62"/>
        <v>8.0966896173106109E-2</v>
      </c>
      <c r="J1306" s="12">
        <f>G1306*(D1306*Assumptions!$B$6+E1306*Assumptions!$B$7)</f>
        <v>7.5883446109950891E-3</v>
      </c>
    </row>
    <row r="1307" spans="1:10" x14ac:dyDescent="0.2">
      <c r="A1307" s="2">
        <v>1299</v>
      </c>
      <c r="B1307" s="14">
        <f>A1307*Assumptions!$B$12</f>
        <v>12.99</v>
      </c>
      <c r="C1307" s="15">
        <f>IF(A1307&lt;=Assumptions!$B$13,IF(OR(A1307=0,A1307=Assumptions!$B$13),0.5,1),0)*Assumptions!$B$12</f>
        <v>0.01</v>
      </c>
      <c r="D1307" s="12">
        <f>D1306*(1-Assumptions!$B$12*(Assumptions!$B$5+Assumptions!$B$6))</f>
        <v>0.67722042603446941</v>
      </c>
      <c r="E1307" s="12">
        <f>E1306+Assumptions!$B$12*(D1306*Assumptions!$B$5-E1306*Assumptions!$B$7)</f>
        <v>0.15499839208640437</v>
      </c>
      <c r="F1307" s="12">
        <f t="shared" si="60"/>
        <v>0.16778118187912622</v>
      </c>
      <c r="G1307" s="12">
        <f>EXP(-Assumptions!$B$8*B1307)</f>
        <v>0.52230686491599587</v>
      </c>
      <c r="H1307" s="12">
        <f t="shared" si="61"/>
        <v>0.35371687757913878</v>
      </c>
      <c r="I1307" s="12">
        <f t="shared" si="62"/>
        <v>8.0956724237670169E-2</v>
      </c>
      <c r="J1307" s="12">
        <f>G1307*(D1307*Assumptions!$B$6+E1307*Assumptions!$B$7)</f>
        <v>7.585004987674897E-3</v>
      </c>
    </row>
    <row r="1308" spans="1:10" x14ac:dyDescent="0.2">
      <c r="A1308" s="2">
        <v>1300</v>
      </c>
      <c r="B1308" s="14">
        <f>A1308*Assumptions!$B$12</f>
        <v>13</v>
      </c>
      <c r="C1308" s="15">
        <f>IF(A1308&lt;=Assumptions!$B$13,IF(OR(A1308=0,A1308=Assumptions!$B$13),0.5,1),0)*Assumptions!$B$12</f>
        <v>0.01</v>
      </c>
      <c r="D1308" s="12">
        <f>D1307*(1-Assumptions!$B$12*(Assumptions!$B$5+Assumptions!$B$6))</f>
        <v>0.67701725990665906</v>
      </c>
      <c r="E1308" s="12">
        <f>E1307+Assumptions!$B$12*(D1307*Assumptions!$B$5-E1307*Assumptions!$B$7)</f>
        <v>0.15505633697556806</v>
      </c>
      <c r="F1308" s="12">
        <f t="shared" si="60"/>
        <v>0.16792640311777288</v>
      </c>
      <c r="G1308" s="12">
        <f>EXP(-Assumptions!$B$8*B1308)</f>
        <v>0.52204577676101604</v>
      </c>
      <c r="H1308" s="12">
        <f t="shared" si="61"/>
        <v>0.35343400132858649</v>
      </c>
      <c r="I1308" s="12">
        <f t="shared" si="62"/>
        <v>8.094650587812828E-2</v>
      </c>
      <c r="J1308" s="12">
        <f>G1308*(D1308*Assumptions!$B$6+E1308*Assumptions!$B$7)</f>
        <v>7.581665307192279E-3</v>
      </c>
    </row>
    <row r="1309" spans="1:10" x14ac:dyDescent="0.2">
      <c r="A1309" s="2">
        <v>1301</v>
      </c>
      <c r="B1309" s="14">
        <f>A1309*Assumptions!$B$12</f>
        <v>13.01</v>
      </c>
      <c r="C1309" s="15">
        <f>IF(A1309&lt;=Assumptions!$B$13,IF(OR(A1309=0,A1309=Assumptions!$B$13),0.5,1),0)*Assumptions!$B$12</f>
        <v>0.01</v>
      </c>
      <c r="D1309" s="12">
        <f>D1308*(1-Assumptions!$B$12*(Assumptions!$B$5+Assumptions!$B$6))</f>
        <v>0.67681415472868711</v>
      </c>
      <c r="E1309" s="12">
        <f>E1308+Assumptions!$B$12*(D1308*Assumptions!$B$5-E1308*Assumptions!$B$7)</f>
        <v>0.15511421225906161</v>
      </c>
      <c r="F1309" s="12">
        <f t="shared" si="60"/>
        <v>0.16807163301225128</v>
      </c>
      <c r="G1309" s="12">
        <f>EXP(-Assumptions!$B$8*B1309)</f>
        <v>0.52178481911748298</v>
      </c>
      <c r="H1309" s="12">
        <f t="shared" si="61"/>
        <v>0.35315135130126013</v>
      </c>
      <c r="I1309" s="12">
        <f t="shared" si="62"/>
        <v>8.0936241186145327E-2</v>
      </c>
      <c r="J1309" s="12">
        <f>G1309*(D1309*Assumptions!$B$6+E1309*Assumptions!$B$7)</f>
        <v>7.5783255723198681E-3</v>
      </c>
    </row>
    <row r="1310" spans="1:10" x14ac:dyDescent="0.2">
      <c r="A1310" s="2">
        <v>1302</v>
      </c>
      <c r="B1310" s="14">
        <f>A1310*Assumptions!$B$12</f>
        <v>13.02</v>
      </c>
      <c r="C1310" s="15">
        <f>IF(A1310&lt;=Assumptions!$B$13,IF(OR(A1310=0,A1310=Assumptions!$B$13),0.5,1),0)*Assumptions!$B$12</f>
        <v>0.01</v>
      </c>
      <c r="D1310" s="12">
        <f>D1309*(1-Assumptions!$B$12*(Assumptions!$B$5+Assumptions!$B$6))</f>
        <v>0.67661111048226852</v>
      </c>
      <c r="E1310" s="12">
        <f>E1309+Assumptions!$B$12*(D1309*Assumptions!$B$5-E1309*Assumptions!$B$7)</f>
        <v>0.15517201798387781</v>
      </c>
      <c r="F1310" s="12">
        <f t="shared" si="60"/>
        <v>0.16821687153385367</v>
      </c>
      <c r="G1310" s="12">
        <f>EXP(-Assumptions!$B$8*B1310)</f>
        <v>0.52152399192015753</v>
      </c>
      <c r="H1310" s="12">
        <f t="shared" si="61"/>
        <v>0.35286892731624342</v>
      </c>
      <c r="I1310" s="12">
        <f t="shared" si="62"/>
        <v>8.0925930253258435E-2</v>
      </c>
      <c r="J1310" s="12">
        <f>G1310*(D1310*Assumptions!$B$6+E1310*Assumptions!$B$7)</f>
        <v>7.5749857858253555E-3</v>
      </c>
    </row>
    <row r="1311" spans="1:10" x14ac:dyDescent="0.2">
      <c r="A1311" s="2">
        <v>1303</v>
      </c>
      <c r="B1311" s="14">
        <f>A1311*Assumptions!$B$12</f>
        <v>13.030000000000001</v>
      </c>
      <c r="C1311" s="15">
        <f>IF(A1311&lt;=Assumptions!$B$13,IF(OR(A1311=0,A1311=Assumptions!$B$13),0.5,1),0)*Assumptions!$B$12</f>
        <v>0.01</v>
      </c>
      <c r="D1311" s="12">
        <f>D1310*(1-Assumptions!$B$12*(Assumptions!$B$5+Assumptions!$B$6))</f>
        <v>0.67640812714912391</v>
      </c>
      <c r="E1311" s="12">
        <f>E1310+Assumptions!$B$12*(D1310*Assumptions!$B$5-E1310*Assumptions!$B$7)</f>
        <v>0.15522975419698232</v>
      </c>
      <c r="F1311" s="12">
        <f t="shared" si="60"/>
        <v>0.16836211865389378</v>
      </c>
      <c r="G1311" s="12">
        <f>EXP(-Assumptions!$B$8*B1311)</f>
        <v>0.52126329510383262</v>
      </c>
      <c r="H1311" s="12">
        <f t="shared" si="61"/>
        <v>0.35258672919276451</v>
      </c>
      <c r="I1311" s="12">
        <f t="shared" si="62"/>
        <v>8.0915573170876998E-2</v>
      </c>
      <c r="J1311" s="12">
        <f>G1311*(D1311*Assumptions!$B$6+E1311*Assumptions!$B$7)</f>
        <v>7.571645950471495E-3</v>
      </c>
    </row>
    <row r="1312" spans="1:10" x14ac:dyDescent="0.2">
      <c r="A1312" s="2">
        <v>1304</v>
      </c>
      <c r="B1312" s="14">
        <f>A1312*Assumptions!$B$12</f>
        <v>13.040000000000001</v>
      </c>
      <c r="C1312" s="15">
        <f>IF(A1312&lt;=Assumptions!$B$13,IF(OR(A1312=0,A1312=Assumptions!$B$13),0.5,1),0)*Assumptions!$B$12</f>
        <v>0.01</v>
      </c>
      <c r="D1312" s="12">
        <f>D1311*(1-Assumptions!$B$12*(Assumptions!$B$5+Assumptions!$B$6))</f>
        <v>0.67620520471097922</v>
      </c>
      <c r="E1312" s="12">
        <f>E1311+Assumptions!$B$12*(D1311*Assumptions!$B$5-E1311*Assumptions!$B$7)</f>
        <v>0.15528742094531364</v>
      </c>
      <c r="F1312" s="12">
        <f t="shared" si="60"/>
        <v>0.16850737434370713</v>
      </c>
      <c r="G1312" s="12">
        <f>EXP(-Assumptions!$B$8*B1312)</f>
        <v>0.5210027286033343</v>
      </c>
      <c r="H1312" s="12">
        <f t="shared" si="61"/>
        <v>0.3523047567501964</v>
      </c>
      <c r="I1312" s="12">
        <f t="shared" si="62"/>
        <v>8.0905170030282969E-2</v>
      </c>
      <c r="J1312" s="12">
        <f>G1312*(D1312*Assumptions!$B$6+E1312*Assumptions!$B$7)</f>
        <v>7.5683060690161135E-3</v>
      </c>
    </row>
    <row r="1313" spans="1:10" x14ac:dyDescent="0.2">
      <c r="A1313" s="2">
        <v>1305</v>
      </c>
      <c r="B1313" s="14">
        <f>A1313*Assumptions!$B$12</f>
        <v>13.05</v>
      </c>
      <c r="C1313" s="15">
        <f>IF(A1313&lt;=Assumptions!$B$13,IF(OR(A1313=0,A1313=Assumptions!$B$13),0.5,1),0)*Assumptions!$B$12</f>
        <v>0.01</v>
      </c>
      <c r="D1313" s="12">
        <f>D1312*(1-Assumptions!$B$12*(Assumptions!$B$5+Assumptions!$B$6))</f>
        <v>0.67600234314956598</v>
      </c>
      <c r="E1313" s="12">
        <f>E1312+Assumptions!$B$12*(D1312*Assumptions!$B$5-E1312*Assumptions!$B$7)</f>
        <v>0.15534501827578318</v>
      </c>
      <c r="F1313" s="12">
        <f t="shared" si="60"/>
        <v>0.16865263857465085</v>
      </c>
      <c r="G1313" s="12">
        <f>EXP(-Assumptions!$B$8*B1313)</f>
        <v>0.52074229235352087</v>
      </c>
      <c r="H1313" s="12">
        <f t="shared" si="61"/>
        <v>0.3520230098080564</v>
      </c>
      <c r="I1313" s="12">
        <f t="shared" si="62"/>
        <v>8.0894720922630919E-2</v>
      </c>
      <c r="J1313" s="12">
        <f>G1313*(D1313*Assumptions!$B$6+E1313*Assumptions!$B$7)</f>
        <v>7.5649661442121104E-3</v>
      </c>
    </row>
    <row r="1314" spans="1:10" x14ac:dyDescent="0.2">
      <c r="A1314" s="2">
        <v>1306</v>
      </c>
      <c r="B1314" s="14">
        <f>A1314*Assumptions!$B$12</f>
        <v>13.06</v>
      </c>
      <c r="C1314" s="15">
        <f>IF(A1314&lt;=Assumptions!$B$13,IF(OR(A1314=0,A1314=Assumptions!$B$13),0.5,1),0)*Assumptions!$B$12</f>
        <v>0.01</v>
      </c>
      <c r="D1314" s="12">
        <f>D1313*(1-Assumptions!$B$12*(Assumptions!$B$5+Assumptions!$B$6))</f>
        <v>0.6757995424466211</v>
      </c>
      <c r="E1314" s="12">
        <f>E1313+Assumptions!$B$12*(D1313*Assumptions!$B$5-E1313*Assumptions!$B$7)</f>
        <v>0.15540254623527519</v>
      </c>
      <c r="F1314" s="12">
        <f t="shared" si="60"/>
        <v>0.1687979113181037</v>
      </c>
      <c r="G1314" s="12">
        <f>EXP(-Assumptions!$B$8*B1314)</f>
        <v>0.52048198628928322</v>
      </c>
      <c r="H1314" s="12">
        <f t="shared" si="61"/>
        <v>0.35174148818600609</v>
      </c>
      <c r="I1314" s="12">
        <f t="shared" si="62"/>
        <v>8.0884225938948201E-2</v>
      </c>
      <c r="J1314" s="12">
        <f>G1314*(D1314*Assumptions!$B$6+E1314*Assumptions!$B$7)</f>
        <v>7.5616261788074715E-3</v>
      </c>
    </row>
    <row r="1315" spans="1:10" x14ac:dyDescent="0.2">
      <c r="A1315" s="2">
        <v>1307</v>
      </c>
      <c r="B1315" s="14">
        <f>A1315*Assumptions!$B$12</f>
        <v>13.07</v>
      </c>
      <c r="C1315" s="15">
        <f>IF(A1315&lt;=Assumptions!$B$13,IF(OR(A1315=0,A1315=Assumptions!$B$13),0.5,1),0)*Assumptions!$B$12</f>
        <v>0.01</v>
      </c>
      <c r="D1315" s="12">
        <f>D1314*(1-Assumptions!$B$12*(Assumptions!$B$5+Assumptions!$B$6))</f>
        <v>0.6755968025838871</v>
      </c>
      <c r="E1315" s="12">
        <f>E1314+Assumptions!$B$12*(D1314*Assumptions!$B$5-E1314*Assumptions!$B$7)</f>
        <v>0.15546000487064687</v>
      </c>
      <c r="F1315" s="12">
        <f t="shared" si="60"/>
        <v>0.16894319254546603</v>
      </c>
      <c r="G1315" s="12">
        <f>EXP(-Assumptions!$B$8*B1315)</f>
        <v>0.52022181034554482</v>
      </c>
      <c r="H1315" s="12">
        <f t="shared" si="61"/>
        <v>0.3514601917038514</v>
      </c>
      <c r="I1315" s="12">
        <f t="shared" si="62"/>
        <v>8.0873685170135129E-2</v>
      </c>
      <c r="J1315" s="12">
        <f>G1315*(D1315*Assumptions!$B$6+E1315*Assumptions!$B$7)</f>
        <v>7.558286175545271E-3</v>
      </c>
    </row>
    <row r="1316" spans="1:10" x14ac:dyDescent="0.2">
      <c r="A1316" s="2">
        <v>1308</v>
      </c>
      <c r="B1316" s="14">
        <f>A1316*Assumptions!$B$12</f>
        <v>13.08</v>
      </c>
      <c r="C1316" s="15">
        <f>IF(A1316&lt;=Assumptions!$B$13,IF(OR(A1316=0,A1316=Assumptions!$B$13),0.5,1),0)*Assumptions!$B$12</f>
        <v>0.01</v>
      </c>
      <c r="D1316" s="12">
        <f>D1315*(1-Assumptions!$B$12*(Assumptions!$B$5+Assumptions!$B$6))</f>
        <v>0.67539412354311201</v>
      </c>
      <c r="E1316" s="12">
        <f>E1315+Assumptions!$B$12*(D1315*Assumptions!$B$5-E1315*Assumptions!$B$7)</f>
        <v>0.15551739422872832</v>
      </c>
      <c r="F1316" s="12">
        <f t="shared" si="60"/>
        <v>0.16908848222815967</v>
      </c>
      <c r="G1316" s="12">
        <f>EXP(-Assumptions!$B$8*B1316)</f>
        <v>0.51996176445726183</v>
      </c>
      <c r="H1316" s="12">
        <f t="shared" si="61"/>
        <v>0.3511791201815424</v>
      </c>
      <c r="I1316" s="12">
        <f t="shared" si="62"/>
        <v>8.0863098706965161E-2</v>
      </c>
      <c r="J1316" s="12">
        <f>G1316*(D1316*Assumptions!$B$6+E1316*Assumptions!$B$7)</f>
        <v>7.5549461371636822E-3</v>
      </c>
    </row>
    <row r="1317" spans="1:10" x14ac:dyDescent="0.2">
      <c r="A1317" s="2">
        <v>1309</v>
      </c>
      <c r="B1317" s="14">
        <f>A1317*Assumptions!$B$12</f>
        <v>13.09</v>
      </c>
      <c r="C1317" s="15">
        <f>IF(A1317&lt;=Assumptions!$B$13,IF(OR(A1317=0,A1317=Assumptions!$B$13),0.5,1),0)*Assumptions!$B$12</f>
        <v>0.01</v>
      </c>
      <c r="D1317" s="12">
        <f>D1316*(1-Assumptions!$B$12*(Assumptions!$B$5+Assumptions!$B$6))</f>
        <v>0.6751915053060491</v>
      </c>
      <c r="E1317" s="12">
        <f>E1316+Assumptions!$B$12*(D1316*Assumptions!$B$5-E1316*Assumptions!$B$7)</f>
        <v>0.15557471435632259</v>
      </c>
      <c r="F1317" s="12">
        <f t="shared" si="60"/>
        <v>0.16923378033762831</v>
      </c>
      <c r="G1317" s="12">
        <f>EXP(-Assumptions!$B$8*B1317)</f>
        <v>0.51970184855942247</v>
      </c>
      <c r="H1317" s="12">
        <f t="shared" si="61"/>
        <v>0.35089827343917285</v>
      </c>
      <c r="I1317" s="12">
        <f t="shared" si="62"/>
        <v>8.0852466640084969E-2</v>
      </c>
      <c r="J1317" s="12">
        <f>G1317*(D1317*Assumptions!$B$6+E1317*Assumptions!$B$7)</f>
        <v>7.551606066395977E-3</v>
      </c>
    </row>
    <row r="1318" spans="1:10" x14ac:dyDescent="0.2">
      <c r="A1318" s="2">
        <v>1310</v>
      </c>
      <c r="B1318" s="14">
        <f>A1318*Assumptions!$B$12</f>
        <v>13.1</v>
      </c>
      <c r="C1318" s="15">
        <f>IF(A1318&lt;=Assumptions!$B$13,IF(OR(A1318=0,A1318=Assumptions!$B$13),0.5,1),0)*Assumptions!$B$12</f>
        <v>0.01</v>
      </c>
      <c r="D1318" s="12">
        <f>D1317*(1-Assumptions!$B$12*(Assumptions!$B$5+Assumptions!$B$6))</f>
        <v>0.67498894785445729</v>
      </c>
      <c r="E1318" s="12">
        <f>E1317+Assumptions!$B$12*(D1317*Assumptions!$B$5-E1317*Assumptions!$B$7)</f>
        <v>0.15563196530020562</v>
      </c>
      <c r="F1318" s="12">
        <f t="shared" si="60"/>
        <v>0.16937908684533709</v>
      </c>
      <c r="G1318" s="12">
        <f>EXP(-Assumptions!$B$8*B1318)</f>
        <v>0.51944206258704817</v>
      </c>
      <c r="H1318" s="12">
        <f t="shared" si="61"/>
        <v>0.3506176512969808</v>
      </c>
      <c r="I1318" s="12">
        <f t="shared" si="62"/>
        <v>8.0841789060014713E-2</v>
      </c>
      <c r="J1318" s="12">
        <f>G1318*(D1318*Assumptions!$B$6+E1318*Assumptions!$B$7)</f>
        <v>7.5482659659705451E-3</v>
      </c>
    </row>
    <row r="1319" spans="1:10" x14ac:dyDescent="0.2">
      <c r="A1319" s="2">
        <v>1311</v>
      </c>
      <c r="B1319" s="14">
        <f>A1319*Assumptions!$B$12</f>
        <v>13.11</v>
      </c>
      <c r="C1319" s="15">
        <f>IF(A1319&lt;=Assumptions!$B$13,IF(OR(A1319=0,A1319=Assumptions!$B$13),0.5,1),0)*Assumptions!$B$12</f>
        <v>0.01</v>
      </c>
      <c r="D1319" s="12">
        <f>D1318*(1-Assumptions!$B$12*(Assumptions!$B$5+Assumptions!$B$6))</f>
        <v>0.67478645117010094</v>
      </c>
      <c r="E1319" s="12">
        <f>E1318+Assumptions!$B$12*(D1318*Assumptions!$B$5-E1318*Assumptions!$B$7)</f>
        <v>0.15568914710712642</v>
      </c>
      <c r="F1319" s="12">
        <f t="shared" si="60"/>
        <v>0.16952440172277264</v>
      </c>
      <c r="G1319" s="12">
        <f>EXP(-Assumptions!$B$8*B1319)</f>
        <v>0.51918240647519209</v>
      </c>
      <c r="H1319" s="12">
        <f t="shared" si="61"/>
        <v>0.35033725357534773</v>
      </c>
      <c r="I1319" s="12">
        <f t="shared" si="62"/>
        <v>8.0831066057148085E-2</v>
      </c>
      <c r="J1319" s="12">
        <f>G1319*(D1319*Assumptions!$B$6+E1319*Assumptions!$B$7)</f>
        <v>7.5449258386108822E-3</v>
      </c>
    </row>
    <row r="1320" spans="1:10" x14ac:dyDescent="0.2">
      <c r="A1320" s="2">
        <v>1312</v>
      </c>
      <c r="B1320" s="14">
        <f>A1320*Assumptions!$B$12</f>
        <v>13.120000000000001</v>
      </c>
      <c r="C1320" s="15">
        <f>IF(A1320&lt;=Assumptions!$B$13,IF(OR(A1320=0,A1320=Assumptions!$B$13),0.5,1),0)*Assumptions!$B$12</f>
        <v>0.01</v>
      </c>
      <c r="D1320" s="12">
        <f>D1319*(1-Assumptions!$B$12*(Assumptions!$B$5+Assumptions!$B$6))</f>
        <v>0.67458401523474998</v>
      </c>
      <c r="E1320" s="12">
        <f>E1319+Assumptions!$B$12*(D1319*Assumptions!$B$5-E1319*Assumptions!$B$7)</f>
        <v>0.15574625982380688</v>
      </c>
      <c r="F1320" s="12">
        <f t="shared" si="60"/>
        <v>0.16966972494144314</v>
      </c>
      <c r="G1320" s="12">
        <f>EXP(-Assumptions!$B$8*B1320)</f>
        <v>0.51892288015894028</v>
      </c>
      <c r="H1320" s="12">
        <f t="shared" si="61"/>
        <v>0.35005708009479891</v>
      </c>
      <c r="I1320" s="12">
        <f t="shared" si="62"/>
        <v>8.0820297721752518E-2</v>
      </c>
      <c r="J1320" s="12">
        <f>G1320*(D1320*Assumptions!$B$6+E1320*Assumptions!$B$7)</f>
        <v>7.541585687035615E-3</v>
      </c>
    </row>
    <row r="1321" spans="1:10" x14ac:dyDescent="0.2">
      <c r="A1321" s="2">
        <v>1313</v>
      </c>
      <c r="B1321" s="14">
        <f>A1321*Assumptions!$B$12</f>
        <v>13.13</v>
      </c>
      <c r="C1321" s="15">
        <f>IF(A1321&lt;=Assumptions!$B$13,IF(OR(A1321=0,A1321=Assumptions!$B$13),0.5,1),0)*Assumptions!$B$12</f>
        <v>0.01</v>
      </c>
      <c r="D1321" s="12">
        <f>D1320*(1-Assumptions!$B$12*(Assumptions!$B$5+Assumptions!$B$6))</f>
        <v>0.67438164003017953</v>
      </c>
      <c r="E1321" s="12">
        <f>E1320+Assumptions!$B$12*(D1320*Assumptions!$B$5-E1320*Assumptions!$B$7)</f>
        <v>0.15580330349694194</v>
      </c>
      <c r="F1321" s="12">
        <f t="shared" si="60"/>
        <v>0.16981505647287853</v>
      </c>
      <c r="G1321" s="12">
        <f>EXP(-Assumptions!$B$8*B1321)</f>
        <v>0.5186634835734113</v>
      </c>
      <c r="H1321" s="12">
        <f t="shared" si="61"/>
        <v>0.34977713067600319</v>
      </c>
      <c r="I1321" s="12">
        <f t="shared" si="62"/>
        <v>8.0809484143969365E-2</v>
      </c>
      <c r="J1321" s="12">
        <f>G1321*(D1321*Assumptions!$B$6+E1321*Assumptions!$B$7)</f>
        <v>7.5382455139584997E-3</v>
      </c>
    </row>
    <row r="1322" spans="1:10" x14ac:dyDescent="0.2">
      <c r="A1322" s="2">
        <v>1314</v>
      </c>
      <c r="B1322" s="14">
        <f>A1322*Assumptions!$B$12</f>
        <v>13.14</v>
      </c>
      <c r="C1322" s="15">
        <f>IF(A1322&lt;=Assumptions!$B$13,IF(OR(A1322=0,A1322=Assumptions!$B$13),0.5,1),0)*Assumptions!$B$12</f>
        <v>0.01</v>
      </c>
      <c r="D1322" s="12">
        <f>D1321*(1-Assumptions!$B$12*(Assumptions!$B$5+Assumptions!$B$6))</f>
        <v>0.6741793255381705</v>
      </c>
      <c r="E1322" s="12">
        <f>E1321+Assumptions!$B$12*(D1321*Assumptions!$B$5-E1321*Assumptions!$B$7)</f>
        <v>0.1558602781731995</v>
      </c>
      <c r="F1322" s="12">
        <f t="shared" si="60"/>
        <v>0.16996039628862999</v>
      </c>
      <c r="G1322" s="12">
        <f>EXP(-Assumptions!$B$8*B1322)</f>
        <v>0.51840421665375591</v>
      </c>
      <c r="H1322" s="12">
        <f t="shared" si="61"/>
        <v>0.34949740513977279</v>
      </c>
      <c r="I1322" s="12">
        <f t="shared" si="62"/>
        <v>8.0798625413813982E-2</v>
      </c>
      <c r="J1322" s="12">
        <f>G1322*(D1322*Assumptions!$B$6+E1322*Assumptions!$B$7)</f>
        <v>7.5349053220884268E-3</v>
      </c>
    </row>
    <row r="1323" spans="1:10" x14ac:dyDescent="0.2">
      <c r="A1323" s="2">
        <v>1315</v>
      </c>
      <c r="B1323" s="14">
        <f>A1323*Assumptions!$B$12</f>
        <v>13.15</v>
      </c>
      <c r="C1323" s="15">
        <f>IF(A1323&lt;=Assumptions!$B$13,IF(OR(A1323=0,A1323=Assumptions!$B$13),0.5,1),0)*Assumptions!$B$12</f>
        <v>0.01</v>
      </c>
      <c r="D1323" s="12">
        <f>D1322*(1-Assumptions!$B$12*(Assumptions!$B$5+Assumptions!$B$6))</f>
        <v>0.67397707174050903</v>
      </c>
      <c r="E1323" s="12">
        <f>E1322+Assumptions!$B$12*(D1322*Assumptions!$B$5-E1322*Assumptions!$B$7)</f>
        <v>0.15591718389922055</v>
      </c>
      <c r="F1323" s="12">
        <f t="shared" si="60"/>
        <v>0.17010574436027043</v>
      </c>
      <c r="G1323" s="12">
        <f>EXP(-Assumptions!$B$8*B1323)</f>
        <v>0.51814507933515741</v>
      </c>
      <c r="H1323" s="12">
        <f t="shared" si="61"/>
        <v>0.34921790330706315</v>
      </c>
      <c r="I1323" s="12">
        <f t="shared" si="62"/>
        <v>8.0787721621175951E-2</v>
      </c>
      <c r="J1323" s="12">
        <f>G1323*(D1323*Assumptions!$B$6+E1323*Assumptions!$B$7)</f>
        <v>7.5315651141294295E-3</v>
      </c>
    </row>
    <row r="1324" spans="1:10" x14ac:dyDescent="0.2">
      <c r="A1324" s="2">
        <v>1316</v>
      </c>
      <c r="B1324" s="14">
        <f>A1324*Assumptions!$B$12</f>
        <v>13.16</v>
      </c>
      <c r="C1324" s="15">
        <f>IF(A1324&lt;=Assumptions!$B$13,IF(OR(A1324=0,A1324=Assumptions!$B$13),0.5,1),0)*Assumptions!$B$12</f>
        <v>0.01</v>
      </c>
      <c r="D1324" s="12">
        <f>D1323*(1-Assumptions!$B$12*(Assumptions!$B$5+Assumptions!$B$6))</f>
        <v>0.67377487861898688</v>
      </c>
      <c r="E1324" s="12">
        <f>E1323+Assumptions!$B$12*(D1323*Assumptions!$B$5-E1323*Assumptions!$B$7)</f>
        <v>0.15597402072161903</v>
      </c>
      <c r="F1324" s="12">
        <f t="shared" si="60"/>
        <v>0.17025110065939408</v>
      </c>
      <c r="G1324" s="12">
        <f>EXP(-Assumptions!$B$8*B1324)</f>
        <v>0.5178860715528314</v>
      </c>
      <c r="H1324" s="12">
        <f t="shared" si="61"/>
        <v>0.34893862499897293</v>
      </c>
      <c r="I1324" s="12">
        <f t="shared" si="62"/>
        <v>8.0776772855819204E-2</v>
      </c>
      <c r="J1324" s="12">
        <f>G1324*(D1324*Assumptions!$B$6+E1324*Assumptions!$B$7)</f>
        <v>7.5282248927806897E-3</v>
      </c>
    </row>
    <row r="1325" spans="1:10" x14ac:dyDescent="0.2">
      <c r="A1325" s="2">
        <v>1317</v>
      </c>
      <c r="B1325" s="14">
        <f>A1325*Assumptions!$B$12</f>
        <v>13.17</v>
      </c>
      <c r="C1325" s="15">
        <f>IF(A1325&lt;=Assumptions!$B$13,IF(OR(A1325=0,A1325=Assumptions!$B$13),0.5,1),0)*Assumptions!$B$12</f>
        <v>0.01</v>
      </c>
      <c r="D1325" s="12">
        <f>D1324*(1-Assumptions!$B$12*(Assumptions!$B$5+Assumptions!$B$6))</f>
        <v>0.67357274615540119</v>
      </c>
      <c r="E1325" s="12">
        <f>E1324+Assumptions!$B$12*(D1324*Assumptions!$B$5-E1324*Assumptions!$B$7)</f>
        <v>0.15603078868698203</v>
      </c>
      <c r="F1325" s="12">
        <f t="shared" si="60"/>
        <v>0.17039646515761678</v>
      </c>
      <c r="G1325" s="12">
        <f>EXP(-Assumptions!$B$8*B1325)</f>
        <v>0.517627193242026</v>
      </c>
      <c r="H1325" s="12">
        <f t="shared" si="61"/>
        <v>0.34865957003674397</v>
      </c>
      <c r="I1325" s="12">
        <f t="shared" si="62"/>
        <v>8.0765779207382177E-2</v>
      </c>
      <c r="J1325" s="12">
        <f>G1325*(D1325*Assumptions!$B$6+E1325*Assumptions!$B$7)</f>
        <v>7.5248846607365487E-3</v>
      </c>
    </row>
    <row r="1326" spans="1:10" x14ac:dyDescent="0.2">
      <c r="A1326" s="2">
        <v>1318</v>
      </c>
      <c r="B1326" s="14">
        <f>A1326*Assumptions!$B$12</f>
        <v>13.18</v>
      </c>
      <c r="C1326" s="15">
        <f>IF(A1326&lt;=Assumptions!$B$13,IF(OR(A1326=0,A1326=Assumptions!$B$13),0.5,1),0)*Assumptions!$B$12</f>
        <v>0.01</v>
      </c>
      <c r="D1326" s="12">
        <f>D1325*(1-Assumptions!$B$12*(Assumptions!$B$5+Assumptions!$B$6))</f>
        <v>0.67337067433155462</v>
      </c>
      <c r="E1326" s="12">
        <f>E1325+Assumptions!$B$12*(D1325*Assumptions!$B$5-E1325*Assumptions!$B$7)</f>
        <v>0.15608748784186963</v>
      </c>
      <c r="F1326" s="12">
        <f t="shared" si="60"/>
        <v>0.17054183782657575</v>
      </c>
      <c r="G1326" s="12">
        <f>EXP(-Assumptions!$B$8*B1326)</f>
        <v>0.51736844433802165</v>
      </c>
      <c r="H1326" s="12">
        <f t="shared" si="61"/>
        <v>0.34838073824176102</v>
      </c>
      <c r="I1326" s="12">
        <f t="shared" si="62"/>
        <v>8.0754740765377961E-2</v>
      </c>
      <c r="J1326" s="12">
        <f>G1326*(D1326*Assumptions!$B$6+E1326*Assumptions!$B$7)</f>
        <v>7.5215444206865089E-3</v>
      </c>
    </row>
    <row r="1327" spans="1:10" x14ac:dyDescent="0.2">
      <c r="A1327" s="2">
        <v>1319</v>
      </c>
      <c r="B1327" s="14">
        <f>A1327*Assumptions!$B$12</f>
        <v>13.19</v>
      </c>
      <c r="C1327" s="15">
        <f>IF(A1327&lt;=Assumptions!$B$13,IF(OR(A1327=0,A1327=Assumptions!$B$13),0.5,1),0)*Assumptions!$B$12</f>
        <v>0.01</v>
      </c>
      <c r="D1327" s="12">
        <f>D1326*(1-Assumptions!$B$12*(Assumptions!$B$5+Assumptions!$B$6))</f>
        <v>0.67316866312925516</v>
      </c>
      <c r="E1327" s="12">
        <f>E1326+Assumptions!$B$12*(D1326*Assumptions!$B$5-E1326*Assumptions!$B$7)</f>
        <v>0.15614411823281502</v>
      </c>
      <c r="F1327" s="12">
        <f t="shared" si="60"/>
        <v>0.17068721863792982</v>
      </c>
      <c r="G1327" s="12">
        <f>EXP(-Assumptions!$B$8*B1327)</f>
        <v>0.51710982477613099</v>
      </c>
      <c r="H1327" s="12">
        <f t="shared" si="61"/>
        <v>0.34810212943555147</v>
      </c>
      <c r="I1327" s="12">
        <f t="shared" si="62"/>
        <v>8.0743657619194456E-2</v>
      </c>
      <c r="J1327" s="12">
        <f>G1327*(D1327*Assumptions!$B$6+E1327*Assumptions!$B$7)</f>
        <v>7.5182041753152377E-3</v>
      </c>
    </row>
    <row r="1328" spans="1:10" x14ac:dyDescent="0.2">
      <c r="A1328" s="2">
        <v>1320</v>
      </c>
      <c r="B1328" s="14">
        <f>A1328*Assumptions!$B$12</f>
        <v>13.200000000000001</v>
      </c>
      <c r="C1328" s="15">
        <f>IF(A1328&lt;=Assumptions!$B$13,IF(OR(A1328=0,A1328=Assumptions!$B$13),0.5,1),0)*Assumptions!$B$12</f>
        <v>0.01</v>
      </c>
      <c r="D1328" s="12">
        <f>D1327*(1-Assumptions!$B$12*(Assumptions!$B$5+Assumptions!$B$6))</f>
        <v>0.67296671253031637</v>
      </c>
      <c r="E1328" s="12">
        <f>E1327+Assumptions!$B$12*(D1327*Assumptions!$B$5-E1327*Assumptions!$B$7)</f>
        <v>0.15620067990632447</v>
      </c>
      <c r="F1328" s="12">
        <f t="shared" si="60"/>
        <v>0.17083260756335916</v>
      </c>
      <c r="G1328" s="12">
        <f>EXP(-Assumptions!$B$8*B1328)</f>
        <v>0.51685133449169918</v>
      </c>
      <c r="H1328" s="12">
        <f t="shared" si="61"/>
        <v>0.34782374343978573</v>
      </c>
      <c r="I1328" s="12">
        <f t="shared" si="62"/>
        <v>8.0732529858094537E-2</v>
      </c>
      <c r="J1328" s="12">
        <f>G1328*(D1328*Assumptions!$B$6+E1328*Assumptions!$B$7)</f>
        <v>7.5148639273025846E-3</v>
      </c>
    </row>
    <row r="1329" spans="1:10" x14ac:dyDescent="0.2">
      <c r="A1329" s="2">
        <v>1321</v>
      </c>
      <c r="B1329" s="14">
        <f>A1329*Assumptions!$B$12</f>
        <v>13.21</v>
      </c>
      <c r="C1329" s="15">
        <f>IF(A1329&lt;=Assumptions!$B$13,IF(OR(A1329=0,A1329=Assumptions!$B$13),0.5,1),0)*Assumptions!$B$12</f>
        <v>0.01</v>
      </c>
      <c r="D1329" s="12">
        <f>D1328*(1-Assumptions!$B$12*(Assumptions!$B$5+Assumptions!$B$6))</f>
        <v>0.67276482251655734</v>
      </c>
      <c r="E1329" s="12">
        <f>E1328+Assumptions!$B$12*(D1328*Assumptions!$B$5-E1328*Assumptions!$B$7)</f>
        <v>0.15625717290887736</v>
      </c>
      <c r="F1329" s="12">
        <f t="shared" si="60"/>
        <v>0.1709780045745653</v>
      </c>
      <c r="G1329" s="12">
        <f>EXP(-Assumptions!$B$8*B1329)</f>
        <v>0.5165929734201038</v>
      </c>
      <c r="H1329" s="12">
        <f t="shared" si="61"/>
        <v>0.34754558007627673</v>
      </c>
      <c r="I1329" s="12">
        <f t="shared" si="62"/>
        <v>8.0721357571216248E-2</v>
      </c>
      <c r="J1329" s="12">
        <f>G1329*(D1329*Assumptions!$B$6+E1329*Assumptions!$B$7)</f>
        <v>7.5115236793235809E-3</v>
      </c>
    </row>
    <row r="1330" spans="1:10" x14ac:dyDescent="0.2">
      <c r="A1330" s="2">
        <v>1322</v>
      </c>
      <c r="B1330" s="14">
        <f>A1330*Assumptions!$B$12</f>
        <v>13.22</v>
      </c>
      <c r="C1330" s="15">
        <f>IF(A1330&lt;=Assumptions!$B$13,IF(OR(A1330=0,A1330=Assumptions!$B$13),0.5,1),0)*Assumptions!$B$12</f>
        <v>0.01</v>
      </c>
      <c r="D1330" s="12">
        <f>D1329*(1-Assumptions!$B$12*(Assumptions!$B$5+Assumptions!$B$6))</f>
        <v>0.67256299306980238</v>
      </c>
      <c r="E1330" s="12">
        <f>E1329+Assumptions!$B$12*(D1329*Assumptions!$B$5-E1329*Assumptions!$B$7)</f>
        <v>0.15631359728692623</v>
      </c>
      <c r="F1330" s="12">
        <f t="shared" si="60"/>
        <v>0.17112340964327138</v>
      </c>
      <c r="G1330" s="12">
        <f>EXP(-Assumptions!$B$8*B1330)</f>
        <v>0.5163347414967544</v>
      </c>
      <c r="H1330" s="12">
        <f t="shared" si="61"/>
        <v>0.34726763916697984</v>
      </c>
      <c r="I1330" s="12">
        <f t="shared" si="62"/>
        <v>8.0710140847572831E-2</v>
      </c>
      <c r="J1330" s="12">
        <f>G1330*(D1330*Assumptions!$B$6+E1330*Assumptions!$B$7)</f>
        <v>7.5081834340484403E-3</v>
      </c>
    </row>
    <row r="1331" spans="1:10" x14ac:dyDescent="0.2">
      <c r="A1331" s="2">
        <v>1323</v>
      </c>
      <c r="B1331" s="14">
        <f>A1331*Assumptions!$B$12</f>
        <v>13.23</v>
      </c>
      <c r="C1331" s="15">
        <f>IF(A1331&lt;=Assumptions!$B$13,IF(OR(A1331=0,A1331=Assumptions!$B$13),0.5,1),0)*Assumptions!$B$12</f>
        <v>0.01</v>
      </c>
      <c r="D1331" s="12">
        <f>D1330*(1-Assumptions!$B$12*(Assumptions!$B$5+Assumptions!$B$6))</f>
        <v>0.67236122417188149</v>
      </c>
      <c r="E1331" s="12">
        <f>E1330+Assumptions!$B$12*(D1330*Assumptions!$B$5-E1330*Assumptions!$B$7)</f>
        <v>0.15636995308689672</v>
      </c>
      <c r="F1331" s="12">
        <f t="shared" si="60"/>
        <v>0.17126882274122179</v>
      </c>
      <c r="G1331" s="12">
        <f>EXP(-Assumptions!$B$8*B1331)</f>
        <v>0.51607663865709308</v>
      </c>
      <c r="H1331" s="12">
        <f t="shared" si="61"/>
        <v>0.34698992053399286</v>
      </c>
      <c r="I1331" s="12">
        <f t="shared" si="62"/>
        <v>8.0698879776053001E-2</v>
      </c>
      <c r="J1331" s="12">
        <f>G1331*(D1331*Assumptions!$B$6+E1331*Assumptions!$B$7)</f>
        <v>7.5048431941425785E-3</v>
      </c>
    </row>
    <row r="1332" spans="1:10" x14ac:dyDescent="0.2">
      <c r="A1332" s="2">
        <v>1324</v>
      </c>
      <c r="B1332" s="14">
        <f>A1332*Assumptions!$B$12</f>
        <v>13.24</v>
      </c>
      <c r="C1332" s="15">
        <f>IF(A1332&lt;=Assumptions!$B$13,IF(OR(A1332=0,A1332=Assumptions!$B$13),0.5,1),0)*Assumptions!$B$12</f>
        <v>0.01</v>
      </c>
      <c r="D1332" s="12">
        <f>D1331*(1-Assumptions!$B$12*(Assumptions!$B$5+Assumptions!$B$6))</f>
        <v>0.67215951580462996</v>
      </c>
      <c r="E1332" s="12">
        <f>E1331+Assumptions!$B$12*(D1331*Assumptions!$B$5-E1331*Assumptions!$B$7)</f>
        <v>0.15642624035518765</v>
      </c>
      <c r="F1332" s="12">
        <f t="shared" si="60"/>
        <v>0.17141424384018239</v>
      </c>
      <c r="G1332" s="12">
        <f>EXP(-Assumptions!$B$8*B1332)</f>
        <v>0.51581866483659411</v>
      </c>
      <c r="H1332" s="12">
        <f t="shared" si="61"/>
        <v>0.34671242399955582</v>
      </c>
      <c r="I1332" s="12">
        <f t="shared" si="62"/>
        <v>8.0687574445421045E-2</v>
      </c>
      <c r="J1332" s="12">
        <f>G1332*(D1332*Assumptions!$B$6+E1332*Assumptions!$B$7)</f>
        <v>7.5015029622666112E-3</v>
      </c>
    </row>
    <row r="1333" spans="1:10" x14ac:dyDescent="0.2">
      <c r="A1333" s="2">
        <v>1325</v>
      </c>
      <c r="B1333" s="14">
        <f>A1333*Assumptions!$B$12</f>
        <v>13.25</v>
      </c>
      <c r="C1333" s="15">
        <f>IF(A1333&lt;=Assumptions!$B$13,IF(OR(A1333=0,A1333=Assumptions!$B$13),0.5,1),0)*Assumptions!$B$12</f>
        <v>0.01</v>
      </c>
      <c r="D1333" s="12">
        <f>D1332*(1-Assumptions!$B$12*(Assumptions!$B$5+Assumptions!$B$6))</f>
        <v>0.67195786794988854</v>
      </c>
      <c r="E1333" s="12">
        <f>E1332+Assumptions!$B$12*(D1332*Assumptions!$B$5-E1332*Assumptions!$B$7)</f>
        <v>0.15648245913817099</v>
      </c>
      <c r="F1333" s="12">
        <f t="shared" si="60"/>
        <v>0.17155967291194046</v>
      </c>
      <c r="G1333" s="12">
        <f>EXP(-Assumptions!$B$8*B1333)</f>
        <v>0.51556081997076397</v>
      </c>
      <c r="H1333" s="12">
        <f t="shared" si="61"/>
        <v>0.34643514938605086</v>
      </c>
      <c r="I1333" s="12">
        <f t="shared" si="62"/>
        <v>8.0676224944317004E-2</v>
      </c>
      <c r="J1333" s="12">
        <f>G1333*(D1333*Assumptions!$B$6+E1333*Assumptions!$B$7)</f>
        <v>7.4981627410763601E-3</v>
      </c>
    </row>
    <row r="1334" spans="1:10" x14ac:dyDescent="0.2">
      <c r="A1334" s="2">
        <v>1326</v>
      </c>
      <c r="B1334" s="14">
        <f>A1334*Assumptions!$B$12</f>
        <v>13.26</v>
      </c>
      <c r="C1334" s="15">
        <f>IF(A1334&lt;=Assumptions!$B$13,IF(OR(A1334=0,A1334=Assumptions!$B$13),0.5,1),0)*Assumptions!$B$12</f>
        <v>0.01</v>
      </c>
      <c r="D1334" s="12">
        <f>D1333*(1-Assumptions!$B$12*(Assumptions!$B$5+Assumptions!$B$6))</f>
        <v>0.67175628058950365</v>
      </c>
      <c r="E1334" s="12">
        <f>E1333+Assumptions!$B$12*(D1333*Assumptions!$B$5-E1333*Assumptions!$B$7)</f>
        <v>0.15653860948219189</v>
      </c>
      <c r="F1334" s="12">
        <f t="shared" si="60"/>
        <v>0.17170510992830446</v>
      </c>
      <c r="G1334" s="12">
        <f>EXP(-Assumptions!$B$8*B1334)</f>
        <v>0.51530310399514168</v>
      </c>
      <c r="H1334" s="12">
        <f t="shared" si="61"/>
        <v>0.34615809651600254</v>
      </c>
      <c r="I1334" s="12">
        <f t="shared" si="62"/>
        <v>8.0664831361256795E-2</v>
      </c>
      <c r="J1334" s="12">
        <f>G1334*(D1334*Assumptions!$B$6+E1334*Assumptions!$B$7)</f>
        <v>7.494822533222866E-3</v>
      </c>
    </row>
    <row r="1335" spans="1:10" x14ac:dyDescent="0.2">
      <c r="A1335" s="2">
        <v>1327</v>
      </c>
      <c r="B1335" s="14">
        <f>A1335*Assumptions!$B$12</f>
        <v>13.27</v>
      </c>
      <c r="C1335" s="15">
        <f>IF(A1335&lt;=Assumptions!$B$13,IF(OR(A1335=0,A1335=Assumptions!$B$13),0.5,1),0)*Assumptions!$B$12</f>
        <v>0.01</v>
      </c>
      <c r="D1335" s="12">
        <f>D1334*(1-Assumptions!$B$12*(Assumptions!$B$5+Assumptions!$B$6))</f>
        <v>0.6715547537053268</v>
      </c>
      <c r="E1335" s="12">
        <f>E1334+Assumptions!$B$12*(D1334*Assumptions!$B$5-E1334*Assumptions!$B$7)</f>
        <v>0.15659469143356869</v>
      </c>
      <c r="F1335" s="12">
        <f t="shared" si="60"/>
        <v>0.17185055486110451</v>
      </c>
      <c r="G1335" s="12">
        <f>EXP(-Assumptions!$B$8*B1335)</f>
        <v>0.51504551684529798</v>
      </c>
      <c r="H1335" s="12">
        <f t="shared" si="61"/>
        <v>0.34588126521207685</v>
      </c>
      <c r="I1335" s="12">
        <f t="shared" si="62"/>
        <v>8.0653393784632335E-2</v>
      </c>
      <c r="J1335" s="12">
        <f>G1335*(D1335*Assumptions!$B$6+E1335*Assumptions!$B$7)</f>
        <v>7.4914823413523863E-3</v>
      </c>
    </row>
    <row r="1336" spans="1:10" x14ac:dyDescent="0.2">
      <c r="A1336" s="2">
        <v>1328</v>
      </c>
      <c r="B1336" s="14">
        <f>A1336*Assumptions!$B$12</f>
        <v>13.280000000000001</v>
      </c>
      <c r="C1336" s="15">
        <f>IF(A1336&lt;=Assumptions!$B$13,IF(OR(A1336=0,A1336=Assumptions!$B$13),0.5,1),0)*Assumptions!$B$12</f>
        <v>0.01</v>
      </c>
      <c r="D1336" s="12">
        <f>D1335*(1-Assumptions!$B$12*(Assumptions!$B$5+Assumptions!$B$6))</f>
        <v>0.67135328727921517</v>
      </c>
      <c r="E1336" s="12">
        <f>E1335+Assumptions!$B$12*(D1335*Assumptions!$B$5-E1335*Assumptions!$B$7)</f>
        <v>0.15665070503859296</v>
      </c>
      <c r="F1336" s="12">
        <f t="shared" si="60"/>
        <v>0.17199600768219186</v>
      </c>
      <c r="G1336" s="12">
        <f>EXP(-Assumptions!$B$8*B1336)</f>
        <v>0.51478805845683606</v>
      </c>
      <c r="H1336" s="12">
        <f t="shared" si="61"/>
        <v>0.34560465529708168</v>
      </c>
      <c r="I1336" s="12">
        <f t="shared" si="62"/>
        <v>8.0641912302711782E-2</v>
      </c>
      <c r="J1336" s="12">
        <f>G1336*(D1336*Assumptions!$B$6+E1336*Assumptions!$B$7)</f>
        <v>7.4881421681064061E-3</v>
      </c>
    </row>
    <row r="1337" spans="1:10" x14ac:dyDescent="0.2">
      <c r="A1337" s="2">
        <v>1329</v>
      </c>
      <c r="B1337" s="14">
        <f>A1337*Assumptions!$B$12</f>
        <v>13.290000000000001</v>
      </c>
      <c r="C1337" s="15">
        <f>IF(A1337&lt;=Assumptions!$B$13,IF(OR(A1337=0,A1337=Assumptions!$B$13),0.5,1),0)*Assumptions!$B$12</f>
        <v>0.01</v>
      </c>
      <c r="D1337" s="12">
        <f>D1336*(1-Assumptions!$B$12*(Assumptions!$B$5+Assumptions!$B$6))</f>
        <v>0.67115188129303138</v>
      </c>
      <c r="E1337" s="12">
        <f>E1336+Assumptions!$B$12*(D1336*Assumptions!$B$5-E1336*Assumptions!$B$7)</f>
        <v>0.15670665034352951</v>
      </c>
      <c r="F1337" s="12">
        <f t="shared" si="60"/>
        <v>0.1721414683634391</v>
      </c>
      <c r="G1337" s="12">
        <f>EXP(-Assumptions!$B$8*B1337)</f>
        <v>0.51453072876539163</v>
      </c>
      <c r="H1337" s="12">
        <f t="shared" si="61"/>
        <v>0.34532826659396704</v>
      </c>
      <c r="I1337" s="12">
        <f t="shared" si="62"/>
        <v>8.0630387003639656E-2</v>
      </c>
      <c r="J1337" s="12">
        <f>G1337*(D1337*Assumptions!$B$6+E1337*Assumptions!$B$7)</f>
        <v>7.4848020161216522E-3</v>
      </c>
    </row>
    <row r="1338" spans="1:10" x14ac:dyDescent="0.2">
      <c r="A1338" s="2">
        <v>1330</v>
      </c>
      <c r="B1338" s="14">
        <f>A1338*Assumptions!$B$12</f>
        <v>13.3</v>
      </c>
      <c r="C1338" s="15">
        <f>IF(A1338&lt;=Assumptions!$B$13,IF(OR(A1338=0,A1338=Assumptions!$B$13),0.5,1),0)*Assumptions!$B$12</f>
        <v>0.01</v>
      </c>
      <c r="D1338" s="12">
        <f>D1337*(1-Assumptions!$B$12*(Assumptions!$B$5+Assumptions!$B$6))</f>
        <v>0.67095053572864349</v>
      </c>
      <c r="E1338" s="12">
        <f>E1337+Assumptions!$B$12*(D1337*Assumptions!$B$5-E1337*Assumptions!$B$7)</f>
        <v>0.15676252739461635</v>
      </c>
      <c r="F1338" s="12">
        <f t="shared" si="60"/>
        <v>0.17228693687674015</v>
      </c>
      <c r="G1338" s="12">
        <f>EXP(-Assumptions!$B$8*B1338)</f>
        <v>0.51427352770663193</v>
      </c>
      <c r="H1338" s="12">
        <f t="shared" si="61"/>
        <v>0.34505209892582406</v>
      </c>
      <c r="I1338" s="12">
        <f t="shared" si="62"/>
        <v>8.0618817975436879E-2</v>
      </c>
      <c r="J1338" s="12">
        <f>G1338*(D1338*Assumptions!$B$6+E1338*Assumptions!$B$7)</f>
        <v>7.4814618880300852E-3</v>
      </c>
    </row>
    <row r="1339" spans="1:10" x14ac:dyDescent="0.2">
      <c r="A1339" s="2">
        <v>1331</v>
      </c>
      <c r="B1339" s="14">
        <f>A1339*Assumptions!$B$12</f>
        <v>13.31</v>
      </c>
      <c r="C1339" s="15">
        <f>IF(A1339&lt;=Assumptions!$B$13,IF(OR(A1339=0,A1339=Assumptions!$B$13),0.5,1),0)*Assumptions!$B$12</f>
        <v>0.01</v>
      </c>
      <c r="D1339" s="12">
        <f>D1338*(1-Assumptions!$B$12*(Assumptions!$B$5+Assumptions!$B$6))</f>
        <v>0.67074925056792489</v>
      </c>
      <c r="E1339" s="12">
        <f>E1338+Assumptions!$B$12*(D1338*Assumptions!$B$5-E1338*Assumptions!$B$7)</f>
        <v>0.15681833623806476</v>
      </c>
      <c r="F1339" s="12">
        <f t="shared" si="60"/>
        <v>0.17243241319401034</v>
      </c>
      <c r="G1339" s="12">
        <f>EXP(-Assumptions!$B$8*B1339)</f>
        <v>0.51401645521625683</v>
      </c>
      <c r="H1339" s="12">
        <f t="shared" si="61"/>
        <v>0.34477615211588558</v>
      </c>
      <c r="I1339" s="12">
        <f t="shared" si="62"/>
        <v>8.0607205306001128E-2</v>
      </c>
      <c r="J1339" s="12">
        <f>G1339*(D1339*Assumptions!$B$6+E1339*Assumptions!$B$7)</f>
        <v>7.4781217864589127E-3</v>
      </c>
    </row>
    <row r="1340" spans="1:10" x14ac:dyDescent="0.2">
      <c r="A1340" s="2">
        <v>1332</v>
      </c>
      <c r="B1340" s="14">
        <f>A1340*Assumptions!$B$12</f>
        <v>13.32</v>
      </c>
      <c r="C1340" s="15">
        <f>IF(A1340&lt;=Assumptions!$B$13,IF(OR(A1340=0,A1340=Assumptions!$B$13),0.5,1),0)*Assumptions!$B$12</f>
        <v>0.01</v>
      </c>
      <c r="D1340" s="12">
        <f>D1339*(1-Assumptions!$B$12*(Assumptions!$B$5+Assumptions!$B$6))</f>
        <v>0.67054802579275452</v>
      </c>
      <c r="E1340" s="12">
        <f>E1339+Assumptions!$B$12*(D1339*Assumptions!$B$5-E1339*Assumptions!$B$7)</f>
        <v>0.15687407692005931</v>
      </c>
      <c r="F1340" s="12">
        <f t="shared" si="60"/>
        <v>0.17257789728718617</v>
      </c>
      <c r="G1340" s="12">
        <f>EXP(-Assumptions!$B$8*B1340)</f>
        <v>0.5137595112299983</v>
      </c>
      <c r="H1340" s="12">
        <f t="shared" si="61"/>
        <v>0.34450042598752584</v>
      </c>
      <c r="I1340" s="12">
        <f t="shared" si="62"/>
        <v>8.0595549083106829E-2</v>
      </c>
      <c r="J1340" s="12">
        <f>G1340*(D1340*Assumptions!$B$6+E1340*Assumptions!$B$7)</f>
        <v>7.4747817140306001E-3</v>
      </c>
    </row>
    <row r="1341" spans="1:10" x14ac:dyDescent="0.2">
      <c r="A1341" s="2">
        <v>1333</v>
      </c>
      <c r="B1341" s="14">
        <f>A1341*Assumptions!$B$12</f>
        <v>13.33</v>
      </c>
      <c r="C1341" s="15">
        <f>IF(A1341&lt;=Assumptions!$B$13,IF(OR(A1341=0,A1341=Assumptions!$B$13),0.5,1),0)*Assumptions!$B$12</f>
        <v>0.01</v>
      </c>
      <c r="D1341" s="12">
        <f>D1340*(1-Assumptions!$B$12*(Assumptions!$B$5+Assumptions!$B$6))</f>
        <v>0.67034686138501676</v>
      </c>
      <c r="E1341" s="12">
        <f>E1340+Assumptions!$B$12*(D1340*Assumptions!$B$5-E1340*Assumptions!$B$7)</f>
        <v>0.15692974948675784</v>
      </c>
      <c r="F1341" s="12">
        <f t="shared" si="60"/>
        <v>0.17272338912822541</v>
      </c>
      <c r="G1341" s="12">
        <f>EXP(-Assumptions!$B$8*B1341)</f>
        <v>0.51350269568362028</v>
      </c>
      <c r="H1341" s="12">
        <f t="shared" si="61"/>
        <v>0.34422492036426022</v>
      </c>
      <c r="I1341" s="12">
        <f t="shared" si="62"/>
        <v>8.0583849394405369E-2</v>
      </c>
      <c r="J1341" s="12">
        <f>G1341*(D1341*Assumptions!$B$6+E1341*Assumptions!$B$7)</f>
        <v>7.4714416733628721E-3</v>
      </c>
    </row>
    <row r="1342" spans="1:10" x14ac:dyDescent="0.2">
      <c r="A1342" s="2">
        <v>1334</v>
      </c>
      <c r="B1342" s="14">
        <f>A1342*Assumptions!$B$12</f>
        <v>13.34</v>
      </c>
      <c r="C1342" s="15">
        <f>IF(A1342&lt;=Assumptions!$B$13,IF(OR(A1342=0,A1342=Assumptions!$B$13),0.5,1),0)*Assumptions!$B$12</f>
        <v>0.01</v>
      </c>
      <c r="D1342" s="12">
        <f>D1341*(1-Assumptions!$B$12*(Assumptions!$B$5+Assumptions!$B$6))</f>
        <v>0.67014575732660131</v>
      </c>
      <c r="E1342" s="12">
        <f>E1341+Assumptions!$B$12*(D1341*Assumptions!$B$5-E1341*Assumptions!$B$7)</f>
        <v>0.15698535398429145</v>
      </c>
      <c r="F1342" s="12">
        <f t="shared" si="60"/>
        <v>0.17286888868910724</v>
      </c>
      <c r="G1342" s="12">
        <f>EXP(-Assumptions!$B$8*B1342)</f>
        <v>0.51324600851291879</v>
      </c>
      <c r="H1342" s="12">
        <f t="shared" si="61"/>
        <v>0.34394963506974524</v>
      </c>
      <c r="I1342" s="12">
        <f t="shared" si="62"/>
        <v>8.0572106327425216E-2</v>
      </c>
      <c r="J1342" s="12">
        <f>G1342*(D1342*Assumptions!$B$6+E1342*Assumptions!$B$7)</f>
        <v>7.4681016670687141E-3</v>
      </c>
    </row>
    <row r="1343" spans="1:10" x14ac:dyDescent="0.2">
      <c r="A1343" s="2">
        <v>1335</v>
      </c>
      <c r="B1343" s="14">
        <f>A1343*Assumptions!$B$12</f>
        <v>13.35</v>
      </c>
      <c r="C1343" s="15">
        <f>IF(A1343&lt;=Assumptions!$B$13,IF(OR(A1343=0,A1343=Assumptions!$B$13),0.5,1),0)*Assumptions!$B$12</f>
        <v>0.01</v>
      </c>
      <c r="D1343" s="12">
        <f>D1342*(1-Assumptions!$B$12*(Assumptions!$B$5+Assumptions!$B$6))</f>
        <v>0.66994471359940333</v>
      </c>
      <c r="E1343" s="12">
        <f>E1342+Assumptions!$B$12*(D1342*Assumptions!$B$5-E1342*Assumptions!$B$7)</f>
        <v>0.15704089045876463</v>
      </c>
      <c r="F1343" s="12">
        <f t="shared" si="60"/>
        <v>0.17301439594183204</v>
      </c>
      <c r="G1343" s="12">
        <f>EXP(-Assumptions!$B$8*B1343)</f>
        <v>0.51298944965372217</v>
      </c>
      <c r="H1343" s="12">
        <f t="shared" si="61"/>
        <v>0.34367456992777845</v>
      </c>
      <c r="I1343" s="12">
        <f t="shared" si="62"/>
        <v>8.0560319969572136E-2</v>
      </c>
      <c r="J1343" s="12">
        <f>G1343*(D1343*Assumptions!$B$6+E1343*Assumptions!$B$7)</f>
        <v>7.464761697756392E-3</v>
      </c>
    </row>
    <row r="1344" spans="1:10" x14ac:dyDescent="0.2">
      <c r="A1344" s="2">
        <v>1336</v>
      </c>
      <c r="B1344" s="14">
        <f>A1344*Assumptions!$B$12</f>
        <v>13.36</v>
      </c>
      <c r="C1344" s="15">
        <f>IF(A1344&lt;=Assumptions!$B$13,IF(OR(A1344=0,A1344=Assumptions!$B$13),0.5,1),0)*Assumptions!$B$12</f>
        <v>0.01</v>
      </c>
      <c r="D1344" s="12">
        <f>D1343*(1-Assumptions!$B$12*(Assumptions!$B$5+Assumptions!$B$6))</f>
        <v>0.66974373018532352</v>
      </c>
      <c r="E1344" s="12">
        <f>E1343+Assumptions!$B$12*(D1343*Assumptions!$B$5-E1343*Assumptions!$B$7)</f>
        <v>0.15709635895625512</v>
      </c>
      <c r="F1344" s="12">
        <f t="shared" si="60"/>
        <v>0.17315991085842136</v>
      </c>
      <c r="G1344" s="12">
        <f>EXP(-Assumptions!$B$8*B1344)</f>
        <v>0.5127330190418905</v>
      </c>
      <c r="H1344" s="12">
        <f t="shared" si="61"/>
        <v>0.34339972476229824</v>
      </c>
      <c r="I1344" s="12">
        <f t="shared" si="62"/>
        <v>8.0548490408129225E-2</v>
      </c>
      <c r="J1344" s="12">
        <f>G1344*(D1344*Assumptions!$B$6+E1344*Assumptions!$B$7)</f>
        <v>7.4614217680294449E-3</v>
      </c>
    </row>
    <row r="1345" spans="1:10" x14ac:dyDescent="0.2">
      <c r="A1345" s="2">
        <v>1337</v>
      </c>
      <c r="B1345" s="14">
        <f>A1345*Assumptions!$B$12</f>
        <v>13.370000000000001</v>
      </c>
      <c r="C1345" s="15">
        <f>IF(A1345&lt;=Assumptions!$B$13,IF(OR(A1345=0,A1345=Assumptions!$B$13),0.5,1),0)*Assumptions!$B$12</f>
        <v>0.01</v>
      </c>
      <c r="D1345" s="12">
        <f>D1344*(1-Assumptions!$B$12*(Assumptions!$B$5+Assumptions!$B$6))</f>
        <v>0.6695428070662679</v>
      </c>
      <c r="E1345" s="12">
        <f>E1344+Assumptions!$B$12*(D1344*Assumptions!$B$5-E1344*Assumptions!$B$7)</f>
        <v>0.15715175952281407</v>
      </c>
      <c r="F1345" s="12">
        <f t="shared" si="60"/>
        <v>0.17330543341091803</v>
      </c>
      <c r="G1345" s="12">
        <f>EXP(-Assumptions!$B$8*B1345)</f>
        <v>0.51247671661331629</v>
      </c>
      <c r="H1345" s="12">
        <f t="shared" si="61"/>
        <v>0.34312509939738406</v>
      </c>
      <c r="I1345" s="12">
        <f t="shared" si="62"/>
        <v>8.0536617730257221E-2</v>
      </c>
      <c r="J1345" s="12">
        <f>G1345*(D1345*Assumptions!$B$6+E1345*Assumptions!$B$7)</f>
        <v>7.4580818804867019E-3</v>
      </c>
    </row>
    <row r="1346" spans="1:10" x14ac:dyDescent="0.2">
      <c r="A1346" s="2">
        <v>1338</v>
      </c>
      <c r="B1346" s="14">
        <f>A1346*Assumptions!$B$12</f>
        <v>13.38</v>
      </c>
      <c r="C1346" s="15">
        <f>IF(A1346&lt;=Assumptions!$B$13,IF(OR(A1346=0,A1346=Assumptions!$B$13),0.5,1),0)*Assumptions!$B$12</f>
        <v>0.01</v>
      </c>
      <c r="D1346" s="12">
        <f>D1345*(1-Assumptions!$B$12*(Assumptions!$B$5+Assumptions!$B$6))</f>
        <v>0.66934194422414806</v>
      </c>
      <c r="E1346" s="12">
        <f>E1345+Assumptions!$B$12*(D1345*Assumptions!$B$5-E1345*Assumptions!$B$7)</f>
        <v>0.15720709220446591</v>
      </c>
      <c r="F1346" s="12">
        <f t="shared" si="60"/>
        <v>0.17345096357138604</v>
      </c>
      <c r="G1346" s="12">
        <f>EXP(-Assumptions!$B$8*B1346)</f>
        <v>0.512220542303924</v>
      </c>
      <c r="H1346" s="12">
        <f t="shared" si="61"/>
        <v>0.34285069365725596</v>
      </c>
      <c r="I1346" s="12">
        <f t="shared" si="62"/>
        <v>8.0524702022994513E-2</v>
      </c>
      <c r="J1346" s="12">
        <f>G1346*(D1346*Assumptions!$B$6+E1346*Assumptions!$B$7)</f>
        <v>7.4547420377222848E-3</v>
      </c>
    </row>
    <row r="1347" spans="1:10" x14ac:dyDescent="0.2">
      <c r="A1347" s="2">
        <v>1339</v>
      </c>
      <c r="B1347" s="14">
        <f>A1347*Assumptions!$B$12</f>
        <v>13.39</v>
      </c>
      <c r="C1347" s="15">
        <f>IF(A1347&lt;=Assumptions!$B$13,IF(OR(A1347=0,A1347=Assumptions!$B$13),0.5,1),0)*Assumptions!$B$12</f>
        <v>0.01</v>
      </c>
      <c r="D1347" s="12">
        <f>D1346*(1-Assumptions!$B$12*(Assumptions!$B$5+Assumptions!$B$6))</f>
        <v>0.66914114164088079</v>
      </c>
      <c r="E1347" s="12">
        <f>E1346+Assumptions!$B$12*(D1346*Assumptions!$B$5-E1346*Assumptions!$B$7)</f>
        <v>0.15726235704720851</v>
      </c>
      <c r="F1347" s="12">
        <f t="shared" si="60"/>
        <v>0.17359650131191071</v>
      </c>
      <c r="G1347" s="12">
        <f>EXP(-Assumptions!$B$8*B1347)</f>
        <v>0.51196449604966987</v>
      </c>
      <c r="H1347" s="12">
        <f t="shared" si="61"/>
        <v>0.34257650736627432</v>
      </c>
      <c r="I1347" s="12">
        <f t="shared" si="62"/>
        <v>8.0512743373257353E-2</v>
      </c>
      <c r="J1347" s="12">
        <f>G1347*(D1347*Assumptions!$B$6+E1347*Assumptions!$B$7)</f>
        <v>7.4514022423256112E-3</v>
      </c>
    </row>
    <row r="1348" spans="1:10" x14ac:dyDescent="0.2">
      <c r="A1348" s="2">
        <v>1340</v>
      </c>
      <c r="B1348" s="14">
        <f>A1348*Assumptions!$B$12</f>
        <v>13.4</v>
      </c>
      <c r="C1348" s="15">
        <f>IF(A1348&lt;=Assumptions!$B$13,IF(OR(A1348=0,A1348=Assumptions!$B$13),0.5,1),0)*Assumptions!$B$12</f>
        <v>0.01</v>
      </c>
      <c r="D1348" s="12">
        <f>D1347*(1-Assumptions!$B$12*(Assumptions!$B$5+Assumptions!$B$6))</f>
        <v>0.66894039929838855</v>
      </c>
      <c r="E1348" s="12">
        <f>E1347+Assumptions!$B$12*(D1347*Assumptions!$B$5-E1347*Assumptions!$B$7)</f>
        <v>0.15731755409701309</v>
      </c>
      <c r="F1348" s="12">
        <f t="shared" si="60"/>
        <v>0.17374204660459835</v>
      </c>
      <c r="G1348" s="12">
        <f>EXP(-Assumptions!$B$8*B1348)</f>
        <v>0.51170857778654244</v>
      </c>
      <c r="H1348" s="12">
        <f t="shared" si="61"/>
        <v>0.3423025403489402</v>
      </c>
      <c r="I1348" s="12">
        <f t="shared" si="62"/>
        <v>8.0500741867840023E-2</v>
      </c>
      <c r="J1348" s="12">
        <f>G1348*(D1348*Assumptions!$B$6+E1348*Assumptions!$B$7)</f>
        <v>7.4480624968814042E-3</v>
      </c>
    </row>
    <row r="1349" spans="1:10" x14ac:dyDescent="0.2">
      <c r="A1349" s="2">
        <v>1341</v>
      </c>
      <c r="B1349" s="14">
        <f>A1349*Assumptions!$B$12</f>
        <v>13.41</v>
      </c>
      <c r="C1349" s="15">
        <f>IF(A1349&lt;=Assumptions!$B$13,IF(OR(A1349=0,A1349=Assumptions!$B$13),0.5,1),0)*Assumptions!$B$12</f>
        <v>0.01</v>
      </c>
      <c r="D1349" s="12">
        <f>D1348*(1-Assumptions!$B$12*(Assumptions!$B$5+Assumptions!$B$6))</f>
        <v>0.66873971717859904</v>
      </c>
      <c r="E1349" s="12">
        <f>E1348+Assumptions!$B$12*(D1348*Assumptions!$B$5-E1348*Assumptions!$B$7)</f>
        <v>0.15737268339982427</v>
      </c>
      <c r="F1349" s="12">
        <f t="shared" si="60"/>
        <v>0.17388759942157669</v>
      </c>
      <c r="G1349" s="12">
        <f>EXP(-Assumptions!$B$8*B1349)</f>
        <v>0.51145278745056211</v>
      </c>
      <c r="H1349" s="12">
        <f t="shared" si="61"/>
        <v>0.34202879242989503</v>
      </c>
      <c r="I1349" s="12">
        <f t="shared" si="62"/>
        <v>8.0488697593414926E-2</v>
      </c>
      <c r="J1349" s="12">
        <f>G1349*(D1349*Assumptions!$B$6+E1349*Assumptions!$B$7)</f>
        <v>7.4447228039696972E-3</v>
      </c>
    </row>
    <row r="1350" spans="1:10" x14ac:dyDescent="0.2">
      <c r="A1350" s="2">
        <v>1342</v>
      </c>
      <c r="B1350" s="14">
        <f>A1350*Assumptions!$B$12</f>
        <v>13.42</v>
      </c>
      <c r="C1350" s="15">
        <f>IF(A1350&lt;=Assumptions!$B$13,IF(OR(A1350=0,A1350=Assumptions!$B$13),0.5,1),0)*Assumptions!$B$12</f>
        <v>0.01</v>
      </c>
      <c r="D1350" s="12">
        <f>D1349*(1-Assumptions!$B$12*(Assumptions!$B$5+Assumptions!$B$6))</f>
        <v>0.66853909526344546</v>
      </c>
      <c r="E1350" s="12">
        <f>E1349+Assumptions!$B$12*(D1349*Assumptions!$B$5-E1349*Assumptions!$B$7)</f>
        <v>0.15742774500156007</v>
      </c>
      <c r="F1350" s="12">
        <f t="shared" si="60"/>
        <v>0.17403315973499447</v>
      </c>
      <c r="G1350" s="12">
        <f>EXP(-Assumptions!$B$8*B1350)</f>
        <v>0.51119712497778136</v>
      </c>
      <c r="H1350" s="12">
        <f t="shared" si="61"/>
        <v>0.34175526343392043</v>
      </c>
      <c r="I1350" s="12">
        <f t="shared" si="62"/>
        <v>8.0476610636532789E-2</v>
      </c>
      <c r="J1350" s="12">
        <f>G1350*(D1350*Assumptions!$B$6+E1350*Assumptions!$B$7)</f>
        <v>7.4413831661658443E-3</v>
      </c>
    </row>
    <row r="1351" spans="1:10" x14ac:dyDescent="0.2">
      <c r="A1351" s="2">
        <v>1343</v>
      </c>
      <c r="B1351" s="14">
        <f>A1351*Assumptions!$B$12</f>
        <v>13.43</v>
      </c>
      <c r="C1351" s="15">
        <f>IF(A1351&lt;=Assumptions!$B$13,IF(OR(A1351=0,A1351=Assumptions!$B$13),0.5,1),0)*Assumptions!$B$12</f>
        <v>0.01</v>
      </c>
      <c r="D1351" s="12">
        <f>D1350*(1-Assumptions!$B$12*(Assumptions!$B$5+Assumptions!$B$6))</f>
        <v>0.6683385335348665</v>
      </c>
      <c r="E1351" s="12">
        <f>E1350+Assumptions!$B$12*(D1350*Assumptions!$B$5-E1350*Assumptions!$B$7)</f>
        <v>0.15748273894811196</v>
      </c>
      <c r="F1351" s="12">
        <f t="shared" si="60"/>
        <v>0.17417872751702154</v>
      </c>
      <c r="G1351" s="12">
        <f>EXP(-Assumptions!$B$8*B1351)</f>
        <v>0.51094159030428454</v>
      </c>
      <c r="H1351" s="12">
        <f t="shared" si="61"/>
        <v>0.3414819531859381</v>
      </c>
      <c r="I1351" s="12">
        <f t="shared" si="62"/>
        <v>8.0464481083622821E-2</v>
      </c>
      <c r="J1351" s="12">
        <f>G1351*(D1351*Assumptions!$B$6+E1351*Assumptions!$B$7)</f>
        <v>7.4380435860405226E-3</v>
      </c>
    </row>
    <row r="1352" spans="1:10" x14ac:dyDescent="0.2">
      <c r="A1352" s="2">
        <v>1344</v>
      </c>
      <c r="B1352" s="14">
        <f>A1352*Assumptions!$B$12</f>
        <v>13.44</v>
      </c>
      <c r="C1352" s="15">
        <f>IF(A1352&lt;=Assumptions!$B$13,IF(OR(A1352=0,A1352=Assumptions!$B$13),0.5,1),0)*Assumptions!$B$12</f>
        <v>0.01</v>
      </c>
      <c r="D1352" s="12">
        <f>D1351*(1-Assumptions!$B$12*(Assumptions!$B$5+Assumptions!$B$6))</f>
        <v>0.66813803197480603</v>
      </c>
      <c r="E1352" s="12">
        <f>E1351+Assumptions!$B$12*(D1351*Assumptions!$B$5-E1351*Assumptions!$B$7)</f>
        <v>0.15753766528534488</v>
      </c>
      <c r="F1352" s="12">
        <f t="shared" ref="F1352:F1415" si="63">1-D1352-E1352</f>
        <v>0.17432430273984909</v>
      </c>
      <c r="G1352" s="12">
        <f>EXP(-Assumptions!$B$8*B1352)</f>
        <v>0.51068618336618787</v>
      </c>
      <c r="H1352" s="12">
        <f t="shared" ref="H1352:H1415" si="64">G1352*D1352</f>
        <v>0.34120886151100971</v>
      </c>
      <c r="I1352" s="12">
        <f t="shared" ref="I1352:I1415" si="65">G1352*E1352</f>
        <v>8.0452309020992763E-2</v>
      </c>
      <c r="J1352" s="12">
        <f>G1352*(D1352*Assumptions!$B$6+E1352*Assumptions!$B$7)</f>
        <v>7.4347040661597351E-3</v>
      </c>
    </row>
    <row r="1353" spans="1:10" x14ac:dyDescent="0.2">
      <c r="A1353" s="2">
        <v>1345</v>
      </c>
      <c r="B1353" s="14">
        <f>A1353*Assumptions!$B$12</f>
        <v>13.450000000000001</v>
      </c>
      <c r="C1353" s="15">
        <f>IF(A1353&lt;=Assumptions!$B$13,IF(OR(A1353=0,A1353=Assumptions!$B$13),0.5,1),0)*Assumptions!$B$12</f>
        <v>0.01</v>
      </c>
      <c r="D1353" s="12">
        <f>D1352*(1-Assumptions!$B$12*(Assumptions!$B$5+Assumptions!$B$6))</f>
        <v>0.66793759056521362</v>
      </c>
      <c r="E1353" s="12">
        <f>E1352+Assumptions!$B$12*(D1352*Assumptions!$B$5-E1352*Assumptions!$B$7)</f>
        <v>0.15759252405909716</v>
      </c>
      <c r="F1353" s="12">
        <f t="shared" si="63"/>
        <v>0.17446988537568922</v>
      </c>
      <c r="G1353" s="12">
        <f>EXP(-Assumptions!$B$8*B1353)</f>
        <v>0.51043090409963965</v>
      </c>
      <c r="H1353" s="12">
        <f t="shared" si="64"/>
        <v>0.34093598823433691</v>
      </c>
      <c r="I1353" s="12">
        <f t="shared" si="65"/>
        <v>8.0440094534829171E-2</v>
      </c>
      <c r="J1353" s="12">
        <f>G1353*(D1353*Assumptions!$B$6+E1353*Assumptions!$B$7)</f>
        <v>7.4313646090848279E-3</v>
      </c>
    </row>
    <row r="1354" spans="1:10" x14ac:dyDescent="0.2">
      <c r="A1354" s="2">
        <v>1346</v>
      </c>
      <c r="B1354" s="14">
        <f>A1354*Assumptions!$B$12</f>
        <v>13.46</v>
      </c>
      <c r="C1354" s="15">
        <f>IF(A1354&lt;=Assumptions!$B$13,IF(OR(A1354=0,A1354=Assumptions!$B$13),0.5,1),0)*Assumptions!$B$12</f>
        <v>0.01</v>
      </c>
      <c r="D1354" s="12">
        <f>D1353*(1-Assumptions!$B$12*(Assumptions!$B$5+Assumptions!$B$6))</f>
        <v>0.66773720928804403</v>
      </c>
      <c r="E1354" s="12">
        <f>E1353+Assumptions!$B$12*(D1353*Assumptions!$B$5-E1353*Assumptions!$B$7)</f>
        <v>0.15764731531518064</v>
      </c>
      <c r="F1354" s="12">
        <f t="shared" si="63"/>
        <v>0.17461547539677533</v>
      </c>
      <c r="G1354" s="12">
        <f>EXP(-Assumptions!$B$8*B1354)</f>
        <v>0.51017575244082025</v>
      </c>
      <c r="H1354" s="12">
        <f t="shared" si="64"/>
        <v>0.34066333318126135</v>
      </c>
      <c r="I1354" s="12">
        <f t="shared" si="65"/>
        <v>8.0427837711197533E-2</v>
      </c>
      <c r="J1354" s="12">
        <f>G1354*(D1354*Assumptions!$B$6+E1354*Assumptions!$B$7)</f>
        <v>7.4280252173724902E-3</v>
      </c>
    </row>
    <row r="1355" spans="1:10" x14ac:dyDescent="0.2">
      <c r="A1355" s="2">
        <v>1347</v>
      </c>
      <c r="B1355" s="14">
        <f>A1355*Assumptions!$B$12</f>
        <v>13.47</v>
      </c>
      <c r="C1355" s="15">
        <f>IF(A1355&lt;=Assumptions!$B$13,IF(OR(A1355=0,A1355=Assumptions!$B$13),0.5,1),0)*Assumptions!$B$12</f>
        <v>0.01</v>
      </c>
      <c r="D1355" s="12">
        <f>D1354*(1-Assumptions!$B$12*(Assumptions!$B$5+Assumptions!$B$6))</f>
        <v>0.66753688812525769</v>
      </c>
      <c r="E1355" s="12">
        <f>E1354+Assumptions!$B$12*(D1354*Assumptions!$B$5-E1354*Assumptions!$B$7)</f>
        <v>0.15770203909938066</v>
      </c>
      <c r="F1355" s="12">
        <f t="shared" si="63"/>
        <v>0.17476107277536165</v>
      </c>
      <c r="G1355" s="12">
        <f>EXP(-Assumptions!$B$8*B1355)</f>
        <v>0.50992072832594149</v>
      </c>
      <c r="H1355" s="12">
        <f t="shared" si="64"/>
        <v>0.34039089617726392</v>
      </c>
      <c r="I1355" s="12">
        <f t="shared" si="65"/>
        <v>8.0415538636042283E-2</v>
      </c>
      <c r="J1355" s="12">
        <f>G1355*(D1355*Assumptions!$B$6+E1355*Assumptions!$B$7)</f>
        <v>7.4246858935747536E-3</v>
      </c>
    </row>
    <row r="1356" spans="1:10" x14ac:dyDescent="0.2">
      <c r="A1356" s="2">
        <v>1348</v>
      </c>
      <c r="B1356" s="14">
        <f>A1356*Assumptions!$B$12</f>
        <v>13.48</v>
      </c>
      <c r="C1356" s="15">
        <f>IF(A1356&lt;=Assumptions!$B$13,IF(OR(A1356=0,A1356=Assumptions!$B$13),0.5,1),0)*Assumptions!$B$12</f>
        <v>0.01</v>
      </c>
      <c r="D1356" s="12">
        <f>D1355*(1-Assumptions!$B$12*(Assumptions!$B$5+Assumptions!$B$6))</f>
        <v>0.66733662705882013</v>
      </c>
      <c r="E1356" s="12">
        <f>E1355+Assumptions!$B$12*(D1355*Assumptions!$B$5-E1355*Assumptions!$B$7)</f>
        <v>0.15775669545745602</v>
      </c>
      <c r="F1356" s="12">
        <f t="shared" si="63"/>
        <v>0.17490667748372385</v>
      </c>
      <c r="G1356" s="12">
        <f>EXP(-Assumptions!$B$8*B1356)</f>
        <v>0.50966583169124757</v>
      </c>
      <c r="H1356" s="12">
        <f t="shared" si="64"/>
        <v>0.34011867704796545</v>
      </c>
      <c r="I1356" s="12">
        <f t="shared" si="65"/>
        <v>8.0403197395187184E-2</v>
      </c>
      <c r="J1356" s="12">
        <f>G1356*(D1356*Assumptions!$B$6+E1356*Assumptions!$B$7)</f>
        <v>7.4213466402390143E-3</v>
      </c>
    </row>
    <row r="1357" spans="1:10" x14ac:dyDescent="0.2">
      <c r="A1357" s="2">
        <v>1349</v>
      </c>
      <c r="B1357" s="14">
        <f>A1357*Assumptions!$B$12</f>
        <v>13.49</v>
      </c>
      <c r="C1357" s="15">
        <f>IF(A1357&lt;=Assumptions!$B$13,IF(OR(A1357=0,A1357=Assumptions!$B$13),0.5,1),0)*Assumptions!$B$12</f>
        <v>0.01</v>
      </c>
      <c r="D1357" s="12">
        <f>D1356*(1-Assumptions!$B$12*(Assumptions!$B$5+Assumptions!$B$6))</f>
        <v>0.66713642607070256</v>
      </c>
      <c r="E1357" s="12">
        <f>E1356+Assumptions!$B$12*(D1356*Assumptions!$B$5-E1356*Assumptions!$B$7)</f>
        <v>0.15781128443513906</v>
      </c>
      <c r="F1357" s="12">
        <f t="shared" si="63"/>
        <v>0.17505228949415838</v>
      </c>
      <c r="G1357" s="12">
        <f>EXP(-Assumptions!$B$8*B1357)</f>
        <v>0.50941106247301415</v>
      </c>
      <c r="H1357" s="12">
        <f t="shared" si="64"/>
        <v>0.33984667561912607</v>
      </c>
      <c r="I1357" s="12">
        <f t="shared" si="65"/>
        <v>8.0390814074335223E-2</v>
      </c>
      <c r="J1357" s="12">
        <f>G1357*(D1357*Assumptions!$B$6+E1357*Assumptions!$B$7)</f>
        <v>7.418007459908023E-3</v>
      </c>
    </row>
    <row r="1358" spans="1:10" x14ac:dyDescent="0.2">
      <c r="A1358" s="2">
        <v>1350</v>
      </c>
      <c r="B1358" s="14">
        <f>A1358*Assumptions!$B$12</f>
        <v>13.5</v>
      </c>
      <c r="C1358" s="15">
        <f>IF(A1358&lt;=Assumptions!$B$13,IF(OR(A1358=0,A1358=Assumptions!$B$13),0.5,1),0)*Assumptions!$B$12</f>
        <v>0.01</v>
      </c>
      <c r="D1358" s="12">
        <f>D1357*(1-Assumptions!$B$12*(Assumptions!$B$5+Assumptions!$B$6))</f>
        <v>0.66693628514288139</v>
      </c>
      <c r="E1358" s="12">
        <f>E1357+Assumptions!$B$12*(D1357*Assumptions!$B$5-E1357*Assumptions!$B$7)</f>
        <v>0.15786580607813563</v>
      </c>
      <c r="F1358" s="12">
        <f t="shared" si="63"/>
        <v>0.17519790877898297</v>
      </c>
      <c r="G1358" s="12">
        <f>EXP(-Assumptions!$B$8*B1358)</f>
        <v>0.50915642060754918</v>
      </c>
      <c r="H1358" s="12">
        <f t="shared" si="64"/>
        <v>0.33957489171664529</v>
      </c>
      <c r="I1358" s="12">
        <f t="shared" si="65"/>
        <v>8.0378388759069025E-2</v>
      </c>
      <c r="J1358" s="12">
        <f>G1358*(D1358*Assumptions!$B$6+E1358*Assumptions!$B$7)</f>
        <v>7.4146683551199041E-3</v>
      </c>
    </row>
    <row r="1359" spans="1:10" x14ac:dyDescent="0.2">
      <c r="A1359" s="2">
        <v>1351</v>
      </c>
      <c r="B1359" s="14">
        <f>A1359*Assumptions!$B$12</f>
        <v>13.51</v>
      </c>
      <c r="C1359" s="15">
        <f>IF(A1359&lt;=Assumptions!$B$13,IF(OR(A1359=0,A1359=Assumptions!$B$13),0.5,1),0)*Assumptions!$B$12</f>
        <v>0.01</v>
      </c>
      <c r="D1359" s="12">
        <f>D1358*(1-Assumptions!$B$12*(Assumptions!$B$5+Assumptions!$B$6))</f>
        <v>0.66673620425733859</v>
      </c>
      <c r="E1359" s="12">
        <f>E1358+Assumptions!$B$12*(D1358*Assumptions!$B$5-E1358*Assumptions!$B$7)</f>
        <v>0.15792026043212515</v>
      </c>
      <c r="F1359" s="12">
        <f t="shared" si="63"/>
        <v>0.17534353531053626</v>
      </c>
      <c r="G1359" s="12">
        <f>EXP(-Assumptions!$B$8*B1359)</f>
        <v>0.5089019060311919</v>
      </c>
      <c r="H1359" s="12">
        <f t="shared" si="64"/>
        <v>0.3393033251665617</v>
      </c>
      <c r="I1359" s="12">
        <f t="shared" si="65"/>
        <v>8.0365921534850698E-2</v>
      </c>
      <c r="J1359" s="12">
        <f>G1359*(D1359*Assumptions!$B$6+E1359*Assumptions!$B$7)</f>
        <v>7.4113293284081526E-3</v>
      </c>
    </row>
    <row r="1360" spans="1:10" x14ac:dyDescent="0.2">
      <c r="A1360" s="2">
        <v>1352</v>
      </c>
      <c r="B1360" s="14">
        <f>A1360*Assumptions!$B$12</f>
        <v>13.52</v>
      </c>
      <c r="C1360" s="15">
        <f>IF(A1360&lt;=Assumptions!$B$13,IF(OR(A1360=0,A1360=Assumptions!$B$13),0.5,1),0)*Assumptions!$B$12</f>
        <v>0.01</v>
      </c>
      <c r="D1360" s="12">
        <f>D1359*(1-Assumptions!$B$12*(Assumptions!$B$5+Assumptions!$B$6))</f>
        <v>0.66653618339606147</v>
      </c>
      <c r="E1360" s="12">
        <f>E1359+Assumptions!$B$12*(D1359*Assumptions!$B$5-E1359*Assumptions!$B$7)</f>
        <v>0.15797464754276055</v>
      </c>
      <c r="F1360" s="12">
        <f t="shared" si="63"/>
        <v>0.17548916906117798</v>
      </c>
      <c r="G1360" s="12">
        <f>EXP(-Assumptions!$B$8*B1360)</f>
        <v>0.50864751868031366</v>
      </c>
      <c r="H1360" s="12">
        <f t="shared" si="64"/>
        <v>0.33903197579505312</v>
      </c>
      <c r="I1360" s="12">
        <f t="shared" si="65"/>
        <v>8.0353412487022269E-2</v>
      </c>
      <c r="J1360" s="12">
        <f>G1360*(D1360*Assumptions!$B$6+E1360*Assumptions!$B$7)</f>
        <v>7.407990382301644E-3</v>
      </c>
    </row>
    <row r="1361" spans="1:10" x14ac:dyDescent="0.2">
      <c r="A1361" s="2">
        <v>1353</v>
      </c>
      <c r="B1361" s="14">
        <f>A1361*Assumptions!$B$12</f>
        <v>13.530000000000001</v>
      </c>
      <c r="C1361" s="15">
        <f>IF(A1361&lt;=Assumptions!$B$13,IF(OR(A1361=0,A1361=Assumptions!$B$13),0.5,1),0)*Assumptions!$B$12</f>
        <v>0.01</v>
      </c>
      <c r="D1361" s="12">
        <f>D1360*(1-Assumptions!$B$12*(Assumptions!$B$5+Assumptions!$B$6))</f>
        <v>0.66633622254104263</v>
      </c>
      <c r="E1361" s="12">
        <f>E1360+Assumptions!$B$12*(D1360*Assumptions!$B$5-E1360*Assumptions!$B$7)</f>
        <v>0.15802896745566838</v>
      </c>
      <c r="F1361" s="12">
        <f t="shared" si="63"/>
        <v>0.17563481000328898</v>
      </c>
      <c r="G1361" s="12">
        <f>EXP(-Assumptions!$B$8*B1361)</f>
        <v>0.50839325849131789</v>
      </c>
      <c r="H1361" s="12">
        <f t="shared" si="64"/>
        <v>0.3387608434284366</v>
      </c>
      <c r="I1361" s="12">
        <f t="shared" si="65"/>
        <v>8.0340861700805677E-2</v>
      </c>
      <c r="J1361" s="12">
        <f>G1361*(D1361*Assumptions!$B$6+E1361*Assumptions!$B$7)</f>
        <v>7.4046515193246501E-3</v>
      </c>
    </row>
    <row r="1362" spans="1:10" x14ac:dyDescent="0.2">
      <c r="A1362" s="2">
        <v>1354</v>
      </c>
      <c r="B1362" s="14">
        <f>A1362*Assumptions!$B$12</f>
        <v>13.540000000000001</v>
      </c>
      <c r="C1362" s="15">
        <f>IF(A1362&lt;=Assumptions!$B$13,IF(OR(A1362=0,A1362=Assumptions!$B$13),0.5,1),0)*Assumptions!$B$12</f>
        <v>0.01</v>
      </c>
      <c r="D1362" s="12">
        <f>D1361*(1-Assumptions!$B$12*(Assumptions!$B$5+Assumptions!$B$6))</f>
        <v>0.66613632167428038</v>
      </c>
      <c r="E1362" s="12">
        <f>E1361+Assumptions!$B$12*(D1361*Assumptions!$B$5-E1361*Assumptions!$B$7)</f>
        <v>0.15808322021644877</v>
      </c>
      <c r="F1362" s="12">
        <f t="shared" si="63"/>
        <v>0.17578045810927084</v>
      </c>
      <c r="G1362" s="12">
        <f>EXP(-Assumptions!$B$8*B1362)</f>
        <v>0.50813912540063932</v>
      </c>
      <c r="H1362" s="12">
        <f t="shared" si="64"/>
        <v>0.33848992789316779</v>
      </c>
      <c r="I1362" s="12">
        <f t="shared" si="65"/>
        <v>8.0328269261302945E-2</v>
      </c>
      <c r="J1362" s="12">
        <f>G1362*(D1362*Assumptions!$B$6+E1362*Assumptions!$B$7)</f>
        <v>7.4013127419968253E-3</v>
      </c>
    </row>
    <row r="1363" spans="1:10" x14ac:dyDescent="0.2">
      <c r="A1363" s="2">
        <v>1355</v>
      </c>
      <c r="B1363" s="14">
        <f>A1363*Assumptions!$B$12</f>
        <v>13.55</v>
      </c>
      <c r="C1363" s="15">
        <f>IF(A1363&lt;=Assumptions!$B$13,IF(OR(A1363=0,A1363=Assumptions!$B$13),0.5,1),0)*Assumptions!$B$12</f>
        <v>0.01</v>
      </c>
      <c r="D1363" s="12">
        <f>D1362*(1-Assumptions!$B$12*(Assumptions!$B$5+Assumptions!$B$6))</f>
        <v>0.66593648077777812</v>
      </c>
      <c r="E1363" s="12">
        <f>E1362+Assumptions!$B$12*(D1362*Assumptions!$B$5-E1362*Assumptions!$B$7)</f>
        <v>0.1581374058706754</v>
      </c>
      <c r="F1363" s="12">
        <f t="shared" si="63"/>
        <v>0.17592611335154648</v>
      </c>
      <c r="G1363" s="12">
        <f>EXP(-Assumptions!$B$8*B1363)</f>
        <v>0.50788511934474478</v>
      </c>
      <c r="H1363" s="12">
        <f t="shared" si="64"/>
        <v>0.33821922901584117</v>
      </c>
      <c r="I1363" s="12">
        <f t="shared" si="65"/>
        <v>8.0315635253496317E-2</v>
      </c>
      <c r="J1363" s="12">
        <f>G1363*(D1363*Assumptions!$B$6+E1363*Assumptions!$B$7)</f>
        <v>7.3979740528332281E-3</v>
      </c>
    </row>
    <row r="1364" spans="1:10" x14ac:dyDescent="0.2">
      <c r="A1364" s="2">
        <v>1356</v>
      </c>
      <c r="B1364" s="14">
        <f>A1364*Assumptions!$B$12</f>
        <v>13.56</v>
      </c>
      <c r="C1364" s="15">
        <f>IF(A1364&lt;=Assumptions!$B$13,IF(OR(A1364=0,A1364=Assumptions!$B$13),0.5,1),0)*Assumptions!$B$12</f>
        <v>0.01</v>
      </c>
      <c r="D1364" s="12">
        <f>D1363*(1-Assumptions!$B$12*(Assumptions!$B$5+Assumptions!$B$6))</f>
        <v>0.66573669983354478</v>
      </c>
      <c r="E1364" s="12">
        <f>E1363+Assumptions!$B$12*(D1363*Assumptions!$B$5-E1363*Assumptions!$B$7)</f>
        <v>0.15819152446389562</v>
      </c>
      <c r="F1364" s="12">
        <f t="shared" si="63"/>
        <v>0.17607177570255961</v>
      </c>
      <c r="G1364" s="12">
        <f>EXP(-Assumptions!$B$8*B1364)</f>
        <v>0.50763124026013273</v>
      </c>
      <c r="H1364" s="12">
        <f t="shared" si="64"/>
        <v>0.33794874662319002</v>
      </c>
      <c r="I1364" s="12">
        <f t="shared" si="65"/>
        <v>8.0302959762248466E-2</v>
      </c>
      <c r="J1364" s="12">
        <f>G1364*(D1364*Assumptions!$B$6+E1364*Assumptions!$B$7)</f>
        <v>7.3946354543443244E-3</v>
      </c>
    </row>
    <row r="1365" spans="1:10" x14ac:dyDescent="0.2">
      <c r="A1365" s="2">
        <v>1357</v>
      </c>
      <c r="B1365" s="14">
        <f>A1365*Assumptions!$B$12</f>
        <v>13.57</v>
      </c>
      <c r="C1365" s="15">
        <f>IF(A1365&lt;=Assumptions!$B$13,IF(OR(A1365=0,A1365=Assumptions!$B$13),0.5,1),0)*Assumptions!$B$12</f>
        <v>0.01</v>
      </c>
      <c r="D1365" s="12">
        <f>D1364*(1-Assumptions!$B$12*(Assumptions!$B$5+Assumptions!$B$6))</f>
        <v>0.66553697882359475</v>
      </c>
      <c r="E1365" s="12">
        <f>E1364+Assumptions!$B$12*(D1364*Assumptions!$B$5-E1364*Assumptions!$B$7)</f>
        <v>0.15824557604163036</v>
      </c>
      <c r="F1365" s="12">
        <f t="shared" si="63"/>
        <v>0.17621744513477489</v>
      </c>
      <c r="G1365" s="12">
        <f>EXP(-Assumptions!$B$8*B1365)</f>
        <v>0.50737748808333327</v>
      </c>
      <c r="H1365" s="12">
        <f t="shared" si="64"/>
        <v>0.33767848054208605</v>
      </c>
      <c r="I1365" s="12">
        <f t="shared" si="65"/>
        <v>8.029024287230252E-2</v>
      </c>
      <c r="J1365" s="12">
        <f>G1365*(D1365*Assumptions!$B$6+E1365*Assumptions!$B$7)</f>
        <v>7.3912969490359873E-3</v>
      </c>
    </row>
    <row r="1366" spans="1:10" x14ac:dyDescent="0.2">
      <c r="A1366" s="2">
        <v>1358</v>
      </c>
      <c r="B1366" s="14">
        <f>A1366*Assumptions!$B$12</f>
        <v>13.58</v>
      </c>
      <c r="C1366" s="15">
        <f>IF(A1366&lt;=Assumptions!$B$13,IF(OR(A1366=0,A1366=Assumptions!$B$13),0.5,1),0)*Assumptions!$B$12</f>
        <v>0.01</v>
      </c>
      <c r="D1366" s="12">
        <f>D1365*(1-Assumptions!$B$12*(Assumptions!$B$5+Assumptions!$B$6))</f>
        <v>0.66533731772994764</v>
      </c>
      <c r="E1366" s="12">
        <f>E1365+Assumptions!$B$12*(D1365*Assumptions!$B$5-E1365*Assumptions!$B$7)</f>
        <v>0.15829956064937425</v>
      </c>
      <c r="F1366" s="12">
        <f t="shared" si="63"/>
        <v>0.1763631216206781</v>
      </c>
      <c r="G1366" s="12">
        <f>EXP(-Assumptions!$B$8*B1366)</f>
        <v>0.50712386275090859</v>
      </c>
      <c r="H1366" s="12">
        <f t="shared" si="64"/>
        <v>0.33740843059953962</v>
      </c>
      <c r="I1366" s="12">
        <f t="shared" si="65"/>
        <v>8.0277484668282398E-2</v>
      </c>
      <c r="J1366" s="12">
        <f>G1366*(D1366*Assumptions!$B$6+E1366*Assumptions!$B$7)</f>
        <v>7.3879585394095162E-3</v>
      </c>
    </row>
    <row r="1367" spans="1:10" x14ac:dyDescent="0.2">
      <c r="A1367" s="2">
        <v>1359</v>
      </c>
      <c r="B1367" s="14">
        <f>A1367*Assumptions!$B$12</f>
        <v>13.59</v>
      </c>
      <c r="C1367" s="15">
        <f>IF(A1367&lt;=Assumptions!$B$13,IF(OR(A1367=0,A1367=Assumptions!$B$13),0.5,1),0)*Assumptions!$B$12</f>
        <v>0.01</v>
      </c>
      <c r="D1367" s="12">
        <f>D1366*(1-Assumptions!$B$12*(Assumptions!$B$5+Assumptions!$B$6))</f>
        <v>0.66513771653462872</v>
      </c>
      <c r="E1367" s="12">
        <f>E1366+Assumptions!$B$12*(D1366*Assumptions!$B$5-E1366*Assumptions!$B$7)</f>
        <v>0.15835347833259555</v>
      </c>
      <c r="F1367" s="12">
        <f t="shared" si="63"/>
        <v>0.17650880513277573</v>
      </c>
      <c r="G1367" s="12">
        <f>EXP(-Assumptions!$B$8*B1367)</f>
        <v>0.50687036419945231</v>
      </c>
      <c r="H1367" s="12">
        <f t="shared" si="64"/>
        <v>0.33713859662269935</v>
      </c>
      <c r="I1367" s="12">
        <f t="shared" si="65"/>
        <v>8.0264685234692781E-2</v>
      </c>
      <c r="J1367" s="12">
        <f>G1367*(D1367*Assumptions!$B$6+E1367*Assumptions!$B$7)</f>
        <v>7.3846202279616328E-3</v>
      </c>
    </row>
    <row r="1368" spans="1:10" x14ac:dyDescent="0.2">
      <c r="A1368" s="2">
        <v>1360</v>
      </c>
      <c r="B1368" s="14">
        <f>A1368*Assumptions!$B$12</f>
        <v>13.6</v>
      </c>
      <c r="C1368" s="15">
        <f>IF(A1368&lt;=Assumptions!$B$13,IF(OR(A1368=0,A1368=Assumptions!$B$13),0.5,1),0)*Assumptions!$B$12</f>
        <v>0.01</v>
      </c>
      <c r="D1368" s="12">
        <f>D1367*(1-Assumptions!$B$12*(Assumptions!$B$5+Assumptions!$B$6))</f>
        <v>0.66493817521966836</v>
      </c>
      <c r="E1368" s="12">
        <f>E1367+Assumptions!$B$12*(D1367*Assumptions!$B$5-E1367*Assumptions!$B$7)</f>
        <v>0.15840732913673619</v>
      </c>
      <c r="F1368" s="12">
        <f t="shared" si="63"/>
        <v>0.17665449564359545</v>
      </c>
      <c r="G1368" s="12">
        <f>EXP(-Assumptions!$B$8*B1368)</f>
        <v>0.50661699236558955</v>
      </c>
      <c r="H1368" s="12">
        <f t="shared" si="64"/>
        <v>0.33686897843885177</v>
      </c>
      <c r="I1368" s="12">
        <f t="shared" si="65"/>
        <v>8.0251844655919308E-2</v>
      </c>
      <c r="J1368" s="12">
        <f>G1368*(D1368*Assumptions!$B$6+E1368*Assumptions!$B$7)</f>
        <v>7.3812820171844824E-3</v>
      </c>
    </row>
    <row r="1369" spans="1:10" x14ac:dyDescent="0.2">
      <c r="A1369" s="2">
        <v>1361</v>
      </c>
      <c r="B1369" s="14">
        <f>A1369*Assumptions!$B$12</f>
        <v>13.61</v>
      </c>
      <c r="C1369" s="15">
        <f>IF(A1369&lt;=Assumptions!$B$13,IF(OR(A1369=0,A1369=Assumptions!$B$13),0.5,1),0)*Assumptions!$B$12</f>
        <v>0.01</v>
      </c>
      <c r="D1369" s="12">
        <f>D1368*(1-Assumptions!$B$12*(Assumptions!$B$5+Assumptions!$B$6))</f>
        <v>0.66473869376710248</v>
      </c>
      <c r="E1369" s="12">
        <f>E1368+Assumptions!$B$12*(D1368*Assumptions!$B$5-E1368*Assumptions!$B$7)</f>
        <v>0.15846111310721175</v>
      </c>
      <c r="F1369" s="12">
        <f t="shared" si="63"/>
        <v>0.17680019312568576</v>
      </c>
      <c r="G1369" s="12">
        <f>EXP(-Assumptions!$B$8*B1369)</f>
        <v>0.50636374718597765</v>
      </c>
      <c r="H1369" s="12">
        <f t="shared" si="64"/>
        <v>0.33659957587542211</v>
      </c>
      <c r="I1369" s="12">
        <f t="shared" si="65"/>
        <v>8.0238963016228779E-2</v>
      </c>
      <c r="J1369" s="12">
        <f>G1369*(D1369*Assumptions!$B$6+E1369*Assumptions!$B$7)</f>
        <v>7.3779439095656603E-3</v>
      </c>
    </row>
    <row r="1370" spans="1:10" x14ac:dyDescent="0.2">
      <c r="A1370" s="2">
        <v>1362</v>
      </c>
      <c r="B1370" s="14">
        <f>A1370*Assumptions!$B$12</f>
        <v>13.620000000000001</v>
      </c>
      <c r="C1370" s="15">
        <f>IF(A1370&lt;=Assumptions!$B$13,IF(OR(A1370=0,A1370=Assumptions!$B$13),0.5,1),0)*Assumptions!$B$12</f>
        <v>0.01</v>
      </c>
      <c r="D1370" s="12">
        <f>D1369*(1-Assumptions!$B$12*(Assumptions!$B$5+Assumptions!$B$6))</f>
        <v>0.66453927215897235</v>
      </c>
      <c r="E1370" s="12">
        <f>E1369+Assumptions!$B$12*(D1369*Assumptions!$B$5-E1369*Assumptions!$B$7)</f>
        <v>0.15851483028941157</v>
      </c>
      <c r="F1370" s="12">
        <f t="shared" si="63"/>
        <v>0.17694589755161608</v>
      </c>
      <c r="G1370" s="12">
        <f>EXP(-Assumptions!$B$8*B1370)</f>
        <v>0.50611062859730516</v>
      </c>
      <c r="H1370" s="12">
        <f t="shared" si="64"/>
        <v>0.33633038875997312</v>
      </c>
      <c r="I1370" s="12">
        <f t="shared" si="65"/>
        <v>8.0226040399769244E-2</v>
      </c>
      <c r="J1370" s="12">
        <f>G1370*(D1370*Assumptions!$B$6+E1370*Assumptions!$B$7)</f>
        <v>7.3746059075881941E-3</v>
      </c>
    </row>
    <row r="1371" spans="1:10" x14ac:dyDescent="0.2">
      <c r="A1371" s="2">
        <v>1363</v>
      </c>
      <c r="B1371" s="14">
        <f>A1371*Assumptions!$B$12</f>
        <v>13.63</v>
      </c>
      <c r="C1371" s="15">
        <f>IF(A1371&lt;=Assumptions!$B$13,IF(OR(A1371=0,A1371=Assumptions!$B$13),0.5,1),0)*Assumptions!$B$12</f>
        <v>0.01</v>
      </c>
      <c r="D1371" s="12">
        <f>D1370*(1-Assumptions!$B$12*(Assumptions!$B$5+Assumptions!$B$6))</f>
        <v>0.66433991037732465</v>
      </c>
      <c r="E1371" s="12">
        <f>E1370+Assumptions!$B$12*(D1370*Assumptions!$B$5-E1370*Assumptions!$B$7)</f>
        <v>0.15856848072869867</v>
      </c>
      <c r="F1371" s="12">
        <f t="shared" si="63"/>
        <v>0.17709160889397668</v>
      </c>
      <c r="G1371" s="12">
        <f>EXP(-Assumptions!$B$8*B1371)</f>
        <v>0.50585763653629234</v>
      </c>
      <c r="H1371" s="12">
        <f t="shared" si="64"/>
        <v>0.33606141692020575</v>
      </c>
      <c r="I1371" s="12">
        <f t="shared" si="65"/>
        <v>8.0213076890570126E-2</v>
      </c>
      <c r="J1371" s="12">
        <f>G1371*(D1371*Assumptions!$B$6+E1371*Assumptions!$B$7)</f>
        <v>7.3712680137305638E-3</v>
      </c>
    </row>
    <row r="1372" spans="1:10" x14ac:dyDescent="0.2">
      <c r="A1372" s="2">
        <v>1364</v>
      </c>
      <c r="B1372" s="14">
        <f>A1372*Assumptions!$B$12</f>
        <v>13.64</v>
      </c>
      <c r="C1372" s="15">
        <f>IF(A1372&lt;=Assumptions!$B$13,IF(OR(A1372=0,A1372=Assumptions!$B$13),0.5,1),0)*Assumptions!$B$12</f>
        <v>0.01</v>
      </c>
      <c r="D1372" s="12">
        <f>D1371*(1-Assumptions!$B$12*(Assumptions!$B$5+Assumptions!$B$6))</f>
        <v>0.66414060840421152</v>
      </c>
      <c r="E1372" s="12">
        <f>E1371+Assumptions!$B$12*(D1371*Assumptions!$B$5-E1371*Assumptions!$B$7)</f>
        <v>0.15862206447040977</v>
      </c>
      <c r="F1372" s="12">
        <f t="shared" si="63"/>
        <v>0.17723732712537871</v>
      </c>
      <c r="G1372" s="12">
        <f>EXP(-Assumptions!$B$8*B1372)</f>
        <v>0.50560477093969147</v>
      </c>
      <c r="H1372" s="12">
        <f t="shared" si="64"/>
        <v>0.3357926601839587</v>
      </c>
      <c r="I1372" s="12">
        <f t="shared" si="65"/>
        <v>8.0200072572542511E-2</v>
      </c>
      <c r="J1372" s="12">
        <f>G1372*(D1372*Assumptions!$B$6+E1372*Assumptions!$B$7)</f>
        <v>7.3679302304667125E-3</v>
      </c>
    </row>
    <row r="1373" spans="1:10" x14ac:dyDescent="0.2">
      <c r="A1373" s="2">
        <v>1365</v>
      </c>
      <c r="B1373" s="14">
        <f>A1373*Assumptions!$B$12</f>
        <v>13.65</v>
      </c>
      <c r="C1373" s="15">
        <f>IF(A1373&lt;=Assumptions!$B$13,IF(OR(A1373=0,A1373=Assumptions!$B$13),0.5,1),0)*Assumptions!$B$12</f>
        <v>0.01</v>
      </c>
      <c r="D1373" s="12">
        <f>D1372*(1-Assumptions!$B$12*(Assumptions!$B$5+Assumptions!$B$6))</f>
        <v>0.66394136622169031</v>
      </c>
      <c r="E1373" s="12">
        <f>E1372+Assumptions!$B$12*(D1372*Assumptions!$B$5-E1372*Assumptions!$B$7)</f>
        <v>0.15867558155985542</v>
      </c>
      <c r="F1373" s="12">
        <f t="shared" si="63"/>
        <v>0.17738305221845427</v>
      </c>
      <c r="G1373" s="12">
        <f>EXP(-Assumptions!$B$8*B1373)</f>
        <v>0.50535203174428578</v>
      </c>
      <c r="H1373" s="12">
        <f t="shared" si="64"/>
        <v>0.33552411837920809</v>
      </c>
      <c r="I1373" s="12">
        <f t="shared" si="65"/>
        <v>8.0187027529479066E-2</v>
      </c>
      <c r="J1373" s="12">
        <f>G1373*(D1373*Assumptions!$B$6+E1373*Assumptions!$B$7)</f>
        <v>7.3645925602660346E-3</v>
      </c>
    </row>
    <row r="1374" spans="1:10" x14ac:dyDescent="0.2">
      <c r="A1374" s="2">
        <v>1366</v>
      </c>
      <c r="B1374" s="14">
        <f>A1374*Assumptions!$B$12</f>
        <v>13.66</v>
      </c>
      <c r="C1374" s="15">
        <f>IF(A1374&lt;=Assumptions!$B$13,IF(OR(A1374=0,A1374=Assumptions!$B$13),0.5,1),0)*Assumptions!$B$12</f>
        <v>0.01</v>
      </c>
      <c r="D1374" s="12">
        <f>D1373*(1-Assumptions!$B$12*(Assumptions!$B$5+Assumptions!$B$6))</f>
        <v>0.66374218381182382</v>
      </c>
      <c r="E1374" s="12">
        <f>E1373+Assumptions!$B$12*(D1373*Assumptions!$B$5-E1373*Assumptions!$B$7)</f>
        <v>0.15872903204231983</v>
      </c>
      <c r="F1374" s="12">
        <f t="shared" si="63"/>
        <v>0.17752878414585635</v>
      </c>
      <c r="G1374" s="12">
        <f>EXP(-Assumptions!$B$8*B1374)</f>
        <v>0.50509941888689081</v>
      </c>
      <c r="H1374" s="12">
        <f t="shared" si="64"/>
        <v>0.33525579133406808</v>
      </c>
      <c r="I1374" s="12">
        <f t="shared" si="65"/>
        <v>8.0173941845054414E-2</v>
      </c>
      <c r="J1374" s="12">
        <f>G1374*(D1374*Assumptions!$B$6+E1374*Assumptions!$B$7)</f>
        <v>7.3612550055934013E-3</v>
      </c>
    </row>
    <row r="1375" spans="1:10" x14ac:dyDescent="0.2">
      <c r="A1375" s="2">
        <v>1367</v>
      </c>
      <c r="B1375" s="14">
        <f>A1375*Assumptions!$B$12</f>
        <v>13.67</v>
      </c>
      <c r="C1375" s="15">
        <f>IF(A1375&lt;=Assumptions!$B$13,IF(OR(A1375=0,A1375=Assumptions!$B$13),0.5,1),0)*Assumptions!$B$12</f>
        <v>0.01</v>
      </c>
      <c r="D1375" s="12">
        <f>D1374*(1-Assumptions!$B$12*(Assumptions!$B$5+Assumptions!$B$6))</f>
        <v>0.66354306115668027</v>
      </c>
      <c r="E1375" s="12">
        <f>E1374+Assumptions!$B$12*(D1374*Assumptions!$B$5-E1374*Assumptions!$B$7)</f>
        <v>0.15878241596306103</v>
      </c>
      <c r="F1375" s="12">
        <f t="shared" si="63"/>
        <v>0.1776745228802587</v>
      </c>
      <c r="G1375" s="12">
        <f>EXP(-Assumptions!$B$8*B1375)</f>
        <v>0.50484693230435318</v>
      </c>
      <c r="H1375" s="12">
        <f t="shared" si="64"/>
        <v>0.33498767887678982</v>
      </c>
      <c r="I1375" s="12">
        <f t="shared" si="65"/>
        <v>8.016081560282512E-2</v>
      </c>
      <c r="J1375" s="12">
        <f>G1375*(D1375*Assumptions!$B$6+E1375*Assumptions!$B$7)</f>
        <v>7.3579175689091544E-3</v>
      </c>
    </row>
    <row r="1376" spans="1:10" x14ac:dyDescent="0.2">
      <c r="A1376" s="2">
        <v>1368</v>
      </c>
      <c r="B1376" s="14">
        <f>A1376*Assumptions!$B$12</f>
        <v>13.68</v>
      </c>
      <c r="C1376" s="15">
        <f>IF(A1376&lt;=Assumptions!$B$13,IF(OR(A1376=0,A1376=Assumptions!$B$13),0.5,1),0)*Assumptions!$B$12</f>
        <v>0.01</v>
      </c>
      <c r="D1376" s="12">
        <f>D1375*(1-Assumptions!$B$12*(Assumptions!$B$5+Assumptions!$B$6))</f>
        <v>0.66334399823833323</v>
      </c>
      <c r="E1376" s="12">
        <f>E1375+Assumptions!$B$12*(D1375*Assumptions!$B$5-E1375*Assumptions!$B$7)</f>
        <v>0.15883573336731083</v>
      </c>
      <c r="F1376" s="12">
        <f t="shared" si="63"/>
        <v>0.17782026839435594</v>
      </c>
      <c r="G1376" s="12">
        <f>EXP(-Assumptions!$B$8*B1376)</f>
        <v>0.50459457193355117</v>
      </c>
      <c r="H1376" s="12">
        <f t="shared" si="64"/>
        <v>0.33471978083576209</v>
      </c>
      <c r="I1376" s="12">
        <f t="shared" si="65"/>
        <v>8.0147648886229883E-2</v>
      </c>
      <c r="J1376" s="12">
        <f>G1376*(D1376*Assumptions!$B$6+E1376*Assumptions!$B$7)</f>
        <v>7.3545802526691142E-3</v>
      </c>
    </row>
    <row r="1377" spans="1:10" x14ac:dyDescent="0.2">
      <c r="A1377" s="2">
        <v>1369</v>
      </c>
      <c r="B1377" s="14">
        <f>A1377*Assumptions!$B$12</f>
        <v>13.69</v>
      </c>
      <c r="C1377" s="15">
        <f>IF(A1377&lt;=Assumptions!$B$13,IF(OR(A1377=0,A1377=Assumptions!$B$13),0.5,1),0)*Assumptions!$B$12</f>
        <v>0.01</v>
      </c>
      <c r="D1377" s="12">
        <f>D1376*(1-Assumptions!$B$12*(Assumptions!$B$5+Assumptions!$B$6))</f>
        <v>0.66314499503886171</v>
      </c>
      <c r="E1377" s="12">
        <f>E1376+Assumptions!$B$12*(D1376*Assumptions!$B$5-E1376*Assumptions!$B$7)</f>
        <v>0.15888898430027484</v>
      </c>
      <c r="F1377" s="12">
        <f t="shared" si="63"/>
        <v>0.17796602066086345</v>
      </c>
      <c r="G1377" s="12">
        <f>EXP(-Assumptions!$B$8*B1377)</f>
        <v>0.50434233771139481</v>
      </c>
      <c r="H1377" s="12">
        <f t="shared" si="64"/>
        <v>0.33445209703951084</v>
      </c>
      <c r="I1377" s="12">
        <f t="shared" si="65"/>
        <v>8.0134441778589721E-2</v>
      </c>
      <c r="J1377" s="12">
        <f>G1377*(D1377*Assumptions!$B$6+E1377*Assumptions!$B$7)</f>
        <v>7.3512430593245942E-3</v>
      </c>
    </row>
    <row r="1378" spans="1:10" x14ac:dyDescent="0.2">
      <c r="A1378" s="2">
        <v>1370</v>
      </c>
      <c r="B1378" s="14">
        <f>A1378*Assumptions!$B$12</f>
        <v>13.700000000000001</v>
      </c>
      <c r="C1378" s="15">
        <f>IF(A1378&lt;=Assumptions!$B$13,IF(OR(A1378=0,A1378=Assumptions!$B$13),0.5,1),0)*Assumptions!$B$12</f>
        <v>0.01</v>
      </c>
      <c r="D1378" s="12">
        <f>D1377*(1-Assumptions!$B$12*(Assumptions!$B$5+Assumptions!$B$6))</f>
        <v>0.66294605154035002</v>
      </c>
      <c r="E1378" s="12">
        <f>E1377+Assumptions!$B$12*(D1377*Assumptions!$B$5-E1377*Assumptions!$B$7)</f>
        <v>0.15894216880713247</v>
      </c>
      <c r="F1378" s="12">
        <f t="shared" si="63"/>
        <v>0.17811177965251751</v>
      </c>
      <c r="G1378" s="12">
        <f>EXP(-Assumptions!$B$8*B1378)</f>
        <v>0.50409022957482552</v>
      </c>
      <c r="H1378" s="12">
        <f t="shared" si="64"/>
        <v>0.33418462731669918</v>
      </c>
      <c r="I1378" s="12">
        <f t="shared" si="65"/>
        <v>8.0121194363108078E-2</v>
      </c>
      <c r="J1378" s="12">
        <f>G1378*(D1378*Assumptions!$B$6+E1378*Assumptions!$B$7)</f>
        <v>7.3479059913223966E-3</v>
      </c>
    </row>
    <row r="1379" spans="1:10" x14ac:dyDescent="0.2">
      <c r="A1379" s="2">
        <v>1371</v>
      </c>
      <c r="B1379" s="14">
        <f>A1379*Assumptions!$B$12</f>
        <v>13.71</v>
      </c>
      <c r="C1379" s="15">
        <f>IF(A1379&lt;=Assumptions!$B$13,IF(OR(A1379=0,A1379=Assumptions!$B$13),0.5,1),0)*Assumptions!$B$12</f>
        <v>0.01</v>
      </c>
      <c r="D1379" s="12">
        <f>D1378*(1-Assumptions!$B$12*(Assumptions!$B$5+Assumptions!$B$6))</f>
        <v>0.66274716772488795</v>
      </c>
      <c r="E1379" s="12">
        <f>E1378+Assumptions!$B$12*(D1378*Assumptions!$B$5-E1378*Assumptions!$B$7)</f>
        <v>0.15899528693303697</v>
      </c>
      <c r="F1379" s="12">
        <f t="shared" si="63"/>
        <v>0.17825754534207508</v>
      </c>
      <c r="G1379" s="12">
        <f>EXP(-Assumptions!$B$8*B1379)</f>
        <v>0.50383824746081618</v>
      </c>
      <c r="H1379" s="12">
        <f t="shared" si="64"/>
        <v>0.33391737149612716</v>
      </c>
      <c r="I1379" s="12">
        <f t="shared" si="65"/>
        <v>8.010790672287095E-2</v>
      </c>
      <c r="J1379" s="12">
        <f>G1379*(D1379*Assumptions!$B$6+E1379*Assumptions!$B$7)</f>
        <v>7.3445690511048196E-3</v>
      </c>
    </row>
    <row r="1380" spans="1:10" x14ac:dyDescent="0.2">
      <c r="A1380" s="2">
        <v>1372</v>
      </c>
      <c r="B1380" s="14">
        <f>A1380*Assumptions!$B$12</f>
        <v>13.72</v>
      </c>
      <c r="C1380" s="15">
        <f>IF(A1380&lt;=Assumptions!$B$13,IF(OR(A1380=0,A1380=Assumptions!$B$13),0.5,1),0)*Assumptions!$B$12</f>
        <v>0.01</v>
      </c>
      <c r="D1380" s="12">
        <f>D1379*(1-Assumptions!$B$12*(Assumptions!$B$5+Assumptions!$B$6))</f>
        <v>0.66254834357457049</v>
      </c>
      <c r="E1380" s="12">
        <f>E1379+Assumptions!$B$12*(D1379*Assumptions!$B$5-E1379*Assumptions!$B$7)</f>
        <v>0.15904833872311541</v>
      </c>
      <c r="F1380" s="12">
        <f t="shared" si="63"/>
        <v>0.1784033177023141</v>
      </c>
      <c r="G1380" s="12">
        <f>EXP(-Assumptions!$B$8*B1380)</f>
        <v>0.50358639130637139</v>
      </c>
      <c r="H1380" s="12">
        <f t="shared" si="64"/>
        <v>0.33365032940673184</v>
      </c>
      <c r="I1380" s="12">
        <f t="shared" si="65"/>
        <v>8.0094578940847094E-2</v>
      </c>
      <c r="J1380" s="12">
        <f>G1380*(D1380*Assumptions!$B$6+E1380*Assumptions!$B$7)</f>
        <v>7.3412322411096735E-3</v>
      </c>
    </row>
    <row r="1381" spans="1:10" x14ac:dyDescent="0.2">
      <c r="A1381" s="2">
        <v>1373</v>
      </c>
      <c r="B1381" s="14">
        <f>A1381*Assumptions!$B$12</f>
        <v>13.73</v>
      </c>
      <c r="C1381" s="15">
        <f>IF(A1381&lt;=Assumptions!$B$13,IF(OR(A1381=0,A1381=Assumptions!$B$13),0.5,1),0)*Assumptions!$B$12</f>
        <v>0.01</v>
      </c>
      <c r="D1381" s="12">
        <f>D1380*(1-Assumptions!$B$12*(Assumptions!$B$5+Assumptions!$B$6))</f>
        <v>0.66234957907149816</v>
      </c>
      <c r="E1381" s="12">
        <f>E1380+Assumptions!$B$12*(D1380*Assumptions!$B$5-E1380*Assumptions!$B$7)</f>
        <v>0.15910132422246878</v>
      </c>
      <c r="F1381" s="12">
        <f t="shared" si="63"/>
        <v>0.17854909670603306</v>
      </c>
      <c r="G1381" s="12">
        <f>EXP(-Assumptions!$B$8*B1381)</f>
        <v>0.50333466104852709</v>
      </c>
      <c r="H1381" s="12">
        <f t="shared" si="64"/>
        <v>0.33338350087758711</v>
      </c>
      <c r="I1381" s="12">
        <f t="shared" si="65"/>
        <v>8.0081211099888139E-2</v>
      </c>
      <c r="J1381" s="12">
        <f>G1381*(D1381*Assumptions!$B$6+E1381*Assumptions!$B$7)</f>
        <v>7.3378955637702784E-3</v>
      </c>
    </row>
    <row r="1382" spans="1:10" x14ac:dyDescent="0.2">
      <c r="A1382" s="2">
        <v>1374</v>
      </c>
      <c r="B1382" s="14">
        <f>A1382*Assumptions!$B$12</f>
        <v>13.74</v>
      </c>
      <c r="C1382" s="15">
        <f>IF(A1382&lt;=Assumptions!$B$13,IF(OR(A1382=0,A1382=Assumptions!$B$13),0.5,1),0)*Assumptions!$B$12</f>
        <v>0.01</v>
      </c>
      <c r="D1382" s="12">
        <f>D1381*(1-Assumptions!$B$12*(Assumptions!$B$5+Assumptions!$B$6))</f>
        <v>0.66215087419777674</v>
      </c>
      <c r="E1382" s="12">
        <f>E1381+Assumptions!$B$12*(D1381*Assumptions!$B$5-E1381*Assumptions!$B$7)</f>
        <v>0.15915424347617185</v>
      </c>
      <c r="F1382" s="12">
        <f t="shared" si="63"/>
        <v>0.17869488232605141</v>
      </c>
      <c r="G1382" s="12">
        <f>EXP(-Assumptions!$B$8*B1382)</f>
        <v>0.5030830566243506</v>
      </c>
      <c r="H1382" s="12">
        <f t="shared" si="64"/>
        <v>0.33311688573790338</v>
      </c>
      <c r="I1382" s="12">
        <f t="shared" si="65"/>
        <v>8.0067803282728653E-2</v>
      </c>
      <c r="J1382" s="12">
        <f>G1382*(D1382*Assumptions!$B$6+E1382*Assumptions!$B$7)</f>
        <v>7.3345590215154665E-3</v>
      </c>
    </row>
    <row r="1383" spans="1:10" x14ac:dyDescent="0.2">
      <c r="A1383" s="2">
        <v>1375</v>
      </c>
      <c r="B1383" s="14">
        <f>A1383*Assumptions!$B$12</f>
        <v>13.75</v>
      </c>
      <c r="C1383" s="15">
        <f>IF(A1383&lt;=Assumptions!$B$13,IF(OR(A1383=0,A1383=Assumptions!$B$13),0.5,1),0)*Assumptions!$B$12</f>
        <v>0.01</v>
      </c>
      <c r="D1383" s="12">
        <f>D1382*(1-Assumptions!$B$12*(Assumptions!$B$5+Assumptions!$B$6))</f>
        <v>0.66195222893551742</v>
      </c>
      <c r="E1383" s="12">
        <f>E1382+Assumptions!$B$12*(D1382*Assumptions!$B$5-E1382*Assumptions!$B$7)</f>
        <v>0.15920709652927331</v>
      </c>
      <c r="F1383" s="12">
        <f t="shared" si="63"/>
        <v>0.17884067453520927</v>
      </c>
      <c r="G1383" s="12">
        <f>EXP(-Assumptions!$B$8*B1383)</f>
        <v>0.50283157797094091</v>
      </c>
      <c r="H1383" s="12">
        <f t="shared" si="64"/>
        <v>0.33285048381702775</v>
      </c>
      <c r="I1383" s="12">
        <f t="shared" si="65"/>
        <v>8.005435557198641E-2</v>
      </c>
      <c r="J1383" s="12">
        <f>G1383*(D1383*Assumptions!$B$6+E1383*Assumptions!$B$7)</f>
        <v>7.3312226167695982E-3</v>
      </c>
    </row>
    <row r="1384" spans="1:10" x14ac:dyDescent="0.2">
      <c r="A1384" s="2">
        <v>1376</v>
      </c>
      <c r="B1384" s="14">
        <f>A1384*Assumptions!$B$12</f>
        <v>13.76</v>
      </c>
      <c r="C1384" s="15">
        <f>IF(A1384&lt;=Assumptions!$B$13,IF(OR(A1384=0,A1384=Assumptions!$B$13),0.5,1),0)*Assumptions!$B$12</f>
        <v>0.01</v>
      </c>
      <c r="D1384" s="12">
        <f>D1383*(1-Assumptions!$B$12*(Assumptions!$B$5+Assumptions!$B$6))</f>
        <v>0.66175364326683683</v>
      </c>
      <c r="E1384" s="12">
        <f>E1383+Assumptions!$B$12*(D1383*Assumptions!$B$5-E1383*Assumptions!$B$7)</f>
        <v>0.15925988342679578</v>
      </c>
      <c r="F1384" s="12">
        <f t="shared" si="63"/>
        <v>0.17898647330636738</v>
      </c>
      <c r="G1384" s="12">
        <f>EXP(-Assumptions!$B$8*B1384)</f>
        <v>0.50258022502542832</v>
      </c>
      <c r="H1384" s="12">
        <f t="shared" si="64"/>
        <v>0.33258429494444386</v>
      </c>
      <c r="I1384" s="12">
        <f t="shared" si="65"/>
        <v>8.00408680501625E-2</v>
      </c>
      <c r="J1384" s="12">
        <f>G1384*(D1384*Assumptions!$B$6+E1384*Assumptions!$B$7)</f>
        <v>7.3278863519525639E-3</v>
      </c>
    </row>
    <row r="1385" spans="1:10" x14ac:dyDescent="0.2">
      <c r="A1385" s="2">
        <v>1377</v>
      </c>
      <c r="B1385" s="14">
        <f>A1385*Assumptions!$B$12</f>
        <v>13.77</v>
      </c>
      <c r="C1385" s="15">
        <f>IF(A1385&lt;=Assumptions!$B$13,IF(OR(A1385=0,A1385=Assumptions!$B$13),0.5,1),0)*Assumptions!$B$12</f>
        <v>0.01</v>
      </c>
      <c r="D1385" s="12">
        <f>D1384*(1-Assumptions!$B$12*(Assumptions!$B$5+Assumptions!$B$6))</f>
        <v>0.66155511717385684</v>
      </c>
      <c r="E1385" s="12">
        <f>E1384+Assumptions!$B$12*(D1384*Assumptions!$B$5-E1384*Assumptions!$B$7)</f>
        <v>0.15931260421373575</v>
      </c>
      <c r="F1385" s="12">
        <f t="shared" si="63"/>
        <v>0.17913227861240741</v>
      </c>
      <c r="G1385" s="12">
        <f>EXP(-Assumptions!$B$8*B1385)</f>
        <v>0.50232899772497464</v>
      </c>
      <c r="H1385" s="12">
        <f t="shared" si="64"/>
        <v>0.33231831894977165</v>
      </c>
      <c r="I1385" s="12">
        <f t="shared" si="65"/>
        <v>8.0027340799641453E-2</v>
      </c>
      <c r="J1385" s="12">
        <f>G1385*(D1385*Assumptions!$B$6+E1385*Assumptions!$B$7)</f>
        <v>7.3245502294797893E-3</v>
      </c>
    </row>
    <row r="1386" spans="1:10" x14ac:dyDescent="0.2">
      <c r="A1386" s="2">
        <v>1378</v>
      </c>
      <c r="B1386" s="14">
        <f>A1386*Assumptions!$B$12</f>
        <v>13.780000000000001</v>
      </c>
      <c r="C1386" s="15">
        <f>IF(A1386&lt;=Assumptions!$B$13,IF(OR(A1386=0,A1386=Assumptions!$B$13),0.5,1),0)*Assumptions!$B$12</f>
        <v>0.01</v>
      </c>
      <c r="D1386" s="12">
        <f>D1385*(1-Assumptions!$B$12*(Assumptions!$B$5+Assumptions!$B$6))</f>
        <v>0.66135665063870475</v>
      </c>
      <c r="E1386" s="12">
        <f>E1385+Assumptions!$B$12*(D1385*Assumptions!$B$5-E1385*Assumptions!$B$7)</f>
        <v>0.15936525893506365</v>
      </c>
      <c r="F1386" s="12">
        <f t="shared" si="63"/>
        <v>0.17927809042623161</v>
      </c>
      <c r="G1386" s="12">
        <f>EXP(-Assumptions!$B$8*B1386)</f>
        <v>0.50207789600677299</v>
      </c>
      <c r="H1386" s="12">
        <f t="shared" si="64"/>
        <v>0.33205255566276731</v>
      </c>
      <c r="I1386" s="12">
        <f t="shared" si="65"/>
        <v>8.0013773902691335E-2</v>
      </c>
      <c r="J1386" s="12">
        <f>G1386*(D1386*Assumptions!$B$6+E1386*Assumptions!$B$7)</f>
        <v>7.3212142517622408E-3</v>
      </c>
    </row>
    <row r="1387" spans="1:10" x14ac:dyDescent="0.2">
      <c r="A1387" s="2">
        <v>1379</v>
      </c>
      <c r="B1387" s="14">
        <f>A1387*Assumptions!$B$12</f>
        <v>13.790000000000001</v>
      </c>
      <c r="C1387" s="15">
        <f>IF(A1387&lt;=Assumptions!$B$13,IF(OR(A1387=0,A1387=Assumptions!$B$13),0.5,1),0)*Assumptions!$B$12</f>
        <v>0.01</v>
      </c>
      <c r="D1387" s="12">
        <f>D1386*(1-Assumptions!$B$12*(Assumptions!$B$5+Assumptions!$B$6))</f>
        <v>0.66115824364351317</v>
      </c>
      <c r="E1387" s="12">
        <f>E1386+Assumptions!$B$12*(D1386*Assumptions!$B$5-E1386*Assumptions!$B$7)</f>
        <v>0.15941784763572386</v>
      </c>
      <c r="F1387" s="12">
        <f t="shared" si="63"/>
        <v>0.17942390872076297</v>
      </c>
      <c r="G1387" s="12">
        <f>EXP(-Assumptions!$B$8*B1387)</f>
        <v>0.50182691980804794</v>
      </c>
      <c r="H1387" s="12">
        <f t="shared" si="64"/>
        <v>0.33178700491332308</v>
      </c>
      <c r="I1387" s="12">
        <f t="shared" si="65"/>
        <v>8.0000167441464001E-2</v>
      </c>
      <c r="J1387" s="12">
        <f>G1387*(D1387*Assumptions!$B$6+E1387*Assumptions!$B$7)</f>
        <v>7.3178784212064316E-3</v>
      </c>
    </row>
    <row r="1388" spans="1:10" x14ac:dyDescent="0.2">
      <c r="A1388" s="2">
        <v>1380</v>
      </c>
      <c r="B1388" s="14">
        <f>A1388*Assumptions!$B$12</f>
        <v>13.8</v>
      </c>
      <c r="C1388" s="15">
        <f>IF(A1388&lt;=Assumptions!$B$13,IF(OR(A1388=0,A1388=Assumptions!$B$13),0.5,1),0)*Assumptions!$B$12</f>
        <v>0.01</v>
      </c>
      <c r="D1388" s="12">
        <f>D1387*(1-Assumptions!$B$12*(Assumptions!$B$5+Assumptions!$B$6))</f>
        <v>0.66095989617042017</v>
      </c>
      <c r="E1388" s="12">
        <f>E1387+Assumptions!$B$12*(D1387*Assumptions!$B$5-E1387*Assumptions!$B$7)</f>
        <v>0.15947037036063472</v>
      </c>
      <c r="F1388" s="12">
        <f t="shared" si="63"/>
        <v>0.17956973346894511</v>
      </c>
      <c r="G1388" s="12">
        <f>EXP(-Assumptions!$B$8*B1388)</f>
        <v>0.50157606906605545</v>
      </c>
      <c r="H1388" s="12">
        <f t="shared" si="64"/>
        <v>0.33152166653146753</v>
      </c>
      <c r="I1388" s="12">
        <f t="shared" si="65"/>
        <v>7.9986521497995164E-2</v>
      </c>
      <c r="J1388" s="12">
        <f>G1388*(D1388*Assumptions!$B$6+E1388*Assumptions!$B$7)</f>
        <v>7.3145427402144334E-3</v>
      </c>
    </row>
    <row r="1389" spans="1:10" x14ac:dyDescent="0.2">
      <c r="A1389" s="2">
        <v>1381</v>
      </c>
      <c r="B1389" s="14">
        <f>A1389*Assumptions!$B$12</f>
        <v>13.81</v>
      </c>
      <c r="C1389" s="15">
        <f>IF(A1389&lt;=Assumptions!$B$13,IF(OR(A1389=0,A1389=Assumptions!$B$13),0.5,1),0)*Assumptions!$B$12</f>
        <v>0.01</v>
      </c>
      <c r="D1389" s="12">
        <f>D1388*(1-Assumptions!$B$12*(Assumptions!$B$5+Assumptions!$B$6))</f>
        <v>0.66076160820156904</v>
      </c>
      <c r="E1389" s="12">
        <f>E1388+Assumptions!$B$12*(D1388*Assumptions!$B$5-E1388*Assumptions!$B$7)</f>
        <v>0.15952282715468849</v>
      </c>
      <c r="F1389" s="12">
        <f t="shared" si="63"/>
        <v>0.17971556464374247</v>
      </c>
      <c r="G1389" s="12">
        <f>EXP(-Assumptions!$B$8*B1389)</f>
        <v>0.50132534371808291</v>
      </c>
      <c r="H1389" s="12">
        <f t="shared" si="64"/>
        <v>0.33125654034736485</v>
      </c>
      <c r="I1389" s="12">
        <f t="shared" si="65"/>
        <v>7.9972836154204544E-2</v>
      </c>
      <c r="J1389" s="12">
        <f>G1389*(D1389*Assumptions!$B$6+E1389*Assumptions!$B$7)</f>
        <v>7.3112072111838743E-3</v>
      </c>
    </row>
    <row r="1390" spans="1:10" x14ac:dyDescent="0.2">
      <c r="A1390" s="2">
        <v>1382</v>
      </c>
      <c r="B1390" s="14">
        <f>A1390*Assumptions!$B$12</f>
        <v>13.82</v>
      </c>
      <c r="C1390" s="15">
        <f>IF(A1390&lt;=Assumptions!$B$13,IF(OR(A1390=0,A1390=Assumptions!$B$13),0.5,1),0)*Assumptions!$B$12</f>
        <v>0.01</v>
      </c>
      <c r="D1390" s="12">
        <f>D1389*(1-Assumptions!$B$12*(Assumptions!$B$5+Assumptions!$B$6))</f>
        <v>0.66056337971910861</v>
      </c>
      <c r="E1390" s="12">
        <f>E1389+Assumptions!$B$12*(D1389*Assumptions!$B$5-E1389*Assumptions!$B$7)</f>
        <v>0.15957521806275146</v>
      </c>
      <c r="F1390" s="12">
        <f t="shared" si="63"/>
        <v>0.17986140221813993</v>
      </c>
      <c r="G1390" s="12">
        <f>EXP(-Assumptions!$B$8*B1390)</f>
        <v>0.50107474370144889</v>
      </c>
      <c r="H1390" s="12">
        <f t="shared" si="64"/>
        <v>0.33099162619131522</v>
      </c>
      <c r="I1390" s="12">
        <f t="shared" si="65"/>
        <v>7.9959111491896009E-2</v>
      </c>
      <c r="J1390" s="12">
        <f>G1390*(D1390*Assumptions!$B$6+E1390*Assumptions!$B$7)</f>
        <v>7.3078718365079528E-3</v>
      </c>
    </row>
    <row r="1391" spans="1:10" x14ac:dyDescent="0.2">
      <c r="A1391" s="2">
        <v>1383</v>
      </c>
      <c r="B1391" s="14">
        <f>A1391*Assumptions!$B$12</f>
        <v>13.83</v>
      </c>
      <c r="C1391" s="15">
        <f>IF(A1391&lt;=Assumptions!$B$13,IF(OR(A1391=0,A1391=Assumptions!$B$13),0.5,1),0)*Assumptions!$B$12</f>
        <v>0.01</v>
      </c>
      <c r="D1391" s="12">
        <f>D1390*(1-Assumptions!$B$12*(Assumptions!$B$5+Assumptions!$B$6))</f>
        <v>0.66036521070519294</v>
      </c>
      <c r="E1391" s="12">
        <f>E1390+Assumptions!$B$12*(D1390*Assumptions!$B$5-E1390*Assumptions!$B$7)</f>
        <v>0.1596275431296639</v>
      </c>
      <c r="F1391" s="12">
        <f t="shared" si="63"/>
        <v>0.18000724616514316</v>
      </c>
      <c r="G1391" s="12">
        <f>EXP(-Assumptions!$B$8*B1391)</f>
        <v>0.5008242689535034</v>
      </c>
      <c r="H1391" s="12">
        <f t="shared" si="64"/>
        <v>0.33072692389375452</v>
      </c>
      <c r="I1391" s="12">
        <f t="shared" si="65"/>
        <v>7.9945347592757759E-2</v>
      </c>
      <c r="J1391" s="12">
        <f>G1391*(D1391*Assumptions!$B$6+E1391*Assumptions!$B$7)</f>
        <v>7.3045366185754334E-3</v>
      </c>
    </row>
    <row r="1392" spans="1:10" x14ac:dyDescent="0.2">
      <c r="A1392" s="2">
        <v>1384</v>
      </c>
      <c r="B1392" s="14">
        <f>A1392*Assumptions!$B$12</f>
        <v>13.84</v>
      </c>
      <c r="C1392" s="15">
        <f>IF(A1392&lt;=Assumptions!$B$13,IF(OR(A1392=0,A1392=Assumptions!$B$13),0.5,1),0)*Assumptions!$B$12</f>
        <v>0.01</v>
      </c>
      <c r="D1392" s="12">
        <f>D1391*(1-Assumptions!$B$12*(Assumptions!$B$5+Assumptions!$B$6))</f>
        <v>0.66016710114198141</v>
      </c>
      <c r="E1392" s="12">
        <f>E1391+Assumptions!$B$12*(D1391*Assumptions!$B$5-E1391*Assumptions!$B$7)</f>
        <v>0.1596798024002401</v>
      </c>
      <c r="F1392" s="12">
        <f t="shared" si="63"/>
        <v>0.18015309645777849</v>
      </c>
      <c r="G1392" s="12">
        <f>EXP(-Assumptions!$B$8*B1392)</f>
        <v>0.50057391941162765</v>
      </c>
      <c r="H1392" s="12">
        <f t="shared" si="64"/>
        <v>0.33046243328525404</v>
      </c>
      <c r="I1392" s="12">
        <f t="shared" si="65"/>
        <v>7.9931544538362417E-2</v>
      </c>
      <c r="J1392" s="12">
        <f>G1392*(D1392*Assumptions!$B$6+E1392*Assumptions!$B$7)</f>
        <v>7.3012015597706615E-3</v>
      </c>
    </row>
    <row r="1393" spans="1:10" x14ac:dyDescent="0.2">
      <c r="A1393" s="2">
        <v>1385</v>
      </c>
      <c r="B1393" s="14">
        <f>A1393*Assumptions!$B$12</f>
        <v>13.85</v>
      </c>
      <c r="C1393" s="15">
        <f>IF(A1393&lt;=Assumptions!$B$13,IF(OR(A1393=0,A1393=Assumptions!$B$13),0.5,1),0)*Assumptions!$B$12</f>
        <v>0.01</v>
      </c>
      <c r="D1393" s="12">
        <f>D1392*(1-Assumptions!$B$12*(Assumptions!$B$5+Assumptions!$B$6))</f>
        <v>0.65996905101163883</v>
      </c>
      <c r="E1393" s="12">
        <f>E1392+Assumptions!$B$12*(D1392*Assumptions!$B$5-E1392*Assumptions!$B$7)</f>
        <v>0.15973199591926837</v>
      </c>
      <c r="F1393" s="12">
        <f t="shared" si="63"/>
        <v>0.1802989530690928</v>
      </c>
      <c r="G1393" s="12">
        <f>EXP(-Assumptions!$B$8*B1393)</f>
        <v>0.50032369501323448</v>
      </c>
      <c r="H1393" s="12">
        <f t="shared" si="64"/>
        <v>0.33019815419652099</v>
      </c>
      <c r="I1393" s="12">
        <f t="shared" si="65"/>
        <v>7.9917702410167241E-2</v>
      </c>
      <c r="J1393" s="12">
        <f>G1393*(D1393*Assumptions!$B$6+E1393*Assumptions!$B$7)</f>
        <v>7.2978666624735726E-3</v>
      </c>
    </row>
    <row r="1394" spans="1:10" x14ac:dyDescent="0.2">
      <c r="A1394" s="2">
        <v>1386</v>
      </c>
      <c r="B1394" s="14">
        <f>A1394*Assumptions!$B$12</f>
        <v>13.86</v>
      </c>
      <c r="C1394" s="15">
        <f>IF(A1394&lt;=Assumptions!$B$13,IF(OR(A1394=0,A1394=Assumptions!$B$13),0.5,1),0)*Assumptions!$B$12</f>
        <v>0.01</v>
      </c>
      <c r="D1394" s="12">
        <f>D1393*(1-Assumptions!$B$12*(Assumptions!$B$5+Assumptions!$B$6))</f>
        <v>0.65977106029633537</v>
      </c>
      <c r="E1394" s="12">
        <f>E1393+Assumptions!$B$12*(D1393*Assumptions!$B$5-E1393*Assumptions!$B$7)</f>
        <v>0.15978412373151107</v>
      </c>
      <c r="F1394" s="12">
        <f t="shared" si="63"/>
        <v>0.18044481597215356</v>
      </c>
      <c r="G1394" s="12">
        <f>EXP(-Assumptions!$B$8*B1394)</f>
        <v>0.50007359569576759</v>
      </c>
      <c r="H1394" s="12">
        <f t="shared" si="64"/>
        <v>0.3299340864583975</v>
      </c>
      <c r="I1394" s="12">
        <f t="shared" si="65"/>
        <v>7.9903821289514176E-2</v>
      </c>
      <c r="J1394" s="12">
        <f>G1394*(D1394*Assumptions!$B$6+E1394*Assumptions!$B$7)</f>
        <v>7.2945319290596842E-3</v>
      </c>
    </row>
    <row r="1395" spans="1:10" x14ac:dyDescent="0.2">
      <c r="A1395" s="2">
        <v>1387</v>
      </c>
      <c r="B1395" s="14">
        <f>A1395*Assumptions!$B$12</f>
        <v>13.870000000000001</v>
      </c>
      <c r="C1395" s="15">
        <f>IF(A1395&lt;=Assumptions!$B$13,IF(OR(A1395=0,A1395=Assumptions!$B$13),0.5,1),0)*Assumptions!$B$12</f>
        <v>0.01</v>
      </c>
      <c r="D1395" s="12">
        <f>D1394*(1-Assumptions!$B$12*(Assumptions!$B$5+Assumptions!$B$6))</f>
        <v>0.65957312897824649</v>
      </c>
      <c r="E1395" s="12">
        <f>E1394+Assumptions!$B$12*(D1394*Assumptions!$B$5-E1394*Assumptions!$B$7)</f>
        <v>0.15983618588170459</v>
      </c>
      <c r="F1395" s="12">
        <f t="shared" si="63"/>
        <v>0.18059068514004892</v>
      </c>
      <c r="G1395" s="12">
        <f>EXP(-Assumptions!$B$8*B1395)</f>
        <v>0.49982362139670228</v>
      </c>
      <c r="H1395" s="12">
        <f t="shared" si="64"/>
        <v>0.32967022990186134</v>
      </c>
      <c r="I1395" s="12">
        <f t="shared" si="65"/>
        <v>7.9889901257630042E-2</v>
      </c>
      <c r="J1395" s="12">
        <f>G1395*(D1395*Assumptions!$B$6+E1395*Assumptions!$B$7)</f>
        <v>7.291197361900115E-3</v>
      </c>
    </row>
    <row r="1396" spans="1:10" x14ac:dyDescent="0.2">
      <c r="A1396" s="2">
        <v>1388</v>
      </c>
      <c r="B1396" s="14">
        <f>A1396*Assumptions!$B$12</f>
        <v>13.88</v>
      </c>
      <c r="C1396" s="15">
        <f>IF(A1396&lt;=Assumptions!$B$13,IF(OR(A1396=0,A1396=Assumptions!$B$13),0.5,1),0)*Assumptions!$B$12</f>
        <v>0.01</v>
      </c>
      <c r="D1396" s="12">
        <f>D1395*(1-Assumptions!$B$12*(Assumptions!$B$5+Assumptions!$B$6))</f>
        <v>0.65937525703955302</v>
      </c>
      <c r="E1396" s="12">
        <f>E1395+Assumptions!$B$12*(D1395*Assumptions!$B$5-E1395*Assumptions!$B$7)</f>
        <v>0.15988818241455938</v>
      </c>
      <c r="F1396" s="12">
        <f t="shared" si="63"/>
        <v>0.1807365605458876</v>
      </c>
      <c r="G1396" s="12">
        <f>EXP(-Assumptions!$B$8*B1396)</f>
        <v>0.49957377205354492</v>
      </c>
      <c r="H1396" s="12">
        <f t="shared" si="64"/>
        <v>0.32940658435802522</v>
      </c>
      <c r="I1396" s="12">
        <f t="shared" si="65"/>
        <v>7.987594239562669E-2</v>
      </c>
      <c r="J1396" s="12">
        <f>G1396*(D1396*Assumptions!$B$6+E1396*Assumptions!$B$7)</f>
        <v>7.2878629633615875E-3</v>
      </c>
    </row>
    <row r="1397" spans="1:10" x14ac:dyDescent="0.2">
      <c r="A1397" s="2">
        <v>1389</v>
      </c>
      <c r="B1397" s="14">
        <f>A1397*Assumptions!$B$12</f>
        <v>13.89</v>
      </c>
      <c r="C1397" s="15">
        <f>IF(A1397&lt;=Assumptions!$B$13,IF(OR(A1397=0,A1397=Assumptions!$B$13),0.5,1),0)*Assumptions!$B$12</f>
        <v>0.01</v>
      </c>
      <c r="D1397" s="12">
        <f>D1396*(1-Assumptions!$B$12*(Assumptions!$B$5+Assumptions!$B$6))</f>
        <v>0.6591774444624412</v>
      </c>
      <c r="E1397" s="12">
        <f>E1396+Assumptions!$B$12*(D1396*Assumptions!$B$5-E1396*Assumptions!$B$7)</f>
        <v>0.15994011337476</v>
      </c>
      <c r="F1397" s="12">
        <f t="shared" si="63"/>
        <v>0.18088244216279881</v>
      </c>
      <c r="G1397" s="12">
        <f>EXP(-Assumptions!$B$8*B1397)</f>
        <v>0.49932404760383314</v>
      </c>
      <c r="H1397" s="12">
        <f t="shared" si="64"/>
        <v>0.32914314965813707</v>
      </c>
      <c r="I1397" s="12">
        <f t="shared" si="65"/>
        <v>7.9861944784501135E-2</v>
      </c>
      <c r="J1397" s="12">
        <f>G1397*(D1397*Assumptions!$B$6+E1397*Assumptions!$B$7)</f>
        <v>7.2845287358064273E-3</v>
      </c>
    </row>
    <row r="1398" spans="1:10" x14ac:dyDescent="0.2">
      <c r="A1398" s="2">
        <v>1390</v>
      </c>
      <c r="B1398" s="14">
        <f>A1398*Assumptions!$B$12</f>
        <v>13.9</v>
      </c>
      <c r="C1398" s="15">
        <f>IF(A1398&lt;=Assumptions!$B$13,IF(OR(A1398=0,A1398=Assumptions!$B$13),0.5,1),0)*Assumptions!$B$12</f>
        <v>0.01</v>
      </c>
      <c r="D1398" s="12">
        <f>D1397*(1-Assumptions!$B$12*(Assumptions!$B$5+Assumptions!$B$6))</f>
        <v>0.65897969122910249</v>
      </c>
      <c r="E1398" s="12">
        <f>E1397+Assumptions!$B$12*(D1397*Assumptions!$B$5-E1397*Assumptions!$B$7)</f>
        <v>0.15999197880696511</v>
      </c>
      <c r="F1398" s="12">
        <f t="shared" si="63"/>
        <v>0.18102832996393239</v>
      </c>
      <c r="G1398" s="12">
        <f>EXP(-Assumptions!$B$8*B1398)</f>
        <v>0.49907444798513595</v>
      </c>
      <c r="H1398" s="12">
        <f t="shared" si="64"/>
        <v>0.32887992563357965</v>
      </c>
      <c r="I1398" s="12">
        <f t="shared" si="65"/>
        <v>7.9847908505135679E-2</v>
      </c>
      <c r="J1398" s="12">
        <f>G1398*(D1398*Assumptions!$B$6+E1398*Assumptions!$B$7)</f>
        <v>7.2811946815925805E-3</v>
      </c>
    </row>
    <row r="1399" spans="1:10" x14ac:dyDescent="0.2">
      <c r="A1399" s="2">
        <v>1391</v>
      </c>
      <c r="B1399" s="14">
        <f>A1399*Assumptions!$B$12</f>
        <v>13.91</v>
      </c>
      <c r="C1399" s="15">
        <f>IF(A1399&lt;=Assumptions!$B$13,IF(OR(A1399=0,A1399=Assumptions!$B$13),0.5,1),0)*Assumptions!$B$12</f>
        <v>0.01</v>
      </c>
      <c r="D1399" s="12">
        <f>D1398*(1-Assumptions!$B$12*(Assumptions!$B$5+Assumptions!$B$6))</f>
        <v>0.65878199732173381</v>
      </c>
      <c r="E1399" s="12">
        <f>E1398+Assumptions!$B$12*(D1398*Assumptions!$B$5-E1398*Assumptions!$B$7)</f>
        <v>0.16004377875580744</v>
      </c>
      <c r="F1399" s="12">
        <f t="shared" si="63"/>
        <v>0.18117422392245874</v>
      </c>
      <c r="G1399" s="12">
        <f>EXP(-Assumptions!$B$8*B1399)</f>
        <v>0.49882497313505331</v>
      </c>
      <c r="H1399" s="12">
        <f t="shared" si="64"/>
        <v>0.32861691211587063</v>
      </c>
      <c r="I1399" s="12">
        <f t="shared" si="65"/>
        <v>7.983383363829806E-2</v>
      </c>
      <c r="J1399" s="12">
        <f>G1399*(D1399*Assumptions!$B$6+E1399*Assumptions!$B$7)</f>
        <v>7.2778608030736091E-3</v>
      </c>
    </row>
    <row r="1400" spans="1:10" x14ac:dyDescent="0.2">
      <c r="A1400" s="2">
        <v>1392</v>
      </c>
      <c r="B1400" s="14">
        <f>A1400*Assumptions!$B$12</f>
        <v>13.92</v>
      </c>
      <c r="C1400" s="15">
        <f>IF(A1400&lt;=Assumptions!$B$13,IF(OR(A1400=0,A1400=Assumptions!$B$13),0.5,1),0)*Assumptions!$B$12</f>
        <v>0.01</v>
      </c>
      <c r="D1400" s="12">
        <f>D1399*(1-Assumptions!$B$12*(Assumptions!$B$5+Assumptions!$B$6))</f>
        <v>0.65858436272253729</v>
      </c>
      <c r="E1400" s="12">
        <f>E1399+Assumptions!$B$12*(D1399*Assumptions!$B$5-E1399*Assumptions!$B$7)</f>
        <v>0.16009551326589389</v>
      </c>
      <c r="F1400" s="12">
        <f t="shared" si="63"/>
        <v>0.18132012401156883</v>
      </c>
      <c r="G1400" s="12">
        <f>EXP(-Assumptions!$B$8*B1400)</f>
        <v>0.49857562299121649</v>
      </c>
      <c r="H1400" s="12">
        <f t="shared" si="64"/>
        <v>0.32835410893666234</v>
      </c>
      <c r="I1400" s="12">
        <f t="shared" si="65"/>
        <v>7.9819720264641611E-2</v>
      </c>
      <c r="J1400" s="12">
        <f>G1400*(D1400*Assumptions!$B$6+E1400*Assumptions!$B$7)</f>
        <v>7.2745271025987041E-3</v>
      </c>
    </row>
    <row r="1401" spans="1:10" x14ac:dyDescent="0.2">
      <c r="A1401" s="2">
        <v>1393</v>
      </c>
      <c r="B1401" s="14">
        <f>A1401*Assumptions!$B$12</f>
        <v>13.93</v>
      </c>
      <c r="C1401" s="15">
        <f>IF(A1401&lt;=Assumptions!$B$13,IF(OR(A1401=0,A1401=Assumptions!$B$13),0.5,1),0)*Assumptions!$B$12</f>
        <v>0.01</v>
      </c>
      <c r="D1401" s="12">
        <f>D1400*(1-Assumptions!$B$12*(Assumptions!$B$5+Assumptions!$B$6))</f>
        <v>0.65838678741372059</v>
      </c>
      <c r="E1401" s="12">
        <f>E1400+Assumptions!$B$12*(D1400*Assumptions!$B$5-E1400*Assumptions!$B$7)</f>
        <v>0.16014718238180545</v>
      </c>
      <c r="F1401" s="12">
        <f t="shared" si="63"/>
        <v>0.18146603020447397</v>
      </c>
      <c r="G1401" s="12">
        <f>EXP(-Assumptions!$B$8*B1401)</f>
        <v>0.4983263974912881</v>
      </c>
      <c r="H1401" s="12">
        <f t="shared" si="64"/>
        <v>0.32809151592774194</v>
      </c>
      <c r="I1401" s="12">
        <f t="shared" si="65"/>
        <v>7.9805568464705393E-2</v>
      </c>
      <c r="J1401" s="12">
        <f>G1401*(D1401*Assumptions!$B$6+E1401*Assumptions!$B$7)</f>
        <v>7.2711935825126887E-3</v>
      </c>
    </row>
    <row r="1402" spans="1:10" x14ac:dyDescent="0.2">
      <c r="A1402" s="2">
        <v>1394</v>
      </c>
      <c r="B1402" s="14">
        <f>A1402*Assumptions!$B$12</f>
        <v>13.94</v>
      </c>
      <c r="C1402" s="15">
        <f>IF(A1402&lt;=Assumptions!$B$13,IF(OR(A1402=0,A1402=Assumptions!$B$13),0.5,1),0)*Assumptions!$B$12</f>
        <v>0.01</v>
      </c>
      <c r="D1402" s="12">
        <f>D1401*(1-Assumptions!$B$12*(Assumptions!$B$5+Assumptions!$B$6))</f>
        <v>0.6581892713774965</v>
      </c>
      <c r="E1402" s="12">
        <f>E1401+Assumptions!$B$12*(D1401*Assumptions!$B$5-E1401*Assumptions!$B$7)</f>
        <v>0.16019878614809729</v>
      </c>
      <c r="F1402" s="12">
        <f t="shared" si="63"/>
        <v>0.18161194247440621</v>
      </c>
      <c r="G1402" s="12">
        <f>EXP(-Assumptions!$B$8*B1402)</f>
        <v>0.49807729657296163</v>
      </c>
      <c r="H1402" s="12">
        <f t="shared" si="64"/>
        <v>0.32782913292103083</v>
      </c>
      <c r="I1402" s="12">
        <f t="shared" si="65"/>
        <v>7.9791378318914308E-2</v>
      </c>
      <c r="J1402" s="12">
        <f>G1402*(D1402*Assumptions!$B$6+E1402*Assumptions!$B$7)</f>
        <v>7.2678602451560241E-3</v>
      </c>
    </row>
    <row r="1403" spans="1:10" x14ac:dyDescent="0.2">
      <c r="A1403" s="2">
        <v>1395</v>
      </c>
      <c r="B1403" s="14">
        <f>A1403*Assumptions!$B$12</f>
        <v>13.950000000000001</v>
      </c>
      <c r="C1403" s="15">
        <f>IF(A1403&lt;=Assumptions!$B$13,IF(OR(A1403=0,A1403=Assumptions!$B$13),0.5,1),0)*Assumptions!$B$12</f>
        <v>0.01</v>
      </c>
      <c r="D1403" s="12">
        <f>D1402*(1-Assumptions!$B$12*(Assumptions!$B$5+Assumptions!$B$6))</f>
        <v>0.65799181459608325</v>
      </c>
      <c r="E1403" s="12">
        <f>E1402+Assumptions!$B$12*(D1402*Assumptions!$B$5-E1402*Assumptions!$B$7)</f>
        <v>0.16025032460929875</v>
      </c>
      <c r="F1403" s="12">
        <f t="shared" si="63"/>
        <v>0.181757860794618</v>
      </c>
      <c r="G1403" s="12">
        <f>EXP(-Assumptions!$B$8*B1403)</f>
        <v>0.49782832017396189</v>
      </c>
      <c r="H1403" s="12">
        <f t="shared" si="64"/>
        <v>0.32756695974858513</v>
      </c>
      <c r="I1403" s="12">
        <f t="shared" si="65"/>
        <v>7.9777149907579309E-2</v>
      </c>
      <c r="J1403" s="12">
        <f>G1403*(D1403*Assumptions!$B$6+E1403*Assumptions!$B$7)</f>
        <v>7.2645270928648163E-3</v>
      </c>
    </row>
    <row r="1404" spans="1:10" x14ac:dyDescent="0.2">
      <c r="A1404" s="2">
        <v>1396</v>
      </c>
      <c r="B1404" s="14">
        <f>A1404*Assumptions!$B$12</f>
        <v>13.96</v>
      </c>
      <c r="C1404" s="15">
        <f>IF(A1404&lt;=Assumptions!$B$13,IF(OR(A1404=0,A1404=Assumptions!$B$13),0.5,1),0)*Assumptions!$B$12</f>
        <v>0.01</v>
      </c>
      <c r="D1404" s="12">
        <f>D1403*(1-Assumptions!$B$12*(Assumptions!$B$5+Assumptions!$B$6))</f>
        <v>0.65779441705170449</v>
      </c>
      <c r="E1404" s="12">
        <f>E1403+Assumptions!$B$12*(D1403*Assumptions!$B$5-E1403*Assumptions!$B$7)</f>
        <v>0.16030179780991333</v>
      </c>
      <c r="F1404" s="12">
        <f t="shared" si="63"/>
        <v>0.18190378513838218</v>
      </c>
      <c r="G1404" s="12">
        <f>EXP(-Assumptions!$B$8*B1404)</f>
        <v>0.4975794682320448</v>
      </c>
      <c r="H1404" s="12">
        <f t="shared" si="64"/>
        <v>0.32730499624259501</v>
      </c>
      <c r="I1404" s="12">
        <f t="shared" si="65"/>
        <v>7.9762883310897439E-2</v>
      </c>
      <c r="J1404" s="12">
        <f>G1404*(D1404*Assumptions!$B$6+E1404*Assumptions!$B$7)</f>
        <v>7.2611941279708226E-3</v>
      </c>
    </row>
    <row r="1405" spans="1:10" x14ac:dyDescent="0.2">
      <c r="A1405" s="2">
        <v>1397</v>
      </c>
      <c r="B1405" s="14">
        <f>A1405*Assumptions!$B$12</f>
        <v>13.97</v>
      </c>
      <c r="C1405" s="15">
        <f>IF(A1405&lt;=Assumptions!$B$13,IF(OR(A1405=0,A1405=Assumptions!$B$13),0.5,1),0)*Assumptions!$B$12</f>
        <v>0.01</v>
      </c>
      <c r="D1405" s="12">
        <f>D1404*(1-Assumptions!$B$12*(Assumptions!$B$5+Assumptions!$B$6))</f>
        <v>0.65759707872658901</v>
      </c>
      <c r="E1405" s="12">
        <f>E1404+Assumptions!$B$12*(D1404*Assumptions!$B$5-E1404*Assumptions!$B$7)</f>
        <v>0.16035320579441872</v>
      </c>
      <c r="F1405" s="12">
        <f t="shared" si="63"/>
        <v>0.18204971547899226</v>
      </c>
      <c r="G1405" s="12">
        <f>EXP(-Assumptions!$B$8*B1405)</f>
        <v>0.49733074068499733</v>
      </c>
      <c r="H1405" s="12">
        <f t="shared" si="64"/>
        <v>0.327043242235385</v>
      </c>
      <c r="I1405" s="12">
        <f t="shared" si="65"/>
        <v>7.974857860895207E-2</v>
      </c>
      <c r="J1405" s="12">
        <f>G1405*(D1405*Assumptions!$B$6+E1405*Assumptions!$B$7)</f>
        <v>7.2578613528014538E-3</v>
      </c>
    </row>
    <row r="1406" spans="1:10" x14ac:dyDescent="0.2">
      <c r="A1406" s="2">
        <v>1398</v>
      </c>
      <c r="B1406" s="14">
        <f>A1406*Assumptions!$B$12</f>
        <v>13.98</v>
      </c>
      <c r="C1406" s="15">
        <f>IF(A1406&lt;=Assumptions!$B$13,IF(OR(A1406=0,A1406=Assumptions!$B$13),0.5,1),0)*Assumptions!$B$12</f>
        <v>0.01</v>
      </c>
      <c r="D1406" s="12">
        <f>D1405*(1-Assumptions!$B$12*(Assumptions!$B$5+Assumptions!$B$6))</f>
        <v>0.65739979960297101</v>
      </c>
      <c r="E1406" s="12">
        <f>E1405+Assumptions!$B$12*(D1405*Assumptions!$B$5-E1405*Assumptions!$B$7)</f>
        <v>0.16040454860726683</v>
      </c>
      <c r="F1406" s="12">
        <f t="shared" si="63"/>
        <v>0.18219565178976216</v>
      </c>
      <c r="G1406" s="12">
        <f>EXP(-Assumptions!$B$8*B1406)</f>
        <v>0.49708213747063767</v>
      </c>
      <c r="H1406" s="12">
        <f t="shared" si="64"/>
        <v>0.32678169755941372</v>
      </c>
      <c r="I1406" s="12">
        <f t="shared" si="65"/>
        <v>7.9734235881712995E-2</v>
      </c>
      <c r="J1406" s="12">
        <f>G1406*(D1406*Assumptions!$B$6+E1406*Assumptions!$B$7)</f>
        <v>7.2545287696797866E-3</v>
      </c>
    </row>
    <row r="1407" spans="1:10" x14ac:dyDescent="0.2">
      <c r="A1407" s="2">
        <v>1399</v>
      </c>
      <c r="B1407" s="14">
        <f>A1407*Assumptions!$B$12</f>
        <v>13.99</v>
      </c>
      <c r="C1407" s="15">
        <f>IF(A1407&lt;=Assumptions!$B$13,IF(OR(A1407=0,A1407=Assumptions!$B$13),0.5,1),0)*Assumptions!$B$12</f>
        <v>0.01</v>
      </c>
      <c r="D1407" s="12">
        <f>D1406*(1-Assumptions!$B$12*(Assumptions!$B$5+Assumptions!$B$6))</f>
        <v>0.65720257966309015</v>
      </c>
      <c r="E1407" s="12">
        <f>E1406+Assumptions!$B$12*(D1406*Assumptions!$B$5-E1406*Assumptions!$B$7)</f>
        <v>0.1604558262928838</v>
      </c>
      <c r="F1407" s="12">
        <f t="shared" si="63"/>
        <v>0.18234159404402606</v>
      </c>
      <c r="G1407" s="12">
        <f>EXP(-Assumptions!$B$8*B1407)</f>
        <v>0.49683365852681499</v>
      </c>
      <c r="H1407" s="12">
        <f t="shared" si="64"/>
        <v>0.32652036204727364</v>
      </c>
      <c r="I1407" s="12">
        <f t="shared" si="65"/>
        <v>7.9719855209036572E-2</v>
      </c>
      <c r="J1407" s="12">
        <f>G1407*(D1407*Assumptions!$B$6+E1407*Assumptions!$B$7)</f>
        <v>7.2511963809245659E-3</v>
      </c>
    </row>
    <row r="1408" spans="1:10" x14ac:dyDescent="0.2">
      <c r="A1408" s="2">
        <v>1400</v>
      </c>
      <c r="B1408" s="14">
        <f>A1408*Assumptions!$B$12</f>
        <v>14</v>
      </c>
      <c r="C1408" s="15">
        <f>IF(A1408&lt;=Assumptions!$B$13,IF(OR(A1408=0,A1408=Assumptions!$B$13),0.5,1),0)*Assumptions!$B$12</f>
        <v>0.01</v>
      </c>
      <c r="D1408" s="12">
        <f>D1407*(1-Assumptions!$B$12*(Assumptions!$B$5+Assumptions!$B$6))</f>
        <v>0.65700541888919128</v>
      </c>
      <c r="E1408" s="12">
        <f>E1407+Assumptions!$B$12*(D1407*Assumptions!$B$5-E1407*Assumptions!$B$7)</f>
        <v>0.16050703889566997</v>
      </c>
      <c r="F1408" s="12">
        <f t="shared" si="63"/>
        <v>0.18248754221513874</v>
      </c>
      <c r="G1408" s="12">
        <f>EXP(-Assumptions!$B$8*B1408)</f>
        <v>0.49658530379140947</v>
      </c>
      <c r="H1408" s="12">
        <f t="shared" si="64"/>
        <v>0.32625923553169128</v>
      </c>
      <c r="I1408" s="12">
        <f t="shared" si="65"/>
        <v>7.9705436670665847E-2</v>
      </c>
      <c r="J1408" s="12">
        <f>G1408*(D1408*Assumptions!$B$6+E1408*Assumptions!$B$7)</f>
        <v>7.247864188850206E-3</v>
      </c>
    </row>
    <row r="1409" spans="1:10" x14ac:dyDescent="0.2">
      <c r="A1409" s="2">
        <v>1401</v>
      </c>
      <c r="B1409" s="14">
        <f>A1409*Assumptions!$B$12</f>
        <v>14.01</v>
      </c>
      <c r="C1409" s="15">
        <f>IF(A1409&lt;=Assumptions!$B$13,IF(OR(A1409=0,A1409=Assumptions!$B$13),0.5,1),0)*Assumptions!$B$12</f>
        <v>0.01</v>
      </c>
      <c r="D1409" s="12">
        <f>D1408*(1-Assumptions!$B$12*(Assumptions!$B$5+Assumptions!$B$6))</f>
        <v>0.65680831726352451</v>
      </c>
      <c r="E1409" s="12">
        <f>E1408+Assumptions!$B$12*(D1408*Assumptions!$B$5-E1408*Assumptions!$B$7)</f>
        <v>0.16055818645999997</v>
      </c>
      <c r="F1409" s="12">
        <f t="shared" si="63"/>
        <v>0.18263349627647552</v>
      </c>
      <c r="G1409" s="12">
        <f>EXP(-Assumptions!$B$8*B1409)</f>
        <v>0.49633707320233256</v>
      </c>
      <c r="H1409" s="12">
        <f t="shared" si="64"/>
        <v>0.32599831784552685</v>
      </c>
      <c r="I1409" s="12">
        <f t="shared" si="65"/>
        <v>7.9690980346230761E-2</v>
      </c>
      <c r="J1409" s="12">
        <f>G1409*(D1409*Assumptions!$B$6+E1409*Assumptions!$B$7)</f>
        <v>7.244532195766807E-3</v>
      </c>
    </row>
    <row r="1410" spans="1:10" x14ac:dyDescent="0.2">
      <c r="A1410" s="2">
        <v>1402</v>
      </c>
      <c r="B1410" s="14">
        <f>A1410*Assumptions!$B$12</f>
        <v>14.02</v>
      </c>
      <c r="C1410" s="15">
        <f>IF(A1410&lt;=Assumptions!$B$13,IF(OR(A1410=0,A1410=Assumptions!$B$13),0.5,1),0)*Assumptions!$B$12</f>
        <v>0.01</v>
      </c>
      <c r="D1410" s="12">
        <f>D1409*(1-Assumptions!$B$12*(Assumptions!$B$5+Assumptions!$B$6))</f>
        <v>0.65661127476834547</v>
      </c>
      <c r="E1410" s="12">
        <f>E1409+Assumptions!$B$12*(D1409*Assumptions!$B$5-E1409*Assumptions!$B$7)</f>
        <v>0.16060926903022268</v>
      </c>
      <c r="F1410" s="12">
        <f t="shared" si="63"/>
        <v>0.18277945620143185</v>
      </c>
      <c r="G1410" s="12">
        <f>EXP(-Assumptions!$B$8*B1410)</f>
        <v>0.49608896669752645</v>
      </c>
      <c r="H1410" s="12">
        <f t="shared" si="64"/>
        <v>0.32573760882177411</v>
      </c>
      <c r="I1410" s="12">
        <f t="shared" si="65"/>
        <v>7.9676486315248207E-2</v>
      </c>
      <c r="J1410" s="12">
        <f>G1410*(D1410*Assumptions!$B$6+E1410*Assumptions!$B$7)</f>
        <v>7.2412004039801511E-3</v>
      </c>
    </row>
    <row r="1411" spans="1:10" x14ac:dyDescent="0.2">
      <c r="A1411" s="2">
        <v>1403</v>
      </c>
      <c r="B1411" s="14">
        <f>A1411*Assumptions!$B$12</f>
        <v>14.030000000000001</v>
      </c>
      <c r="C1411" s="15">
        <f>IF(A1411&lt;=Assumptions!$B$13,IF(OR(A1411=0,A1411=Assumptions!$B$13),0.5,1),0)*Assumptions!$B$12</f>
        <v>0.01</v>
      </c>
      <c r="D1411" s="12">
        <f>D1410*(1-Assumptions!$B$12*(Assumptions!$B$5+Assumptions!$B$6))</f>
        <v>0.65641429138591501</v>
      </c>
      <c r="E1411" s="12">
        <f>E1410+Assumptions!$B$12*(D1410*Assumptions!$B$5-E1410*Assumptions!$B$7)</f>
        <v>0.16066028665066123</v>
      </c>
      <c r="F1411" s="12">
        <f t="shared" si="63"/>
        <v>0.18292542196342376</v>
      </c>
      <c r="G1411" s="12">
        <f>EXP(-Assumptions!$B$8*B1411)</f>
        <v>0.49584098421496459</v>
      </c>
      <c r="H1411" s="12">
        <f t="shared" si="64"/>
        <v>0.32547710829356064</v>
      </c>
      <c r="I1411" s="12">
        <f t="shared" si="65"/>
        <v>7.9661954657122197E-2</v>
      </c>
      <c r="J1411" s="12">
        <f>G1411*(D1411*Assumptions!$B$6+E1411*Assumptions!$B$7)</f>
        <v>7.2378688157917169E-3</v>
      </c>
    </row>
    <row r="1412" spans="1:10" x14ac:dyDescent="0.2">
      <c r="A1412" s="2">
        <v>1404</v>
      </c>
      <c r="B1412" s="14">
        <f>A1412*Assumptions!$B$12</f>
        <v>14.040000000000001</v>
      </c>
      <c r="C1412" s="15">
        <f>IF(A1412&lt;=Assumptions!$B$13,IF(OR(A1412=0,A1412=Assumptions!$B$13),0.5,1),0)*Assumptions!$B$12</f>
        <v>0.01</v>
      </c>
      <c r="D1412" s="12">
        <f>D1411*(1-Assumptions!$B$12*(Assumptions!$B$5+Assumptions!$B$6))</f>
        <v>0.6562173670984992</v>
      </c>
      <c r="E1412" s="12">
        <f>E1411+Assumptions!$B$12*(D1411*Assumptions!$B$5-E1411*Assumptions!$B$7)</f>
        <v>0.16071123936561307</v>
      </c>
      <c r="F1412" s="12">
        <f t="shared" si="63"/>
        <v>0.18307139353588772</v>
      </c>
      <c r="G1412" s="12">
        <f>EXP(-Assumptions!$B$8*B1412)</f>
        <v>0.4955931256926514</v>
      </c>
      <c r="H1412" s="12">
        <f t="shared" si="64"/>
        <v>0.32521681609414727</v>
      </c>
      <c r="I1412" s="12">
        <f t="shared" si="65"/>
        <v>7.9647385451144068E-2</v>
      </c>
      <c r="J1412" s="12">
        <f>G1412*(D1412*Assumptions!$B$6+E1412*Assumptions!$B$7)</f>
        <v>7.2345374334986763E-3</v>
      </c>
    </row>
    <row r="1413" spans="1:10" x14ac:dyDescent="0.2">
      <c r="A1413" s="2">
        <v>1405</v>
      </c>
      <c r="B1413" s="14">
        <f>A1413*Assumptions!$B$12</f>
        <v>14.05</v>
      </c>
      <c r="C1413" s="15">
        <f>IF(A1413&lt;=Assumptions!$B$13,IF(OR(A1413=0,A1413=Assumptions!$B$13),0.5,1),0)*Assumptions!$B$12</f>
        <v>0.01</v>
      </c>
      <c r="D1413" s="12">
        <f>D1412*(1-Assumptions!$B$12*(Assumptions!$B$5+Assumptions!$B$6))</f>
        <v>0.65602050188836969</v>
      </c>
      <c r="E1413" s="12">
        <f>E1412+Assumptions!$B$12*(D1412*Assumptions!$B$5-E1412*Assumptions!$B$7)</f>
        <v>0.16076212721934996</v>
      </c>
      <c r="F1413" s="12">
        <f t="shared" si="63"/>
        <v>0.18321737089228035</v>
      </c>
      <c r="G1413" s="12">
        <f>EXP(-Assumptions!$B$8*B1413)</f>
        <v>0.49534539106862224</v>
      </c>
      <c r="H1413" s="12">
        <f t="shared" si="64"/>
        <v>0.32495673205692832</v>
      </c>
      <c r="I1413" s="12">
        <f t="shared" si="65"/>
        <v>7.963277877649251E-2</v>
      </c>
      <c r="J1413" s="12">
        <f>G1413*(D1413*Assumptions!$B$6+E1413*Assumptions!$B$7)</f>
        <v>7.2312062593939087E-3</v>
      </c>
    </row>
    <row r="1414" spans="1:10" x14ac:dyDescent="0.2">
      <c r="A1414" s="2">
        <v>1406</v>
      </c>
      <c r="B1414" s="14">
        <f>A1414*Assumptions!$B$12</f>
        <v>14.06</v>
      </c>
      <c r="C1414" s="15">
        <f>IF(A1414&lt;=Assumptions!$B$13,IF(OR(A1414=0,A1414=Assumptions!$B$13),0.5,1),0)*Assumptions!$B$12</f>
        <v>0.01</v>
      </c>
      <c r="D1414" s="12">
        <f>D1413*(1-Assumptions!$B$12*(Assumptions!$B$5+Assumptions!$B$6))</f>
        <v>0.65582369573780319</v>
      </c>
      <c r="E1414" s="12">
        <f>E1413+Assumptions!$B$12*(D1413*Assumptions!$B$5-E1413*Assumptions!$B$7)</f>
        <v>0.16081295025611797</v>
      </c>
      <c r="F1414" s="12">
        <f t="shared" si="63"/>
        <v>0.18336335400607884</v>
      </c>
      <c r="G1414" s="12">
        <f>EXP(-Assumptions!$B$8*B1414)</f>
        <v>0.49509778028094342</v>
      </c>
      <c r="H1414" s="12">
        <f t="shared" si="64"/>
        <v>0.32469685601543119</v>
      </c>
      <c r="I1414" s="12">
        <f t="shared" si="65"/>
        <v>7.9618134712233779E-2</v>
      </c>
      <c r="J1414" s="12">
        <f>G1414*(D1414*Assumptions!$B$6+E1414*Assumptions!$B$7)</f>
        <v>7.2278752957660002E-3</v>
      </c>
    </row>
    <row r="1415" spans="1:10" x14ac:dyDescent="0.2">
      <c r="A1415" s="2">
        <v>1407</v>
      </c>
      <c r="B1415" s="14">
        <f>A1415*Assumptions!$B$12</f>
        <v>14.07</v>
      </c>
      <c r="C1415" s="15">
        <f>IF(A1415&lt;=Assumptions!$B$13,IF(OR(A1415=0,A1415=Assumptions!$B$13),0.5,1),0)*Assumptions!$B$12</f>
        <v>0.01</v>
      </c>
      <c r="D1415" s="12">
        <f>D1414*(1-Assumptions!$B$12*(Assumptions!$B$5+Assumptions!$B$6))</f>
        <v>0.65562694862908188</v>
      </c>
      <c r="E1415" s="12">
        <f>E1414+Assumptions!$B$12*(D1414*Assumptions!$B$5-E1414*Assumptions!$B$7)</f>
        <v>0.16086370852013748</v>
      </c>
      <c r="F1415" s="12">
        <f t="shared" si="63"/>
        <v>0.18350934285078063</v>
      </c>
      <c r="G1415" s="12">
        <f>EXP(-Assumptions!$B$8*B1415)</f>
        <v>0.49485029326771224</v>
      </c>
      <c r="H1415" s="12">
        <f t="shared" si="64"/>
        <v>0.32443718780331648</v>
      </c>
      <c r="I1415" s="12">
        <f t="shared" si="65"/>
        <v>7.9603453337321814E-2</v>
      </c>
      <c r="J1415" s="12">
        <f>G1415*(D1415*Assumptions!$B$6+E1415*Assumptions!$B$7)</f>
        <v>7.2245445448992553E-3</v>
      </c>
    </row>
    <row r="1416" spans="1:10" x14ac:dyDescent="0.2">
      <c r="A1416" s="2">
        <v>1408</v>
      </c>
      <c r="B1416" s="14">
        <f>A1416*Assumptions!$B$12</f>
        <v>14.08</v>
      </c>
      <c r="C1416" s="15">
        <f>IF(A1416&lt;=Assumptions!$B$13,IF(OR(A1416=0,A1416=Assumptions!$B$13),0.5,1),0)*Assumptions!$B$12</f>
        <v>0.01</v>
      </c>
      <c r="D1416" s="12">
        <f>D1415*(1-Assumptions!$B$12*(Assumptions!$B$5+Assumptions!$B$6))</f>
        <v>0.65543026054449316</v>
      </c>
      <c r="E1416" s="12">
        <f>E1415+Assumptions!$B$12*(D1415*Assumptions!$B$5-E1415*Assumptions!$B$7)</f>
        <v>0.16091440205560323</v>
      </c>
      <c r="F1416" s="12">
        <f t="shared" ref="F1416:F1479" si="66">1-D1416-E1416</f>
        <v>0.18365533739990361</v>
      </c>
      <c r="G1416" s="12">
        <f>EXP(-Assumptions!$B$8*B1416)</f>
        <v>0.49460292996705696</v>
      </c>
      <c r="H1416" s="12">
        <f t="shared" ref="H1416:H1479" si="67">G1416*D1416</f>
        <v>0.32417772725437782</v>
      </c>
      <c r="I1416" s="12">
        <f t="shared" ref="I1416:I1479" si="68">G1416*E1416</f>
        <v>7.9588734730598368E-2</v>
      </c>
      <c r="J1416" s="12">
        <f>G1416*(D1416*Assumptions!$B$6+E1416*Assumptions!$B$7)</f>
        <v>7.2212140090736976E-3</v>
      </c>
    </row>
    <row r="1417" spans="1:10" x14ac:dyDescent="0.2">
      <c r="A1417" s="2">
        <v>1409</v>
      </c>
      <c r="B1417" s="14">
        <f>A1417*Assumptions!$B$12</f>
        <v>14.09</v>
      </c>
      <c r="C1417" s="15">
        <f>IF(A1417&lt;=Assumptions!$B$13,IF(OR(A1417=0,A1417=Assumptions!$B$13),0.5,1),0)*Assumptions!$B$12</f>
        <v>0.01</v>
      </c>
      <c r="D1417" s="12">
        <f>D1416*(1-Assumptions!$B$12*(Assumptions!$B$5+Assumptions!$B$6))</f>
        <v>0.65523363146632985</v>
      </c>
      <c r="E1417" s="12">
        <f>E1416+Assumptions!$B$12*(D1416*Assumptions!$B$5-E1416*Assumptions!$B$7)</f>
        <v>0.16096503090668432</v>
      </c>
      <c r="F1417" s="12">
        <f t="shared" si="66"/>
        <v>0.18380133762698583</v>
      </c>
      <c r="G1417" s="12">
        <f>EXP(-Assumptions!$B$8*B1417)</f>
        <v>0.49435569031713672</v>
      </c>
      <c r="H1417" s="12">
        <f t="shared" si="67"/>
        <v>0.32391847420254183</v>
      </c>
      <c r="I1417" s="12">
        <f t="shared" si="68"/>
        <v>7.9573978970793172E-2</v>
      </c>
      <c r="J1417" s="12">
        <f>G1417*(D1417*Assumptions!$B$6+E1417*Assumptions!$B$7)</f>
        <v>7.2178836905650778E-3</v>
      </c>
    </row>
    <row r="1418" spans="1:10" x14ac:dyDescent="0.2">
      <c r="A1418" s="2">
        <v>1410</v>
      </c>
      <c r="B1418" s="14">
        <f>A1418*Assumptions!$B$12</f>
        <v>14.1</v>
      </c>
      <c r="C1418" s="15">
        <f>IF(A1418&lt;=Assumptions!$B$13,IF(OR(A1418=0,A1418=Assumptions!$B$13),0.5,1),0)*Assumptions!$B$12</f>
        <v>0.01</v>
      </c>
      <c r="D1418" s="12">
        <f>D1417*(1-Assumptions!$B$12*(Assumptions!$B$5+Assumptions!$B$6))</f>
        <v>0.65503706137689</v>
      </c>
      <c r="E1418" s="12">
        <f>E1417+Assumptions!$B$12*(D1417*Assumptions!$B$5-E1417*Assumptions!$B$7)</f>
        <v>0.16101559511752425</v>
      </c>
      <c r="F1418" s="12">
        <f t="shared" si="66"/>
        <v>0.18394734350558575</v>
      </c>
      <c r="G1418" s="12">
        <f>EXP(-Assumptions!$B$8*B1418)</f>
        <v>0.49410857425614163</v>
      </c>
      <c r="H1418" s="12">
        <f t="shared" si="67"/>
        <v>0.32365942848186785</v>
      </c>
      <c r="I1418" s="12">
        <f t="shared" si="68"/>
        <v>7.9559186136524074E-2</v>
      </c>
      <c r="J1418" s="12">
        <f>G1418*(D1418*Assumptions!$B$6+E1418*Assumptions!$B$7)</f>
        <v>7.2145535916448827E-3</v>
      </c>
    </row>
    <row r="1419" spans="1:10" x14ac:dyDescent="0.2">
      <c r="A1419" s="2">
        <v>1411</v>
      </c>
      <c r="B1419" s="14">
        <f>A1419*Assumptions!$B$12</f>
        <v>14.11</v>
      </c>
      <c r="C1419" s="15">
        <f>IF(A1419&lt;=Assumptions!$B$13,IF(OR(A1419=0,A1419=Assumptions!$B$13),0.5,1),0)*Assumptions!$B$12</f>
        <v>0.01</v>
      </c>
      <c r="D1419" s="12">
        <f>D1418*(1-Assumptions!$B$12*(Assumptions!$B$5+Assumptions!$B$6))</f>
        <v>0.65484055025847698</v>
      </c>
      <c r="E1419" s="12">
        <f>E1418+Assumptions!$B$12*(D1418*Assumptions!$B$5-E1418*Assumptions!$B$7)</f>
        <v>0.16106609473224087</v>
      </c>
      <c r="F1419" s="12">
        <f t="shared" si="66"/>
        <v>0.18409335500928214</v>
      </c>
      <c r="G1419" s="12">
        <f>EXP(-Assumptions!$B$8*B1419)</f>
        <v>0.49386158172229272</v>
      </c>
      <c r="H1419" s="12">
        <f t="shared" si="67"/>
        <v>0.32340058992654797</v>
      </c>
      <c r="I1419" s="12">
        <f t="shared" si="68"/>
        <v>7.9544356306297123E-2</v>
      </c>
      <c r="J1419" s="12">
        <f>G1419*(D1419*Assumptions!$B$6+E1419*Assumptions!$B$7)</f>
        <v>7.2112237145803369E-3</v>
      </c>
    </row>
    <row r="1420" spans="1:10" x14ac:dyDescent="0.2">
      <c r="A1420" s="2">
        <v>1412</v>
      </c>
      <c r="B1420" s="14">
        <f>A1420*Assumptions!$B$12</f>
        <v>14.120000000000001</v>
      </c>
      <c r="C1420" s="15">
        <f>IF(A1420&lt;=Assumptions!$B$13,IF(OR(A1420=0,A1420=Assumptions!$B$13),0.5,1),0)*Assumptions!$B$12</f>
        <v>0.01</v>
      </c>
      <c r="D1420" s="12">
        <f>D1419*(1-Assumptions!$B$12*(Assumptions!$B$5+Assumptions!$B$6))</f>
        <v>0.65464409809339941</v>
      </c>
      <c r="E1420" s="12">
        <f>E1419+Assumptions!$B$12*(D1419*Assumptions!$B$5-E1419*Assumptions!$B$7)</f>
        <v>0.16111652979492644</v>
      </c>
      <c r="F1420" s="12">
        <f t="shared" si="66"/>
        <v>0.18423937211167415</v>
      </c>
      <c r="G1420" s="12">
        <f>EXP(-Assumptions!$B$8*B1420)</f>
        <v>0.49361471265384177</v>
      </c>
      <c r="H1420" s="12">
        <f t="shared" si="67"/>
        <v>0.32314195837090676</v>
      </c>
      <c r="I1420" s="12">
        <f t="shared" si="68"/>
        <v>7.952948955850675E-2</v>
      </c>
      <c r="J1420" s="12">
        <f>G1420*(D1420*Assumptions!$B$6+E1420*Assumptions!$B$7)</f>
        <v>7.2078940616344053E-3</v>
      </c>
    </row>
    <row r="1421" spans="1:10" x14ac:dyDescent="0.2">
      <c r="A1421" s="2">
        <v>1413</v>
      </c>
      <c r="B1421" s="14">
        <f>A1421*Assumptions!$B$12</f>
        <v>14.13</v>
      </c>
      <c r="C1421" s="15">
        <f>IF(A1421&lt;=Assumptions!$B$13,IF(OR(A1421=0,A1421=Assumptions!$B$13),0.5,1),0)*Assumptions!$B$12</f>
        <v>0.01</v>
      </c>
      <c r="D1421" s="12">
        <f>D1420*(1-Assumptions!$B$12*(Assumptions!$B$5+Assumptions!$B$6))</f>
        <v>0.65444770486397141</v>
      </c>
      <c r="E1421" s="12">
        <f>E1420+Assumptions!$B$12*(D1420*Assumptions!$B$5-E1420*Assumptions!$B$7)</f>
        <v>0.16116690034964765</v>
      </c>
      <c r="F1421" s="12">
        <f t="shared" si="66"/>
        <v>0.18438539478638094</v>
      </c>
      <c r="G1421" s="12">
        <f>EXP(-Assumptions!$B$8*B1421)</f>
        <v>0.49336796698907159</v>
      </c>
      <c r="H1421" s="12">
        <f t="shared" si="67"/>
        <v>0.32288353364940153</v>
      </c>
      <c r="I1421" s="12">
        <f t="shared" si="68"/>
        <v>7.9514585971435944E-2</v>
      </c>
      <c r="J1421" s="12">
        <f>G1421*(D1421*Assumptions!$B$6+E1421*Assumptions!$B$7)</f>
        <v>7.2045646350658143E-3</v>
      </c>
    </row>
    <row r="1422" spans="1:10" x14ac:dyDescent="0.2">
      <c r="A1422" s="2">
        <v>1414</v>
      </c>
      <c r="B1422" s="14">
        <f>A1422*Assumptions!$B$12</f>
        <v>14.14</v>
      </c>
      <c r="C1422" s="15">
        <f>IF(A1422&lt;=Assumptions!$B$13,IF(OR(A1422=0,A1422=Assumptions!$B$13),0.5,1),0)*Assumptions!$B$12</f>
        <v>0.01</v>
      </c>
      <c r="D1422" s="12">
        <f>D1421*(1-Assumptions!$B$12*(Assumptions!$B$5+Assumptions!$B$6))</f>
        <v>0.65425137055251226</v>
      </c>
      <c r="E1422" s="12">
        <f>E1421+Assumptions!$B$12*(D1421*Assumptions!$B$5-E1421*Assumptions!$B$7)</f>
        <v>0.16121720644044563</v>
      </c>
      <c r="F1422" s="12">
        <f t="shared" si="66"/>
        <v>0.18453142300704212</v>
      </c>
      <c r="G1422" s="12">
        <f>EXP(-Assumptions!$B$8*B1422)</f>
        <v>0.4931213446662957</v>
      </c>
      <c r="H1422" s="12">
        <f t="shared" si="67"/>
        <v>0.32262531559662172</v>
      </c>
      <c r="I1422" s="12">
        <f t="shared" si="68"/>
        <v>7.9499645623256329E-2</v>
      </c>
      <c r="J1422" s="12">
        <f>G1422*(D1422*Assumptions!$B$6+E1422*Assumptions!$B$7)</f>
        <v>7.2012354371290346E-3</v>
      </c>
    </row>
    <row r="1423" spans="1:10" x14ac:dyDescent="0.2">
      <c r="A1423" s="2">
        <v>1415</v>
      </c>
      <c r="B1423" s="14">
        <f>A1423*Assumptions!$B$12</f>
        <v>14.15</v>
      </c>
      <c r="C1423" s="15">
        <f>IF(A1423&lt;=Assumptions!$B$13,IF(OR(A1423=0,A1423=Assumptions!$B$13),0.5,1),0)*Assumptions!$B$12</f>
        <v>0.01</v>
      </c>
      <c r="D1423" s="12">
        <f>D1422*(1-Assumptions!$B$12*(Assumptions!$B$5+Assumptions!$B$6))</f>
        <v>0.65405509514134652</v>
      </c>
      <c r="E1423" s="12">
        <f>E1422+Assumptions!$B$12*(D1422*Assumptions!$B$5-E1422*Assumptions!$B$7)</f>
        <v>0.16126744811133589</v>
      </c>
      <c r="F1423" s="12">
        <f t="shared" si="66"/>
        <v>0.18467745674731759</v>
      </c>
      <c r="G1423" s="12">
        <f>EXP(-Assumptions!$B$8*B1423)</f>
        <v>0.49287484562385858</v>
      </c>
      <c r="H1423" s="12">
        <f t="shared" si="67"/>
        <v>0.3223673040472893</v>
      </c>
      <c r="I1423" s="12">
        <f t="shared" si="68"/>
        <v>7.9484668592028296E-2</v>
      </c>
      <c r="J1423" s="12">
        <f>G1423*(D1423*Assumptions!$B$6+E1423*Assumptions!$B$7)</f>
        <v>7.197906470074308E-3</v>
      </c>
    </row>
    <row r="1424" spans="1:10" x14ac:dyDescent="0.2">
      <c r="A1424" s="2">
        <v>1416</v>
      </c>
      <c r="B1424" s="14">
        <f>A1424*Assumptions!$B$12</f>
        <v>14.16</v>
      </c>
      <c r="C1424" s="15">
        <f>IF(A1424&lt;=Assumptions!$B$13,IF(OR(A1424=0,A1424=Assumptions!$B$13),0.5,1),0)*Assumptions!$B$12</f>
        <v>0.01</v>
      </c>
      <c r="D1424" s="12">
        <f>D1423*(1-Assumptions!$B$12*(Assumptions!$B$5+Assumptions!$B$6))</f>
        <v>0.65385887861280412</v>
      </c>
      <c r="E1424" s="12">
        <f>E1423+Assumptions!$B$12*(D1423*Assumptions!$B$5-E1423*Assumptions!$B$7)</f>
        <v>0.16131762540630851</v>
      </c>
      <c r="F1424" s="12">
        <f t="shared" si="66"/>
        <v>0.18482349598088738</v>
      </c>
      <c r="G1424" s="12">
        <f>EXP(-Assumptions!$B$8*B1424)</f>
        <v>0.49262846980013542</v>
      </c>
      <c r="H1424" s="12">
        <f t="shared" si="67"/>
        <v>0.32210949883625817</v>
      </c>
      <c r="I1424" s="12">
        <f t="shared" si="68"/>
        <v>7.9469654955701213E-2</v>
      </c>
      <c r="J1424" s="12">
        <f>G1424*(D1424*Assumptions!$B$6+E1424*Assumptions!$B$7)</f>
        <v>7.1945777361476417E-3</v>
      </c>
    </row>
    <row r="1425" spans="1:10" x14ac:dyDescent="0.2">
      <c r="A1425" s="2">
        <v>1417</v>
      </c>
      <c r="B1425" s="14">
        <f>A1425*Assumptions!$B$12</f>
        <v>14.17</v>
      </c>
      <c r="C1425" s="15">
        <f>IF(A1425&lt;=Assumptions!$B$13,IF(OR(A1425=0,A1425=Assumptions!$B$13),0.5,1),0)*Assumptions!$B$12</f>
        <v>0.01</v>
      </c>
      <c r="D1425" s="12">
        <f>D1424*(1-Assumptions!$B$12*(Assumptions!$B$5+Assumptions!$B$6))</f>
        <v>0.65366272094922029</v>
      </c>
      <c r="E1425" s="12">
        <f>E1424+Assumptions!$B$12*(D1424*Assumptions!$B$5-E1424*Assumptions!$B$7)</f>
        <v>0.16136773836932791</v>
      </c>
      <c r="F1425" s="12">
        <f t="shared" si="66"/>
        <v>0.1849695406814518</v>
      </c>
      <c r="G1425" s="12">
        <f>EXP(-Assumptions!$B$8*B1425)</f>
        <v>0.49238221713353231</v>
      </c>
      <c r="H1425" s="12">
        <f t="shared" si="67"/>
        <v>0.32185189979851453</v>
      </c>
      <c r="I1425" s="12">
        <f t="shared" si="68"/>
        <v>7.9454604792113442E-2</v>
      </c>
      <c r="J1425" s="12">
        <f>G1425*(D1425*Assumptions!$B$6+E1425*Assumptions!$B$7)</f>
        <v>7.1912492375908171E-3</v>
      </c>
    </row>
    <row r="1426" spans="1:10" x14ac:dyDescent="0.2">
      <c r="A1426" s="2">
        <v>1418</v>
      </c>
      <c r="B1426" s="14">
        <f>A1426*Assumptions!$B$12</f>
        <v>14.18</v>
      </c>
      <c r="C1426" s="15">
        <f>IF(A1426&lt;=Assumptions!$B$13,IF(OR(A1426=0,A1426=Assumptions!$B$13),0.5,1),0)*Assumptions!$B$12</f>
        <v>0.01</v>
      </c>
      <c r="D1426" s="12">
        <f>D1425*(1-Assumptions!$B$12*(Assumptions!$B$5+Assumptions!$B$6))</f>
        <v>0.65346662213293549</v>
      </c>
      <c r="E1426" s="12">
        <f>E1425+Assumptions!$B$12*(D1425*Assumptions!$B$5-E1425*Assumptions!$B$7)</f>
        <v>0.1614177870443331</v>
      </c>
      <c r="F1426" s="12">
        <f t="shared" si="66"/>
        <v>0.18511559082273141</v>
      </c>
      <c r="G1426" s="12">
        <f>EXP(-Assumptions!$B$8*B1426)</f>
        <v>0.49213608756248595</v>
      </c>
      <c r="H1426" s="12">
        <f t="shared" si="67"/>
        <v>0.32159450676917628</v>
      </c>
      <c r="I1426" s="12">
        <f t="shared" si="68"/>
        <v>7.9439518178992627E-2</v>
      </c>
      <c r="J1426" s="12">
        <f>G1426*(D1426*Assumptions!$B$6+E1426*Assumptions!$B$7)</f>
        <v>7.1879209766413932E-3</v>
      </c>
    </row>
    <row r="1427" spans="1:10" x14ac:dyDescent="0.2">
      <c r="A1427" s="2">
        <v>1419</v>
      </c>
      <c r="B1427" s="14">
        <f>A1427*Assumptions!$B$12</f>
        <v>14.19</v>
      </c>
      <c r="C1427" s="15">
        <f>IF(A1427&lt;=Assumptions!$B$13,IF(OR(A1427=0,A1427=Assumptions!$B$13),0.5,1),0)*Assumptions!$B$12</f>
        <v>0.01</v>
      </c>
      <c r="D1427" s="12">
        <f>D1426*(1-Assumptions!$B$12*(Assumptions!$B$5+Assumptions!$B$6))</f>
        <v>0.65327058214629563</v>
      </c>
      <c r="E1427" s="12">
        <f>E1426+Assumptions!$B$12*(D1426*Assumptions!$B$5-E1426*Assumptions!$B$7)</f>
        <v>0.16146777147523753</v>
      </c>
      <c r="F1427" s="12">
        <f t="shared" si="66"/>
        <v>0.18526164637846684</v>
      </c>
      <c r="G1427" s="12">
        <f>EXP(-Assumptions!$B$8*B1427)</f>
        <v>0.49189008102546411</v>
      </c>
      <c r="H1427" s="12">
        <f t="shared" si="67"/>
        <v>0.32133731958349349</v>
      </c>
      <c r="I1427" s="12">
        <f t="shared" si="68"/>
        <v>7.9424395193955707E-2</v>
      </c>
      <c r="J1427" s="12">
        <f>G1427*(D1427*Assumptions!$B$6+E1427*Assumptions!$B$7)</f>
        <v>7.1845929555327207E-3</v>
      </c>
    </row>
    <row r="1428" spans="1:10" x14ac:dyDescent="0.2">
      <c r="A1428" s="2">
        <v>1420</v>
      </c>
      <c r="B1428" s="14">
        <f>A1428*Assumptions!$B$12</f>
        <v>14.200000000000001</v>
      </c>
      <c r="C1428" s="15">
        <f>IF(A1428&lt;=Assumptions!$B$13,IF(OR(A1428=0,A1428=Assumptions!$B$13),0.5,1),0)*Assumptions!$B$12</f>
        <v>0.01</v>
      </c>
      <c r="D1428" s="12">
        <f>D1427*(1-Assumptions!$B$12*(Assumptions!$B$5+Assumptions!$B$6))</f>
        <v>0.65307460097165171</v>
      </c>
      <c r="E1428" s="12">
        <f>E1427+Assumptions!$B$12*(D1427*Assumptions!$B$5-E1427*Assumptions!$B$7)</f>
        <v>0.16151769170592917</v>
      </c>
      <c r="F1428" s="12">
        <f t="shared" si="66"/>
        <v>0.18540770732241912</v>
      </c>
      <c r="G1428" s="12">
        <f>EXP(-Assumptions!$B$8*B1428)</f>
        <v>0.49164419746096505</v>
      </c>
      <c r="H1428" s="12">
        <f t="shared" si="67"/>
        <v>0.32108033807684772</v>
      </c>
      <c r="I1428" s="12">
        <f t="shared" si="68"/>
        <v>7.9409235914509116E-2</v>
      </c>
      <c r="J1428" s="12">
        <f>G1428*(D1428*Assumptions!$B$6+E1428*Assumptions!$B$7)</f>
        <v>7.1812651764939324E-3</v>
      </c>
    </row>
    <row r="1429" spans="1:10" x14ac:dyDescent="0.2">
      <c r="A1429" s="2">
        <v>1421</v>
      </c>
      <c r="B1429" s="14">
        <f>A1429*Assumptions!$B$12</f>
        <v>14.21</v>
      </c>
      <c r="C1429" s="15">
        <f>IF(A1429&lt;=Assumptions!$B$13,IF(OR(A1429=0,A1429=Assumptions!$B$13),0.5,1),0)*Assumptions!$B$12</f>
        <v>0.01</v>
      </c>
      <c r="D1429" s="12">
        <f>D1428*(1-Assumptions!$B$12*(Assumptions!$B$5+Assumptions!$B$6))</f>
        <v>0.65287867859136028</v>
      </c>
      <c r="E1429" s="12">
        <f>E1428+Assumptions!$B$12*(D1428*Assumptions!$B$5-E1428*Assumptions!$B$7)</f>
        <v>0.16156754778027052</v>
      </c>
      <c r="F1429" s="12">
        <f t="shared" si="66"/>
        <v>0.1855537736283692</v>
      </c>
      <c r="G1429" s="12">
        <f>EXP(-Assumptions!$B$8*B1429)</f>
        <v>0.49139843680751794</v>
      </c>
      <c r="H1429" s="12">
        <f t="shared" si="67"/>
        <v>0.32082356208475238</v>
      </c>
      <c r="I1429" s="12">
        <f t="shared" si="68"/>
        <v>7.93940404180489E-2</v>
      </c>
      <c r="J1429" s="12">
        <f>G1429*(D1429*Assumptions!$B$6+E1429*Assumptions!$B$7)</f>
        <v>7.1779376417499688E-3</v>
      </c>
    </row>
    <row r="1430" spans="1:10" x14ac:dyDescent="0.2">
      <c r="A1430" s="2">
        <v>1422</v>
      </c>
      <c r="B1430" s="14">
        <f>A1430*Assumptions!$B$12</f>
        <v>14.22</v>
      </c>
      <c r="C1430" s="15">
        <f>IF(A1430&lt;=Assumptions!$B$13,IF(OR(A1430=0,A1430=Assumptions!$B$13),0.5,1),0)*Assumptions!$B$12</f>
        <v>0.01</v>
      </c>
      <c r="D1430" s="12">
        <f>D1429*(1-Assumptions!$B$12*(Assumptions!$B$5+Assumptions!$B$6))</f>
        <v>0.65268281498778291</v>
      </c>
      <c r="E1430" s="12">
        <f>E1429+Assumptions!$B$12*(D1429*Assumptions!$B$5-E1429*Assumptions!$B$7)</f>
        <v>0.16161733974209866</v>
      </c>
      <c r="F1430" s="12">
        <f t="shared" si="66"/>
        <v>0.18569984527011843</v>
      </c>
      <c r="G1430" s="12">
        <f>EXP(-Assumptions!$B$8*B1430)</f>
        <v>0.49115279900368264</v>
      </c>
      <c r="H1430" s="12">
        <f t="shared" si="67"/>
        <v>0.32056699144285233</v>
      </c>
      <c r="I1430" s="12">
        <f t="shared" si="68"/>
        <v>7.9378808781860877E-2</v>
      </c>
      <c r="J1430" s="12">
        <f>G1430*(D1430*Assumptions!$B$6+E1430*Assumptions!$B$7)</f>
        <v>7.1746103535215667E-3</v>
      </c>
    </row>
    <row r="1431" spans="1:10" x14ac:dyDescent="0.2">
      <c r="A1431" s="2">
        <v>1423</v>
      </c>
      <c r="B1431" s="14">
        <f>A1431*Assumptions!$B$12</f>
        <v>14.23</v>
      </c>
      <c r="C1431" s="15">
        <f>IF(A1431&lt;=Assumptions!$B$13,IF(OR(A1431=0,A1431=Assumptions!$B$13),0.5,1),0)*Assumptions!$B$12</f>
        <v>0.01</v>
      </c>
      <c r="D1431" s="12">
        <f>D1430*(1-Assumptions!$B$12*(Assumptions!$B$5+Assumptions!$B$6))</f>
        <v>0.65248701014328658</v>
      </c>
      <c r="E1431" s="12">
        <f>E1430+Assumptions!$B$12*(D1430*Assumptions!$B$5-E1430*Assumptions!$B$7)</f>
        <v>0.16166706763522518</v>
      </c>
      <c r="F1431" s="12">
        <f t="shared" si="66"/>
        <v>0.18584592222148824</v>
      </c>
      <c r="G1431" s="12">
        <f>EXP(-Assumptions!$B$8*B1431)</f>
        <v>0.49090728398804961</v>
      </c>
      <c r="H1431" s="12">
        <f t="shared" si="67"/>
        <v>0.32031062598692378</v>
      </c>
      <c r="I1431" s="12">
        <f t="shared" si="68"/>
        <v>7.9363541083120714E-2</v>
      </c>
      <c r="J1431" s="12">
        <f>G1431*(D1431*Assumptions!$B$6+E1431*Assumptions!$B$7)</f>
        <v>7.1712833140252742E-3</v>
      </c>
    </row>
    <row r="1432" spans="1:10" x14ac:dyDescent="0.2">
      <c r="A1432" s="2">
        <v>1424</v>
      </c>
      <c r="B1432" s="14">
        <f>A1432*Assumptions!$B$12</f>
        <v>14.24</v>
      </c>
      <c r="C1432" s="15">
        <f>IF(A1432&lt;=Assumptions!$B$13,IF(OR(A1432=0,A1432=Assumptions!$B$13),0.5,1),0)*Assumptions!$B$12</f>
        <v>0.01</v>
      </c>
      <c r="D1432" s="12">
        <f>D1431*(1-Assumptions!$B$12*(Assumptions!$B$5+Assumptions!$B$6))</f>
        <v>0.65229126404024362</v>
      </c>
      <c r="E1432" s="12">
        <f>E1431+Assumptions!$B$12*(D1431*Assumptions!$B$5-E1431*Assumptions!$B$7)</f>
        <v>0.16171673150343621</v>
      </c>
      <c r="F1432" s="12">
        <f t="shared" si="66"/>
        <v>0.18599200445632016</v>
      </c>
      <c r="G1432" s="12">
        <f>EXP(-Assumptions!$B$8*B1432)</f>
        <v>0.49066189169924007</v>
      </c>
      <c r="H1432" s="12">
        <f t="shared" si="67"/>
        <v>0.32005446555287442</v>
      </c>
      <c r="I1432" s="12">
        <f t="shared" si="68"/>
        <v>7.93482373988941E-2</v>
      </c>
      <c r="J1432" s="12">
        <f>G1432*(D1432*Assumptions!$B$6+E1432*Assumptions!$B$7)</f>
        <v>7.1679565254734491E-3</v>
      </c>
    </row>
    <row r="1433" spans="1:10" x14ac:dyDescent="0.2">
      <c r="A1433" s="2">
        <v>1425</v>
      </c>
      <c r="B1433" s="14">
        <f>A1433*Assumptions!$B$12</f>
        <v>14.25</v>
      </c>
      <c r="C1433" s="15">
        <f>IF(A1433&lt;=Assumptions!$B$13,IF(OR(A1433=0,A1433=Assumptions!$B$13),0.5,1),0)*Assumptions!$B$12</f>
        <v>0.01</v>
      </c>
      <c r="D1433" s="12">
        <f>D1432*(1-Assumptions!$B$12*(Assumptions!$B$5+Assumptions!$B$6))</f>
        <v>0.65209557666103157</v>
      </c>
      <c r="E1433" s="12">
        <f>E1432+Assumptions!$B$12*(D1432*Assumptions!$B$5-E1432*Assumptions!$B$7)</f>
        <v>0.16176633139049254</v>
      </c>
      <c r="F1433" s="12">
        <f t="shared" si="66"/>
        <v>0.18613809194847589</v>
      </c>
      <c r="G1433" s="12">
        <f>EXP(-Assumptions!$B$8*B1433)</f>
        <v>0.49041662207590614</v>
      </c>
      <c r="H1433" s="12">
        <f t="shared" si="67"/>
        <v>0.31979850997674319</v>
      </c>
      <c r="I1433" s="12">
        <f t="shared" si="68"/>
        <v>7.9332897806136976E-2</v>
      </c>
      <c r="J1433" s="12">
        <f>G1433*(D1433*Assumptions!$B$6+E1433*Assumptions!$B$7)</f>
        <v>7.16462999007428E-3</v>
      </c>
    </row>
    <row r="1434" spans="1:10" x14ac:dyDescent="0.2">
      <c r="A1434" s="2">
        <v>1426</v>
      </c>
      <c r="B1434" s="14">
        <f>A1434*Assumptions!$B$12</f>
        <v>14.26</v>
      </c>
      <c r="C1434" s="15">
        <f>IF(A1434&lt;=Assumptions!$B$13,IF(OR(A1434=0,A1434=Assumptions!$B$13),0.5,1),0)*Assumptions!$B$12</f>
        <v>0.01</v>
      </c>
      <c r="D1434" s="12">
        <f>D1433*(1-Assumptions!$B$12*(Assumptions!$B$5+Assumptions!$B$6))</f>
        <v>0.6518999479880333</v>
      </c>
      <c r="E1434" s="12">
        <f>E1433+Assumptions!$B$12*(D1433*Assumptions!$B$5-E1433*Assumptions!$B$7)</f>
        <v>0.16181586734012951</v>
      </c>
      <c r="F1434" s="12">
        <f t="shared" si="66"/>
        <v>0.18628418467183719</v>
      </c>
      <c r="G1434" s="12">
        <f>EXP(-Assumptions!$B$8*B1434)</f>
        <v>0.49017147505673014</v>
      </c>
      <c r="H1434" s="12">
        <f t="shared" si="67"/>
        <v>0.31954275909469992</v>
      </c>
      <c r="I1434" s="12">
        <f t="shared" si="68"/>
        <v>7.9317522381695441E-2</v>
      </c>
      <c r="J1434" s="12">
        <f>G1434*(D1434*Assumptions!$B$6+E1434*Assumptions!$B$7)</f>
        <v>7.1613037100317729E-3</v>
      </c>
    </row>
    <row r="1435" spans="1:10" x14ac:dyDescent="0.2">
      <c r="A1435" s="2">
        <v>1427</v>
      </c>
      <c r="B1435" s="14">
        <f>A1435*Assumptions!$B$12</f>
        <v>14.27</v>
      </c>
      <c r="C1435" s="15">
        <f>IF(A1435&lt;=Assumptions!$B$13,IF(OR(A1435=0,A1435=Assumptions!$B$13),0.5,1),0)*Assumptions!$B$12</f>
        <v>0.01</v>
      </c>
      <c r="D1435" s="12">
        <f>D1434*(1-Assumptions!$B$12*(Assumptions!$B$5+Assumptions!$B$6))</f>
        <v>0.6517043780036369</v>
      </c>
      <c r="E1435" s="12">
        <f>E1434+Assumptions!$B$12*(D1434*Assumptions!$B$5-E1434*Assumptions!$B$7)</f>
        <v>0.16186533939605705</v>
      </c>
      <c r="F1435" s="12">
        <f t="shared" si="66"/>
        <v>0.18643028260030606</v>
      </c>
      <c r="G1435" s="12">
        <f>EXP(-Assumptions!$B$8*B1435)</f>
        <v>0.48992645058042555</v>
      </c>
      <c r="H1435" s="12">
        <f t="shared" si="67"/>
        <v>0.31928721274304578</v>
      </c>
      <c r="I1435" s="12">
        <f t="shared" si="68"/>
        <v>7.9302111202306153E-2</v>
      </c>
      <c r="J1435" s="12">
        <f>G1435*(D1435*Assumptions!$B$6+E1435*Assumptions!$B$7)</f>
        <v>7.1579776875457654E-3</v>
      </c>
    </row>
    <row r="1436" spans="1:10" x14ac:dyDescent="0.2">
      <c r="A1436" s="2">
        <v>1428</v>
      </c>
      <c r="B1436" s="14">
        <f>A1436*Assumptions!$B$12</f>
        <v>14.280000000000001</v>
      </c>
      <c r="C1436" s="15">
        <f>IF(A1436&lt;=Assumptions!$B$13,IF(OR(A1436=0,A1436=Assumptions!$B$13),0.5,1),0)*Assumptions!$B$12</f>
        <v>0.01</v>
      </c>
      <c r="D1436" s="12">
        <f>D1435*(1-Assumptions!$B$12*(Assumptions!$B$5+Assumptions!$B$6))</f>
        <v>0.65150886669023578</v>
      </c>
      <c r="E1436" s="12">
        <f>E1435+Assumptions!$B$12*(D1435*Assumptions!$B$5-E1435*Assumptions!$B$7)</f>
        <v>0.16191474760195976</v>
      </c>
      <c r="F1436" s="12">
        <f t="shared" si="66"/>
        <v>0.18657638570780447</v>
      </c>
      <c r="G1436" s="12">
        <f>EXP(-Assumptions!$B$8*B1436)</f>
        <v>0.48968154858573615</v>
      </c>
      <c r="H1436" s="12">
        <f t="shared" si="67"/>
        <v>0.3190318707582126</v>
      </c>
      <c r="I1436" s="12">
        <f t="shared" si="68"/>
        <v>7.9286664344596261E-2</v>
      </c>
      <c r="J1436" s="12">
        <f>G1436*(D1436*Assumptions!$B$6+E1436*Assumptions!$B$7)</f>
        <v>7.1546519248119386E-3</v>
      </c>
    </row>
    <row r="1437" spans="1:10" x14ac:dyDescent="0.2">
      <c r="A1437" s="2">
        <v>1429</v>
      </c>
      <c r="B1437" s="14">
        <f>A1437*Assumptions!$B$12</f>
        <v>14.290000000000001</v>
      </c>
      <c r="C1437" s="15">
        <f>IF(A1437&lt;=Assumptions!$B$13,IF(OR(A1437=0,A1437=Assumptions!$B$13),0.5,1),0)*Assumptions!$B$12</f>
        <v>0.01</v>
      </c>
      <c r="D1437" s="12">
        <f>D1436*(1-Assumptions!$B$12*(Assumptions!$B$5+Assumptions!$B$6))</f>
        <v>0.65131341403022869</v>
      </c>
      <c r="E1437" s="12">
        <f>E1436+Assumptions!$B$12*(D1436*Assumptions!$B$5-E1436*Assumptions!$B$7)</f>
        <v>0.16196409200149683</v>
      </c>
      <c r="F1437" s="12">
        <f t="shared" si="66"/>
        <v>0.18672249396827448</v>
      </c>
      <c r="G1437" s="12">
        <f>EXP(-Assumptions!$B$8*B1437)</f>
        <v>0.4894367690114364</v>
      </c>
      <c r="H1437" s="12">
        <f t="shared" si="67"/>
        <v>0.31877673297676307</v>
      </c>
      <c r="I1437" s="12">
        <f t="shared" si="68"/>
        <v>7.9271181885083641E-2</v>
      </c>
      <c r="J1437" s="12">
        <f>G1437*(D1437*Assumptions!$B$6+E1437*Assumptions!$B$7)</f>
        <v>7.1513264240218128E-3</v>
      </c>
    </row>
    <row r="1438" spans="1:10" x14ac:dyDescent="0.2">
      <c r="A1438" s="2">
        <v>1430</v>
      </c>
      <c r="B1438" s="14">
        <f>A1438*Assumptions!$B$12</f>
        <v>14.3</v>
      </c>
      <c r="C1438" s="15">
        <f>IF(A1438&lt;=Assumptions!$B$13,IF(OR(A1438=0,A1438=Assumptions!$B$13),0.5,1),0)*Assumptions!$B$12</f>
        <v>0.01</v>
      </c>
      <c r="D1438" s="12">
        <f>D1437*(1-Assumptions!$B$12*(Assumptions!$B$5+Assumptions!$B$6))</f>
        <v>0.65111802000601959</v>
      </c>
      <c r="E1438" s="12">
        <f>E1437+Assumptions!$B$12*(D1437*Assumptions!$B$5-E1437*Assumptions!$B$7)</f>
        <v>0.16201337263830212</v>
      </c>
      <c r="F1438" s="12">
        <f t="shared" si="66"/>
        <v>0.18686860735567828</v>
      </c>
      <c r="G1438" s="12">
        <f>EXP(-Assumptions!$B$8*B1438)</f>
        <v>0.48919211179633149</v>
      </c>
      <c r="H1438" s="12">
        <f t="shared" si="67"/>
        <v>0.31852179923539076</v>
      </c>
      <c r="I1438" s="12">
        <f t="shared" si="68"/>
        <v>7.9255663900177006E-2</v>
      </c>
      <c r="J1438" s="12">
        <f>G1438*(D1438*Assumptions!$B$6+E1438*Assumptions!$B$7)</f>
        <v>7.1480011873627583E-3</v>
      </c>
    </row>
    <row r="1439" spans="1:10" x14ac:dyDescent="0.2">
      <c r="A1439" s="2">
        <v>1431</v>
      </c>
      <c r="B1439" s="14">
        <f>A1439*Assumptions!$B$12</f>
        <v>14.31</v>
      </c>
      <c r="C1439" s="15">
        <f>IF(A1439&lt;=Assumptions!$B$13,IF(OR(A1439=0,A1439=Assumptions!$B$13),0.5,1),0)*Assumptions!$B$12</f>
        <v>0.01</v>
      </c>
      <c r="D1439" s="12">
        <f>D1438*(1-Assumptions!$B$12*(Assumptions!$B$5+Assumptions!$B$6))</f>
        <v>0.65092268460001779</v>
      </c>
      <c r="E1439" s="12">
        <f>E1438+Assumptions!$B$12*(D1438*Assumptions!$B$5-E1438*Assumptions!$B$7)</f>
        <v>0.16206258955598418</v>
      </c>
      <c r="F1439" s="12">
        <f t="shared" si="66"/>
        <v>0.18701472584399803</v>
      </c>
      <c r="G1439" s="12">
        <f>EXP(-Assumptions!$B$8*B1439)</f>
        <v>0.48894757687925711</v>
      </c>
      <c r="H1439" s="12">
        <f t="shared" si="67"/>
        <v>0.31826706937091964</v>
      </c>
      <c r="I1439" s="12">
        <f t="shared" si="68"/>
        <v>7.9240110466176072E-2</v>
      </c>
      <c r="J1439" s="12">
        <f>G1439*(D1439*Assumptions!$B$6+E1439*Assumptions!$B$7)</f>
        <v>7.144676217017999E-3</v>
      </c>
    </row>
    <row r="1440" spans="1:10" x14ac:dyDescent="0.2">
      <c r="A1440" s="2">
        <v>1432</v>
      </c>
      <c r="B1440" s="14">
        <f>A1440*Assumptions!$B$12</f>
        <v>14.32</v>
      </c>
      <c r="C1440" s="15">
        <f>IF(A1440&lt;=Assumptions!$B$13,IF(OR(A1440=0,A1440=Assumptions!$B$13),0.5,1),0)*Assumptions!$B$12</f>
        <v>0.01</v>
      </c>
      <c r="D1440" s="12">
        <f>D1439*(1-Assumptions!$B$12*(Assumptions!$B$5+Assumptions!$B$6))</f>
        <v>0.65072740779463778</v>
      </c>
      <c r="E1440" s="12">
        <f>E1439+Assumptions!$B$12*(D1439*Assumptions!$B$5-E1439*Assumptions!$B$7)</f>
        <v>0.16211174279812621</v>
      </c>
      <c r="F1440" s="12">
        <f t="shared" si="66"/>
        <v>0.18716084940723601</v>
      </c>
      <c r="G1440" s="12">
        <f>EXP(-Assumptions!$B$8*B1440)</f>
        <v>0.48870316419907944</v>
      </c>
      <c r="H1440" s="12">
        <f t="shared" si="67"/>
        <v>0.3180125432203042</v>
      </c>
      <c r="I1440" s="12">
        <f t="shared" si="68"/>
        <v>7.9224521659271602E-2</v>
      </c>
      <c r="J1440" s="12">
        <f>G1440*(D1440*Assumptions!$B$6+E1440*Assumptions!$B$7)</f>
        <v>7.1413515151666227E-3</v>
      </c>
    </row>
    <row r="1441" spans="1:10" x14ac:dyDescent="0.2">
      <c r="A1441" s="2">
        <v>1433</v>
      </c>
      <c r="B1441" s="14">
        <f>A1441*Assumptions!$B$12</f>
        <v>14.33</v>
      </c>
      <c r="C1441" s="15">
        <f>IF(A1441&lt;=Assumptions!$B$13,IF(OR(A1441=0,A1441=Assumptions!$B$13),0.5,1),0)*Assumptions!$B$12</f>
        <v>0.01</v>
      </c>
      <c r="D1441" s="12">
        <f>D1440*(1-Assumptions!$B$12*(Assumptions!$B$5+Assumptions!$B$6))</f>
        <v>0.65053218957229941</v>
      </c>
      <c r="E1441" s="12">
        <f>E1440+Assumptions!$B$12*(D1440*Assumptions!$B$5-E1440*Assumptions!$B$7)</f>
        <v>0.16216083240828608</v>
      </c>
      <c r="F1441" s="12">
        <f t="shared" si="66"/>
        <v>0.18730697801941451</v>
      </c>
      <c r="G1441" s="12">
        <f>EXP(-Assumptions!$B$8*B1441)</f>
        <v>0.48845887369469537</v>
      </c>
      <c r="H1441" s="12">
        <f t="shared" si="67"/>
        <v>0.31775822062062942</v>
      </c>
      <c r="I1441" s="12">
        <f t="shared" si="68"/>
        <v>7.9208897555545679E-2</v>
      </c>
      <c r="J1441" s="12">
        <f>G1441*(D1441*Assumptions!$B$6+E1441*Assumptions!$B$7)</f>
        <v>7.1380270839835787E-3</v>
      </c>
    </row>
    <row r="1442" spans="1:10" x14ac:dyDescent="0.2">
      <c r="A1442" s="2">
        <v>1434</v>
      </c>
      <c r="B1442" s="14">
        <f>A1442*Assumptions!$B$12</f>
        <v>14.34</v>
      </c>
      <c r="C1442" s="15">
        <f>IF(A1442&lt;=Assumptions!$B$13,IF(OR(A1442=0,A1442=Assumptions!$B$13),0.5,1),0)*Assumptions!$B$12</f>
        <v>0.01</v>
      </c>
      <c r="D1442" s="12">
        <f>D1441*(1-Assumptions!$B$12*(Assumptions!$B$5+Assumptions!$B$6))</f>
        <v>0.65033702991542774</v>
      </c>
      <c r="E1442" s="12">
        <f>E1441+Assumptions!$B$12*(D1441*Assumptions!$B$5-E1441*Assumptions!$B$7)</f>
        <v>0.16220985842999638</v>
      </c>
      <c r="F1442" s="12">
        <f t="shared" si="66"/>
        <v>0.18745311165457587</v>
      </c>
      <c r="G1442" s="12">
        <f>EXP(-Assumptions!$B$8*B1442)</f>
        <v>0.48821470530503225</v>
      </c>
      <c r="H1442" s="12">
        <f t="shared" si="67"/>
        <v>0.31750410140911051</v>
      </c>
      <c r="I1442" s="12">
        <f t="shared" si="68"/>
        <v>7.9193238230971685E-2</v>
      </c>
      <c r="J1442" s="12">
        <f>G1442*(D1442*Assumptions!$B$6+E1442*Assumptions!$B$7)</f>
        <v>7.1347029256396896E-3</v>
      </c>
    </row>
    <row r="1443" spans="1:10" x14ac:dyDescent="0.2">
      <c r="A1443" s="2">
        <v>1435</v>
      </c>
      <c r="B1443" s="14">
        <f>A1443*Assumptions!$B$12</f>
        <v>14.35</v>
      </c>
      <c r="C1443" s="15">
        <f>IF(A1443&lt;=Assumptions!$B$13,IF(OR(A1443=0,A1443=Assumptions!$B$13),0.5,1),0)*Assumptions!$B$12</f>
        <v>0.01</v>
      </c>
      <c r="D1443" s="12">
        <f>D1442*(1-Assumptions!$B$12*(Assumptions!$B$5+Assumptions!$B$6))</f>
        <v>0.65014192880645316</v>
      </c>
      <c r="E1443" s="12">
        <f>E1442+Assumptions!$B$12*(D1442*Assumptions!$B$5-E1442*Assumptions!$B$7)</f>
        <v>0.16225882090676447</v>
      </c>
      <c r="F1443" s="12">
        <f t="shared" si="66"/>
        <v>0.18759925028678237</v>
      </c>
      <c r="G1443" s="12">
        <f>EXP(-Assumptions!$B$8*B1443)</f>
        <v>0.48797065896904807</v>
      </c>
      <c r="H1443" s="12">
        <f t="shared" si="67"/>
        <v>0.31725018542309286</v>
      </c>
      <c r="I1443" s="12">
        <f t="shared" si="68"/>
        <v>7.9177543761414615E-2</v>
      </c>
      <c r="J1443" s="12">
        <f>G1443*(D1443*Assumptions!$B$6+E1443*Assumptions!$B$7)</f>
        <v>7.1313790423016589E-3</v>
      </c>
    </row>
    <row r="1444" spans="1:10" x14ac:dyDescent="0.2">
      <c r="A1444" s="2">
        <v>1436</v>
      </c>
      <c r="B1444" s="14">
        <f>A1444*Assumptions!$B$12</f>
        <v>14.36</v>
      </c>
      <c r="C1444" s="15">
        <f>IF(A1444&lt;=Assumptions!$B$13,IF(OR(A1444=0,A1444=Assumptions!$B$13),0.5,1),0)*Assumptions!$B$12</f>
        <v>0.01</v>
      </c>
      <c r="D1444" s="12">
        <f>D1443*(1-Assumptions!$B$12*(Assumptions!$B$5+Assumptions!$B$6))</f>
        <v>0.64994688622781127</v>
      </c>
      <c r="E1444" s="12">
        <f>E1443+Assumptions!$B$12*(D1443*Assumptions!$B$5-E1443*Assumptions!$B$7)</f>
        <v>0.16230771988207238</v>
      </c>
      <c r="F1444" s="12">
        <f t="shared" si="66"/>
        <v>0.18774539389011635</v>
      </c>
      <c r="G1444" s="12">
        <f>EXP(-Assumptions!$B$8*B1444)</f>
        <v>0.48772673462573118</v>
      </c>
      <c r="H1444" s="12">
        <f t="shared" si="67"/>
        <v>0.31699647250005203</v>
      </c>
      <c r="I1444" s="12">
        <f t="shared" si="68"/>
        <v>7.9161814222631022E-2</v>
      </c>
      <c r="J1444" s="12">
        <f>G1444*(D1444*Assumptions!$B$6+E1444*Assumptions!$B$7)</f>
        <v>7.1280554361320718E-3</v>
      </c>
    </row>
    <row r="1445" spans="1:10" x14ac:dyDescent="0.2">
      <c r="A1445" s="2">
        <v>1437</v>
      </c>
      <c r="B1445" s="14">
        <f>A1445*Assumptions!$B$12</f>
        <v>14.370000000000001</v>
      </c>
      <c r="C1445" s="15">
        <f>IF(A1445&lt;=Assumptions!$B$13,IF(OR(A1445=0,A1445=Assumptions!$B$13),0.5,1),0)*Assumptions!$B$12</f>
        <v>0.01</v>
      </c>
      <c r="D1445" s="12">
        <f>D1444*(1-Assumptions!$B$12*(Assumptions!$B$5+Assumptions!$B$6))</f>
        <v>0.6497519021619429</v>
      </c>
      <c r="E1445" s="12">
        <f>E1444+Assumptions!$B$12*(D1444*Assumptions!$B$5-E1444*Assumptions!$B$7)</f>
        <v>0.16235655539937691</v>
      </c>
      <c r="F1445" s="12">
        <f t="shared" si="66"/>
        <v>0.1878915424386802</v>
      </c>
      <c r="G1445" s="12">
        <f>EXP(-Assumptions!$B$8*B1445)</f>
        <v>0.48748293221410033</v>
      </c>
      <c r="H1445" s="12">
        <f t="shared" si="67"/>
        <v>0.31674296247759315</v>
      </c>
      <c r="I1445" s="12">
        <f t="shared" si="68"/>
        <v>7.9146049690269282E-2</v>
      </c>
      <c r="J1445" s="12">
        <f>G1445*(D1445*Assumptions!$B$6+E1445*Assumptions!$B$7)</f>
        <v>7.1247321092893952E-3</v>
      </c>
    </row>
    <row r="1446" spans="1:10" x14ac:dyDescent="0.2">
      <c r="A1446" s="2">
        <v>1438</v>
      </c>
      <c r="B1446" s="14">
        <f>A1446*Assumptions!$B$12</f>
        <v>14.38</v>
      </c>
      <c r="C1446" s="15">
        <f>IF(A1446&lt;=Assumptions!$B$13,IF(OR(A1446=0,A1446=Assumptions!$B$13),0.5,1),0)*Assumptions!$B$12</f>
        <v>0.01</v>
      </c>
      <c r="D1446" s="12">
        <f>D1445*(1-Assumptions!$B$12*(Assumptions!$B$5+Assumptions!$B$6))</f>
        <v>0.6495569765912943</v>
      </c>
      <c r="E1446" s="12">
        <f>E1445+Assumptions!$B$12*(D1445*Assumptions!$B$5-E1445*Assumptions!$B$7)</f>
        <v>0.16240532750210962</v>
      </c>
      <c r="F1446" s="12">
        <f t="shared" si="66"/>
        <v>0.18803769590659608</v>
      </c>
      <c r="G1446" s="12">
        <f>EXP(-Assumptions!$B$8*B1446)</f>
        <v>0.4872392516732052</v>
      </c>
      <c r="H1446" s="12">
        <f t="shared" si="67"/>
        <v>0.3164896551934519</v>
      </c>
      <c r="I1446" s="12">
        <f t="shared" si="68"/>
        <v>7.9130250239869707E-2</v>
      </c>
      <c r="J1446" s="12">
        <f>G1446*(D1446*Assumptions!$B$6+E1446*Assumptions!$B$7)</f>
        <v>7.1214090639280039E-3</v>
      </c>
    </row>
    <row r="1447" spans="1:10" x14ac:dyDescent="0.2">
      <c r="A1447" s="2">
        <v>1439</v>
      </c>
      <c r="B1447" s="14">
        <f>A1447*Assumptions!$B$12</f>
        <v>14.39</v>
      </c>
      <c r="C1447" s="15">
        <f>IF(A1447&lt;=Assumptions!$B$13,IF(OR(A1447=0,A1447=Assumptions!$B$13),0.5,1),0)*Assumptions!$B$12</f>
        <v>0.01</v>
      </c>
      <c r="D1447" s="12">
        <f>D1446*(1-Assumptions!$B$12*(Assumptions!$B$5+Assumptions!$B$6))</f>
        <v>0.64936210949831696</v>
      </c>
      <c r="E1447" s="12">
        <f>E1446+Assumptions!$B$12*(D1446*Assumptions!$B$5-E1446*Assumptions!$B$7)</f>
        <v>0.16245403623367682</v>
      </c>
      <c r="F1447" s="12">
        <f t="shared" si="66"/>
        <v>0.18818385426800621</v>
      </c>
      <c r="G1447" s="12">
        <f>EXP(-Assumptions!$B$8*B1447)</f>
        <v>0.48699569294212558</v>
      </c>
      <c r="H1447" s="12">
        <f t="shared" si="67"/>
        <v>0.31623655048549332</v>
      </c>
      <c r="I1447" s="12">
        <f t="shared" si="68"/>
        <v>7.9114415946864622E-2</v>
      </c>
      <c r="J1447" s="12">
        <f>G1447*(D1447*Assumptions!$B$6+E1447*Assumptions!$B$7)</f>
        <v>7.1180863021981632E-3</v>
      </c>
    </row>
    <row r="1448" spans="1:10" x14ac:dyDescent="0.2">
      <c r="A1448" s="2">
        <v>1440</v>
      </c>
      <c r="B1448" s="14">
        <f>A1448*Assumptions!$B$12</f>
        <v>14.4</v>
      </c>
      <c r="C1448" s="15">
        <f>IF(A1448&lt;=Assumptions!$B$13,IF(OR(A1448=0,A1448=Assumptions!$B$13),0.5,1),0)*Assumptions!$B$12</f>
        <v>0.01</v>
      </c>
      <c r="D1448" s="12">
        <f>D1447*(1-Assumptions!$B$12*(Assumptions!$B$5+Assumptions!$B$6))</f>
        <v>0.64916730086546748</v>
      </c>
      <c r="E1448" s="12">
        <f>E1447+Assumptions!$B$12*(D1447*Assumptions!$B$5-E1447*Assumptions!$B$7)</f>
        <v>0.16250268163745965</v>
      </c>
      <c r="F1448" s="12">
        <f t="shared" si="66"/>
        <v>0.18833001749707287</v>
      </c>
      <c r="G1448" s="12">
        <f>EXP(-Assumptions!$B$8*B1448)</f>
        <v>0.48675225595997162</v>
      </c>
      <c r="H1448" s="12">
        <f t="shared" si="67"/>
        <v>0.31598364819171193</v>
      </c>
      <c r="I1448" s="12">
        <f t="shared" si="68"/>
        <v>7.9098546886578538E-2</v>
      </c>
      <c r="J1448" s="12">
        <f>G1448*(D1448*Assumptions!$B$6+E1448*Assumptions!$B$7)</f>
        <v>7.1147638262460461E-3</v>
      </c>
    </row>
    <row r="1449" spans="1:10" x14ac:dyDescent="0.2">
      <c r="A1449" s="2">
        <v>1441</v>
      </c>
      <c r="B1449" s="14">
        <f>A1449*Assumptions!$B$12</f>
        <v>14.41</v>
      </c>
      <c r="C1449" s="15">
        <f>IF(A1449&lt;=Assumptions!$B$13,IF(OR(A1449=0,A1449=Assumptions!$B$13),0.5,1),0)*Assumptions!$B$12</f>
        <v>0.01</v>
      </c>
      <c r="D1449" s="12">
        <f>D1448*(1-Assumptions!$B$12*(Assumptions!$B$5+Assumptions!$B$6))</f>
        <v>0.64897255067520787</v>
      </c>
      <c r="E1449" s="12">
        <f>E1448+Assumptions!$B$12*(D1448*Assumptions!$B$5-E1448*Assumptions!$B$7)</f>
        <v>0.162551263756814</v>
      </c>
      <c r="F1449" s="12">
        <f t="shared" si="66"/>
        <v>0.18847618556797813</v>
      </c>
      <c r="G1449" s="12">
        <f>EXP(-Assumptions!$B$8*B1449)</f>
        <v>0.48650894066588424</v>
      </c>
      <c r="H1449" s="12">
        <f t="shared" si="67"/>
        <v>0.31573094815023228</v>
      </c>
      <c r="I1449" s="12">
        <f t="shared" si="68"/>
        <v>7.9082643134228317E-2</v>
      </c>
      <c r="J1449" s="12">
        <f>G1449*(D1449*Assumptions!$B$6+E1449*Assumptions!$B$7)</f>
        <v>7.1114416382137384E-3</v>
      </c>
    </row>
    <row r="1450" spans="1:10" x14ac:dyDescent="0.2">
      <c r="A1450" s="2">
        <v>1442</v>
      </c>
      <c r="B1450" s="14">
        <f>A1450*Assumptions!$B$12</f>
        <v>14.42</v>
      </c>
      <c r="C1450" s="15">
        <f>IF(A1450&lt;=Assumptions!$B$13,IF(OR(A1450=0,A1450=Assumptions!$B$13),0.5,1),0)*Assumptions!$B$12</f>
        <v>0.01</v>
      </c>
      <c r="D1450" s="12">
        <f>D1449*(1-Assumptions!$B$12*(Assumptions!$B$5+Assumptions!$B$6))</f>
        <v>0.64877785891000528</v>
      </c>
      <c r="E1450" s="12">
        <f>E1449+Assumptions!$B$12*(D1449*Assumptions!$B$5-E1449*Assumptions!$B$7)</f>
        <v>0.16259978263507063</v>
      </c>
      <c r="F1450" s="12">
        <f t="shared" si="66"/>
        <v>0.18862235845492409</v>
      </c>
      <c r="G1450" s="12">
        <f>EXP(-Assumptions!$B$8*B1450)</f>
        <v>0.48626574699903452</v>
      </c>
      <c r="H1450" s="12">
        <f t="shared" si="67"/>
        <v>0.31547845019930792</v>
      </c>
      <c r="I1450" s="12">
        <f t="shared" si="68"/>
        <v>7.9066704764923265E-2</v>
      </c>
      <c r="J1450" s="12">
        <f>G1450*(D1450*Assumptions!$B$6+E1450*Assumptions!$B$7)</f>
        <v>7.1081197402392427E-3</v>
      </c>
    </row>
    <row r="1451" spans="1:10" x14ac:dyDescent="0.2">
      <c r="A1451" s="2">
        <v>1443</v>
      </c>
      <c r="B1451" s="14">
        <f>A1451*Assumptions!$B$12</f>
        <v>14.43</v>
      </c>
      <c r="C1451" s="15">
        <f>IF(A1451&lt;=Assumptions!$B$13,IF(OR(A1451=0,A1451=Assumptions!$B$13),0.5,1),0)*Assumptions!$B$12</f>
        <v>0.01</v>
      </c>
      <c r="D1451" s="12">
        <f>D1450*(1-Assumptions!$B$12*(Assumptions!$B$5+Assumptions!$B$6))</f>
        <v>0.64858322555233228</v>
      </c>
      <c r="E1451" s="12">
        <f>E1450+Assumptions!$B$12*(D1450*Assumptions!$B$5-E1450*Assumptions!$B$7)</f>
        <v>0.1626482383155351</v>
      </c>
      <c r="F1451" s="12">
        <f t="shared" si="66"/>
        <v>0.18876853613213262</v>
      </c>
      <c r="G1451" s="12">
        <f>EXP(-Assumptions!$B$8*B1451)</f>
        <v>0.48602267489862411</v>
      </c>
      <c r="H1451" s="12">
        <f t="shared" si="67"/>
        <v>0.31522615417732219</v>
      </c>
      <c r="I1451" s="12">
        <f t="shared" si="68"/>
        <v>7.9050731853665249E-2</v>
      </c>
      <c r="J1451" s="12">
        <f>G1451*(D1451*Assumptions!$B$6+E1451*Assumptions!$B$7)</f>
        <v>7.104798134456484E-3</v>
      </c>
    </row>
    <row r="1452" spans="1:10" x14ac:dyDescent="0.2">
      <c r="A1452" s="2">
        <v>1444</v>
      </c>
      <c r="B1452" s="14">
        <f>A1452*Assumptions!$B$12</f>
        <v>14.44</v>
      </c>
      <c r="C1452" s="15">
        <f>IF(A1452&lt;=Assumptions!$B$13,IF(OR(A1452=0,A1452=Assumptions!$B$13),0.5,1),0)*Assumptions!$B$12</f>
        <v>0.01</v>
      </c>
      <c r="D1452" s="12">
        <f>D1451*(1-Assumptions!$B$12*(Assumptions!$B$5+Assumptions!$B$6))</f>
        <v>0.64838865058466655</v>
      </c>
      <c r="E1452" s="12">
        <f>E1451+Assumptions!$B$12*(D1451*Assumptions!$B$5-E1451*Assumptions!$B$7)</f>
        <v>0.1626966308414878</v>
      </c>
      <c r="F1452" s="12">
        <f t="shared" si="66"/>
        <v>0.18891471857384565</v>
      </c>
      <c r="G1452" s="12">
        <f>EXP(-Assumptions!$B$8*B1452)</f>
        <v>0.485779724303885</v>
      </c>
      <c r="H1452" s="12">
        <f t="shared" si="67"/>
        <v>0.31497405992278732</v>
      </c>
      <c r="I1452" s="12">
        <f t="shared" si="68"/>
        <v>7.90347244753489E-2</v>
      </c>
      <c r="J1452" s="12">
        <f>G1452*(D1452*Assumptions!$B$6+E1452*Assumptions!$B$7)</f>
        <v>7.1014768229953184E-3</v>
      </c>
    </row>
    <row r="1453" spans="1:10" x14ac:dyDescent="0.2">
      <c r="A1453" s="2">
        <v>1445</v>
      </c>
      <c r="B1453" s="14">
        <f>A1453*Assumptions!$B$12</f>
        <v>14.450000000000001</v>
      </c>
      <c r="C1453" s="15">
        <f>IF(A1453&lt;=Assumptions!$B$13,IF(OR(A1453=0,A1453=Assumptions!$B$13),0.5,1),0)*Assumptions!$B$12</f>
        <v>0.01</v>
      </c>
      <c r="D1453" s="12">
        <f>D1452*(1-Assumptions!$B$12*(Assumptions!$B$5+Assumptions!$B$6))</f>
        <v>0.64819413398949122</v>
      </c>
      <c r="E1453" s="12">
        <f>E1452+Assumptions!$B$12*(D1452*Assumptions!$B$5-E1452*Assumptions!$B$7)</f>
        <v>0.16274496025618398</v>
      </c>
      <c r="F1453" s="12">
        <f t="shared" si="66"/>
        <v>0.1890609057543248</v>
      </c>
      <c r="G1453" s="12">
        <f>EXP(-Assumptions!$B$8*B1453)</f>
        <v>0.48553689515407938</v>
      </c>
      <c r="H1453" s="12">
        <f t="shared" si="67"/>
        <v>0.31472216727434488</v>
      </c>
      <c r="I1453" s="12">
        <f t="shared" si="68"/>
        <v>7.9018682704761617E-2</v>
      </c>
      <c r="J1453" s="12">
        <f>G1453*(D1453*Assumptions!$B$6+E1453*Assumptions!$B$7)</f>
        <v>7.0981558079815299E-3</v>
      </c>
    </row>
    <row r="1454" spans="1:10" x14ac:dyDescent="0.2">
      <c r="A1454" s="2">
        <v>1446</v>
      </c>
      <c r="B1454" s="14">
        <f>A1454*Assumptions!$B$12</f>
        <v>14.46</v>
      </c>
      <c r="C1454" s="15">
        <f>IF(A1454&lt;=Assumptions!$B$13,IF(OR(A1454=0,A1454=Assumptions!$B$13),0.5,1),0)*Assumptions!$B$12</f>
        <v>0.01</v>
      </c>
      <c r="D1454" s="12">
        <f>D1453*(1-Assumptions!$B$12*(Assumptions!$B$5+Assumptions!$B$6))</f>
        <v>0.6479996757492944</v>
      </c>
      <c r="E1454" s="12">
        <f>E1453+Assumptions!$B$12*(D1453*Assumptions!$B$5-E1453*Assumptions!$B$7)</f>
        <v>0.16279322660285378</v>
      </c>
      <c r="F1454" s="12">
        <f t="shared" si="66"/>
        <v>0.18920709764785182</v>
      </c>
      <c r="G1454" s="12">
        <f>EXP(-Assumptions!$B$8*B1454)</f>
        <v>0.48529418738850016</v>
      </c>
      <c r="H1454" s="12">
        <f t="shared" si="67"/>
        <v>0.31447047607076545</v>
      </c>
      <c r="I1454" s="12">
        <f t="shared" si="68"/>
        <v>7.9002606616583898E-2</v>
      </c>
      <c r="J1454" s="12">
        <f>G1454*(D1454*Assumptions!$B$6+E1454*Assumptions!$B$7)</f>
        <v>7.0948350915368483E-3</v>
      </c>
    </row>
    <row r="1455" spans="1:10" x14ac:dyDescent="0.2">
      <c r="A1455" s="2">
        <v>1447</v>
      </c>
      <c r="B1455" s="14">
        <f>A1455*Assumptions!$B$12</f>
        <v>14.47</v>
      </c>
      <c r="C1455" s="15">
        <f>IF(A1455&lt;=Assumptions!$B$13,IF(OR(A1455=0,A1455=Assumptions!$B$13),0.5,1),0)*Assumptions!$B$12</f>
        <v>0.01</v>
      </c>
      <c r="D1455" s="12">
        <f>D1454*(1-Assumptions!$B$12*(Assumptions!$B$5+Assumptions!$B$6))</f>
        <v>0.64780527584656966</v>
      </c>
      <c r="E1455" s="12">
        <f>E1454+Assumptions!$B$12*(D1454*Assumptions!$B$5-E1454*Assumptions!$B$7)</f>
        <v>0.16284142992470221</v>
      </c>
      <c r="F1455" s="12">
        <f t="shared" si="66"/>
        <v>0.18935329422872813</v>
      </c>
      <c r="G1455" s="12">
        <f>EXP(-Assumptions!$B$8*B1455)</f>
        <v>0.48505160094647032</v>
      </c>
      <c r="H1455" s="12">
        <f t="shared" si="67"/>
        <v>0.31421898615094845</v>
      </c>
      <c r="I1455" s="12">
        <f t="shared" si="68"/>
        <v>7.8986496285389271E-2</v>
      </c>
      <c r="J1455" s="12">
        <f>G1455*(D1455*Assumptions!$B$6+E1455*Assumptions!$B$7)</f>
        <v>7.0915146757789477E-3</v>
      </c>
    </row>
    <row r="1456" spans="1:10" x14ac:dyDescent="0.2">
      <c r="A1456" s="2">
        <v>1448</v>
      </c>
      <c r="B1456" s="14">
        <f>A1456*Assumptions!$B$12</f>
        <v>14.48</v>
      </c>
      <c r="C1456" s="15">
        <f>IF(A1456&lt;=Assumptions!$B$13,IF(OR(A1456=0,A1456=Assumptions!$B$13),0.5,1),0)*Assumptions!$B$12</f>
        <v>0.01</v>
      </c>
      <c r="D1456" s="12">
        <f>D1455*(1-Assumptions!$B$12*(Assumptions!$B$5+Assumptions!$B$6))</f>
        <v>0.64761093426381566</v>
      </c>
      <c r="E1456" s="12">
        <f>E1455+Assumptions!$B$12*(D1455*Assumptions!$B$5-E1455*Assumptions!$B$7)</f>
        <v>0.16288957026490919</v>
      </c>
      <c r="F1456" s="12">
        <f t="shared" si="66"/>
        <v>0.18949949547127515</v>
      </c>
      <c r="G1456" s="12">
        <f>EXP(-Assumptions!$B$8*B1456)</f>
        <v>0.48480913576734319</v>
      </c>
      <c r="H1456" s="12">
        <f t="shared" si="67"/>
        <v>0.31396769735392216</v>
      </c>
      <c r="I1456" s="12">
        <f t="shared" si="68"/>
        <v>7.8970351785644544E-2</v>
      </c>
      <c r="J1456" s="12">
        <f>G1456*(D1456*Assumptions!$B$6+E1456*Assumptions!$B$7)</f>
        <v>7.0881945628214491E-3</v>
      </c>
    </row>
    <row r="1457" spans="1:10" x14ac:dyDescent="0.2">
      <c r="A1457" s="2">
        <v>1449</v>
      </c>
      <c r="B1457" s="14">
        <f>A1457*Assumptions!$B$12</f>
        <v>14.49</v>
      </c>
      <c r="C1457" s="15">
        <f>IF(A1457&lt;=Assumptions!$B$13,IF(OR(A1457=0,A1457=Assumptions!$B$13),0.5,1),0)*Assumptions!$B$12</f>
        <v>0.01</v>
      </c>
      <c r="D1457" s="12">
        <f>D1456*(1-Assumptions!$B$12*(Assumptions!$B$5+Assumptions!$B$6))</f>
        <v>0.64741665098353651</v>
      </c>
      <c r="E1457" s="12">
        <f>E1456+Assumptions!$B$12*(D1456*Assumptions!$B$5-E1456*Assumptions!$B$7)</f>
        <v>0.16293764766662949</v>
      </c>
      <c r="F1457" s="12">
        <f t="shared" si="66"/>
        <v>0.18964570134983399</v>
      </c>
      <c r="G1457" s="12">
        <f>EXP(-Assumptions!$B$8*B1457)</f>
        <v>0.4845667917905026</v>
      </c>
      <c r="H1457" s="12">
        <f t="shared" si="67"/>
        <v>0.31371660951884384</v>
      </c>
      <c r="I1457" s="12">
        <f t="shared" si="68"/>
        <v>7.8954173191709928E-2</v>
      </c>
      <c r="J1457" s="12">
        <f>G1457*(D1457*Assumptions!$B$6+E1457*Assumptions!$B$7)</f>
        <v>7.0848747547739349E-3</v>
      </c>
    </row>
    <row r="1458" spans="1:10" x14ac:dyDescent="0.2">
      <c r="A1458" s="2">
        <v>1450</v>
      </c>
      <c r="B1458" s="14">
        <f>A1458*Assumptions!$B$12</f>
        <v>14.5</v>
      </c>
      <c r="C1458" s="15">
        <f>IF(A1458&lt;=Assumptions!$B$13,IF(OR(A1458=0,A1458=Assumptions!$B$13),0.5,1),0)*Assumptions!$B$12</f>
        <v>0.01</v>
      </c>
      <c r="D1458" s="12">
        <f>D1457*(1-Assumptions!$B$12*(Assumptions!$B$5+Assumptions!$B$6))</f>
        <v>0.64722242598824142</v>
      </c>
      <c r="E1458" s="12">
        <f>E1457+Assumptions!$B$12*(D1457*Assumptions!$B$5-E1457*Assumptions!$B$7)</f>
        <v>0.16298566217299287</v>
      </c>
      <c r="F1458" s="12">
        <f t="shared" si="66"/>
        <v>0.1897919118387657</v>
      </c>
      <c r="G1458" s="12">
        <f>EXP(-Assumptions!$B$8*B1458)</f>
        <v>0.48432456895536241</v>
      </c>
      <c r="H1458" s="12">
        <f t="shared" si="67"/>
        <v>0.31346572248499899</v>
      </c>
      <c r="I1458" s="12">
        <f t="shared" si="68"/>
        <v>7.8937960577839084E-2</v>
      </c>
      <c r="J1458" s="12">
        <f>G1458*(D1458*Assumptions!$B$6+E1458*Assumptions!$B$7)</f>
        <v>7.0815552537419439E-3</v>
      </c>
    </row>
    <row r="1459" spans="1:10" x14ac:dyDescent="0.2">
      <c r="A1459" s="2">
        <v>1451</v>
      </c>
      <c r="B1459" s="14">
        <f>A1459*Assumptions!$B$12</f>
        <v>14.51</v>
      </c>
      <c r="C1459" s="15">
        <f>IF(A1459&lt;=Assumptions!$B$13,IF(OR(A1459=0,A1459=Assumptions!$B$13),0.5,1),0)*Assumptions!$B$12</f>
        <v>0.01</v>
      </c>
      <c r="D1459" s="12">
        <f>D1458*(1-Assumptions!$B$12*(Assumptions!$B$5+Assumptions!$B$6))</f>
        <v>0.64702825926044494</v>
      </c>
      <c r="E1459" s="12">
        <f>E1458+Assumptions!$B$12*(D1458*Assumptions!$B$5-E1458*Assumptions!$B$7)</f>
        <v>0.16303361382710402</v>
      </c>
      <c r="F1459" s="12">
        <f t="shared" si="66"/>
        <v>0.18993812691245104</v>
      </c>
      <c r="G1459" s="12">
        <f>EXP(-Assumptions!$B$8*B1459)</f>
        <v>0.48408246720136705</v>
      </c>
      <c r="H1459" s="12">
        <f t="shared" si="67"/>
        <v>0.31321503609180196</v>
      </c>
      <c r="I1459" s="12">
        <f t="shared" si="68"/>
        <v>7.892171401817942E-2</v>
      </c>
      <c r="J1459" s="12">
        <f>G1459*(D1459*Assumptions!$B$6+E1459*Assumptions!$B$7)</f>
        <v>7.0782360618269922E-3</v>
      </c>
    </row>
    <row r="1460" spans="1:10" x14ac:dyDescent="0.2">
      <c r="A1460" s="2">
        <v>1452</v>
      </c>
      <c r="B1460" s="14">
        <f>A1460*Assumptions!$B$12</f>
        <v>14.52</v>
      </c>
      <c r="C1460" s="15">
        <f>IF(A1460&lt;=Assumptions!$B$13,IF(OR(A1460=0,A1460=Assumptions!$B$13),0.5,1),0)*Assumptions!$B$12</f>
        <v>0.01</v>
      </c>
      <c r="D1460" s="12">
        <f>D1459*(1-Assumptions!$B$12*(Assumptions!$B$5+Assumptions!$B$6))</f>
        <v>0.64683415078266682</v>
      </c>
      <c r="E1460" s="12">
        <f>E1459+Assumptions!$B$12*(D1459*Assumptions!$B$5-E1459*Assumptions!$B$7)</f>
        <v>0.16308150267204255</v>
      </c>
      <c r="F1460" s="12">
        <f t="shared" si="66"/>
        <v>0.19008434654529063</v>
      </c>
      <c r="G1460" s="12">
        <f>EXP(-Assumptions!$B$8*B1460)</f>
        <v>0.48384048646799099</v>
      </c>
      <c r="H1460" s="12">
        <f t="shared" si="67"/>
        <v>0.31296455017879538</v>
      </c>
      <c r="I1460" s="12">
        <f t="shared" si="68"/>
        <v>7.8905433586772045E-2</v>
      </c>
      <c r="J1460" s="12">
        <f>G1460*(D1460*Assumptions!$B$6+E1460*Assumptions!$B$7)</f>
        <v>7.0749171811265556E-3</v>
      </c>
    </row>
    <row r="1461" spans="1:10" x14ac:dyDescent="0.2">
      <c r="A1461" s="2">
        <v>1453</v>
      </c>
      <c r="B1461" s="14">
        <f>A1461*Assumptions!$B$12</f>
        <v>14.530000000000001</v>
      </c>
      <c r="C1461" s="15">
        <f>IF(A1461&lt;=Assumptions!$B$13,IF(OR(A1461=0,A1461=Assumptions!$B$13),0.5,1),0)*Assumptions!$B$12</f>
        <v>0.01</v>
      </c>
      <c r="D1461" s="12">
        <f>D1460*(1-Assumptions!$B$12*(Assumptions!$B$5+Assumptions!$B$6))</f>
        <v>0.64664010053743204</v>
      </c>
      <c r="E1461" s="12">
        <f>E1460+Assumptions!$B$12*(D1460*Assumptions!$B$5-E1460*Assumptions!$B$7)</f>
        <v>0.16312932875086306</v>
      </c>
      <c r="F1461" s="12">
        <f t="shared" si="66"/>
        <v>0.1902305707117049</v>
      </c>
      <c r="G1461" s="12">
        <f>EXP(-Assumptions!$B$8*B1461)</f>
        <v>0.48359862669473896</v>
      </c>
      <c r="H1461" s="12">
        <f t="shared" si="67"/>
        <v>0.31271426458565005</v>
      </c>
      <c r="I1461" s="12">
        <f t="shared" si="68"/>
        <v>7.8889119357551968E-2</v>
      </c>
      <c r="J1461" s="12">
        <f>G1461*(D1461*Assumptions!$B$6+E1461*Assumptions!$B$7)</f>
        <v>7.0715986137341001E-3</v>
      </c>
    </row>
    <row r="1462" spans="1:10" x14ac:dyDescent="0.2">
      <c r="A1462" s="2">
        <v>1454</v>
      </c>
      <c r="B1462" s="14">
        <f>A1462*Assumptions!$B$12</f>
        <v>14.540000000000001</v>
      </c>
      <c r="C1462" s="15">
        <f>IF(A1462&lt;=Assumptions!$B$13,IF(OR(A1462=0,A1462=Assumptions!$B$13),0.5,1),0)*Assumptions!$B$12</f>
        <v>0.01</v>
      </c>
      <c r="D1462" s="12">
        <f>D1461*(1-Assumptions!$B$12*(Assumptions!$B$5+Assumptions!$B$6))</f>
        <v>0.6464461085072708</v>
      </c>
      <c r="E1462" s="12">
        <f>E1461+Assumptions!$B$12*(D1461*Assumptions!$B$5-E1461*Assumptions!$B$7)</f>
        <v>0.16317709210659512</v>
      </c>
      <c r="F1462" s="12">
        <f t="shared" si="66"/>
        <v>0.19037679938613408</v>
      </c>
      <c r="G1462" s="12">
        <f>EXP(-Assumptions!$B$8*B1462)</f>
        <v>0.48335688782114627</v>
      </c>
      <c r="H1462" s="12">
        <f t="shared" si="67"/>
        <v>0.31246417915216546</v>
      </c>
      <c r="I1462" s="12">
        <f t="shared" si="68"/>
        <v>7.8872771404348355E-2</v>
      </c>
      <c r="J1462" s="12">
        <f>G1462*(D1462*Assumptions!$B$6+E1462*Assumptions!$B$7)</f>
        <v>7.0682803617390724E-3</v>
      </c>
    </row>
    <row r="1463" spans="1:10" x14ac:dyDescent="0.2">
      <c r="A1463" s="2">
        <v>1455</v>
      </c>
      <c r="B1463" s="14">
        <f>A1463*Assumptions!$B$12</f>
        <v>14.55</v>
      </c>
      <c r="C1463" s="15">
        <f>IF(A1463&lt;=Assumptions!$B$13,IF(OR(A1463=0,A1463=Assumptions!$B$13),0.5,1),0)*Assumptions!$B$12</f>
        <v>0.01</v>
      </c>
      <c r="D1463" s="12">
        <f>D1462*(1-Assumptions!$B$12*(Assumptions!$B$5+Assumptions!$B$6))</f>
        <v>0.64625217467471863</v>
      </c>
      <c r="E1463" s="12">
        <f>E1462+Assumptions!$B$12*(D1462*Assumptions!$B$5-E1462*Assumptions!$B$7)</f>
        <v>0.16322479278224328</v>
      </c>
      <c r="F1463" s="12">
        <f t="shared" si="66"/>
        <v>0.1905230325430381</v>
      </c>
      <c r="G1463" s="12">
        <f>EXP(-Assumptions!$B$8*B1463)</f>
        <v>0.48311526978677805</v>
      </c>
      <c r="H1463" s="12">
        <f t="shared" si="67"/>
        <v>0.3122142937182687</v>
      </c>
      <c r="I1463" s="12">
        <f t="shared" si="68"/>
        <v>7.8856389800884399E-2</v>
      </c>
      <c r="J1463" s="12">
        <f>G1463*(D1463*Assumptions!$B$6+E1463*Assumptions!$B$7)</f>
        <v>7.0649624272269076E-3</v>
      </c>
    </row>
    <row r="1464" spans="1:10" x14ac:dyDescent="0.2">
      <c r="A1464" s="2">
        <v>1456</v>
      </c>
      <c r="B1464" s="14">
        <f>A1464*Assumptions!$B$12</f>
        <v>14.56</v>
      </c>
      <c r="C1464" s="15">
        <f>IF(A1464&lt;=Assumptions!$B$13,IF(OR(A1464=0,A1464=Assumptions!$B$13),0.5,1),0)*Assumptions!$B$12</f>
        <v>0.01</v>
      </c>
      <c r="D1464" s="12">
        <f>D1463*(1-Assumptions!$B$12*(Assumptions!$B$5+Assumptions!$B$6))</f>
        <v>0.64605829902231626</v>
      </c>
      <c r="E1464" s="12">
        <f>E1463+Assumptions!$B$12*(D1463*Assumptions!$B$5-E1463*Assumptions!$B$7)</f>
        <v>0.1632724308207871</v>
      </c>
      <c r="F1464" s="12">
        <f t="shared" si="66"/>
        <v>0.19066927015689664</v>
      </c>
      <c r="G1464" s="12">
        <f>EXP(-Assumptions!$B$8*B1464)</f>
        <v>0.48287377253122971</v>
      </c>
      <c r="H1464" s="12">
        <f t="shared" si="67"/>
        <v>0.31196460812401511</v>
      </c>
      <c r="I1464" s="12">
        <f t="shared" si="68"/>
        <v>7.8839974620777686E-2</v>
      </c>
      <c r="J1464" s="12">
        <f>G1464*(D1464*Assumptions!$B$6+E1464*Assumptions!$B$7)</f>
        <v>7.0616448122790363E-3</v>
      </c>
    </row>
    <row r="1465" spans="1:10" x14ac:dyDescent="0.2">
      <c r="A1465" s="2">
        <v>1457</v>
      </c>
      <c r="B1465" s="14">
        <f>A1465*Assumptions!$B$12</f>
        <v>14.57</v>
      </c>
      <c r="C1465" s="15">
        <f>IF(A1465&lt;=Assumptions!$B$13,IF(OR(A1465=0,A1465=Assumptions!$B$13),0.5,1),0)*Assumptions!$B$12</f>
        <v>0.01</v>
      </c>
      <c r="D1465" s="12">
        <f>D1464*(1-Assumptions!$B$12*(Assumptions!$B$5+Assumptions!$B$6))</f>
        <v>0.64586448153260956</v>
      </c>
      <c r="E1465" s="12">
        <f>E1464+Assumptions!$B$12*(D1464*Assumptions!$B$5-E1464*Assumptions!$B$7)</f>
        <v>0.16332000626518117</v>
      </c>
      <c r="F1465" s="12">
        <f t="shared" si="66"/>
        <v>0.19081551220220927</v>
      </c>
      <c r="G1465" s="12">
        <f>EXP(-Assumptions!$B$8*B1465)</f>
        <v>0.48263239599412705</v>
      </c>
      <c r="H1465" s="12">
        <f t="shared" si="67"/>
        <v>0.31171512220958797</v>
      </c>
      <c r="I1465" s="12">
        <f t="shared" si="68"/>
        <v>7.8823525937540231E-2</v>
      </c>
      <c r="J1465" s="12">
        <f>G1465*(D1465*Assumptions!$B$6+E1465*Assumptions!$B$7)</f>
        <v>7.0583275189728912E-3</v>
      </c>
    </row>
    <row r="1466" spans="1:10" x14ac:dyDescent="0.2">
      <c r="A1466" s="2">
        <v>1458</v>
      </c>
      <c r="B1466" s="14">
        <f>A1466*Assumptions!$B$12</f>
        <v>14.58</v>
      </c>
      <c r="C1466" s="15">
        <f>IF(A1466&lt;=Assumptions!$B$13,IF(OR(A1466=0,A1466=Assumptions!$B$13),0.5,1),0)*Assumptions!$B$12</f>
        <v>0.01</v>
      </c>
      <c r="D1466" s="12">
        <f>D1465*(1-Assumptions!$B$12*(Assumptions!$B$5+Assumptions!$B$6))</f>
        <v>0.6456707221881498</v>
      </c>
      <c r="E1466" s="12">
        <f>E1465+Assumptions!$B$12*(D1465*Assumptions!$B$5-E1465*Assumptions!$B$7)</f>
        <v>0.1633675191583551</v>
      </c>
      <c r="F1466" s="12">
        <f t="shared" si="66"/>
        <v>0.1909617586534951</v>
      </c>
      <c r="G1466" s="12">
        <f>EXP(-Assumptions!$B$8*B1466)</f>
        <v>0.4823911401151259</v>
      </c>
      <c r="H1466" s="12">
        <f t="shared" si="67"/>
        <v>0.3114658358152983</v>
      </c>
      <c r="I1466" s="12">
        <f t="shared" si="68"/>
        <v>7.8807043824578593E-2</v>
      </c>
      <c r="J1466" s="12">
        <f>G1466*(D1466*Assumptions!$B$6+E1466*Assumptions!$B$7)</f>
        <v>7.0550105493819128E-3</v>
      </c>
    </row>
    <row r="1467" spans="1:10" x14ac:dyDescent="0.2">
      <c r="A1467" s="2">
        <v>1459</v>
      </c>
      <c r="B1467" s="14">
        <f>A1467*Assumptions!$B$12</f>
        <v>14.59</v>
      </c>
      <c r="C1467" s="15">
        <f>IF(A1467&lt;=Assumptions!$B$13,IF(OR(A1467=0,A1467=Assumptions!$B$13),0.5,1),0)*Assumptions!$B$12</f>
        <v>0.01</v>
      </c>
      <c r="D1467" s="12">
        <f>D1466*(1-Assumptions!$B$12*(Assumptions!$B$5+Assumptions!$B$6))</f>
        <v>0.6454770209714934</v>
      </c>
      <c r="E1467" s="12">
        <f>E1466+Assumptions!$B$12*(D1466*Assumptions!$B$5-E1466*Assumptions!$B$7)</f>
        <v>0.16341496954321355</v>
      </c>
      <c r="F1467" s="12">
        <f t="shared" si="66"/>
        <v>0.19110800948529305</v>
      </c>
      <c r="G1467" s="12">
        <f>EXP(-Assumptions!$B$8*B1467)</f>
        <v>0.48215000483391229</v>
      </c>
      <c r="H1467" s="12">
        <f t="shared" si="67"/>
        <v>0.31121674878158484</v>
      </c>
      <c r="I1467" s="12">
        <f t="shared" si="68"/>
        <v>7.8790528355194039E-2</v>
      </c>
      <c r="J1467" s="12">
        <f>G1467*(D1467*Assumptions!$B$6+E1467*Assumptions!$B$7)</f>
        <v>7.0516939055755515E-3</v>
      </c>
    </row>
    <row r="1468" spans="1:10" x14ac:dyDescent="0.2">
      <c r="A1468" s="2">
        <v>1460</v>
      </c>
      <c r="B1468" s="14">
        <f>A1468*Assumptions!$B$12</f>
        <v>14.6</v>
      </c>
      <c r="C1468" s="15">
        <f>IF(A1468&lt;=Assumptions!$B$13,IF(OR(A1468=0,A1468=Assumptions!$B$13),0.5,1),0)*Assumptions!$B$12</f>
        <v>0.01</v>
      </c>
      <c r="D1468" s="12">
        <f>D1467*(1-Assumptions!$B$12*(Assumptions!$B$5+Assumptions!$B$6))</f>
        <v>0.64528337786520196</v>
      </c>
      <c r="E1468" s="12">
        <f>E1467+Assumptions!$B$12*(D1467*Assumptions!$B$5-E1467*Assumptions!$B$7)</f>
        <v>0.16346235746263624</v>
      </c>
      <c r="F1468" s="12">
        <f t="shared" si="66"/>
        <v>0.19125426467216181</v>
      </c>
      <c r="G1468" s="12">
        <f>EXP(-Assumptions!$B$8*B1468)</f>
        <v>0.48190899009020244</v>
      </c>
      <c r="H1468" s="12">
        <f t="shared" si="67"/>
        <v>0.31096786094901396</v>
      </c>
      <c r="I1468" s="12">
        <f t="shared" si="68"/>
        <v>7.87739796025827E-2</v>
      </c>
      <c r="J1468" s="12">
        <f>G1468*(D1468*Assumptions!$B$6+E1468*Assumptions!$B$7)</f>
        <v>7.0483775896192742E-3</v>
      </c>
    </row>
    <row r="1469" spans="1:10" x14ac:dyDescent="0.2">
      <c r="A1469" s="2">
        <v>1461</v>
      </c>
      <c r="B1469" s="14">
        <f>A1469*Assumptions!$B$12</f>
        <v>14.61</v>
      </c>
      <c r="C1469" s="15">
        <f>IF(A1469&lt;=Assumptions!$B$13,IF(OR(A1469=0,A1469=Assumptions!$B$13),0.5,1),0)*Assumptions!$B$12</f>
        <v>0.01</v>
      </c>
      <c r="D1469" s="12">
        <f>D1468*(1-Assumptions!$B$12*(Assumptions!$B$5+Assumptions!$B$6))</f>
        <v>0.64508979285184243</v>
      </c>
      <c r="E1469" s="12">
        <f>E1468+Assumptions!$B$12*(D1468*Assumptions!$B$5-E1468*Assumptions!$B$7)</f>
        <v>0.16350968295947796</v>
      </c>
      <c r="F1469" s="12">
        <f t="shared" si="66"/>
        <v>0.19140052418867962</v>
      </c>
      <c r="G1469" s="12">
        <f>EXP(-Assumptions!$B$8*B1469)</f>
        <v>0.48166809582374254</v>
      </c>
      <c r="H1469" s="12">
        <f t="shared" si="67"/>
        <v>0.31071917215827943</v>
      </c>
      <c r="I1469" s="12">
        <f t="shared" si="68"/>
        <v>7.8757397639835594E-2</v>
      </c>
      <c r="J1469" s="12">
        <f>G1469*(D1469*Assumptions!$B$6+E1469*Assumptions!$B$7)</f>
        <v>7.0450616035745749E-3</v>
      </c>
    </row>
    <row r="1470" spans="1:10" x14ac:dyDescent="0.2">
      <c r="A1470" s="2">
        <v>1462</v>
      </c>
      <c r="B1470" s="14">
        <f>A1470*Assumptions!$B$12</f>
        <v>14.620000000000001</v>
      </c>
      <c r="C1470" s="15">
        <f>IF(A1470&lt;=Assumptions!$B$13,IF(OR(A1470=0,A1470=Assumptions!$B$13),0.5,1),0)*Assumptions!$B$12</f>
        <v>0.01</v>
      </c>
      <c r="D1470" s="12">
        <f>D1469*(1-Assumptions!$B$12*(Assumptions!$B$5+Assumptions!$B$6))</f>
        <v>0.64489626591398685</v>
      </c>
      <c r="E1470" s="12">
        <f>E1469+Assumptions!$B$12*(D1469*Assumptions!$B$5-E1469*Assumptions!$B$7)</f>
        <v>0.16355694607656859</v>
      </c>
      <c r="F1470" s="12">
        <f t="shared" si="66"/>
        <v>0.19154678800944455</v>
      </c>
      <c r="G1470" s="12">
        <f>EXP(-Assumptions!$B$8*B1470)</f>
        <v>0.48142732197430915</v>
      </c>
      <c r="H1470" s="12">
        <f t="shared" si="67"/>
        <v>0.31047068225020263</v>
      </c>
      <c r="I1470" s="12">
        <f t="shared" si="68"/>
        <v>7.8740782539938908E-2</v>
      </c>
      <c r="J1470" s="12">
        <f>G1470*(D1470*Assumptions!$B$6+E1470*Assumptions!$B$7)</f>
        <v>7.0417459494989719E-3</v>
      </c>
    </row>
    <row r="1471" spans="1:10" x14ac:dyDescent="0.2">
      <c r="A1471" s="2">
        <v>1463</v>
      </c>
      <c r="B1471" s="14">
        <f>A1471*Assumptions!$B$12</f>
        <v>14.63</v>
      </c>
      <c r="C1471" s="15">
        <f>IF(A1471&lt;=Assumptions!$B$13,IF(OR(A1471=0,A1471=Assumptions!$B$13),0.5,1),0)*Assumptions!$B$12</f>
        <v>0.01</v>
      </c>
      <c r="D1471" s="12">
        <f>D1470*(1-Assumptions!$B$12*(Assumptions!$B$5+Assumptions!$B$6))</f>
        <v>0.64470279703421263</v>
      </c>
      <c r="E1471" s="12">
        <f>E1470+Assumptions!$B$12*(D1470*Assumptions!$B$5-E1470*Assumptions!$B$7)</f>
        <v>0.1636041468567131</v>
      </c>
      <c r="F1471" s="12">
        <f t="shared" si="66"/>
        <v>0.19169305610907428</v>
      </c>
      <c r="G1471" s="12">
        <f>EXP(-Assumptions!$B$8*B1471)</f>
        <v>0.48118666848170877</v>
      </c>
      <c r="H1471" s="12">
        <f t="shared" si="67"/>
        <v>0.31022239106573207</v>
      </c>
      <c r="I1471" s="12">
        <f t="shared" si="68"/>
        <v>7.8724134375773996E-2</v>
      </c>
      <c r="J1471" s="12">
        <f>G1471*(D1471*Assumptions!$B$6+E1471*Assumptions!$B$7)</f>
        <v>7.0384306294460205E-3</v>
      </c>
    </row>
    <row r="1472" spans="1:10" x14ac:dyDescent="0.2">
      <c r="A1472" s="2">
        <v>1464</v>
      </c>
      <c r="B1472" s="14">
        <f>A1472*Assumptions!$B$12</f>
        <v>14.64</v>
      </c>
      <c r="C1472" s="15">
        <f>IF(A1472&lt;=Assumptions!$B$13,IF(OR(A1472=0,A1472=Assumptions!$B$13),0.5,1),0)*Assumptions!$B$12</f>
        <v>0.01</v>
      </c>
      <c r="D1472" s="12">
        <f>D1471*(1-Assumptions!$B$12*(Assumptions!$B$5+Assumptions!$B$6))</f>
        <v>0.64450938619510234</v>
      </c>
      <c r="E1472" s="12">
        <f>E1471+Assumptions!$B$12*(D1471*Assumptions!$B$5-E1471*Assumptions!$B$7)</f>
        <v>0.16365128534269158</v>
      </c>
      <c r="F1472" s="12">
        <f t="shared" si="66"/>
        <v>0.19183932846220608</v>
      </c>
      <c r="G1472" s="12">
        <f>EXP(-Assumptions!$B$8*B1472)</f>
        <v>0.48094613528577795</v>
      </c>
      <c r="H1472" s="12">
        <f t="shared" si="67"/>
        <v>0.30997429844594337</v>
      </c>
      <c r="I1472" s="12">
        <f t="shared" si="68"/>
        <v>7.8707453220117587E-2</v>
      </c>
      <c r="J1472" s="12">
        <f>G1472*(D1472*Assumptions!$B$6+E1472*Assumptions!$B$7)</f>
        <v>7.0351156454653138E-3</v>
      </c>
    </row>
    <row r="1473" spans="1:10" x14ac:dyDescent="0.2">
      <c r="A1473" s="2">
        <v>1465</v>
      </c>
      <c r="B1473" s="14">
        <f>A1473*Assumptions!$B$12</f>
        <v>14.65</v>
      </c>
      <c r="C1473" s="15">
        <f>IF(A1473&lt;=Assumptions!$B$13,IF(OR(A1473=0,A1473=Assumptions!$B$13),0.5,1),0)*Assumptions!$B$12</f>
        <v>0.01</v>
      </c>
      <c r="D1473" s="12">
        <f>D1472*(1-Assumptions!$B$12*(Assumptions!$B$5+Assumptions!$B$6))</f>
        <v>0.64431603337924381</v>
      </c>
      <c r="E1473" s="12">
        <f>E1472+Assumptions!$B$12*(D1472*Assumptions!$B$5-E1472*Assumptions!$B$7)</f>
        <v>0.16369836157725925</v>
      </c>
      <c r="F1473" s="12">
        <f t="shared" si="66"/>
        <v>0.19198560504349693</v>
      </c>
      <c r="G1473" s="12">
        <f>EXP(-Assumptions!$B$8*B1473)</f>
        <v>0.48070572232638359</v>
      </c>
      <c r="H1473" s="12">
        <f t="shared" si="67"/>
        <v>0.30972640423203968</v>
      </c>
      <c r="I1473" s="12">
        <f t="shared" si="68"/>
        <v>7.8690739145641925E-2</v>
      </c>
      <c r="J1473" s="12">
        <f>G1473*(D1473*Assumptions!$B$6+E1473*Assumptions!$B$7)</f>
        <v>7.0318009996024932E-3</v>
      </c>
    </row>
    <row r="1474" spans="1:10" x14ac:dyDescent="0.2">
      <c r="A1474" s="2">
        <v>1466</v>
      </c>
      <c r="B1474" s="14">
        <f>A1474*Assumptions!$B$12</f>
        <v>14.66</v>
      </c>
      <c r="C1474" s="15">
        <f>IF(A1474&lt;=Assumptions!$B$13,IF(OR(A1474=0,A1474=Assumptions!$B$13),0.5,1),0)*Assumptions!$B$12</f>
        <v>0.01</v>
      </c>
      <c r="D1474" s="12">
        <f>D1473*(1-Assumptions!$B$12*(Assumptions!$B$5+Assumptions!$B$6))</f>
        <v>0.64412273856923008</v>
      </c>
      <c r="E1474" s="12">
        <f>E1473+Assumptions!$B$12*(D1473*Assumptions!$B$5-E1473*Assumptions!$B$7)</f>
        <v>0.16374537560314648</v>
      </c>
      <c r="F1474" s="12">
        <f t="shared" si="66"/>
        <v>0.19213188582762344</v>
      </c>
      <c r="G1474" s="12">
        <f>EXP(-Assumptions!$B$8*B1474)</f>
        <v>0.4804654295434222</v>
      </c>
      <c r="H1474" s="12">
        <f t="shared" si="67"/>
        <v>0.30947870826535057</v>
      </c>
      <c r="I1474" s="12">
        <f t="shared" si="68"/>
        <v>7.8673992224914779E-2</v>
      </c>
      <c r="J1474" s="12">
        <f>G1474*(D1474*Assumptions!$B$6+E1474*Assumptions!$B$7)</f>
        <v>7.0284866938992441E-3</v>
      </c>
    </row>
    <row r="1475" spans="1:10" x14ac:dyDescent="0.2">
      <c r="A1475" s="2">
        <v>1467</v>
      </c>
      <c r="B1475" s="14">
        <f>A1475*Assumptions!$B$12</f>
        <v>14.67</v>
      </c>
      <c r="C1475" s="15">
        <f>IF(A1475&lt;=Assumptions!$B$13,IF(OR(A1475=0,A1475=Assumptions!$B$13),0.5,1),0)*Assumptions!$B$12</f>
        <v>0.01</v>
      </c>
      <c r="D1475" s="12">
        <f>D1474*(1-Assumptions!$B$12*(Assumptions!$B$5+Assumptions!$B$6))</f>
        <v>0.64392950174765928</v>
      </c>
      <c r="E1475" s="12">
        <f>E1474+Assumptions!$B$12*(D1474*Assumptions!$B$5-E1474*Assumptions!$B$7)</f>
        <v>0.16379232746305875</v>
      </c>
      <c r="F1475" s="12">
        <f t="shared" si="66"/>
        <v>0.19227817078928197</v>
      </c>
      <c r="G1475" s="12">
        <f>EXP(-Assumptions!$B$8*B1475)</f>
        <v>0.48022525687682077</v>
      </c>
      <c r="H1475" s="12">
        <f t="shared" si="67"/>
        <v>0.30923121038733287</v>
      </c>
      <c r="I1475" s="12">
        <f t="shared" si="68"/>
        <v>7.8657212530399728E-2</v>
      </c>
      <c r="J1475" s="12">
        <f>G1475*(D1475*Assumptions!$B$6+E1475*Assumptions!$B$7)</f>
        <v>7.0251727303933158E-3</v>
      </c>
    </row>
    <row r="1476" spans="1:10" x14ac:dyDescent="0.2">
      <c r="A1476" s="2">
        <v>1468</v>
      </c>
      <c r="B1476" s="14">
        <f>A1476*Assumptions!$B$12</f>
        <v>14.68</v>
      </c>
      <c r="C1476" s="15">
        <f>IF(A1476&lt;=Assumptions!$B$13,IF(OR(A1476=0,A1476=Assumptions!$B$13),0.5,1),0)*Assumptions!$B$12</f>
        <v>0.01</v>
      </c>
      <c r="D1476" s="12">
        <f>D1475*(1-Assumptions!$B$12*(Assumptions!$B$5+Assumptions!$B$6))</f>
        <v>0.643736322897135</v>
      </c>
      <c r="E1476" s="12">
        <f>E1475+Assumptions!$B$12*(D1475*Assumptions!$B$5-E1475*Assumptions!$B$7)</f>
        <v>0.16383921719967676</v>
      </c>
      <c r="F1476" s="12">
        <f t="shared" si="66"/>
        <v>0.19242445990318824</v>
      </c>
      <c r="G1476" s="12">
        <f>EXP(-Assumptions!$B$8*B1476)</f>
        <v>0.47998520426653601</v>
      </c>
      <c r="H1476" s="12">
        <f t="shared" si="67"/>
        <v>0.30898391043957013</v>
      </c>
      <c r="I1476" s="12">
        <f t="shared" si="68"/>
        <v>7.8640400134456209E-2</v>
      </c>
      <c r="J1476" s="12">
        <f>G1476*(D1476*Assumptions!$B$6+E1476*Assumptions!$B$7)</f>
        <v>7.021859111118512E-3</v>
      </c>
    </row>
    <row r="1477" spans="1:10" x14ac:dyDescent="0.2">
      <c r="A1477" s="2">
        <v>1469</v>
      </c>
      <c r="B1477" s="14">
        <f>A1477*Assumptions!$B$12</f>
        <v>14.69</v>
      </c>
      <c r="C1477" s="15">
        <f>IF(A1477&lt;=Assumptions!$B$13,IF(OR(A1477=0,A1477=Assumptions!$B$13),0.5,1),0)*Assumptions!$B$12</f>
        <v>0.01</v>
      </c>
      <c r="D1477" s="12">
        <f>D1476*(1-Assumptions!$B$12*(Assumptions!$B$5+Assumptions!$B$6))</f>
        <v>0.64354320200026593</v>
      </c>
      <c r="E1477" s="12">
        <f>E1476+Assumptions!$B$12*(D1476*Assumptions!$B$5-E1476*Assumptions!$B$7)</f>
        <v>0.16388604485565633</v>
      </c>
      <c r="F1477" s="12">
        <f t="shared" si="66"/>
        <v>0.19257075314407773</v>
      </c>
      <c r="G1477" s="12">
        <f>EXP(-Assumptions!$B$8*B1477)</f>
        <v>0.47974527165255482</v>
      </c>
      <c r="H1477" s="12">
        <f t="shared" si="67"/>
        <v>0.30873680826377253</v>
      </c>
      <c r="I1477" s="12">
        <f t="shared" si="68"/>
        <v>7.8623555109339632E-2</v>
      </c>
      <c r="J1477" s="12">
        <f>G1477*(D1477*Assumptions!$B$6+E1477*Assumptions!$B$7)</f>
        <v>7.0185458381047065E-3</v>
      </c>
    </row>
    <row r="1478" spans="1:10" x14ac:dyDescent="0.2">
      <c r="A1478" s="2">
        <v>1470</v>
      </c>
      <c r="B1478" s="14">
        <f>A1478*Assumptions!$B$12</f>
        <v>14.700000000000001</v>
      </c>
      <c r="C1478" s="15">
        <f>IF(A1478&lt;=Assumptions!$B$13,IF(OR(A1478=0,A1478=Assumptions!$B$13),0.5,1),0)*Assumptions!$B$12</f>
        <v>0.01</v>
      </c>
      <c r="D1478" s="12">
        <f>D1477*(1-Assumptions!$B$12*(Assumptions!$B$5+Assumptions!$B$6))</f>
        <v>0.64335013903966587</v>
      </c>
      <c r="E1478" s="12">
        <f>E1477+Assumptions!$B$12*(D1477*Assumptions!$B$5-E1477*Assumptions!$B$7)</f>
        <v>0.16393281047362857</v>
      </c>
      <c r="F1478" s="12">
        <f t="shared" si="66"/>
        <v>0.19271705048670557</v>
      </c>
      <c r="G1478" s="12">
        <f>EXP(-Assumptions!$B$8*B1478)</f>
        <v>0.47950545897489405</v>
      </c>
      <c r="H1478" s="12">
        <f t="shared" si="67"/>
        <v>0.30848990370177687</v>
      </c>
      <c r="I1478" s="12">
        <f t="shared" si="68"/>
        <v>7.8606677527201588E-2</v>
      </c>
      <c r="J1478" s="12">
        <f>G1478*(D1478*Assumptions!$B$6+E1478*Assumptions!$B$7)</f>
        <v>7.0152329133778479E-3</v>
      </c>
    </row>
    <row r="1479" spans="1:10" x14ac:dyDescent="0.2">
      <c r="A1479" s="2">
        <v>1471</v>
      </c>
      <c r="B1479" s="14">
        <f>A1479*Assumptions!$B$12</f>
        <v>14.71</v>
      </c>
      <c r="C1479" s="15">
        <f>IF(A1479&lt;=Assumptions!$B$13,IF(OR(A1479=0,A1479=Assumptions!$B$13),0.5,1),0)*Assumptions!$B$12</f>
        <v>0.01</v>
      </c>
      <c r="D1479" s="12">
        <f>D1478*(1-Assumptions!$B$12*(Assumptions!$B$5+Assumptions!$B$6))</f>
        <v>0.64315713399795404</v>
      </c>
      <c r="E1479" s="12">
        <f>E1478+Assumptions!$B$12*(D1478*Assumptions!$B$5-E1478*Assumptions!$B$7)</f>
        <v>0.16397951409619968</v>
      </c>
      <c r="F1479" s="12">
        <f t="shared" si="66"/>
        <v>0.19286335190584628</v>
      </c>
      <c r="G1479" s="12">
        <f>EXP(-Assumptions!$B$8*B1479)</f>
        <v>0.47926576617360056</v>
      </c>
      <c r="H1479" s="12">
        <f t="shared" si="67"/>
        <v>0.30824319659554655</v>
      </c>
      <c r="I1479" s="12">
        <f t="shared" si="68"/>
        <v>7.8589767460089874E-2</v>
      </c>
      <c r="J1479" s="12">
        <f>G1479*(D1479*Assumptions!$B$6+E1479*Assumptions!$B$7)</f>
        <v>7.0119203389599587E-3</v>
      </c>
    </row>
    <row r="1480" spans="1:10" x14ac:dyDescent="0.2">
      <c r="A1480" s="2">
        <v>1472</v>
      </c>
      <c r="B1480" s="14">
        <f>A1480*Assumptions!$B$12</f>
        <v>14.72</v>
      </c>
      <c r="C1480" s="15">
        <f>IF(A1480&lt;=Assumptions!$B$13,IF(OR(A1480=0,A1480=Assumptions!$B$13),0.5,1),0)*Assumptions!$B$12</f>
        <v>0.01</v>
      </c>
      <c r="D1480" s="12">
        <f>D1479*(1-Assumptions!$B$12*(Assumptions!$B$5+Assumptions!$B$6))</f>
        <v>0.64296418685775469</v>
      </c>
      <c r="E1480" s="12">
        <f>E1479+Assumptions!$B$12*(D1479*Assumptions!$B$5-E1479*Assumptions!$B$7)</f>
        <v>0.16402615576595117</v>
      </c>
      <c r="F1480" s="12">
        <f t="shared" ref="F1480:F1543" si="69">1-D1480-E1480</f>
        <v>0.19300965737629414</v>
      </c>
      <c r="G1480" s="12">
        <f>EXP(-Assumptions!$B$8*B1480)</f>
        <v>0.47902619318875106</v>
      </c>
      <c r="H1480" s="12">
        <f t="shared" ref="H1480:H1543" si="70">G1480*D1480</f>
        <v>0.30799668678717101</v>
      </c>
      <c r="I1480" s="12">
        <f t="shared" ref="I1480:I1543" si="71">G1480*E1480</f>
        <v>7.8572824979948705E-2</v>
      </c>
      <c r="J1480" s="12">
        <f>G1480*(D1480*Assumptions!$B$6+E1480*Assumptions!$B$7)</f>
        <v>7.0086081168691458E-3</v>
      </c>
    </row>
    <row r="1481" spans="1:10" x14ac:dyDescent="0.2">
      <c r="A1481" s="2">
        <v>1473</v>
      </c>
      <c r="B1481" s="14">
        <f>A1481*Assumptions!$B$12</f>
        <v>14.73</v>
      </c>
      <c r="C1481" s="15">
        <f>IF(A1481&lt;=Assumptions!$B$13,IF(OR(A1481=0,A1481=Assumptions!$B$13),0.5,1),0)*Assumptions!$B$12</f>
        <v>0.01</v>
      </c>
      <c r="D1481" s="12">
        <f>D1480*(1-Assumptions!$B$12*(Assumptions!$B$5+Assumptions!$B$6))</f>
        <v>0.64277129760169738</v>
      </c>
      <c r="E1481" s="12">
        <f>E1480+Assumptions!$B$12*(D1480*Assumptions!$B$5-E1480*Assumptions!$B$7)</f>
        <v>0.16407273552543974</v>
      </c>
      <c r="F1481" s="12">
        <f t="shared" si="69"/>
        <v>0.19315596687286288</v>
      </c>
      <c r="G1481" s="12">
        <f>EXP(-Assumptions!$B$8*B1481)</f>
        <v>0.47878673996045235</v>
      </c>
      <c r="H1481" s="12">
        <f t="shared" si="70"/>
        <v>0.30775037411886641</v>
      </c>
      <c r="I1481" s="12">
        <f t="shared" si="71"/>
        <v>7.8555850158618795E-2</v>
      </c>
      <c r="J1481" s="12">
        <f>G1481*(D1481*Assumptions!$B$6+E1481*Assumptions!$B$7)</f>
        <v>7.0052962491196046E-3</v>
      </c>
    </row>
    <row r="1482" spans="1:10" x14ac:dyDescent="0.2">
      <c r="A1482" s="2">
        <v>1474</v>
      </c>
      <c r="B1482" s="14">
        <f>A1482*Assumptions!$B$12</f>
        <v>14.74</v>
      </c>
      <c r="C1482" s="15">
        <f>IF(A1482&lt;=Assumptions!$B$13,IF(OR(A1482=0,A1482=Assumptions!$B$13),0.5,1),0)*Assumptions!$B$12</f>
        <v>0.01</v>
      </c>
      <c r="D1482" s="12">
        <f>D1481*(1-Assumptions!$B$12*(Assumptions!$B$5+Assumptions!$B$6))</f>
        <v>0.64257846621241688</v>
      </c>
      <c r="E1482" s="12">
        <f>E1481+Assumptions!$B$12*(D1481*Assumptions!$B$5-E1481*Assumptions!$B$7)</f>
        <v>0.16411925341719735</v>
      </c>
      <c r="F1482" s="12">
        <f t="shared" si="69"/>
        <v>0.19330228037038577</v>
      </c>
      <c r="G1482" s="12">
        <f>EXP(-Assumptions!$B$8*B1482)</f>
        <v>0.47854740642884114</v>
      </c>
      <c r="H1482" s="12">
        <f t="shared" si="70"/>
        <v>0.3075042584329748</v>
      </c>
      <c r="I1482" s="12">
        <f t="shared" si="71"/>
        <v>7.853884306783751E-2</v>
      </c>
      <c r="J1482" s="12">
        <f>G1482*(D1482*Assumptions!$B$6+E1482*Assumptions!$B$7)</f>
        <v>7.0019847377216244E-3</v>
      </c>
    </row>
    <row r="1483" spans="1:10" x14ac:dyDescent="0.2">
      <c r="A1483" s="2">
        <v>1475</v>
      </c>
      <c r="B1483" s="14">
        <f>A1483*Assumptions!$B$12</f>
        <v>14.75</v>
      </c>
      <c r="C1483" s="15">
        <f>IF(A1483&lt;=Assumptions!$B$13,IF(OR(A1483=0,A1483=Assumptions!$B$13),0.5,1),0)*Assumptions!$B$12</f>
        <v>0.01</v>
      </c>
      <c r="D1483" s="12">
        <f>D1482*(1-Assumptions!$B$12*(Assumptions!$B$5+Assumptions!$B$6))</f>
        <v>0.64238569267255319</v>
      </c>
      <c r="E1483" s="12">
        <f>E1482+Assumptions!$B$12*(D1482*Assumptions!$B$5-E1482*Assumptions!$B$7)</f>
        <v>0.16416570948373124</v>
      </c>
      <c r="F1483" s="12">
        <f t="shared" si="69"/>
        <v>0.19344859784371557</v>
      </c>
      <c r="G1483" s="12">
        <f>EXP(-Assumptions!$B$8*B1483)</f>
        <v>0.47830819253408408</v>
      </c>
      <c r="H1483" s="12">
        <f t="shared" si="70"/>
        <v>0.30725833957196452</v>
      </c>
      <c r="I1483" s="12">
        <f t="shared" si="71"/>
        <v>7.8521803779239036E-2</v>
      </c>
      <c r="J1483" s="12">
        <f>G1483*(D1483*Assumptions!$B$6+E1483*Assumptions!$B$7)</f>
        <v>6.9986735846815969E-3</v>
      </c>
    </row>
    <row r="1484" spans="1:10" x14ac:dyDescent="0.2">
      <c r="A1484" s="2">
        <v>1476</v>
      </c>
      <c r="B1484" s="14">
        <f>A1484*Assumptions!$B$12</f>
        <v>14.76</v>
      </c>
      <c r="C1484" s="15">
        <f>IF(A1484&lt;=Assumptions!$B$13,IF(OR(A1484=0,A1484=Assumptions!$B$13),0.5,1),0)*Assumptions!$B$12</f>
        <v>0.01</v>
      </c>
      <c r="D1484" s="12">
        <f>D1483*(1-Assumptions!$B$12*(Assumptions!$B$5+Assumptions!$B$6))</f>
        <v>0.64219297696475142</v>
      </c>
      <c r="E1484" s="12">
        <f>E1483+Assumptions!$B$12*(D1483*Assumptions!$B$5-E1483*Assumptions!$B$7)</f>
        <v>0.16421210376752388</v>
      </c>
      <c r="F1484" s="12">
        <f t="shared" si="69"/>
        <v>0.19359491926772471</v>
      </c>
      <c r="G1484" s="12">
        <f>EXP(-Assumptions!$B$8*B1484)</f>
        <v>0.47806909821637761</v>
      </c>
      <c r="H1484" s="12">
        <f t="shared" si="70"/>
        <v>0.30701261737842966</v>
      </c>
      <c r="I1484" s="12">
        <f t="shared" si="71"/>
        <v>7.850473236435436E-2</v>
      </c>
      <c r="J1484" s="12">
        <f>G1484*(D1484*Assumptions!$B$6+E1484*Assumptions!$B$7)</f>
        <v>6.9953627920020149E-3</v>
      </c>
    </row>
    <row r="1485" spans="1:10" x14ac:dyDescent="0.2">
      <c r="A1485" s="2">
        <v>1477</v>
      </c>
      <c r="B1485" s="14">
        <f>A1485*Assumptions!$B$12</f>
        <v>14.77</v>
      </c>
      <c r="C1485" s="15">
        <f>IF(A1485&lt;=Assumptions!$B$13,IF(OR(A1485=0,A1485=Assumptions!$B$13),0.5,1),0)*Assumptions!$B$12</f>
        <v>0.01</v>
      </c>
      <c r="D1485" s="12">
        <f>D1484*(1-Assumptions!$B$12*(Assumptions!$B$5+Assumptions!$B$6))</f>
        <v>0.642000319071662</v>
      </c>
      <c r="E1485" s="12">
        <f>E1484+Assumptions!$B$12*(D1484*Assumptions!$B$5-E1484*Assumptions!$B$7)</f>
        <v>0.16425843631103307</v>
      </c>
      <c r="F1485" s="12">
        <f t="shared" si="69"/>
        <v>0.19374124461730494</v>
      </c>
      <c r="G1485" s="12">
        <f>EXP(-Assumptions!$B$8*B1485)</f>
        <v>0.4778301234159481</v>
      </c>
      <c r="H1485" s="12">
        <f t="shared" si="70"/>
        <v>0.30676709169509031</v>
      </c>
      <c r="I1485" s="12">
        <f t="shared" si="71"/>
        <v>7.8487628894611583E-2</v>
      </c>
      <c r="J1485" s="12">
        <f>G1485*(D1485*Assumptions!$B$6+E1485*Assumptions!$B$7)</f>
        <v>6.9920523616814828E-3</v>
      </c>
    </row>
    <row r="1486" spans="1:10" x14ac:dyDescent="0.2">
      <c r="A1486" s="2">
        <v>1478</v>
      </c>
      <c r="B1486" s="14">
        <f>A1486*Assumptions!$B$12</f>
        <v>14.780000000000001</v>
      </c>
      <c r="C1486" s="15">
        <f>IF(A1486&lt;=Assumptions!$B$13,IF(OR(A1486=0,A1486=Assumptions!$B$13),0.5,1),0)*Assumptions!$B$12</f>
        <v>0.01</v>
      </c>
      <c r="D1486" s="12">
        <f>D1485*(1-Assumptions!$B$12*(Assumptions!$B$5+Assumptions!$B$6))</f>
        <v>0.64180771897594047</v>
      </c>
      <c r="E1486" s="12">
        <f>E1485+Assumptions!$B$12*(D1485*Assumptions!$B$5-E1485*Assumptions!$B$7)</f>
        <v>0.16430470715669188</v>
      </c>
      <c r="F1486" s="12">
        <f t="shared" si="69"/>
        <v>0.19388757386736766</v>
      </c>
      <c r="G1486" s="12">
        <f>EXP(-Assumptions!$B$8*B1486)</f>
        <v>0.47759126807305202</v>
      </c>
      <c r="H1486" s="12">
        <f t="shared" si="70"/>
        <v>0.30652176236479239</v>
      </c>
      <c r="I1486" s="12">
        <f t="shared" si="71"/>
        <v>7.8470493441335942E-2</v>
      </c>
      <c r="J1486" s="12">
        <f>G1486*(D1486*Assumptions!$B$6+E1486*Assumptions!$B$7)</f>
        <v>6.9887422957147219E-3</v>
      </c>
    </row>
    <row r="1487" spans="1:10" x14ac:dyDescent="0.2">
      <c r="A1487" s="2">
        <v>1479</v>
      </c>
      <c r="B1487" s="14">
        <f>A1487*Assumptions!$B$12</f>
        <v>14.790000000000001</v>
      </c>
      <c r="C1487" s="15">
        <f>IF(A1487&lt;=Assumptions!$B$13,IF(OR(A1487=0,A1487=Assumptions!$B$13),0.5,1),0)*Assumptions!$B$12</f>
        <v>0.01</v>
      </c>
      <c r="D1487" s="12">
        <f>D1486*(1-Assumptions!$B$12*(Assumptions!$B$5+Assumptions!$B$6))</f>
        <v>0.6416151766602477</v>
      </c>
      <c r="E1487" s="12">
        <f>E1486+Assumptions!$B$12*(D1486*Assumptions!$B$5-E1486*Assumptions!$B$7)</f>
        <v>0.16435091634690871</v>
      </c>
      <c r="F1487" s="12">
        <f t="shared" si="69"/>
        <v>0.19403390699284359</v>
      </c>
      <c r="G1487" s="12">
        <f>EXP(-Assumptions!$B$8*B1487)</f>
        <v>0.47735253212797546</v>
      </c>
      <c r="H1487" s="12">
        <f t="shared" si="70"/>
        <v>0.30627662923050752</v>
      </c>
      <c r="I1487" s="12">
        <f t="shared" si="71"/>
        <v>7.8453326075749952E-2</v>
      </c>
      <c r="J1487" s="12">
        <f>G1487*(D1487*Assumptions!$B$6+E1487*Assumptions!$B$7)</f>
        <v>6.9854325960925726E-3</v>
      </c>
    </row>
    <row r="1488" spans="1:10" x14ac:dyDescent="0.2">
      <c r="A1488" s="2">
        <v>1480</v>
      </c>
      <c r="B1488" s="14">
        <f>A1488*Assumptions!$B$12</f>
        <v>14.8</v>
      </c>
      <c r="C1488" s="15">
        <f>IF(A1488&lt;=Assumptions!$B$13,IF(OR(A1488=0,A1488=Assumptions!$B$13),0.5,1),0)*Assumptions!$B$12</f>
        <v>0.01</v>
      </c>
      <c r="D1488" s="12">
        <f>D1487*(1-Assumptions!$B$12*(Assumptions!$B$5+Assumptions!$B$6))</f>
        <v>0.64142269210724967</v>
      </c>
      <c r="E1488" s="12">
        <f>E1487+Assumptions!$B$12*(D1487*Assumptions!$B$5-E1487*Assumptions!$B$7)</f>
        <v>0.1643970639240673</v>
      </c>
      <c r="F1488" s="12">
        <f t="shared" si="69"/>
        <v>0.19418024396868303</v>
      </c>
      <c r="G1488" s="12">
        <f>EXP(-Assumptions!$B$8*B1488)</f>
        <v>0.47711391552103433</v>
      </c>
      <c r="H1488" s="12">
        <f t="shared" si="70"/>
        <v>0.30603169213533271</v>
      </c>
      <c r="I1488" s="12">
        <f t="shared" si="71"/>
        <v>7.8436126868973527E-2</v>
      </c>
      <c r="J1488" s="12">
        <f>G1488*(D1488*Assumptions!$B$6+E1488*Assumptions!$B$7)</f>
        <v>6.9821232648020048E-3</v>
      </c>
    </row>
    <row r="1489" spans="1:10" x14ac:dyDescent="0.2">
      <c r="A1489" s="2">
        <v>1481</v>
      </c>
      <c r="B1489" s="14">
        <f>A1489*Assumptions!$B$12</f>
        <v>14.81</v>
      </c>
      <c r="C1489" s="15">
        <f>IF(A1489&lt;=Assumptions!$B$13,IF(OR(A1489=0,A1489=Assumptions!$B$13),0.5,1),0)*Assumptions!$B$12</f>
        <v>0.01</v>
      </c>
      <c r="D1489" s="12">
        <f>D1488*(1-Assumptions!$B$12*(Assumptions!$B$5+Assumptions!$B$6))</f>
        <v>0.64123026529961746</v>
      </c>
      <c r="E1489" s="12">
        <f>E1488+Assumptions!$B$12*(D1488*Assumptions!$B$5-E1488*Assumptions!$B$7)</f>
        <v>0.16444314993052672</v>
      </c>
      <c r="F1489" s="12">
        <f t="shared" si="69"/>
        <v>0.19432658476985581</v>
      </c>
      <c r="G1489" s="12">
        <f>EXP(-Assumptions!$B$8*B1489)</f>
        <v>0.47687541819257467</v>
      </c>
      <c r="H1489" s="12">
        <f t="shared" si="70"/>
        <v>0.3057869509224907</v>
      </c>
      <c r="I1489" s="12">
        <f t="shared" si="71"/>
        <v>7.8418895892024193E-2</v>
      </c>
      <c r="J1489" s="12">
        <f>G1489*(D1489*Assumptions!$B$6+E1489*Assumptions!$B$7)</f>
        <v>6.978814303826116E-3</v>
      </c>
    </row>
    <row r="1490" spans="1:10" x14ac:dyDescent="0.2">
      <c r="A1490" s="2">
        <v>1482</v>
      </c>
      <c r="B1490" s="14">
        <f>A1490*Assumptions!$B$12</f>
        <v>14.82</v>
      </c>
      <c r="C1490" s="15">
        <f>IF(A1490&lt;=Assumptions!$B$13,IF(OR(A1490=0,A1490=Assumptions!$B$13),0.5,1),0)*Assumptions!$B$12</f>
        <v>0.01</v>
      </c>
      <c r="D1490" s="12">
        <f>D1489*(1-Assumptions!$B$12*(Assumptions!$B$5+Assumptions!$B$6))</f>
        <v>0.6410378962200276</v>
      </c>
      <c r="E1490" s="12">
        <f>E1489+Assumptions!$B$12*(D1489*Assumptions!$B$5-E1489*Assumptions!$B$7)</f>
        <v>0.16448917440862137</v>
      </c>
      <c r="F1490" s="12">
        <f t="shared" si="69"/>
        <v>0.19447292937135102</v>
      </c>
      <c r="G1490" s="12">
        <f>EXP(-Assumptions!$B$8*B1490)</f>
        <v>0.47663704008297197</v>
      </c>
      <c r="H1490" s="12">
        <f t="shared" si="70"/>
        <v>0.30554240543532935</v>
      </c>
      <c r="I1490" s="12">
        <f t="shared" si="71"/>
        <v>7.8401633215817029E-2</v>
      </c>
      <c r="J1490" s="12">
        <f>G1490*(D1490*Assumptions!$B$6+E1490*Assumptions!$B$7)</f>
        <v>6.9755057151441452E-3</v>
      </c>
    </row>
    <row r="1491" spans="1:10" x14ac:dyDescent="0.2">
      <c r="A1491" s="2">
        <v>1483</v>
      </c>
      <c r="B1491" s="14">
        <f>A1491*Assumptions!$B$12</f>
        <v>14.83</v>
      </c>
      <c r="C1491" s="15">
        <f>IF(A1491&lt;=Assumptions!$B$13,IF(OR(A1491=0,A1491=Assumptions!$B$13),0.5,1),0)*Assumptions!$B$12</f>
        <v>0.01</v>
      </c>
      <c r="D1491" s="12">
        <f>D1490*(1-Assumptions!$B$12*(Assumptions!$B$5+Assumptions!$B$6))</f>
        <v>0.64084558485116161</v>
      </c>
      <c r="E1491" s="12">
        <f>E1490+Assumptions!$B$12*(D1490*Assumptions!$B$5-E1490*Assumptions!$B$7)</f>
        <v>0.16453513740066106</v>
      </c>
      <c r="F1491" s="12">
        <f t="shared" si="69"/>
        <v>0.19461927774817733</v>
      </c>
      <c r="G1491" s="12">
        <f>EXP(-Assumptions!$B$8*B1491)</f>
        <v>0.47639878113263179</v>
      </c>
      <c r="H1491" s="12">
        <f t="shared" si="70"/>
        <v>0.30529805551732198</v>
      </c>
      <c r="I1491" s="12">
        <f t="shared" si="71"/>
        <v>7.838433891116503E-2</v>
      </c>
      <c r="J1491" s="12">
        <f>G1491*(D1491*Assumptions!$B$6+E1491*Assumptions!$B$7)</f>
        <v>6.9721975007314713E-3</v>
      </c>
    </row>
    <row r="1492" spans="1:10" x14ac:dyDescent="0.2">
      <c r="A1492" s="2">
        <v>1484</v>
      </c>
      <c r="B1492" s="14">
        <f>A1492*Assumptions!$B$12</f>
        <v>14.84</v>
      </c>
      <c r="C1492" s="15">
        <f>IF(A1492&lt;=Assumptions!$B$13,IF(OR(A1492=0,A1492=Assumptions!$B$13),0.5,1),0)*Assumptions!$B$12</f>
        <v>0.01</v>
      </c>
      <c r="D1492" s="12">
        <f>D1491*(1-Assumptions!$B$12*(Assumptions!$B$5+Assumptions!$B$6))</f>
        <v>0.64065333117570633</v>
      </c>
      <c r="E1492" s="12">
        <f>E1491+Assumptions!$B$12*(D1491*Assumptions!$B$5-E1491*Assumptions!$B$7)</f>
        <v>0.16458103894893095</v>
      </c>
      <c r="F1492" s="12">
        <f t="shared" si="69"/>
        <v>0.19476562987536272</v>
      </c>
      <c r="G1492" s="12">
        <f>EXP(-Assumptions!$B$8*B1492)</f>
        <v>0.47616064128198943</v>
      </c>
      <c r="H1492" s="12">
        <f t="shared" si="70"/>
        <v>0.30505390101206709</v>
      </c>
      <c r="I1492" s="12">
        <f t="shared" si="71"/>
        <v>7.8367013048779036E-2</v>
      </c>
      <c r="J1492" s="12">
        <f>G1492*(D1492*Assumptions!$B$6+E1492*Assumptions!$B$7)</f>
        <v>6.9688896625596233E-3</v>
      </c>
    </row>
    <row r="1493" spans="1:10" x14ac:dyDescent="0.2">
      <c r="A1493" s="2">
        <v>1485</v>
      </c>
      <c r="B1493" s="14">
        <f>A1493*Assumptions!$B$12</f>
        <v>14.85</v>
      </c>
      <c r="C1493" s="15">
        <f>IF(A1493&lt;=Assumptions!$B$13,IF(OR(A1493=0,A1493=Assumptions!$B$13),0.5,1),0)*Assumptions!$B$12</f>
        <v>0.01</v>
      </c>
      <c r="D1493" s="12">
        <f>D1492*(1-Assumptions!$B$12*(Assumptions!$B$5+Assumptions!$B$6))</f>
        <v>0.64046113517635361</v>
      </c>
      <c r="E1493" s="12">
        <f>E1492+Assumptions!$B$12*(D1492*Assumptions!$B$5-E1492*Assumptions!$B$7)</f>
        <v>0.16462687909569163</v>
      </c>
      <c r="F1493" s="12">
        <f t="shared" si="69"/>
        <v>0.19491198572795476</v>
      </c>
      <c r="G1493" s="12">
        <f>EXP(-Assumptions!$B$8*B1493)</f>
        <v>0.47592262047150979</v>
      </c>
      <c r="H1493" s="12">
        <f t="shared" si="70"/>
        <v>0.30480994176328807</v>
      </c>
      <c r="I1493" s="12">
        <f t="shared" si="71"/>
        <v>7.8349655699267981E-2</v>
      </c>
      <c r="J1493" s="12">
        <f>G1493*(D1493*Assumptions!$B$6+E1493*Assumptions!$B$7)</f>
        <v>6.9655822025962797E-3</v>
      </c>
    </row>
    <row r="1494" spans="1:10" x14ac:dyDescent="0.2">
      <c r="A1494" s="2">
        <v>1486</v>
      </c>
      <c r="B1494" s="14">
        <f>A1494*Assumptions!$B$12</f>
        <v>14.86</v>
      </c>
      <c r="C1494" s="15">
        <f>IF(A1494&lt;=Assumptions!$B$13,IF(OR(A1494=0,A1494=Assumptions!$B$13),0.5,1),0)*Assumptions!$B$12</f>
        <v>0.01</v>
      </c>
      <c r="D1494" s="12">
        <f>D1493*(1-Assumptions!$B$12*(Assumptions!$B$5+Assumptions!$B$6))</f>
        <v>0.64026899683580074</v>
      </c>
      <c r="E1494" s="12">
        <f>E1493+Assumptions!$B$12*(D1493*Assumptions!$B$5-E1493*Assumptions!$B$7)</f>
        <v>0.16467265788317906</v>
      </c>
      <c r="F1494" s="12">
        <f t="shared" si="69"/>
        <v>0.1950583452810202</v>
      </c>
      <c r="G1494" s="12">
        <f>EXP(-Assumptions!$B$8*B1494)</f>
        <v>0.47568471864168782</v>
      </c>
      <c r="H1494" s="12">
        <f t="shared" si="70"/>
        <v>0.30456617761483357</v>
      </c>
      <c r="I1494" s="12">
        <f t="shared" si="71"/>
        <v>7.8332266933138953E-2</v>
      </c>
      <c r="J1494" s="12">
        <f>G1494*(D1494*Assumptions!$B$6+E1494*Assumptions!$B$7)</f>
        <v>6.9622751228052837E-3</v>
      </c>
    </row>
    <row r="1495" spans="1:10" x14ac:dyDescent="0.2">
      <c r="A1495" s="2">
        <v>1487</v>
      </c>
      <c r="B1495" s="14">
        <f>A1495*Assumptions!$B$12</f>
        <v>14.870000000000001</v>
      </c>
      <c r="C1495" s="15">
        <f>IF(A1495&lt;=Assumptions!$B$13,IF(OR(A1495=0,A1495=Assumptions!$B$13),0.5,1),0)*Assumptions!$B$12</f>
        <v>0.01</v>
      </c>
      <c r="D1495" s="12">
        <f>D1494*(1-Assumptions!$B$12*(Assumptions!$B$5+Assumptions!$B$6))</f>
        <v>0.64007691613675</v>
      </c>
      <c r="E1495" s="12">
        <f>E1494+Assumptions!$B$12*(D1494*Assumptions!$B$5-E1494*Assumptions!$B$7)</f>
        <v>0.16471837535360462</v>
      </c>
      <c r="F1495" s="12">
        <f t="shared" si="69"/>
        <v>0.19520470850964539</v>
      </c>
      <c r="G1495" s="12">
        <f>EXP(-Assumptions!$B$8*B1495)</f>
        <v>0.47544693573304792</v>
      </c>
      <c r="H1495" s="12">
        <f t="shared" si="70"/>
        <v>0.30432260841067688</v>
      </c>
      <c r="I1495" s="12">
        <f t="shared" si="71"/>
        <v>7.8314846820797313E-2</v>
      </c>
      <c r="J1495" s="12">
        <f>G1495*(D1495*Assumptions!$B$6+E1495*Assumptions!$B$7)</f>
        <v>6.9589684251466352E-3</v>
      </c>
    </row>
    <row r="1496" spans="1:10" x14ac:dyDescent="0.2">
      <c r="A1496" s="2">
        <v>1488</v>
      </c>
      <c r="B1496" s="14">
        <f>A1496*Assumptions!$B$12</f>
        <v>14.88</v>
      </c>
      <c r="C1496" s="15">
        <f>IF(A1496&lt;=Assumptions!$B$13,IF(OR(A1496=0,A1496=Assumptions!$B$13),0.5,1),0)*Assumptions!$B$12</f>
        <v>0.01</v>
      </c>
      <c r="D1496" s="12">
        <f>D1495*(1-Assumptions!$B$12*(Assumptions!$B$5+Assumptions!$B$6))</f>
        <v>0.63988489306190899</v>
      </c>
      <c r="E1496" s="12">
        <f>E1495+Assumptions!$B$12*(D1495*Assumptions!$B$5-E1495*Assumptions!$B$7)</f>
        <v>0.16476403154915517</v>
      </c>
      <c r="F1496" s="12">
        <f t="shared" si="69"/>
        <v>0.19535107538893584</v>
      </c>
      <c r="G1496" s="12">
        <f>EXP(-Assumptions!$B$8*B1496)</f>
        <v>0.47520927168614441</v>
      </c>
      <c r="H1496" s="12">
        <f t="shared" si="70"/>
        <v>0.30407923399491615</v>
      </c>
      <c r="I1496" s="12">
        <f t="shared" si="71"/>
        <v>7.8297395432546948E-2</v>
      </c>
      <c r="J1496" s="12">
        <f>G1496*(D1496*Assumptions!$B$6+E1496*Assumptions!$B$7)</f>
        <v>6.9556621115765098E-3</v>
      </c>
    </row>
    <row r="1497" spans="1:10" x14ac:dyDescent="0.2">
      <c r="A1497" s="2">
        <v>1489</v>
      </c>
      <c r="B1497" s="14">
        <f>A1497*Assumptions!$B$12</f>
        <v>14.89</v>
      </c>
      <c r="C1497" s="15">
        <f>IF(A1497&lt;=Assumptions!$B$13,IF(OR(A1497=0,A1497=Assumptions!$B$13),0.5,1),0)*Assumptions!$B$12</f>
        <v>0.01</v>
      </c>
      <c r="D1497" s="12">
        <f>D1496*(1-Assumptions!$B$12*(Assumptions!$B$5+Assumptions!$B$6))</f>
        <v>0.63969292759399043</v>
      </c>
      <c r="E1497" s="12">
        <f>E1496+Assumptions!$B$12*(D1496*Assumptions!$B$5-E1496*Assumptions!$B$7)</f>
        <v>0.16480962651199296</v>
      </c>
      <c r="F1497" s="12">
        <f t="shared" si="69"/>
        <v>0.1954974458940166</v>
      </c>
      <c r="G1497" s="12">
        <f>EXP(-Assumptions!$B$8*B1497)</f>
        <v>0.47497172644156138</v>
      </c>
      <c r="H1497" s="12">
        <f t="shared" si="70"/>
        <v>0.30383605421177434</v>
      </c>
      <c r="I1497" s="12">
        <f t="shared" si="71"/>
        <v>7.8279912838590218E-2</v>
      </c>
      <c r="J1497" s="12">
        <f>G1497*(D1497*Assumptions!$B$6+E1497*Assumptions!$B$7)</f>
        <v>6.9523561840472555E-3</v>
      </c>
    </row>
    <row r="1498" spans="1:10" x14ac:dyDescent="0.2">
      <c r="A1498" s="2">
        <v>1490</v>
      </c>
      <c r="B1498" s="14">
        <f>A1498*Assumptions!$B$12</f>
        <v>14.9</v>
      </c>
      <c r="C1498" s="15">
        <f>IF(A1498&lt;=Assumptions!$B$13,IF(OR(A1498=0,A1498=Assumptions!$B$13),0.5,1),0)*Assumptions!$B$12</f>
        <v>0.01</v>
      </c>
      <c r="D1498" s="12">
        <f>D1497*(1-Assumptions!$B$12*(Assumptions!$B$5+Assumptions!$B$6))</f>
        <v>0.63950101971571227</v>
      </c>
      <c r="E1498" s="12">
        <f>E1497+Assumptions!$B$12*(D1497*Assumptions!$B$5-E1497*Assumptions!$B$7)</f>
        <v>0.16485516028425576</v>
      </c>
      <c r="F1498" s="12">
        <f t="shared" si="69"/>
        <v>0.19564382000003197</v>
      </c>
      <c r="G1498" s="12">
        <f>EXP(-Assumptions!$B$8*B1498)</f>
        <v>0.47473429993991234</v>
      </c>
      <c r="H1498" s="12">
        <f t="shared" si="70"/>
        <v>0.30359306890559873</v>
      </c>
      <c r="I1498" s="12">
        <f t="shared" si="71"/>
        <v>7.82623991090282E-2</v>
      </c>
      <c r="J1498" s="12">
        <f>G1498*(D1498*Assumptions!$B$6+E1498*Assumptions!$B$7)</f>
        <v>6.9490506445073971E-3</v>
      </c>
    </row>
    <row r="1499" spans="1:10" x14ac:dyDescent="0.2">
      <c r="A1499" s="2">
        <v>1491</v>
      </c>
      <c r="B1499" s="14">
        <f>A1499*Assumptions!$B$12</f>
        <v>14.91</v>
      </c>
      <c r="C1499" s="15">
        <f>IF(A1499&lt;=Assumptions!$B$13,IF(OR(A1499=0,A1499=Assumptions!$B$13),0.5,1),0)*Assumptions!$B$12</f>
        <v>0.01</v>
      </c>
      <c r="D1499" s="12">
        <f>D1498*(1-Assumptions!$B$12*(Assumptions!$B$5+Assumptions!$B$6))</f>
        <v>0.63930916940979754</v>
      </c>
      <c r="E1499" s="12">
        <f>E1498+Assumptions!$B$12*(D1498*Assumptions!$B$5-E1498*Assumptions!$B$7)</f>
        <v>0.16490063290805676</v>
      </c>
      <c r="F1499" s="12">
        <f t="shared" si="69"/>
        <v>0.1957901976821457</v>
      </c>
      <c r="G1499" s="12">
        <f>EXP(-Assumptions!$B$8*B1499)</f>
        <v>0.47449699212184088</v>
      </c>
      <c r="H1499" s="12">
        <f t="shared" si="70"/>
        <v>0.30335027792086133</v>
      </c>
      <c r="I1499" s="12">
        <f t="shared" si="71"/>
        <v>7.8244854313860787E-2</v>
      </c>
      <c r="J1499" s="12">
        <f>G1499*(D1499*Assumptions!$B$6+E1499*Assumptions!$B$7)</f>
        <v>6.9457454949016532E-3</v>
      </c>
    </row>
    <row r="1500" spans="1:10" x14ac:dyDescent="0.2">
      <c r="A1500" s="2">
        <v>1492</v>
      </c>
      <c r="B1500" s="14">
        <f>A1500*Assumptions!$B$12</f>
        <v>14.92</v>
      </c>
      <c r="C1500" s="15">
        <f>IF(A1500&lt;=Assumptions!$B$13,IF(OR(A1500=0,A1500=Assumptions!$B$13),0.5,1),0)*Assumptions!$B$12</f>
        <v>0.01</v>
      </c>
      <c r="D1500" s="12">
        <f>D1499*(1-Assumptions!$B$12*(Assumptions!$B$5+Assumptions!$B$6))</f>
        <v>0.63911737665897461</v>
      </c>
      <c r="E1500" s="12">
        <f>E1499+Assumptions!$B$12*(D1499*Assumptions!$B$5-E1499*Assumptions!$B$7)</f>
        <v>0.16494604442548469</v>
      </c>
      <c r="F1500" s="12">
        <f t="shared" si="69"/>
        <v>0.1959365789155407</v>
      </c>
      <c r="G1500" s="12">
        <f>EXP(-Assumptions!$B$8*B1500)</f>
        <v>0.47425980292801989</v>
      </c>
      <c r="H1500" s="12">
        <f t="shared" si="70"/>
        <v>0.30310768110215836</v>
      </c>
      <c r="I1500" s="12">
        <f t="shared" si="71"/>
        <v>7.8227278522986776E-2</v>
      </c>
      <c r="J1500" s="12">
        <f>G1500*(D1500*Assumptions!$B$6+E1500*Assumptions!$B$7)</f>
        <v>6.9424407371709235E-3</v>
      </c>
    </row>
    <row r="1501" spans="1:10" x14ac:dyDescent="0.2">
      <c r="A1501" s="2">
        <v>1493</v>
      </c>
      <c r="B1501" s="14">
        <f>A1501*Assumptions!$B$12</f>
        <v>14.93</v>
      </c>
      <c r="C1501" s="15">
        <f>IF(A1501&lt;=Assumptions!$B$13,IF(OR(A1501=0,A1501=Assumptions!$B$13),0.5,1),0)*Assumptions!$B$12</f>
        <v>0.01</v>
      </c>
      <c r="D1501" s="12">
        <f>D1500*(1-Assumptions!$B$12*(Assumptions!$B$5+Assumptions!$B$6))</f>
        <v>0.63892564144597697</v>
      </c>
      <c r="E1501" s="12">
        <f>E1500+Assumptions!$B$12*(D1500*Assumptions!$B$5-E1500*Assumptions!$B$7)</f>
        <v>0.16499139487860373</v>
      </c>
      <c r="F1501" s="12">
        <f t="shared" si="69"/>
        <v>0.1960829636754193</v>
      </c>
      <c r="G1501" s="12">
        <f>EXP(-Assumptions!$B$8*B1501)</f>
        <v>0.47402273229915204</v>
      </c>
      <c r="H1501" s="12">
        <f t="shared" si="70"/>
        <v>0.30286527829421034</v>
      </c>
      <c r="I1501" s="12">
        <f t="shared" si="71"/>
        <v>7.8209671806204056E-2</v>
      </c>
      <c r="J1501" s="12">
        <f>G1501*(D1501*Assumptions!$B$6+E1501*Assumptions!$B$7)</f>
        <v>6.9391363732523061E-3</v>
      </c>
    </row>
    <row r="1502" spans="1:10" x14ac:dyDescent="0.2">
      <c r="A1502" s="2">
        <v>1494</v>
      </c>
      <c r="B1502" s="14">
        <f>A1502*Assumptions!$B$12</f>
        <v>14.94</v>
      </c>
      <c r="C1502" s="15">
        <f>IF(A1502&lt;=Assumptions!$B$13,IF(OR(A1502=0,A1502=Assumptions!$B$13),0.5,1),0)*Assumptions!$B$12</f>
        <v>0.01</v>
      </c>
      <c r="D1502" s="12">
        <f>D1501*(1-Assumptions!$B$12*(Assumptions!$B$5+Assumptions!$B$6))</f>
        <v>0.63873396375354319</v>
      </c>
      <c r="E1502" s="12">
        <f>E1501+Assumptions!$B$12*(D1501*Assumptions!$B$5-E1501*Assumptions!$B$7)</f>
        <v>0.16503668430945362</v>
      </c>
      <c r="F1502" s="12">
        <f t="shared" si="69"/>
        <v>0.19622935193700319</v>
      </c>
      <c r="G1502" s="12">
        <f>EXP(-Assumptions!$B$8*B1502)</f>
        <v>0.47378578017596978</v>
      </c>
      <c r="H1502" s="12">
        <f t="shared" si="70"/>
        <v>0.30262306934186206</v>
      </c>
      <c r="I1502" s="12">
        <f t="shared" si="71"/>
        <v>7.8192034233209709E-2</v>
      </c>
      <c r="J1502" s="12">
        <f>G1502*(D1502*Assumptions!$B$6+E1502*Assumptions!$B$7)</f>
        <v>6.9358324050791068E-3</v>
      </c>
    </row>
    <row r="1503" spans="1:10" x14ac:dyDescent="0.2">
      <c r="A1503" s="2">
        <v>1495</v>
      </c>
      <c r="B1503" s="14">
        <f>A1503*Assumptions!$B$12</f>
        <v>14.950000000000001</v>
      </c>
      <c r="C1503" s="15">
        <f>IF(A1503&lt;=Assumptions!$B$13,IF(OR(A1503=0,A1503=Assumptions!$B$13),0.5,1),0)*Assumptions!$B$12</f>
        <v>0.01</v>
      </c>
      <c r="D1503" s="12">
        <f>D1502*(1-Assumptions!$B$12*(Assumptions!$B$5+Assumptions!$B$6))</f>
        <v>0.63854234356441719</v>
      </c>
      <c r="E1503" s="12">
        <f>E1502+Assumptions!$B$12*(D1502*Assumptions!$B$5-E1502*Assumptions!$B$7)</f>
        <v>0.1650819127600496</v>
      </c>
      <c r="F1503" s="12">
        <f t="shared" si="69"/>
        <v>0.1963757436755332</v>
      </c>
      <c r="G1503" s="12">
        <f>EXP(-Assumptions!$B$8*B1503)</f>
        <v>0.47354894649923496</v>
      </c>
      <c r="H1503" s="12">
        <f t="shared" si="70"/>
        <v>0.30238105409008231</v>
      </c>
      <c r="I1503" s="12">
        <f t="shared" si="71"/>
        <v>7.8174365873600105E-2</v>
      </c>
      <c r="J1503" s="12">
        <f>G1503*(D1503*Assumptions!$B$6+E1503*Assumptions!$B$7)</f>
        <v>6.9325288345808275E-3</v>
      </c>
    </row>
    <row r="1504" spans="1:10" x14ac:dyDescent="0.2">
      <c r="A1504" s="2">
        <v>1496</v>
      </c>
      <c r="B1504" s="14">
        <f>A1504*Assumptions!$B$12</f>
        <v>14.96</v>
      </c>
      <c r="C1504" s="15">
        <f>IF(A1504&lt;=Assumptions!$B$13,IF(OR(A1504=0,A1504=Assumptions!$B$13),0.5,1),0)*Assumptions!$B$12</f>
        <v>0.01</v>
      </c>
      <c r="D1504" s="12">
        <f>D1503*(1-Assumptions!$B$12*(Assumptions!$B$5+Assumptions!$B$6))</f>
        <v>0.63835078086134789</v>
      </c>
      <c r="E1504" s="12">
        <f>E1503+Assumptions!$B$12*(D1503*Assumptions!$B$5-E1503*Assumptions!$B$7)</f>
        <v>0.16512708027238246</v>
      </c>
      <c r="F1504" s="12">
        <f t="shared" si="69"/>
        <v>0.19652213886626965</v>
      </c>
      <c r="G1504" s="12">
        <f>EXP(-Assumptions!$B$8*B1504)</f>
        <v>0.47331223120973925</v>
      </c>
      <c r="H1504" s="12">
        <f t="shared" si="70"/>
        <v>0.3021392323839639</v>
      </c>
      <c r="I1504" s="12">
        <f t="shared" si="71"/>
        <v>7.8156666796871055E-2</v>
      </c>
      <c r="J1504" s="12">
        <f>G1504*(D1504*Assumptions!$B$6+E1504*Assumptions!$B$7)</f>
        <v>6.9292256636831915E-3</v>
      </c>
    </row>
    <row r="1505" spans="1:10" x14ac:dyDescent="0.2">
      <c r="A1505" s="2">
        <v>1497</v>
      </c>
      <c r="B1505" s="14">
        <f>A1505*Assumptions!$B$12</f>
        <v>14.97</v>
      </c>
      <c r="C1505" s="15">
        <f>IF(A1505&lt;=Assumptions!$B$13,IF(OR(A1505=0,A1505=Assumptions!$B$13),0.5,1),0)*Assumptions!$B$12</f>
        <v>0.01</v>
      </c>
      <c r="D1505" s="12">
        <f>D1504*(1-Assumptions!$B$12*(Assumptions!$B$5+Assumptions!$B$6))</f>
        <v>0.63815927562708952</v>
      </c>
      <c r="E1505" s="12">
        <f>E1504+Assumptions!$B$12*(D1504*Assumptions!$B$5-E1504*Assumptions!$B$7)</f>
        <v>0.16517218688841853</v>
      </c>
      <c r="F1505" s="12">
        <f t="shared" si="69"/>
        <v>0.19666853748449195</v>
      </c>
      <c r="G1505" s="12">
        <f>EXP(-Assumptions!$B$8*B1505)</f>
        <v>0.4730756342483039</v>
      </c>
      <c r="H1505" s="12">
        <f t="shared" si="70"/>
        <v>0.30189760406872357</v>
      </c>
      <c r="I1505" s="12">
        <f t="shared" si="71"/>
        <v>7.813893707241798E-2</v>
      </c>
      <c r="J1505" s="12">
        <f>G1505*(D1505*Assumptions!$B$6+E1505*Assumptions!$B$7)</f>
        <v>6.9259228943081355E-3</v>
      </c>
    </row>
    <row r="1506" spans="1:10" x14ac:dyDescent="0.2">
      <c r="A1506" s="2">
        <v>1498</v>
      </c>
      <c r="B1506" s="14">
        <f>A1506*Assumptions!$B$12</f>
        <v>14.98</v>
      </c>
      <c r="C1506" s="15">
        <f>IF(A1506&lt;=Assumptions!$B$13,IF(OR(A1506=0,A1506=Assumptions!$B$13),0.5,1),0)*Assumptions!$B$12</f>
        <v>0.01</v>
      </c>
      <c r="D1506" s="12">
        <f>D1505*(1-Assumptions!$B$12*(Assumptions!$B$5+Assumptions!$B$6))</f>
        <v>0.63796782784440142</v>
      </c>
      <c r="E1506" s="12">
        <f>E1505+Assumptions!$B$12*(D1505*Assumptions!$B$5-E1505*Assumptions!$B$7)</f>
        <v>0.16521723265009974</v>
      </c>
      <c r="F1506" s="12">
        <f t="shared" si="69"/>
        <v>0.19681493950549883</v>
      </c>
      <c r="G1506" s="12">
        <f>EXP(-Assumptions!$B$8*B1506)</f>
        <v>0.47283915555577949</v>
      </c>
      <c r="H1506" s="12">
        <f t="shared" si="70"/>
        <v>0.30165616898970166</v>
      </c>
      <c r="I1506" s="12">
        <f t="shared" si="71"/>
        <v>7.8121176769535922E-2</v>
      </c>
      <c r="J1506" s="12">
        <f>G1506*(D1506*Assumptions!$B$6+E1506*Assumptions!$B$7)</f>
        <v>6.9226205283738126E-3</v>
      </c>
    </row>
    <row r="1507" spans="1:10" x14ac:dyDescent="0.2">
      <c r="A1507" s="2">
        <v>1499</v>
      </c>
      <c r="B1507" s="14">
        <f>A1507*Assumptions!$B$12</f>
        <v>14.99</v>
      </c>
      <c r="C1507" s="15">
        <f>IF(A1507&lt;=Assumptions!$B$13,IF(OR(A1507=0,A1507=Assumptions!$B$13),0.5,1),0)*Assumptions!$B$12</f>
        <v>0.01</v>
      </c>
      <c r="D1507" s="12">
        <f>D1506*(1-Assumptions!$B$12*(Assumptions!$B$5+Assumptions!$B$6))</f>
        <v>0.63777643749604818</v>
      </c>
      <c r="E1507" s="12">
        <f>E1506+Assumptions!$B$12*(D1506*Assumptions!$B$5-E1506*Assumptions!$B$7)</f>
        <v>0.16526221759934356</v>
      </c>
      <c r="F1507" s="12">
        <f t="shared" si="69"/>
        <v>0.19696134490460826</v>
      </c>
      <c r="G1507" s="12">
        <f>EXP(-Assumptions!$B$8*B1507)</f>
        <v>0.47260279507304648</v>
      </c>
      <c r="H1507" s="12">
        <f t="shared" si="70"/>
        <v>0.3014149269923625</v>
      </c>
      <c r="I1507" s="12">
        <f t="shared" si="71"/>
        <v>7.810338595741978E-2</v>
      </c>
      <c r="J1507" s="12">
        <f>G1507*(D1507*Assumptions!$B$6+E1507*Assumptions!$B$7)</f>
        <v>6.9193185677946141E-3</v>
      </c>
    </row>
    <row r="1508" spans="1:10" x14ac:dyDescent="0.2">
      <c r="A1508" s="2">
        <v>1500</v>
      </c>
      <c r="B1508" s="14">
        <f>A1508*Assumptions!$B$12</f>
        <v>15</v>
      </c>
      <c r="C1508" s="15">
        <f>IF(A1508&lt;=Assumptions!$B$13,IF(OR(A1508=0,A1508=Assumptions!$B$13),0.5,1),0)*Assumptions!$B$12</f>
        <v>0.01</v>
      </c>
      <c r="D1508" s="12">
        <f>D1507*(1-Assumptions!$B$12*(Assumptions!$B$5+Assumptions!$B$6))</f>
        <v>0.63758510456479933</v>
      </c>
      <c r="E1508" s="12">
        <f>E1507+Assumptions!$B$12*(D1507*Assumptions!$B$5-E1507*Assumptions!$B$7)</f>
        <v>0.16530714177804309</v>
      </c>
      <c r="F1508" s="12">
        <f t="shared" si="69"/>
        <v>0.19710775365715758</v>
      </c>
      <c r="G1508" s="12">
        <f>EXP(-Assumptions!$B$8*B1508)</f>
        <v>0.47236655274101469</v>
      </c>
      <c r="H1508" s="12">
        <f t="shared" si="70"/>
        <v>0.30117387792229366</v>
      </c>
      <c r="I1508" s="12">
        <f t="shared" si="71"/>
        <v>7.8085564705164381E-2</v>
      </c>
      <c r="J1508" s="12">
        <f>G1508*(D1508*Assumptions!$B$6+E1508*Assumptions!$B$7)</f>
        <v>6.9160170144811559E-3</v>
      </c>
    </row>
    <row r="1509" spans="1:10" x14ac:dyDescent="0.2">
      <c r="A1509" s="2">
        <v>1501</v>
      </c>
      <c r="B1509" s="14">
        <f>A1509*Assumptions!$B$12</f>
        <v>15.01</v>
      </c>
      <c r="C1509" s="15">
        <f>IF(A1509&lt;=Assumptions!$B$13,IF(OR(A1509=0,A1509=Assumptions!$B$13),0.5,1),0)*Assumptions!$B$12</f>
        <v>0.01</v>
      </c>
      <c r="D1509" s="12">
        <f>D1508*(1-Assumptions!$B$12*(Assumptions!$B$5+Assumptions!$B$6))</f>
        <v>0.63739382903342989</v>
      </c>
      <c r="E1509" s="12">
        <f>E1508+Assumptions!$B$12*(D1508*Assumptions!$B$5-E1508*Assumptions!$B$7)</f>
        <v>0.16535200522806703</v>
      </c>
      <c r="F1509" s="12">
        <f t="shared" si="69"/>
        <v>0.19725416573850307</v>
      </c>
      <c r="G1509" s="12">
        <f>EXP(-Assumptions!$B$8*B1509)</f>
        <v>0.47213042850062353</v>
      </c>
      <c r="H1509" s="12">
        <f t="shared" si="70"/>
        <v>0.30093302162520641</v>
      </c>
      <c r="I1509" s="12">
        <f t="shared" si="71"/>
        <v>7.8067713081764634E-2</v>
      </c>
      <c r="J1509" s="12">
        <f>G1509*(D1509*Assumptions!$B$6+E1509*Assumptions!$B$7)</f>
        <v>6.9127158703402962E-3</v>
      </c>
    </row>
    <row r="1510" spans="1:10" x14ac:dyDescent="0.2">
      <c r="A1510" s="2">
        <v>1502</v>
      </c>
      <c r="B1510" s="14">
        <f>A1510*Assumptions!$B$12</f>
        <v>15.02</v>
      </c>
      <c r="C1510" s="15">
        <f>IF(A1510&lt;=Assumptions!$B$13,IF(OR(A1510=0,A1510=Assumptions!$B$13),0.5,1),0)*Assumptions!$B$12</f>
        <v>0.01</v>
      </c>
      <c r="D1510" s="12">
        <f>D1509*(1-Assumptions!$B$12*(Assumptions!$B$5+Assumptions!$B$6))</f>
        <v>0.63720261088471986</v>
      </c>
      <c r="E1510" s="12">
        <f>E1509+Assumptions!$B$12*(D1509*Assumptions!$B$5-E1509*Assumptions!$B$7)</f>
        <v>0.16539680799125969</v>
      </c>
      <c r="F1510" s="12">
        <f t="shared" si="69"/>
        <v>0.19740058112402045</v>
      </c>
      <c r="G1510" s="12">
        <f>EXP(-Assumptions!$B$8*B1510)</f>
        <v>0.47189442229284201</v>
      </c>
      <c r="H1510" s="12">
        <f t="shared" si="70"/>
        <v>0.3006923579469355</v>
      </c>
      <c r="I1510" s="12">
        <f t="shared" si="71"/>
        <v>7.8049831156115607E-2</v>
      </c>
      <c r="J1510" s="12">
        <f>G1510*(D1510*Assumptions!$B$6+E1510*Assumptions!$B$7)</f>
        <v>6.9094151372751361E-3</v>
      </c>
    </row>
    <row r="1511" spans="1:10" x14ac:dyDescent="0.2">
      <c r="A1511" s="2">
        <v>1503</v>
      </c>
      <c r="B1511" s="14">
        <f>A1511*Assumptions!$B$12</f>
        <v>15.030000000000001</v>
      </c>
      <c r="C1511" s="15">
        <f>IF(A1511&lt;=Assumptions!$B$13,IF(OR(A1511=0,A1511=Assumptions!$B$13),0.5,1),0)*Assumptions!$B$12</f>
        <v>0.01</v>
      </c>
      <c r="D1511" s="12">
        <f>D1510*(1-Assumptions!$B$12*(Assumptions!$B$5+Assumptions!$B$6))</f>
        <v>0.63701145010145444</v>
      </c>
      <c r="E1511" s="12">
        <f>E1510+Assumptions!$B$12*(D1510*Assumptions!$B$5-E1510*Assumptions!$B$7)</f>
        <v>0.165441550109441</v>
      </c>
      <c r="F1511" s="12">
        <f t="shared" si="69"/>
        <v>0.19754699978910456</v>
      </c>
      <c r="G1511" s="12">
        <f>EXP(-Assumptions!$B$8*B1511)</f>
        <v>0.47165853405866842</v>
      </c>
      <c r="H1511" s="12">
        <f t="shared" si="70"/>
        <v>0.30045188673343859</v>
      </c>
      <c r="I1511" s="12">
        <f t="shared" si="71"/>
        <v>7.8031918997012673E-2</v>
      </c>
      <c r="J1511" s="12">
        <f>G1511*(D1511*Assumptions!$B$6+E1511*Assumptions!$B$7)</f>
        <v>6.9061148171850198E-3</v>
      </c>
    </row>
    <row r="1512" spans="1:10" x14ac:dyDescent="0.2">
      <c r="A1512" s="2">
        <v>1504</v>
      </c>
      <c r="B1512" s="14">
        <f>A1512*Assumptions!$B$12</f>
        <v>15.040000000000001</v>
      </c>
      <c r="C1512" s="15">
        <f>IF(A1512&lt;=Assumptions!$B$13,IF(OR(A1512=0,A1512=Assumptions!$B$13),0.5,1),0)*Assumptions!$B$12</f>
        <v>0.01</v>
      </c>
      <c r="D1512" s="12">
        <f>D1511*(1-Assumptions!$B$12*(Assumptions!$B$5+Assumptions!$B$6))</f>
        <v>0.63682034666642406</v>
      </c>
      <c r="E1512" s="12">
        <f>E1511+Assumptions!$B$12*(D1511*Assumptions!$B$5-E1511*Assumptions!$B$7)</f>
        <v>0.16548623162440657</v>
      </c>
      <c r="F1512" s="12">
        <f t="shared" si="69"/>
        <v>0.19769342170916937</v>
      </c>
      <c r="G1512" s="12">
        <f>EXP(-Assumptions!$B$8*B1512)</f>
        <v>0.47142276373913083</v>
      </c>
      <c r="H1512" s="12">
        <f t="shared" si="70"/>
        <v>0.30021160783079703</v>
      </c>
      <c r="I1512" s="12">
        <f t="shared" si="71"/>
        <v>7.80139766731517E-2</v>
      </c>
      <c r="J1512" s="12">
        <f>G1512*(D1512*Assumptions!$B$6+E1512*Assumptions!$B$7)</f>
        <v>6.9028149119655553E-3</v>
      </c>
    </row>
    <row r="1513" spans="1:10" x14ac:dyDescent="0.2">
      <c r="A1513" s="2">
        <v>1505</v>
      </c>
      <c r="B1513" s="14">
        <f>A1513*Assumptions!$B$12</f>
        <v>15.05</v>
      </c>
      <c r="C1513" s="15">
        <f>IF(A1513&lt;=Assumptions!$B$13,IF(OR(A1513=0,A1513=Assumptions!$B$13),0.5,1),0)*Assumptions!$B$12</f>
        <v>0.01</v>
      </c>
      <c r="D1513" s="12">
        <f>D1512*(1-Assumptions!$B$12*(Assumptions!$B$5+Assumptions!$B$6))</f>
        <v>0.63662930056242417</v>
      </c>
      <c r="E1513" s="12">
        <f>E1512+Assumptions!$B$12*(D1512*Assumptions!$B$5-E1512*Assumptions!$B$7)</f>
        <v>0.16553085257792766</v>
      </c>
      <c r="F1513" s="12">
        <f t="shared" si="69"/>
        <v>0.19783984685964817</v>
      </c>
      <c r="G1513" s="12">
        <f>EXP(-Assumptions!$B$8*B1513)</f>
        <v>0.47118711127528667</v>
      </c>
      <c r="H1513" s="12">
        <f t="shared" si="70"/>
        <v>0.29997152108521491</v>
      </c>
      <c r="I1513" s="12">
        <f t="shared" si="71"/>
        <v>7.7996004253129067E-2</v>
      </c>
      <c r="J1513" s="12">
        <f>G1513*(D1513*Assumptions!$B$6+E1513*Assumptions!$B$7)</f>
        <v>6.8995154235086016E-3</v>
      </c>
    </row>
    <row r="1514" spans="1:10" x14ac:dyDescent="0.2">
      <c r="A1514" s="2">
        <v>1506</v>
      </c>
      <c r="B1514" s="14">
        <f>A1514*Assumptions!$B$12</f>
        <v>15.06</v>
      </c>
      <c r="C1514" s="15">
        <f>IF(A1514&lt;=Assumptions!$B$13,IF(OR(A1514=0,A1514=Assumptions!$B$13),0.5,1),0)*Assumptions!$B$12</f>
        <v>0.01</v>
      </c>
      <c r="D1514" s="12">
        <f>D1513*(1-Assumptions!$B$12*(Assumptions!$B$5+Assumptions!$B$6))</f>
        <v>0.63643831177225552</v>
      </c>
      <c r="E1514" s="12">
        <f>E1513+Assumptions!$B$12*(D1513*Assumptions!$B$5-E1513*Assumptions!$B$7)</f>
        <v>0.16557541301175119</v>
      </c>
      <c r="F1514" s="12">
        <f t="shared" si="69"/>
        <v>0.1979862752159933</v>
      </c>
      <c r="G1514" s="12">
        <f>EXP(-Assumptions!$B$8*B1514)</f>
        <v>0.47095157660822273</v>
      </c>
      <c r="H1514" s="12">
        <f t="shared" si="70"/>
        <v>0.29973162634301936</v>
      </c>
      <c r="I1514" s="12">
        <f t="shared" si="71"/>
        <v>7.7978001805441857E-2</v>
      </c>
      <c r="J1514" s="12">
        <f>G1514*(D1514*Assumptions!$B$6+E1514*Assumptions!$B$7)</f>
        <v>6.8962163537022864E-3</v>
      </c>
    </row>
    <row r="1515" spans="1:10" x14ac:dyDescent="0.2">
      <c r="A1515" s="2">
        <v>1507</v>
      </c>
      <c r="B1515" s="14">
        <f>A1515*Assumptions!$B$12</f>
        <v>15.07</v>
      </c>
      <c r="C1515" s="15">
        <f>IF(A1515&lt;=Assumptions!$B$13,IF(OR(A1515=0,A1515=Assumptions!$B$13),0.5,1),0)*Assumptions!$B$12</f>
        <v>0.01</v>
      </c>
      <c r="D1515" s="12">
        <f>D1514*(1-Assumptions!$B$12*(Assumptions!$B$5+Assumptions!$B$6))</f>
        <v>0.63624738027872385</v>
      </c>
      <c r="E1515" s="12">
        <f>E1514+Assumptions!$B$12*(D1514*Assumptions!$B$5-E1514*Assumptions!$B$7)</f>
        <v>0.16561991296759976</v>
      </c>
      <c r="F1515" s="12">
        <f t="shared" si="69"/>
        <v>0.19813270675367639</v>
      </c>
      <c r="G1515" s="12">
        <f>EXP(-Assumptions!$B$8*B1515)</f>
        <v>0.47071615967905545</v>
      </c>
      <c r="H1515" s="12">
        <f t="shared" si="70"/>
        <v>0.2994919234506605</v>
      </c>
      <c r="I1515" s="12">
        <f t="shared" si="71"/>
        <v>7.7959969398487955E-2</v>
      </c>
      <c r="J1515" s="12">
        <f>G1515*(D1515*Assumptions!$B$6+E1515*Assumptions!$B$7)</f>
        <v>6.8929177044310033E-3</v>
      </c>
    </row>
    <row r="1516" spans="1:10" x14ac:dyDescent="0.2">
      <c r="A1516" s="2">
        <v>1508</v>
      </c>
      <c r="B1516" s="14">
        <f>A1516*Assumptions!$B$12</f>
        <v>15.08</v>
      </c>
      <c r="C1516" s="15">
        <f>IF(A1516&lt;=Assumptions!$B$13,IF(OR(A1516=0,A1516=Assumptions!$B$13),0.5,1),0)*Assumptions!$B$12</f>
        <v>0.01</v>
      </c>
      <c r="D1516" s="12">
        <f>D1515*(1-Assumptions!$B$12*(Assumptions!$B$5+Assumptions!$B$6))</f>
        <v>0.63605650606464026</v>
      </c>
      <c r="E1516" s="12">
        <f>E1515+Assumptions!$B$12*(D1515*Assumptions!$B$5-E1515*Assumptions!$B$7)</f>
        <v>0.16566435248717171</v>
      </c>
      <c r="F1516" s="12">
        <f t="shared" si="69"/>
        <v>0.19827914144818803</v>
      </c>
      <c r="G1516" s="12">
        <f>EXP(-Assumptions!$B$8*B1516)</f>
        <v>0.47048086042893056</v>
      </c>
      <c r="H1516" s="12">
        <f t="shared" si="70"/>
        <v>0.29925241225471122</v>
      </c>
      <c r="I1516" s="12">
        <f t="shared" si="71"/>
        <v>7.7941907100566185E-2</v>
      </c>
      <c r="J1516" s="12">
        <f>G1516*(D1516*Assumptions!$B$6+E1516*Assumptions!$B$7)</f>
        <v>6.8896194775754224E-3</v>
      </c>
    </row>
    <row r="1517" spans="1:10" x14ac:dyDescent="0.2">
      <c r="A1517" s="2">
        <v>1509</v>
      </c>
      <c r="B1517" s="14">
        <f>A1517*Assumptions!$B$12</f>
        <v>15.09</v>
      </c>
      <c r="C1517" s="15">
        <f>IF(A1517&lt;=Assumptions!$B$13,IF(OR(A1517=0,A1517=Assumptions!$B$13),0.5,1),0)*Assumptions!$B$12</f>
        <v>0.01</v>
      </c>
      <c r="D1517" s="12">
        <f>D1516*(1-Assumptions!$B$12*(Assumptions!$B$5+Assumptions!$B$6))</f>
        <v>0.63586568911282093</v>
      </c>
      <c r="E1517" s="12">
        <f>E1516+Assumptions!$B$12*(D1516*Assumptions!$B$5-E1516*Assumptions!$B$7)</f>
        <v>0.16570873161214106</v>
      </c>
      <c r="F1517" s="12">
        <f t="shared" si="69"/>
        <v>0.19842557927503801</v>
      </c>
      <c r="G1517" s="12">
        <f>EXP(-Assumptions!$B$8*B1517)</f>
        <v>0.47024567879902318</v>
      </c>
      <c r="H1517" s="12">
        <f t="shared" si="70"/>
        <v>0.29901309260186715</v>
      </c>
      <c r="I1517" s="12">
        <f t="shared" si="71"/>
        <v>7.7923814979876424E-2</v>
      </c>
      <c r="J1517" s="12">
        <f>G1517*(D1517*Assumptions!$B$6+E1517*Assumptions!$B$7)</f>
        <v>6.886321675012492E-3</v>
      </c>
    </row>
    <row r="1518" spans="1:10" x14ac:dyDescent="0.2">
      <c r="A1518" s="2">
        <v>1510</v>
      </c>
      <c r="B1518" s="14">
        <f>A1518*Assumptions!$B$12</f>
        <v>15.1</v>
      </c>
      <c r="C1518" s="15">
        <f>IF(A1518&lt;=Assumptions!$B$13,IF(OR(A1518=0,A1518=Assumptions!$B$13),0.5,1),0)*Assumptions!$B$12</f>
        <v>0.01</v>
      </c>
      <c r="D1518" s="12">
        <f>D1517*(1-Assumptions!$B$12*(Assumptions!$B$5+Assumptions!$B$6))</f>
        <v>0.63567492940608705</v>
      </c>
      <c r="E1518" s="12">
        <f>E1517+Assumptions!$B$12*(D1517*Assumptions!$B$5-E1517*Assumptions!$B$7)</f>
        <v>0.16575305038415755</v>
      </c>
      <c r="F1518" s="12">
        <f t="shared" si="69"/>
        <v>0.1985720202097554</v>
      </c>
      <c r="G1518" s="12">
        <f>EXP(-Assumptions!$B$8*B1518)</f>
        <v>0.47001061473053796</v>
      </c>
      <c r="H1518" s="12">
        <f t="shared" si="70"/>
        <v>0.29877396433894632</v>
      </c>
      <c r="I1518" s="12">
        <f t="shared" si="71"/>
        <v>7.7905693104519724E-2</v>
      </c>
      <c r="J1518" s="12">
        <f>G1518*(D1518*Assumptions!$B$6+E1518*Assumptions!$B$7)</f>
        <v>6.8830242986154489E-3</v>
      </c>
    </row>
    <row r="1519" spans="1:10" x14ac:dyDescent="0.2">
      <c r="A1519" s="2">
        <v>1511</v>
      </c>
      <c r="B1519" s="14">
        <f>A1519*Assumptions!$B$12</f>
        <v>15.11</v>
      </c>
      <c r="C1519" s="15">
        <f>IF(A1519&lt;=Assumptions!$B$13,IF(OR(A1519=0,A1519=Assumptions!$B$13),0.5,1),0)*Assumptions!$B$12</f>
        <v>0.01</v>
      </c>
      <c r="D1519" s="12">
        <f>D1518*(1-Assumptions!$B$12*(Assumptions!$B$5+Assumptions!$B$6))</f>
        <v>0.63548422692726525</v>
      </c>
      <c r="E1519" s="12">
        <f>E1518+Assumptions!$B$12*(D1518*Assumptions!$B$5-E1518*Assumptions!$B$7)</f>
        <v>0.1657973088448467</v>
      </c>
      <c r="F1519" s="12">
        <f t="shared" si="69"/>
        <v>0.19871846422788805</v>
      </c>
      <c r="G1519" s="12">
        <f>EXP(-Assumptions!$B$8*B1519)</f>
        <v>0.46977566816470884</v>
      </c>
      <c r="H1519" s="12">
        <f t="shared" si="70"/>
        <v>0.2985350273128895</v>
      </c>
      <c r="I1519" s="12">
        <f t="shared" si="71"/>
        <v>7.7887541542498454E-2</v>
      </c>
      <c r="J1519" s="12">
        <f>G1519*(D1519*Assumptions!$B$6+E1519*Assumptions!$B$7)</f>
        <v>6.8797273502538177E-3</v>
      </c>
    </row>
    <row r="1520" spans="1:10" x14ac:dyDescent="0.2">
      <c r="A1520" s="2">
        <v>1512</v>
      </c>
      <c r="B1520" s="14">
        <f>A1520*Assumptions!$B$12</f>
        <v>15.120000000000001</v>
      </c>
      <c r="C1520" s="15">
        <f>IF(A1520&lt;=Assumptions!$B$13,IF(OR(A1520=0,A1520=Assumptions!$B$13),0.5,1),0)*Assumptions!$B$12</f>
        <v>0.01</v>
      </c>
      <c r="D1520" s="12">
        <f>D1519*(1-Assumptions!$B$12*(Assumptions!$B$5+Assumptions!$B$6))</f>
        <v>0.63529358165918715</v>
      </c>
      <c r="E1520" s="12">
        <f>E1519+Assumptions!$B$12*(D1519*Assumptions!$B$5-E1519*Assumptions!$B$7)</f>
        <v>0.16584150703580972</v>
      </c>
      <c r="F1520" s="12">
        <f t="shared" si="69"/>
        <v>0.19886491130500314</v>
      </c>
      <c r="G1520" s="12">
        <f>EXP(-Assumptions!$B$8*B1520)</f>
        <v>0.4695408390427992</v>
      </c>
      <c r="H1520" s="12">
        <f t="shared" si="70"/>
        <v>0.29829628137075981</v>
      </c>
      <c r="I1520" s="12">
        <f t="shared" si="71"/>
        <v>7.7869360361716378E-2</v>
      </c>
      <c r="J1520" s="12">
        <f>G1520*(D1520*Assumptions!$B$6+E1520*Assumptions!$B$7)</f>
        <v>6.8764308317934182E-3</v>
      </c>
    </row>
    <row r="1521" spans="1:10" x14ac:dyDescent="0.2">
      <c r="A1521" s="2">
        <v>1513</v>
      </c>
      <c r="B1521" s="14">
        <f>A1521*Assumptions!$B$12</f>
        <v>15.13</v>
      </c>
      <c r="C1521" s="15">
        <f>IF(A1521&lt;=Assumptions!$B$13,IF(OR(A1521=0,A1521=Assumptions!$B$13),0.5,1),0)*Assumptions!$B$12</f>
        <v>0.01</v>
      </c>
      <c r="D1521" s="12">
        <f>D1520*(1-Assumptions!$B$12*(Assumptions!$B$5+Assumptions!$B$6))</f>
        <v>0.63510299358468936</v>
      </c>
      <c r="E1521" s="12">
        <f>E1520+Assumptions!$B$12*(D1520*Assumptions!$B$5-E1520*Assumptions!$B$7)</f>
        <v>0.16588564499862365</v>
      </c>
      <c r="F1521" s="12">
        <f t="shared" si="69"/>
        <v>0.19901136141668699</v>
      </c>
      <c r="G1521" s="12">
        <f>EXP(-Assumptions!$B$8*B1521)</f>
        <v>0.46930612730610183</v>
      </c>
      <c r="H1521" s="12">
        <f t="shared" si="70"/>
        <v>0.29805772635974259</v>
      </c>
      <c r="I1521" s="12">
        <f t="shared" si="71"/>
        <v>7.7851149629978883E-2</v>
      </c>
      <c r="J1521" s="12">
        <f>G1521*(D1521*Assumptions!$B$6+E1521*Assumptions!$B$7)</f>
        <v>6.8731347450963712E-3</v>
      </c>
    </row>
    <row r="1522" spans="1:10" x14ac:dyDescent="0.2">
      <c r="A1522" s="2">
        <v>1514</v>
      </c>
      <c r="B1522" s="14">
        <f>A1522*Assumptions!$B$12</f>
        <v>15.14</v>
      </c>
      <c r="C1522" s="15">
        <f>IF(A1522&lt;=Assumptions!$B$13,IF(OR(A1522=0,A1522=Assumptions!$B$13),0.5,1),0)*Assumptions!$B$12</f>
        <v>0.01</v>
      </c>
      <c r="D1522" s="12">
        <f>D1521*(1-Assumptions!$B$12*(Assumptions!$B$5+Assumptions!$B$6))</f>
        <v>0.63491246268661394</v>
      </c>
      <c r="E1522" s="12">
        <f>E1521+Assumptions!$B$12*(D1521*Assumptions!$B$5-E1521*Assumptions!$B$7)</f>
        <v>0.16592972277484128</v>
      </c>
      <c r="F1522" s="12">
        <f t="shared" si="69"/>
        <v>0.19915781453854478</v>
      </c>
      <c r="G1522" s="12">
        <f>EXP(-Assumptions!$B$8*B1522)</f>
        <v>0.46907153289593867</v>
      </c>
      <c r="H1522" s="12">
        <f t="shared" si="70"/>
        <v>0.29781936212714549</v>
      </c>
      <c r="I1522" s="12">
        <f t="shared" si="71"/>
        <v>7.7832909414992948E-2</v>
      </c>
      <c r="J1522" s="12">
        <f>G1522*(D1522*Assumptions!$B$6+E1522*Assumptions!$B$7)</f>
        <v>6.8698390920211017E-3</v>
      </c>
    </row>
    <row r="1523" spans="1:10" x14ac:dyDescent="0.2">
      <c r="A1523" s="2">
        <v>1515</v>
      </c>
      <c r="B1523" s="14">
        <f>A1523*Assumptions!$B$12</f>
        <v>15.15</v>
      </c>
      <c r="C1523" s="15">
        <f>IF(A1523&lt;=Assumptions!$B$13,IF(OR(A1523=0,A1523=Assumptions!$B$13),0.5,1),0)*Assumptions!$B$12</f>
        <v>0.01</v>
      </c>
      <c r="D1523" s="12">
        <f>D1522*(1-Assumptions!$B$12*(Assumptions!$B$5+Assumptions!$B$6))</f>
        <v>0.63472198894780796</v>
      </c>
      <c r="E1523" s="12">
        <f>E1522+Assumptions!$B$12*(D1522*Assumptions!$B$5-E1522*Assumptions!$B$7)</f>
        <v>0.16597374040599117</v>
      </c>
      <c r="F1523" s="12">
        <f t="shared" si="69"/>
        <v>0.19930427064620088</v>
      </c>
      <c r="G1523" s="12">
        <f>EXP(-Assumptions!$B$8*B1523)</f>
        <v>0.46883705575366125</v>
      </c>
      <c r="H1523" s="12">
        <f t="shared" si="70"/>
        <v>0.29758118852039822</v>
      </c>
      <c r="I1523" s="12">
        <f t="shared" si="71"/>
        <v>7.7814639784367381E-2</v>
      </c>
      <c r="J1523" s="12">
        <f>G1523*(D1523*Assumptions!$B$6+E1523*Assumptions!$B$7)</f>
        <v>6.8665438744223515E-3</v>
      </c>
    </row>
    <row r="1524" spans="1:10" x14ac:dyDescent="0.2">
      <c r="A1524" s="2">
        <v>1516</v>
      </c>
      <c r="B1524" s="14">
        <f>A1524*Assumptions!$B$12</f>
        <v>15.16</v>
      </c>
      <c r="C1524" s="15">
        <f>IF(A1524&lt;=Assumptions!$B$13,IF(OR(A1524=0,A1524=Assumptions!$B$13),0.5,1),0)*Assumptions!$B$12</f>
        <v>0.01</v>
      </c>
      <c r="D1524" s="12">
        <f>D1523*(1-Assumptions!$B$12*(Assumptions!$B$5+Assumptions!$B$6))</f>
        <v>0.63453157235112367</v>
      </c>
      <c r="E1524" s="12">
        <f>E1523+Assumptions!$B$12*(D1523*Assumptions!$B$5-E1523*Assumptions!$B$7)</f>
        <v>0.16601769793357773</v>
      </c>
      <c r="F1524" s="12">
        <f t="shared" si="69"/>
        <v>0.19945072971529859</v>
      </c>
      <c r="G1524" s="12">
        <f>EXP(-Assumptions!$B$8*B1524)</f>
        <v>0.46860269582065023</v>
      </c>
      <c r="H1524" s="12">
        <f t="shared" si="70"/>
        <v>0.2973432053870525</v>
      </c>
      <c r="I1524" s="12">
        <f t="shared" si="71"/>
        <v>7.7796340805612915E-2</v>
      </c>
      <c r="J1524" s="12">
        <f>G1524*(D1524*Assumptions!$B$6+E1524*Assumptions!$B$7)</f>
        <v>6.8632490941511713E-3</v>
      </c>
    </row>
    <row r="1525" spans="1:10" x14ac:dyDescent="0.2">
      <c r="A1525" s="2">
        <v>1517</v>
      </c>
      <c r="B1525" s="14">
        <f>A1525*Assumptions!$B$12</f>
        <v>15.17</v>
      </c>
      <c r="C1525" s="15">
        <f>IF(A1525&lt;=Assumptions!$B$13,IF(OR(A1525=0,A1525=Assumptions!$B$13),0.5,1),0)*Assumptions!$B$12</f>
        <v>0.01</v>
      </c>
      <c r="D1525" s="12">
        <f>D1524*(1-Assumptions!$B$12*(Assumptions!$B$5+Assumptions!$B$6))</f>
        <v>0.63434121287941836</v>
      </c>
      <c r="E1525" s="12">
        <f>E1524+Assumptions!$B$12*(D1524*Assumptions!$B$5-E1524*Assumptions!$B$7)</f>
        <v>0.16606159539908116</v>
      </c>
      <c r="F1525" s="12">
        <f t="shared" si="69"/>
        <v>0.19959719172150048</v>
      </c>
      <c r="G1525" s="12">
        <f>EXP(-Assumptions!$B$8*B1525)</f>
        <v>0.46836845303831548</v>
      </c>
      <c r="H1525" s="12">
        <f t="shared" si="70"/>
        <v>0.29710541257478196</v>
      </c>
      <c r="I1525" s="12">
        <f t="shared" si="71"/>
        <v>7.7778012546142292E-2</v>
      </c>
      <c r="J1525" s="12">
        <f>G1525*(D1525*Assumptions!$B$6+E1525*Assumptions!$B$7)</f>
        <v>6.8599547530549341E-3</v>
      </c>
    </row>
    <row r="1526" spans="1:10" x14ac:dyDescent="0.2">
      <c r="A1526" s="2">
        <v>1518</v>
      </c>
      <c r="B1526" s="14">
        <f>A1526*Assumptions!$B$12</f>
        <v>15.18</v>
      </c>
      <c r="C1526" s="15">
        <f>IF(A1526&lt;=Assumptions!$B$13,IF(OR(A1526=0,A1526=Assumptions!$B$13),0.5,1),0)*Assumptions!$B$12</f>
        <v>0.01</v>
      </c>
      <c r="D1526" s="12">
        <f>D1525*(1-Assumptions!$B$12*(Assumptions!$B$5+Assumptions!$B$6))</f>
        <v>0.6341509105155545</v>
      </c>
      <c r="E1526" s="12">
        <f>E1525+Assumptions!$B$12*(D1525*Assumptions!$B$5-E1525*Assumptions!$B$7)</f>
        <v>0.16610543284395751</v>
      </c>
      <c r="F1526" s="12">
        <f t="shared" si="69"/>
        <v>0.19974365664048799</v>
      </c>
      <c r="G1526" s="12">
        <f>EXP(-Assumptions!$B$8*B1526)</f>
        <v>0.46813432734809651</v>
      </c>
      <c r="H1526" s="12">
        <f t="shared" si="70"/>
        <v>0.29686780993138207</v>
      </c>
      <c r="I1526" s="12">
        <f t="shared" si="71"/>
        <v>7.775965507327047E-2</v>
      </c>
      <c r="J1526" s="12">
        <f>G1526*(D1526*Assumptions!$B$6+E1526*Assumptions!$B$7)</f>
        <v>6.8566608529773438E-3</v>
      </c>
    </row>
    <row r="1527" spans="1:10" x14ac:dyDescent="0.2">
      <c r="A1527" s="2">
        <v>1519</v>
      </c>
      <c r="B1527" s="14">
        <f>A1527*Assumptions!$B$12</f>
        <v>15.19</v>
      </c>
      <c r="C1527" s="15">
        <f>IF(A1527&lt;=Assumptions!$B$13,IF(OR(A1527=0,A1527=Assumptions!$B$13),0.5,1),0)*Assumptions!$B$12</f>
        <v>0.01</v>
      </c>
      <c r="D1527" s="12">
        <f>D1526*(1-Assumptions!$B$12*(Assumptions!$B$5+Assumptions!$B$6))</f>
        <v>0.6339606652423998</v>
      </c>
      <c r="E1527" s="12">
        <f>E1526+Assumptions!$B$12*(D1526*Assumptions!$B$5-E1526*Assumptions!$B$7)</f>
        <v>0.16614921030963864</v>
      </c>
      <c r="F1527" s="12">
        <f t="shared" si="69"/>
        <v>0.19989012444796156</v>
      </c>
      <c r="G1527" s="12">
        <f>EXP(-Assumptions!$B$8*B1527)</f>
        <v>0.46790031869146181</v>
      </c>
      <c r="H1527" s="12">
        <f t="shared" si="70"/>
        <v>0.29663039730477003</v>
      </c>
      <c r="I1527" s="12">
        <f t="shared" si="71"/>
        <v>7.7741268454214627E-2</v>
      </c>
      <c r="J1527" s="12">
        <f>G1527*(D1527*Assumptions!$B$6+E1527*Assumptions!$B$7)</f>
        <v>6.8533673957584321E-3</v>
      </c>
    </row>
    <row r="1528" spans="1:10" x14ac:dyDescent="0.2">
      <c r="A1528" s="2">
        <v>1520</v>
      </c>
      <c r="B1528" s="14">
        <f>A1528*Assumptions!$B$12</f>
        <v>15.200000000000001</v>
      </c>
      <c r="C1528" s="15">
        <f>IF(A1528&lt;=Assumptions!$B$13,IF(OR(A1528=0,A1528=Assumptions!$B$13),0.5,1),0)*Assumptions!$B$12</f>
        <v>0.01</v>
      </c>
      <c r="D1528" s="12">
        <f>D1527*(1-Assumptions!$B$12*(Assumptions!$B$5+Assumptions!$B$6))</f>
        <v>0.63377047704282707</v>
      </c>
      <c r="E1528" s="12">
        <f>E1527+Assumptions!$B$12*(D1527*Assumptions!$B$5-E1527*Assumptions!$B$7)</f>
        <v>0.16619292783753231</v>
      </c>
      <c r="F1528" s="12">
        <f t="shared" si="69"/>
        <v>0.20003659511964061</v>
      </c>
      <c r="G1528" s="12">
        <f>EXP(-Assumptions!$B$8*B1528)</f>
        <v>0.46766642700990918</v>
      </c>
      <c r="H1528" s="12">
        <f t="shared" si="70"/>
        <v>0.29639317454298458</v>
      </c>
      <c r="I1528" s="12">
        <f t="shared" si="71"/>
        <v>7.7722852756094404E-2</v>
      </c>
      <c r="J1528" s="12">
        <f>G1528*(D1528*Assumptions!$B$6+E1528*Assumptions!$B$7)</f>
        <v>6.8500743832345667E-3</v>
      </c>
    </row>
    <row r="1529" spans="1:10" x14ac:dyDescent="0.2">
      <c r="A1529" s="2">
        <v>1521</v>
      </c>
      <c r="B1529" s="14">
        <f>A1529*Assumptions!$B$12</f>
        <v>15.21</v>
      </c>
      <c r="C1529" s="15">
        <f>IF(A1529&lt;=Assumptions!$B$13,IF(OR(A1529=0,A1529=Assumptions!$B$13),0.5,1),0)*Assumptions!$B$12</f>
        <v>0.01</v>
      </c>
      <c r="D1529" s="12">
        <f>D1528*(1-Assumptions!$B$12*(Assumptions!$B$5+Assumptions!$B$6))</f>
        <v>0.63358034589971424</v>
      </c>
      <c r="E1529" s="12">
        <f>E1528+Assumptions!$B$12*(D1528*Assumptions!$B$5-E1528*Assumptions!$B$7)</f>
        <v>0.16623658546902212</v>
      </c>
      <c r="F1529" s="12">
        <f t="shared" si="69"/>
        <v>0.20018306863126364</v>
      </c>
      <c r="G1529" s="12">
        <f>EXP(-Assumptions!$B$8*B1529)</f>
        <v>0.46743265224496577</v>
      </c>
      <c r="H1529" s="12">
        <f t="shared" si="70"/>
        <v>0.29615614149418623</v>
      </c>
      <c r="I1529" s="12">
        <f t="shared" si="71"/>
        <v>7.7704408045931941E-2</v>
      </c>
      <c r="J1529" s="12">
        <f>G1529*(D1529*Assumptions!$B$6+E1529*Assumptions!$B$7)</f>
        <v>6.8467818172384598E-3</v>
      </c>
    </row>
    <row r="1530" spans="1:10" x14ac:dyDescent="0.2">
      <c r="A1530" s="2">
        <v>1522</v>
      </c>
      <c r="B1530" s="14">
        <f>A1530*Assumptions!$B$12</f>
        <v>15.22</v>
      </c>
      <c r="C1530" s="15">
        <f>IF(A1530&lt;=Assumptions!$B$13,IF(OR(A1530=0,A1530=Assumptions!$B$13),0.5,1),0)*Assumptions!$B$12</f>
        <v>0.01</v>
      </c>
      <c r="D1530" s="12">
        <f>D1529*(1-Assumptions!$B$12*(Assumptions!$B$5+Assumptions!$B$6))</f>
        <v>0.63339027179594432</v>
      </c>
      <c r="E1530" s="12">
        <f>E1529+Assumptions!$B$12*(D1529*Assumptions!$B$5-E1529*Assumptions!$B$7)</f>
        <v>0.16628018324546756</v>
      </c>
      <c r="F1530" s="12">
        <f t="shared" si="69"/>
        <v>0.20032954495858812</v>
      </c>
      <c r="G1530" s="12">
        <f>EXP(-Assumptions!$B$8*B1530)</f>
        <v>0.46719899433818785</v>
      </c>
      <c r="H1530" s="12">
        <f t="shared" si="70"/>
        <v>0.29591929800665667</v>
      </c>
      <c r="I1530" s="12">
        <f t="shared" si="71"/>
        <v>7.7685934390652037E-2</v>
      </c>
      <c r="J1530" s="12">
        <f>G1530*(D1530*Assumptions!$B$6+E1530*Assumptions!$B$7)</f>
        <v>6.843489699599168E-3</v>
      </c>
    </row>
    <row r="1531" spans="1:10" x14ac:dyDescent="0.2">
      <c r="A1531" s="2">
        <v>1523</v>
      </c>
      <c r="B1531" s="14">
        <f>A1531*Assumptions!$B$12</f>
        <v>15.23</v>
      </c>
      <c r="C1531" s="15">
        <f>IF(A1531&lt;=Assumptions!$B$13,IF(OR(A1531=0,A1531=Assumptions!$B$13),0.5,1),0)*Assumptions!$B$12</f>
        <v>0.01</v>
      </c>
      <c r="D1531" s="12">
        <f>D1530*(1-Assumptions!$B$12*(Assumptions!$B$5+Assumptions!$B$6))</f>
        <v>0.63320025471440555</v>
      </c>
      <c r="E1531" s="12">
        <f>E1530+Assumptions!$B$12*(D1530*Assumptions!$B$5-E1530*Assumptions!$B$7)</f>
        <v>0.16632372120820402</v>
      </c>
      <c r="F1531" s="12">
        <f t="shared" si="69"/>
        <v>0.20047602407739043</v>
      </c>
      <c r="G1531" s="12">
        <f>EXP(-Assumptions!$B$8*B1531)</f>
        <v>0.46696545323116095</v>
      </c>
      <c r="H1531" s="12">
        <f t="shared" si="70"/>
        <v>0.29568264392879895</v>
      </c>
      <c r="I1531" s="12">
        <f t="shared" si="71"/>
        <v>7.7667431857082248E-2</v>
      </c>
      <c r="J1531" s="12">
        <f>G1531*(D1531*Assumptions!$B$6+E1531*Assumptions!$B$7)</f>
        <v>6.8401980321421019E-3</v>
      </c>
    </row>
    <row r="1532" spans="1:10" x14ac:dyDescent="0.2">
      <c r="A1532" s="2">
        <v>1524</v>
      </c>
      <c r="B1532" s="14">
        <f>A1532*Assumptions!$B$12</f>
        <v>15.24</v>
      </c>
      <c r="C1532" s="15">
        <f>IF(A1532&lt;=Assumptions!$B$13,IF(OR(A1532=0,A1532=Assumptions!$B$13),0.5,1),0)*Assumptions!$B$12</f>
        <v>0.01</v>
      </c>
      <c r="D1532" s="12">
        <f>D1531*(1-Assumptions!$B$12*(Assumptions!$B$5+Assumptions!$B$6))</f>
        <v>0.6330102946379913</v>
      </c>
      <c r="E1532" s="12">
        <f>E1531+Assumptions!$B$12*(D1531*Assumptions!$B$5-E1531*Assumptions!$B$7)</f>
        <v>0.1663671993985428</v>
      </c>
      <c r="F1532" s="12">
        <f t="shared" si="69"/>
        <v>0.2006225059634659</v>
      </c>
      <c r="G1532" s="12">
        <f>EXP(-Assumptions!$B$8*B1532)</f>
        <v>0.46673202886549986</v>
      </c>
      <c r="H1532" s="12">
        <f t="shared" si="70"/>
        <v>0.29544617910913751</v>
      </c>
      <c r="I1532" s="12">
        <f t="shared" si="71"/>
        <v>7.7648900511953056E-2</v>
      </c>
      <c r="J1532" s="12">
        <f>G1532*(D1532*Assumptions!$B$6+E1532*Assumptions!$B$7)</f>
        <v>6.8369068166890291E-3</v>
      </c>
    </row>
    <row r="1533" spans="1:10" x14ac:dyDescent="0.2">
      <c r="A1533" s="2">
        <v>1525</v>
      </c>
      <c r="B1533" s="14">
        <f>A1533*Assumptions!$B$12</f>
        <v>15.25</v>
      </c>
      <c r="C1533" s="15">
        <f>IF(A1533&lt;=Assumptions!$B$13,IF(OR(A1533=0,A1533=Assumptions!$B$13),0.5,1),0)*Assumptions!$B$12</f>
        <v>0.01</v>
      </c>
      <c r="D1533" s="12">
        <f>D1532*(1-Assumptions!$B$12*(Assumptions!$B$5+Assumptions!$B$6))</f>
        <v>0.6328203915495999</v>
      </c>
      <c r="E1533" s="12">
        <f>E1532+Assumptions!$B$12*(D1532*Assumptions!$B$5-E1532*Assumptions!$B$7)</f>
        <v>0.16641061785777114</v>
      </c>
      <c r="F1533" s="12">
        <f t="shared" si="69"/>
        <v>0.20076899059262895</v>
      </c>
      <c r="G1533" s="12">
        <f>EXP(-Assumptions!$B$8*B1533)</f>
        <v>0.4664987211828483</v>
      </c>
      <c r="H1533" s="12">
        <f t="shared" si="70"/>
        <v>0.2952099033963177</v>
      </c>
      <c r="I1533" s="12">
        <f t="shared" si="71"/>
        <v>7.7630340421897898E-2</v>
      </c>
      <c r="J1533" s="12">
        <f>G1533*(D1533*Assumptions!$B$6+E1533*Assumptions!$B$7)</f>
        <v>6.8336160550580725E-3</v>
      </c>
    </row>
    <row r="1534" spans="1:10" x14ac:dyDescent="0.2">
      <c r="A1534" s="2">
        <v>1526</v>
      </c>
      <c r="B1534" s="14">
        <f>A1534*Assumptions!$B$12</f>
        <v>15.26</v>
      </c>
      <c r="C1534" s="15">
        <f>IF(A1534&lt;=Assumptions!$B$13,IF(OR(A1534=0,A1534=Assumptions!$B$13),0.5,1),0)*Assumptions!$B$12</f>
        <v>0.01</v>
      </c>
      <c r="D1534" s="12">
        <f>D1533*(1-Assumptions!$B$12*(Assumptions!$B$5+Assumptions!$B$6))</f>
        <v>0.63263054543213504</v>
      </c>
      <c r="E1534" s="12">
        <f>E1533+Assumptions!$B$12*(D1533*Assumptions!$B$5-E1533*Assumptions!$B$7)</f>
        <v>0.16645397662715217</v>
      </c>
      <c r="F1534" s="12">
        <f t="shared" si="69"/>
        <v>0.20091547794071279</v>
      </c>
      <c r="G1534" s="12">
        <f>EXP(-Assumptions!$B$8*B1534)</f>
        <v>0.46626553012487953</v>
      </c>
      <c r="H1534" s="12">
        <f t="shared" si="70"/>
        <v>0.29497381663910616</v>
      </c>
      <c r="I1534" s="12">
        <f t="shared" si="71"/>
        <v>7.7611751653453409E-2</v>
      </c>
      <c r="J1534" s="12">
        <f>G1534*(D1534*Assumptions!$B$6+E1534*Assumptions!$B$7)</f>
        <v>6.8303257490637329E-3</v>
      </c>
    </row>
    <row r="1535" spans="1:10" x14ac:dyDescent="0.2">
      <c r="A1535" s="2">
        <v>1527</v>
      </c>
      <c r="B1535" s="14">
        <f>A1535*Assumptions!$B$12</f>
        <v>15.27</v>
      </c>
      <c r="C1535" s="15">
        <f>IF(A1535&lt;=Assumptions!$B$13,IF(OR(A1535=0,A1535=Assumptions!$B$13),0.5,1),0)*Assumptions!$B$12</f>
        <v>0.01</v>
      </c>
      <c r="D1535" s="12">
        <f>D1534*(1-Assumptions!$B$12*(Assumptions!$B$5+Assumptions!$B$6))</f>
        <v>0.63244075626850538</v>
      </c>
      <c r="E1535" s="12">
        <f>E1534+Assumptions!$B$12*(D1534*Assumptions!$B$5-E1534*Assumptions!$B$7)</f>
        <v>0.16649727574792503</v>
      </c>
      <c r="F1535" s="12">
        <f t="shared" si="69"/>
        <v>0.20106196798356959</v>
      </c>
      <c r="G1535" s="12">
        <f>EXP(-Assumptions!$B$8*B1535)</f>
        <v>0.46603245563329571</v>
      </c>
      <c r="H1535" s="12">
        <f t="shared" si="70"/>
        <v>0.29473791868639021</v>
      </c>
      <c r="I1535" s="12">
        <f t="shared" si="71"/>
        <v>7.7593134273059472E-2</v>
      </c>
      <c r="J1535" s="12">
        <f>G1535*(D1535*Assumptions!$B$6+E1535*Assumptions!$B$7)</f>
        <v>6.8270359005168759E-3</v>
      </c>
    </row>
    <row r="1536" spans="1:10" x14ac:dyDescent="0.2">
      <c r="A1536" s="2">
        <v>1528</v>
      </c>
      <c r="B1536" s="14">
        <f>A1536*Assumptions!$B$12</f>
        <v>15.280000000000001</v>
      </c>
      <c r="C1536" s="15">
        <f>IF(A1536&lt;=Assumptions!$B$13,IF(OR(A1536=0,A1536=Assumptions!$B$13),0.5,1),0)*Assumptions!$B$12</f>
        <v>0.01</v>
      </c>
      <c r="D1536" s="12">
        <f>D1535*(1-Assumptions!$B$12*(Assumptions!$B$5+Assumptions!$B$6))</f>
        <v>0.63225102404162481</v>
      </c>
      <c r="E1536" s="12">
        <f>E1535+Assumptions!$B$12*(D1535*Assumptions!$B$5-E1535*Assumptions!$B$7)</f>
        <v>0.16654051526130476</v>
      </c>
      <c r="F1536" s="12">
        <f t="shared" si="69"/>
        <v>0.20120846069707043</v>
      </c>
      <c r="G1536" s="12">
        <f>EXP(-Assumptions!$B$8*B1536)</f>
        <v>0.4657994976498282</v>
      </c>
      <c r="H1536" s="12">
        <f t="shared" si="70"/>
        <v>0.2945022093871783</v>
      </c>
      <c r="I1536" s="12">
        <f t="shared" si="71"/>
        <v>7.7574488347059295E-2</v>
      </c>
      <c r="J1536" s="12">
        <f>G1536*(D1536*Assumptions!$B$6+E1536*Assumptions!$B$7)</f>
        <v>6.8237465112247486E-3</v>
      </c>
    </row>
    <row r="1537" spans="1:10" x14ac:dyDescent="0.2">
      <c r="A1537" s="2">
        <v>1529</v>
      </c>
      <c r="B1537" s="14">
        <f>A1537*Assumptions!$B$12</f>
        <v>15.290000000000001</v>
      </c>
      <c r="C1537" s="15">
        <f>IF(A1537&lt;=Assumptions!$B$13,IF(OR(A1537=0,A1537=Assumptions!$B$13),0.5,1),0)*Assumptions!$B$12</f>
        <v>0.01</v>
      </c>
      <c r="D1537" s="12">
        <f>D1536*(1-Assumptions!$B$12*(Assumptions!$B$5+Assumptions!$B$6))</f>
        <v>0.63206134873441233</v>
      </c>
      <c r="E1537" s="12">
        <f>E1536+Assumptions!$B$12*(D1536*Assumptions!$B$5-E1536*Assumptions!$B$7)</f>
        <v>0.16658369520848243</v>
      </c>
      <c r="F1537" s="12">
        <f t="shared" si="69"/>
        <v>0.20135495605710524</v>
      </c>
      <c r="G1537" s="12">
        <f>EXP(-Assumptions!$B$8*B1537)</f>
        <v>0.46556665611623754</v>
      </c>
      <c r="H1537" s="12">
        <f t="shared" si="70"/>
        <v>0.29426668859059946</v>
      </c>
      <c r="I1537" s="12">
        <f t="shared" si="71"/>
        <v>7.7555813941699664E-2</v>
      </c>
      <c r="J1537" s="12">
        <f>G1537*(D1537*Assumptions!$B$6+E1537*Assumptions!$B$7)</f>
        <v>6.8204575829909778E-3</v>
      </c>
    </row>
    <row r="1538" spans="1:10" x14ac:dyDescent="0.2">
      <c r="A1538" s="2">
        <v>1530</v>
      </c>
      <c r="B1538" s="14">
        <f>A1538*Assumptions!$B$12</f>
        <v>15.3</v>
      </c>
      <c r="C1538" s="15">
        <f>IF(A1538&lt;=Assumptions!$B$13,IF(OR(A1538=0,A1538=Assumptions!$B$13),0.5,1),0)*Assumptions!$B$12</f>
        <v>0.01</v>
      </c>
      <c r="D1538" s="12">
        <f>D1537*(1-Assumptions!$B$12*(Assumptions!$B$5+Assumptions!$B$6))</f>
        <v>0.63187173032979205</v>
      </c>
      <c r="E1538" s="12">
        <f>E1537+Assumptions!$B$12*(D1537*Assumptions!$B$5-E1537*Assumptions!$B$7)</f>
        <v>0.16662681563062506</v>
      </c>
      <c r="F1538" s="12">
        <f t="shared" si="69"/>
        <v>0.20150145403958289</v>
      </c>
      <c r="G1538" s="12">
        <f>EXP(-Assumptions!$B$8*B1538)</f>
        <v>0.46533393097431336</v>
      </c>
      <c r="H1538" s="12">
        <f t="shared" si="70"/>
        <v>0.29403135614590342</v>
      </c>
      <c r="I1538" s="12">
        <f t="shared" si="71"/>
        <v>7.7537111123130928E-2</v>
      </c>
      <c r="J1538" s="12">
        <f>G1538*(D1538*Assumptions!$B$6+E1538*Assumptions!$B$7)</f>
        <v>6.817169117615581E-3</v>
      </c>
    </row>
    <row r="1539" spans="1:10" x14ac:dyDescent="0.2">
      <c r="A1539" s="2">
        <v>1531</v>
      </c>
      <c r="B1539" s="14">
        <f>A1539*Assumptions!$B$12</f>
        <v>15.31</v>
      </c>
      <c r="C1539" s="15">
        <f>IF(A1539&lt;=Assumptions!$B$13,IF(OR(A1539=0,A1539=Assumptions!$B$13),0.5,1),0)*Assumptions!$B$12</f>
        <v>0.01</v>
      </c>
      <c r="D1539" s="12">
        <f>D1538*(1-Assumptions!$B$12*(Assumptions!$B$5+Assumptions!$B$6))</f>
        <v>0.63168216881069317</v>
      </c>
      <c r="E1539" s="12">
        <f>E1538+Assumptions!$B$12*(D1538*Assumptions!$B$5-E1538*Assumptions!$B$7)</f>
        <v>0.16666987656887572</v>
      </c>
      <c r="F1539" s="12">
        <f t="shared" si="69"/>
        <v>0.20164795462043111</v>
      </c>
      <c r="G1539" s="12">
        <f>EXP(-Assumptions!$B$8*B1539)</f>
        <v>0.46510132216587435</v>
      </c>
      <c r="H1539" s="12">
        <f t="shared" si="70"/>
        <v>0.29379621190246041</v>
      </c>
      <c r="I1539" s="12">
        <f t="shared" si="71"/>
        <v>7.751837995740718E-2</v>
      </c>
      <c r="J1539" s="12">
        <f>G1539*(D1539*Assumptions!$B$6+E1539*Assumptions!$B$7)</f>
        <v>6.8138811168949641E-3</v>
      </c>
    </row>
    <row r="1540" spans="1:10" x14ac:dyDescent="0.2">
      <c r="A1540" s="2">
        <v>1532</v>
      </c>
      <c r="B1540" s="14">
        <f>A1540*Assumptions!$B$12</f>
        <v>15.32</v>
      </c>
      <c r="C1540" s="15">
        <f>IF(A1540&lt;=Assumptions!$B$13,IF(OR(A1540=0,A1540=Assumptions!$B$13),0.5,1),0)*Assumptions!$B$12</f>
        <v>0.01</v>
      </c>
      <c r="D1540" s="12">
        <f>D1539*(1-Assumptions!$B$12*(Assumptions!$B$5+Assumptions!$B$6))</f>
        <v>0.63149266416005001</v>
      </c>
      <c r="E1540" s="12">
        <f>E1539+Assumptions!$B$12*(D1539*Assumptions!$B$5-E1539*Assumptions!$B$7)</f>
        <v>0.16671287806435342</v>
      </c>
      <c r="F1540" s="12">
        <f t="shared" si="69"/>
        <v>0.20179445777559657</v>
      </c>
      <c r="G1540" s="12">
        <f>EXP(-Assumptions!$B$8*B1540)</f>
        <v>0.46486882963276827</v>
      </c>
      <c r="H1540" s="12">
        <f t="shared" si="70"/>
        <v>0.29356125570976122</v>
      </c>
      <c r="I1540" s="12">
        <f t="shared" si="71"/>
        <v>7.7499620510486381E-2</v>
      </c>
      <c r="J1540" s="12">
        <f>G1540*(D1540*Assumptions!$B$6+E1540*Assumptions!$B$7)</f>
        <v>6.8105935826219318E-3</v>
      </c>
    </row>
    <row r="1541" spans="1:10" x14ac:dyDescent="0.2">
      <c r="A1541" s="2">
        <v>1533</v>
      </c>
      <c r="B1541" s="14">
        <f>A1541*Assumptions!$B$12</f>
        <v>15.33</v>
      </c>
      <c r="C1541" s="15">
        <f>IF(A1541&lt;=Assumptions!$B$13,IF(OR(A1541=0,A1541=Assumptions!$B$13),0.5,1),0)*Assumptions!$B$12</f>
        <v>0.01</v>
      </c>
      <c r="D1541" s="12">
        <f>D1540*(1-Assumptions!$B$12*(Assumptions!$B$5+Assumptions!$B$6))</f>
        <v>0.631303216360802</v>
      </c>
      <c r="E1541" s="12">
        <f>E1540+Assumptions!$B$12*(D1540*Assumptions!$B$5-E1540*Assumptions!$B$7)</f>
        <v>0.16675582015815327</v>
      </c>
      <c r="F1541" s="12">
        <f t="shared" si="69"/>
        <v>0.20194096348104473</v>
      </c>
      <c r="G1541" s="12">
        <f>EXP(-Assumptions!$B$8*B1541)</f>
        <v>0.46463645331687203</v>
      </c>
      <c r="H1541" s="12">
        <f t="shared" si="70"/>
        <v>0.29332648741741696</v>
      </c>
      <c r="I1541" s="12">
        <f t="shared" si="71"/>
        <v>7.7480832848230485E-2</v>
      </c>
      <c r="J1541" s="12">
        <f>G1541*(D1541*Assumptions!$B$6+E1541*Assumptions!$B$7)</f>
        <v>6.8073065165856943E-3</v>
      </c>
    </row>
    <row r="1542" spans="1:10" x14ac:dyDescent="0.2">
      <c r="A1542" s="2">
        <v>1534</v>
      </c>
      <c r="B1542" s="14">
        <f>A1542*Assumptions!$B$12</f>
        <v>15.34</v>
      </c>
      <c r="C1542" s="15">
        <f>IF(A1542&lt;=Assumptions!$B$13,IF(OR(A1542=0,A1542=Assumptions!$B$13),0.5,1),0)*Assumptions!$B$12</f>
        <v>0.01</v>
      </c>
      <c r="D1542" s="12">
        <f>D1541*(1-Assumptions!$B$12*(Assumptions!$B$5+Assumptions!$B$6))</f>
        <v>0.63111382539589378</v>
      </c>
      <c r="E1542" s="12">
        <f>E1541+Assumptions!$B$12*(D1541*Assumptions!$B$5-E1541*Assumptions!$B$7)</f>
        <v>0.16679870289134635</v>
      </c>
      <c r="F1542" s="12">
        <f t="shared" si="69"/>
        <v>0.20208747171275987</v>
      </c>
      <c r="G1542" s="12">
        <f>EXP(-Assumptions!$B$8*B1542)</f>
        <v>0.46440419316009157</v>
      </c>
      <c r="H1542" s="12">
        <f t="shared" si="70"/>
        <v>0.29309190687515896</v>
      </c>
      <c r="I1542" s="12">
        <f t="shared" si="71"/>
        <v>7.7462017036405539E-2</v>
      </c>
      <c r="J1542" s="12">
        <f>G1542*(D1542*Assumptions!$B$6+E1542*Assumptions!$B$7)</f>
        <v>6.8040199205718667E-3</v>
      </c>
    </row>
    <row r="1543" spans="1:10" x14ac:dyDescent="0.2">
      <c r="A1543" s="2">
        <v>1535</v>
      </c>
      <c r="B1543" s="14">
        <f>A1543*Assumptions!$B$12</f>
        <v>15.35</v>
      </c>
      <c r="C1543" s="15">
        <f>IF(A1543&lt;=Assumptions!$B$13,IF(OR(A1543=0,A1543=Assumptions!$B$13),0.5,1),0)*Assumptions!$B$12</f>
        <v>0.01</v>
      </c>
      <c r="D1543" s="12">
        <f>D1542*(1-Assumptions!$B$12*(Assumptions!$B$5+Assumptions!$B$6))</f>
        <v>0.63092449124827499</v>
      </c>
      <c r="E1543" s="12">
        <f>E1542+Assumptions!$B$12*(D1542*Assumptions!$B$5-E1542*Assumptions!$B$7)</f>
        <v>0.16684152630497986</v>
      </c>
      <c r="F1543" s="12">
        <f t="shared" si="69"/>
        <v>0.20223398244674515</v>
      </c>
      <c r="G1543" s="12">
        <f>EXP(-Assumptions!$B$8*B1543)</f>
        <v>0.46417204910436177</v>
      </c>
      <c r="H1543" s="12">
        <f t="shared" si="70"/>
        <v>0.29285751393283876</v>
      </c>
      <c r="I1543" s="12">
        <f t="shared" si="71"/>
        <v>7.7443173140681776E-2</v>
      </c>
      <c r="J1543" s="12">
        <f>G1543*(D1543*Assumptions!$B$6+E1543*Assumptions!$B$7)</f>
        <v>6.8007337963624775E-3</v>
      </c>
    </row>
    <row r="1544" spans="1:10" x14ac:dyDescent="0.2">
      <c r="A1544" s="2">
        <v>1536</v>
      </c>
      <c r="B1544" s="14">
        <f>A1544*Assumptions!$B$12</f>
        <v>15.36</v>
      </c>
      <c r="C1544" s="15">
        <f>IF(A1544&lt;=Assumptions!$B$13,IF(OR(A1544=0,A1544=Assumptions!$B$13),0.5,1),0)*Assumptions!$B$12</f>
        <v>0.01</v>
      </c>
      <c r="D1544" s="12">
        <f>D1543*(1-Assumptions!$B$12*(Assumptions!$B$5+Assumptions!$B$6))</f>
        <v>0.63073521390090048</v>
      </c>
      <c r="E1544" s="12">
        <f>E1543+Assumptions!$B$12*(D1543*Assumptions!$B$5-E1543*Assumptions!$B$7)</f>
        <v>0.16688429044007702</v>
      </c>
      <c r="F1544" s="12">
        <f t="shared" ref="F1544:F1607" si="72">1-D1544-E1544</f>
        <v>0.2023804956590225</v>
      </c>
      <c r="G1544" s="12">
        <f>EXP(-Assumptions!$B$8*B1544)</f>
        <v>0.46394002109164673</v>
      </c>
      <c r="H1544" s="12">
        <f t="shared" ref="H1544:H1607" si="73">G1544*D1544</f>
        <v>0.29262330844042805</v>
      </c>
      <c r="I1544" s="12">
        <f t="shared" ref="I1544:I1607" si="74">G1544*E1544</f>
        <v>7.7424301226633838E-2</v>
      </c>
      <c r="J1544" s="12">
        <f>G1544*(D1544*Assumptions!$B$6+E1544*Assumptions!$B$7)</f>
        <v>6.797448145735973E-3</v>
      </c>
    </row>
    <row r="1545" spans="1:10" x14ac:dyDescent="0.2">
      <c r="A1545" s="2">
        <v>1537</v>
      </c>
      <c r="B1545" s="14">
        <f>A1545*Assumptions!$B$12</f>
        <v>15.370000000000001</v>
      </c>
      <c r="C1545" s="15">
        <f>IF(A1545&lt;=Assumptions!$B$13,IF(OR(A1545=0,A1545=Assumptions!$B$13),0.5,1),0)*Assumptions!$B$12</f>
        <v>0.01</v>
      </c>
      <c r="D1545" s="12">
        <f>D1544*(1-Assumptions!$B$12*(Assumptions!$B$5+Assumptions!$B$6))</f>
        <v>0.63054599333673023</v>
      </c>
      <c r="E1545" s="12">
        <f>E1544+Assumptions!$B$12*(D1544*Assumptions!$B$5-E1544*Assumptions!$B$7)</f>
        <v>0.16692699533763716</v>
      </c>
      <c r="F1545" s="12">
        <f t="shared" si="72"/>
        <v>0.20252701132563261</v>
      </c>
      <c r="G1545" s="12">
        <f>EXP(-Assumptions!$B$8*B1545)</f>
        <v>0.46370810906393928</v>
      </c>
      <c r="H1545" s="12">
        <f t="shared" si="73"/>
        <v>0.29238929024801841</v>
      </c>
      <c r="I1545" s="12">
        <f t="shared" si="74"/>
        <v>7.7405401359740736E-2</v>
      </c>
      <c r="J1545" s="12">
        <f>G1545*(D1545*Assumptions!$B$6+E1545*Assumptions!$B$7)</f>
        <v>6.7941629704672208E-3</v>
      </c>
    </row>
    <row r="1546" spans="1:10" x14ac:dyDescent="0.2">
      <c r="A1546" s="2">
        <v>1538</v>
      </c>
      <c r="B1546" s="14">
        <f>A1546*Assumptions!$B$12</f>
        <v>15.38</v>
      </c>
      <c r="C1546" s="15">
        <f>IF(A1546&lt;=Assumptions!$B$13,IF(OR(A1546=0,A1546=Assumptions!$B$13),0.5,1),0)*Assumptions!$B$12</f>
        <v>0.01</v>
      </c>
      <c r="D1546" s="12">
        <f>D1545*(1-Assumptions!$B$12*(Assumptions!$B$5+Assumptions!$B$6))</f>
        <v>0.63035682953872918</v>
      </c>
      <c r="E1546" s="12">
        <f>E1545+Assumptions!$B$12*(D1545*Assumptions!$B$5-E1545*Assumptions!$B$7)</f>
        <v>0.16696964103863568</v>
      </c>
      <c r="F1546" s="12">
        <f t="shared" si="72"/>
        <v>0.20267352942263514</v>
      </c>
      <c r="G1546" s="12">
        <f>EXP(-Assumptions!$B$8*B1546)</f>
        <v>0.46347631296326153</v>
      </c>
      <c r="H1546" s="12">
        <f t="shared" si="73"/>
        <v>0.29215545920582137</v>
      </c>
      <c r="I1546" s="12">
        <f t="shared" si="74"/>
        <v>7.7386473605386141E-2</v>
      </c>
      <c r="J1546" s="12">
        <f>G1546*(D1546*Assumptions!$B$6+E1546*Assumptions!$B$7)</f>
        <v>6.790878272327521E-3</v>
      </c>
    </row>
    <row r="1547" spans="1:10" x14ac:dyDescent="0.2">
      <c r="A1547" s="2">
        <v>1539</v>
      </c>
      <c r="B1547" s="14">
        <f>A1547*Assumptions!$B$12</f>
        <v>15.39</v>
      </c>
      <c r="C1547" s="15">
        <f>IF(A1547&lt;=Assumptions!$B$13,IF(OR(A1547=0,A1547=Assumptions!$B$13),0.5,1),0)*Assumptions!$B$12</f>
        <v>0.01</v>
      </c>
      <c r="D1547" s="12">
        <f>D1546*(1-Assumptions!$B$12*(Assumptions!$B$5+Assumptions!$B$6))</f>
        <v>0.63016772248986763</v>
      </c>
      <c r="E1547" s="12">
        <f>E1546+Assumptions!$B$12*(D1546*Assumptions!$B$5-E1546*Assumptions!$B$7)</f>
        <v>0.16701222758402412</v>
      </c>
      <c r="F1547" s="12">
        <f t="shared" si="72"/>
        <v>0.20282004992610825</v>
      </c>
      <c r="G1547" s="12">
        <f>EXP(-Assumptions!$B$8*B1547)</f>
        <v>0.4632446327316645</v>
      </c>
      <c r="H1547" s="12">
        <f t="shared" si="73"/>
        <v>0.29192181516416821</v>
      </c>
      <c r="I1547" s="12">
        <f t="shared" si="74"/>
        <v>7.7367518028858426E-2</v>
      </c>
      <c r="J1547" s="12">
        <f>G1547*(D1547*Assumptions!$B$6+E1547*Assumptions!$B$7)</f>
        <v>6.7875940530846028E-3</v>
      </c>
    </row>
    <row r="1548" spans="1:10" x14ac:dyDescent="0.2">
      <c r="A1548" s="2">
        <v>1540</v>
      </c>
      <c r="B1548" s="14">
        <f>A1548*Assumptions!$B$12</f>
        <v>15.4</v>
      </c>
      <c r="C1548" s="15">
        <f>IF(A1548&lt;=Assumptions!$B$13,IF(OR(A1548=0,A1548=Assumptions!$B$13),0.5,1),0)*Assumptions!$B$12</f>
        <v>0.01</v>
      </c>
      <c r="D1548" s="12">
        <f>D1547*(1-Assumptions!$B$12*(Assumptions!$B$5+Assumptions!$B$6))</f>
        <v>0.62997867217312065</v>
      </c>
      <c r="E1548" s="12">
        <f>E1547+Assumptions!$B$12*(D1547*Assumptions!$B$5-E1547*Assumptions!$B$7)</f>
        <v>0.16705475501473008</v>
      </c>
      <c r="F1548" s="12">
        <f t="shared" si="72"/>
        <v>0.20296657281214928</v>
      </c>
      <c r="G1548" s="12">
        <f>EXP(-Assumptions!$B$8*B1548)</f>
        <v>0.46301306831122807</v>
      </c>
      <c r="H1548" s="12">
        <f t="shared" si="73"/>
        <v>0.29168835797350984</v>
      </c>
      <c r="I1548" s="12">
        <f t="shared" si="74"/>
        <v>7.734853469535069E-2</v>
      </c>
      <c r="J1548" s="12">
        <f>G1548*(D1548*Assumptions!$B$6+E1548*Assumptions!$B$7)</f>
        <v>6.7843103145026331E-3</v>
      </c>
    </row>
    <row r="1549" spans="1:10" x14ac:dyDescent="0.2">
      <c r="A1549" s="2">
        <v>1541</v>
      </c>
      <c r="B1549" s="14">
        <f>A1549*Assumptions!$B$12</f>
        <v>15.41</v>
      </c>
      <c r="C1549" s="15">
        <f>IF(A1549&lt;=Assumptions!$B$13,IF(OR(A1549=0,A1549=Assumptions!$B$13),0.5,1),0)*Assumptions!$B$12</f>
        <v>0.01</v>
      </c>
      <c r="D1549" s="12">
        <f>D1548*(1-Assumptions!$B$12*(Assumptions!$B$5+Assumptions!$B$6))</f>
        <v>0.62978967857146873</v>
      </c>
      <c r="E1549" s="12">
        <f>E1548+Assumptions!$B$12*(D1548*Assumptions!$B$5-E1548*Assumptions!$B$7)</f>
        <v>0.16709722337165733</v>
      </c>
      <c r="F1549" s="12">
        <f t="shared" si="72"/>
        <v>0.20311309805687394</v>
      </c>
      <c r="G1549" s="12">
        <f>EXP(-Assumptions!$B$8*B1549)</f>
        <v>0.46278161964406106</v>
      </c>
      <c r="H1549" s="12">
        <f t="shared" si="73"/>
        <v>0.2914550874844169</v>
      </c>
      <c r="I1549" s="12">
        <f t="shared" si="74"/>
        <v>7.7329523669961028E-2</v>
      </c>
      <c r="J1549" s="12">
        <f>G1549*(D1549*Assumptions!$B$6+E1549*Assumptions!$B$7)</f>
        <v>6.7810270583422202E-3</v>
      </c>
    </row>
    <row r="1550" spans="1:10" x14ac:dyDescent="0.2">
      <c r="A1550" s="2">
        <v>1542</v>
      </c>
      <c r="B1550" s="14">
        <f>A1550*Assumptions!$B$12</f>
        <v>15.42</v>
      </c>
      <c r="C1550" s="15">
        <f>IF(A1550&lt;=Assumptions!$B$13,IF(OR(A1550=0,A1550=Assumptions!$B$13),0.5,1),0)*Assumptions!$B$12</f>
        <v>0.01</v>
      </c>
      <c r="D1550" s="12">
        <f>D1549*(1-Assumptions!$B$12*(Assumptions!$B$5+Assumptions!$B$6))</f>
        <v>0.62960074166789726</v>
      </c>
      <c r="E1550" s="12">
        <f>E1549+Assumptions!$B$12*(D1549*Assumptions!$B$5-E1549*Assumptions!$B$7)</f>
        <v>0.1671396326956858</v>
      </c>
      <c r="F1550" s="12">
        <f t="shared" si="72"/>
        <v>0.20325962563641695</v>
      </c>
      <c r="G1550" s="12">
        <f>EXP(-Assumptions!$B$8*B1550)</f>
        <v>0.46255028667230141</v>
      </c>
      <c r="H1550" s="12">
        <f t="shared" si="73"/>
        <v>0.29122200354757949</v>
      </c>
      <c r="I1550" s="12">
        <f t="shared" si="74"/>
        <v>7.7310485017692623E-2</v>
      </c>
      <c r="J1550" s="12">
        <f>G1550*(D1550*Assumptions!$B$6+E1550*Assumptions!$B$7)</f>
        <v>6.7777442863604263E-3</v>
      </c>
    </row>
    <row r="1551" spans="1:10" x14ac:dyDescent="0.2">
      <c r="A1551" s="2">
        <v>1543</v>
      </c>
      <c r="B1551" s="14">
        <f>A1551*Assumptions!$B$12</f>
        <v>15.43</v>
      </c>
      <c r="C1551" s="15">
        <f>IF(A1551&lt;=Assumptions!$B$13,IF(OR(A1551=0,A1551=Assumptions!$B$13),0.5,1),0)*Assumptions!$B$12</f>
        <v>0.01</v>
      </c>
      <c r="D1551" s="12">
        <f>D1550*(1-Assumptions!$B$12*(Assumptions!$B$5+Assumptions!$B$6))</f>
        <v>0.62941186144539696</v>
      </c>
      <c r="E1551" s="12">
        <f>E1550+Assumptions!$B$12*(D1550*Assumptions!$B$5-E1550*Assumptions!$B$7)</f>
        <v>0.16718198302767154</v>
      </c>
      <c r="F1551" s="12">
        <f t="shared" si="72"/>
        <v>0.2034061555269315</v>
      </c>
      <c r="G1551" s="12">
        <f>EXP(-Assumptions!$B$8*B1551)</f>
        <v>0.46231906933811584</v>
      </c>
      <c r="H1551" s="12">
        <f t="shared" si="73"/>
        <v>0.29098910601380706</v>
      </c>
      <c r="I1551" s="12">
        <f t="shared" si="74"/>
        <v>7.729141880345379E-2</v>
      </c>
      <c r="J1551" s="12">
        <f>G1551*(D1551*Assumptions!$B$6+E1551*Assumptions!$B$7)</f>
        <v>6.7744620003107603E-3</v>
      </c>
    </row>
    <row r="1552" spans="1:10" x14ac:dyDescent="0.2">
      <c r="A1552" s="2">
        <v>1544</v>
      </c>
      <c r="B1552" s="14">
        <f>A1552*Assumptions!$B$12</f>
        <v>15.44</v>
      </c>
      <c r="C1552" s="15">
        <f>IF(A1552&lt;=Assumptions!$B$13,IF(OR(A1552=0,A1552=Assumptions!$B$13),0.5,1),0)*Assumptions!$B$12</f>
        <v>0.01</v>
      </c>
      <c r="D1552" s="12">
        <f>D1551*(1-Assumptions!$B$12*(Assumptions!$B$5+Assumptions!$B$6))</f>
        <v>0.62922303788696332</v>
      </c>
      <c r="E1552" s="12">
        <f>E1551+Assumptions!$B$12*(D1551*Assumptions!$B$5-E1551*Assumptions!$B$7)</f>
        <v>0.16722427440844678</v>
      </c>
      <c r="F1552" s="12">
        <f t="shared" si="72"/>
        <v>0.2035526877045899</v>
      </c>
      <c r="G1552" s="12">
        <f>EXP(-Assumptions!$B$8*B1552)</f>
        <v>0.46208796758370002</v>
      </c>
      <c r="H1552" s="12">
        <f t="shared" si="73"/>
        <v>0.29075639473402837</v>
      </c>
      <c r="I1552" s="12">
        <f t="shared" si="74"/>
        <v>7.7272325092058114E-2</v>
      </c>
      <c r="J1552" s="12">
        <f>G1552*(D1552*Assumptions!$B$6+E1552*Assumptions!$B$7)</f>
        <v>6.7711802019431895E-3</v>
      </c>
    </row>
    <row r="1553" spans="1:10" x14ac:dyDescent="0.2">
      <c r="A1553" s="2">
        <v>1545</v>
      </c>
      <c r="B1553" s="14">
        <f>A1553*Assumptions!$B$12</f>
        <v>15.450000000000001</v>
      </c>
      <c r="C1553" s="15">
        <f>IF(A1553&lt;=Assumptions!$B$13,IF(OR(A1553=0,A1553=Assumptions!$B$13),0.5,1),0)*Assumptions!$B$12</f>
        <v>0.01</v>
      </c>
      <c r="D1553" s="12">
        <f>D1552*(1-Assumptions!$B$12*(Assumptions!$B$5+Assumptions!$B$6))</f>
        <v>0.62903427097559728</v>
      </c>
      <c r="E1553" s="12">
        <f>E1552+Assumptions!$B$12*(D1552*Assumptions!$B$5-E1552*Assumptions!$B$7)</f>
        <v>0.16726650687881994</v>
      </c>
      <c r="F1553" s="12">
        <f t="shared" si="72"/>
        <v>0.20369922214558278</v>
      </c>
      <c r="G1553" s="12">
        <f>EXP(-Assumptions!$B$8*B1553)</f>
        <v>0.46185698135127845</v>
      </c>
      <c r="H1553" s="12">
        <f t="shared" si="73"/>
        <v>0.29052386955929149</v>
      </c>
      <c r="I1553" s="12">
        <f t="shared" si="74"/>
        <v>7.725320394822463E-2</v>
      </c>
      <c r="J1553" s="12">
        <f>G1553*(D1553*Assumptions!$B$6+E1553*Assumptions!$B$7)</f>
        <v>6.7678988930041459E-3</v>
      </c>
    </row>
    <row r="1554" spans="1:10" x14ac:dyDescent="0.2">
      <c r="A1554" s="2">
        <v>1546</v>
      </c>
      <c r="B1554" s="14">
        <f>A1554*Assumptions!$B$12</f>
        <v>15.46</v>
      </c>
      <c r="C1554" s="15">
        <f>IF(A1554&lt;=Assumptions!$B$13,IF(OR(A1554=0,A1554=Assumptions!$B$13),0.5,1),0)*Assumptions!$B$12</f>
        <v>0.01</v>
      </c>
      <c r="D1554" s="12">
        <f>D1553*(1-Assumptions!$B$12*(Assumptions!$B$5+Assumptions!$B$6))</f>
        <v>0.62884556069430464</v>
      </c>
      <c r="E1554" s="12">
        <f>E1553+Assumptions!$B$12*(D1553*Assumptions!$B$5-E1553*Assumptions!$B$7)</f>
        <v>0.16730868047957564</v>
      </c>
      <c r="F1554" s="12">
        <f t="shared" si="72"/>
        <v>0.20384575882611972</v>
      </c>
      <c r="G1554" s="12">
        <f>EXP(-Assumptions!$B$8*B1554)</f>
        <v>0.46162611058310465</v>
      </c>
      <c r="H1554" s="12">
        <f t="shared" si="73"/>
        <v>0.29029153034076355</v>
      </c>
      <c r="I1554" s="12">
        <f t="shared" si="74"/>
        <v>7.7234055436577909E-2</v>
      </c>
      <c r="J1554" s="12">
        <f>G1554*(D1554*Assumptions!$B$6+E1554*Assumptions!$B$7)</f>
        <v>6.7646180752365306E-3</v>
      </c>
    </row>
    <row r="1555" spans="1:10" x14ac:dyDescent="0.2">
      <c r="A1555" s="2">
        <v>1547</v>
      </c>
      <c r="B1555" s="14">
        <f>A1555*Assumptions!$B$12</f>
        <v>15.47</v>
      </c>
      <c r="C1555" s="15">
        <f>IF(A1555&lt;=Assumptions!$B$13,IF(OR(A1555=0,A1555=Assumptions!$B$13),0.5,1),0)*Assumptions!$B$12</f>
        <v>0.01</v>
      </c>
      <c r="D1555" s="12">
        <f>D1554*(1-Assumptions!$B$12*(Assumptions!$B$5+Assumptions!$B$6))</f>
        <v>0.62865690702609633</v>
      </c>
      <c r="E1555" s="12">
        <f>E1554+Assumptions!$B$12*(D1554*Assumptions!$B$5-E1554*Assumptions!$B$7)</f>
        <v>0.16735079525147473</v>
      </c>
      <c r="F1555" s="12">
        <f t="shared" si="72"/>
        <v>0.20399229772242894</v>
      </c>
      <c r="G1555" s="12">
        <f>EXP(-Assumptions!$B$8*B1555)</f>
        <v>0.46139535522146097</v>
      </c>
      <c r="H1555" s="12">
        <f t="shared" si="73"/>
        <v>0.29005937692973066</v>
      </c>
      <c r="I1555" s="12">
        <f t="shared" si="74"/>
        <v>7.7214879621648164E-2</v>
      </c>
      <c r="J1555" s="12">
        <f>G1555*(D1555*Assumptions!$B$6+E1555*Assumptions!$B$7)</f>
        <v>6.761337750379715E-3</v>
      </c>
    </row>
    <row r="1556" spans="1:10" x14ac:dyDescent="0.2">
      <c r="A1556" s="2">
        <v>1548</v>
      </c>
      <c r="B1556" s="14">
        <f>A1556*Assumptions!$B$12</f>
        <v>15.48</v>
      </c>
      <c r="C1556" s="15">
        <f>IF(A1556&lt;=Assumptions!$B$13,IF(OR(A1556=0,A1556=Assumptions!$B$13),0.5,1),0)*Assumptions!$B$12</f>
        <v>0.01</v>
      </c>
      <c r="D1556" s="12">
        <f>D1555*(1-Assumptions!$B$12*(Assumptions!$B$5+Assumptions!$B$6))</f>
        <v>0.6284683099539885</v>
      </c>
      <c r="E1556" s="12">
        <f>E1555+Assumptions!$B$12*(D1555*Assumptions!$B$5-E1555*Assumptions!$B$7)</f>
        <v>0.16739285123525421</v>
      </c>
      <c r="F1556" s="12">
        <f t="shared" si="72"/>
        <v>0.20413883881075728</v>
      </c>
      <c r="G1556" s="12">
        <f>EXP(-Assumptions!$B$8*B1556)</f>
        <v>0.46116471520865843</v>
      </c>
      <c r="H1556" s="12">
        <f t="shared" si="73"/>
        <v>0.28982740917759797</v>
      </c>
      <c r="I1556" s="12">
        <f t="shared" si="74"/>
        <v>7.7195676567871338E-2</v>
      </c>
      <c r="J1556" s="12">
        <f>G1556*(D1556*Assumptions!$B$6+E1556*Assumptions!$B$7)</f>
        <v>6.7580579201695461E-3</v>
      </c>
    </row>
    <row r="1557" spans="1:10" x14ac:dyDescent="0.2">
      <c r="A1557" s="2">
        <v>1549</v>
      </c>
      <c r="B1557" s="14">
        <f>A1557*Assumptions!$B$12</f>
        <v>15.49</v>
      </c>
      <c r="C1557" s="15">
        <f>IF(A1557&lt;=Assumptions!$B$13,IF(OR(A1557=0,A1557=Assumptions!$B$13),0.5,1),0)*Assumptions!$B$12</f>
        <v>0.01</v>
      </c>
      <c r="D1557" s="12">
        <f>D1556*(1-Assumptions!$B$12*(Assumptions!$B$5+Assumptions!$B$6))</f>
        <v>0.62827976946100228</v>
      </c>
      <c r="E1557" s="12">
        <f>E1556+Assumptions!$B$12*(D1556*Assumptions!$B$5-E1556*Assumptions!$B$7)</f>
        <v>0.16743484847162737</v>
      </c>
      <c r="F1557" s="12">
        <f t="shared" si="72"/>
        <v>0.20428538206737035</v>
      </c>
      <c r="G1557" s="12">
        <f>EXP(-Assumptions!$B$8*B1557)</f>
        <v>0.4609341904870371</v>
      </c>
      <c r="H1557" s="12">
        <f t="shared" si="73"/>
        <v>0.28959562693588936</v>
      </c>
      <c r="I1557" s="12">
        <f t="shared" si="74"/>
        <v>7.7176446339589283E-2</v>
      </c>
      <c r="J1557" s="12">
        <f>G1557*(D1557*Assumptions!$B$6+E1557*Assumptions!$B$7)</f>
        <v>6.7547785863383576E-3</v>
      </c>
    </row>
    <row r="1558" spans="1:10" x14ac:dyDescent="0.2">
      <c r="A1558" s="2">
        <v>1550</v>
      </c>
      <c r="B1558" s="14">
        <f>A1558*Assumptions!$B$12</f>
        <v>15.5</v>
      </c>
      <c r="C1558" s="15">
        <f>IF(A1558&lt;=Assumptions!$B$13,IF(OR(A1558=0,A1558=Assumptions!$B$13),0.5,1),0)*Assumptions!$B$12</f>
        <v>0.01</v>
      </c>
      <c r="D1558" s="12">
        <f>D1557*(1-Assumptions!$B$12*(Assumptions!$B$5+Assumptions!$B$6))</f>
        <v>0.62809128553016402</v>
      </c>
      <c r="E1558" s="12">
        <f>E1557+Assumptions!$B$12*(D1557*Assumptions!$B$5-E1557*Assumptions!$B$7)</f>
        <v>0.16747678700128377</v>
      </c>
      <c r="F1558" s="12">
        <f t="shared" si="72"/>
        <v>0.20443192746855221</v>
      </c>
      <c r="G1558" s="12">
        <f>EXP(-Assumptions!$B$8*B1558)</f>
        <v>0.46070378099896581</v>
      </c>
      <c r="H1558" s="12">
        <f t="shared" si="73"/>
        <v>0.28936403005624761</v>
      </c>
      <c r="I1558" s="12">
        <f t="shared" si="74"/>
        <v>7.7157189001049883E-2</v>
      </c>
      <c r="J1558" s="12">
        <f>G1558*(D1558*Assumptions!$B$6+E1558*Assumptions!$B$7)</f>
        <v>6.7514997506149697E-3</v>
      </c>
    </row>
    <row r="1559" spans="1:10" x14ac:dyDescent="0.2">
      <c r="A1559" s="2">
        <v>1551</v>
      </c>
      <c r="B1559" s="14">
        <f>A1559*Assumptions!$B$12</f>
        <v>15.51</v>
      </c>
      <c r="C1559" s="15">
        <f>IF(A1559&lt;=Assumptions!$B$13,IF(OR(A1559=0,A1559=Assumptions!$B$13),0.5,1),0)*Assumptions!$B$12</f>
        <v>0.01</v>
      </c>
      <c r="D1559" s="12">
        <f>D1558*(1-Assumptions!$B$12*(Assumptions!$B$5+Assumptions!$B$6))</f>
        <v>0.62790285814450497</v>
      </c>
      <c r="E1559" s="12">
        <f>E1558+Assumptions!$B$12*(D1558*Assumptions!$B$5-E1558*Assumptions!$B$7)</f>
        <v>0.16751866686488917</v>
      </c>
      <c r="F1559" s="12">
        <f t="shared" si="72"/>
        <v>0.20457847499060586</v>
      </c>
      <c r="G1559" s="12">
        <f>EXP(-Assumptions!$B$8*B1559)</f>
        <v>0.46047348668684213</v>
      </c>
      <c r="H1559" s="12">
        <f t="shared" si="73"/>
        <v>0.2891326183904338</v>
      </c>
      <c r="I1559" s="12">
        <f t="shared" si="74"/>
        <v>7.7137904616407085E-2</v>
      </c>
      <c r="J1559" s="12">
        <f>G1559*(D1559*Assumptions!$B$6+E1559*Assumptions!$B$7)</f>
        <v>6.7482214147246934E-3</v>
      </c>
    </row>
    <row r="1560" spans="1:10" x14ac:dyDescent="0.2">
      <c r="A1560" s="2">
        <v>1552</v>
      </c>
      <c r="B1560" s="14">
        <f>A1560*Assumptions!$B$12</f>
        <v>15.52</v>
      </c>
      <c r="C1560" s="15">
        <f>IF(A1560&lt;=Assumptions!$B$13,IF(OR(A1560=0,A1560=Assumptions!$B$13),0.5,1),0)*Assumptions!$B$12</f>
        <v>0.01</v>
      </c>
      <c r="D1560" s="12">
        <f>D1559*(1-Assumptions!$B$12*(Assumptions!$B$5+Assumptions!$B$6))</f>
        <v>0.6277144872870617</v>
      </c>
      <c r="E1560" s="12">
        <f>E1559+Assumptions!$B$12*(D1559*Assumptions!$B$5-E1559*Assumptions!$B$7)</f>
        <v>0.16756048810308563</v>
      </c>
      <c r="F1560" s="12">
        <f t="shared" si="72"/>
        <v>0.20472502460985267</v>
      </c>
      <c r="G1560" s="12">
        <f>EXP(-Assumptions!$B$8*B1560)</f>
        <v>0.46024330749309256</v>
      </c>
      <c r="H1560" s="12">
        <f t="shared" si="73"/>
        <v>0.28890139179032809</v>
      </c>
      <c r="I1560" s="12">
        <f t="shared" si="74"/>
        <v>7.7118593249721118E-2</v>
      </c>
      <c r="J1560" s="12">
        <f>G1560*(D1560*Assumptions!$B$6+E1560*Assumptions!$B$7)</f>
        <v>6.7449435803893362E-3</v>
      </c>
    </row>
    <row r="1561" spans="1:10" x14ac:dyDescent="0.2">
      <c r="A1561" s="2">
        <v>1553</v>
      </c>
      <c r="B1561" s="14">
        <f>A1561*Assumptions!$B$12</f>
        <v>15.530000000000001</v>
      </c>
      <c r="C1561" s="15">
        <f>IF(A1561&lt;=Assumptions!$B$13,IF(OR(A1561=0,A1561=Assumptions!$B$13),0.5,1),0)*Assumptions!$B$12</f>
        <v>0.01</v>
      </c>
      <c r="D1561" s="12">
        <f>D1560*(1-Assumptions!$B$12*(Assumptions!$B$5+Assumptions!$B$6))</f>
        <v>0.62752617294087565</v>
      </c>
      <c r="E1561" s="12">
        <f>E1560+Assumptions!$B$12*(D1560*Assumptions!$B$5-E1560*Assumptions!$B$7)</f>
        <v>0.16760225075649149</v>
      </c>
      <c r="F1561" s="12">
        <f t="shared" si="72"/>
        <v>0.20487157630263286</v>
      </c>
      <c r="G1561" s="12">
        <f>EXP(-Assumptions!$B$8*B1561)</f>
        <v>0.46001324336017224</v>
      </c>
      <c r="H1561" s="12">
        <f t="shared" si="73"/>
        <v>0.28867035010792857</v>
      </c>
      <c r="I1561" s="12">
        <f t="shared" si="74"/>
        <v>7.7099254964958536E-2</v>
      </c>
      <c r="J1561" s="12">
        <f>G1561*(D1561*Assumptions!$B$6+E1561*Assumptions!$B$7)</f>
        <v>6.7416662493272128E-3</v>
      </c>
    </row>
    <row r="1562" spans="1:10" x14ac:dyDescent="0.2">
      <c r="A1562" s="2">
        <v>1554</v>
      </c>
      <c r="B1562" s="14">
        <f>A1562*Assumptions!$B$12</f>
        <v>15.540000000000001</v>
      </c>
      <c r="C1562" s="15">
        <f>IF(A1562&lt;=Assumptions!$B$13,IF(OR(A1562=0,A1562=Assumptions!$B$13),0.5,1),0)*Assumptions!$B$12</f>
        <v>0.01</v>
      </c>
      <c r="D1562" s="12">
        <f>D1561*(1-Assumptions!$B$12*(Assumptions!$B$5+Assumptions!$B$6))</f>
        <v>0.62733791508899339</v>
      </c>
      <c r="E1562" s="12">
        <f>E1561+Assumptions!$B$12*(D1561*Assumptions!$B$5-E1561*Assumptions!$B$7)</f>
        <v>0.16764395486570141</v>
      </c>
      <c r="F1562" s="12">
        <f t="shared" si="72"/>
        <v>0.2050181300453052</v>
      </c>
      <c r="G1562" s="12">
        <f>EXP(-Assumptions!$B$8*B1562)</f>
        <v>0.45978329423056513</v>
      </c>
      <c r="H1562" s="12">
        <f t="shared" si="73"/>
        <v>0.28843949319535195</v>
      </c>
      <c r="I1562" s="12">
        <f t="shared" si="74"/>
        <v>7.707988982599237E-2</v>
      </c>
      <c r="J1562" s="12">
        <f>G1562*(D1562*Assumptions!$B$6+E1562*Assumptions!$B$7)</f>
        <v>6.7383894232531383E-3</v>
      </c>
    </row>
    <row r="1563" spans="1:10" x14ac:dyDescent="0.2">
      <c r="A1563" s="2">
        <v>1555</v>
      </c>
      <c r="B1563" s="14">
        <f>A1563*Assumptions!$B$12</f>
        <v>15.55</v>
      </c>
      <c r="C1563" s="15">
        <f>IF(A1563&lt;=Assumptions!$B$13,IF(OR(A1563=0,A1563=Assumptions!$B$13),0.5,1),0)*Assumptions!$B$12</f>
        <v>0.01</v>
      </c>
      <c r="D1563" s="12">
        <f>D1562*(1-Assumptions!$B$12*(Assumptions!$B$5+Assumptions!$B$6))</f>
        <v>0.62714971371446671</v>
      </c>
      <c r="E1563" s="12">
        <f>E1562+Assumptions!$B$12*(D1562*Assumptions!$B$5-E1562*Assumptions!$B$7)</f>
        <v>0.16768560047128636</v>
      </c>
      <c r="F1563" s="12">
        <f t="shared" si="72"/>
        <v>0.20516468581424693</v>
      </c>
      <c r="G1563" s="12">
        <f>EXP(-Assumptions!$B$8*B1563)</f>
        <v>0.45955346004678405</v>
      </c>
      <c r="H1563" s="12">
        <f t="shared" si="73"/>
        <v>0.28820882090483324</v>
      </c>
      <c r="I1563" s="12">
        <f t="shared" si="74"/>
        <v>7.7060497896602284E-2</v>
      </c>
      <c r="J1563" s="12">
        <f>G1563*(D1563*Assumptions!$B$6+E1563*Assumptions!$B$7)</f>
        <v>6.7351131038784475E-3</v>
      </c>
    </row>
    <row r="1564" spans="1:10" x14ac:dyDescent="0.2">
      <c r="A1564" s="2">
        <v>1556</v>
      </c>
      <c r="B1564" s="14">
        <f>A1564*Assumptions!$B$12</f>
        <v>15.56</v>
      </c>
      <c r="C1564" s="15">
        <f>IF(A1564&lt;=Assumptions!$B$13,IF(OR(A1564=0,A1564=Assumptions!$B$13),0.5,1),0)*Assumptions!$B$12</f>
        <v>0.01</v>
      </c>
      <c r="D1564" s="12">
        <f>D1563*(1-Assumptions!$B$12*(Assumptions!$B$5+Assumptions!$B$6))</f>
        <v>0.62696156880035236</v>
      </c>
      <c r="E1564" s="12">
        <f>E1563+Assumptions!$B$12*(D1563*Assumptions!$B$5-E1563*Assumptions!$B$7)</f>
        <v>0.1677271876137936</v>
      </c>
      <c r="F1564" s="12">
        <f t="shared" si="72"/>
        <v>0.20531124358585404</v>
      </c>
      <c r="G1564" s="12">
        <f>EXP(-Assumptions!$B$8*B1564)</f>
        <v>0.45932374075137034</v>
      </c>
      <c r="H1564" s="12">
        <f t="shared" si="73"/>
        <v>0.2879783330887255</v>
      </c>
      <c r="I1564" s="12">
        <f t="shared" si="74"/>
        <v>7.7041079240474583E-2</v>
      </c>
      <c r="J1564" s="12">
        <f>G1564*(D1564*Assumptions!$B$6+E1564*Assumptions!$B$7)</f>
        <v>6.7318372929109846E-3</v>
      </c>
    </row>
    <row r="1565" spans="1:10" x14ac:dyDescent="0.2">
      <c r="A1565" s="2">
        <v>1557</v>
      </c>
      <c r="B1565" s="14">
        <f>A1565*Assumptions!$B$12</f>
        <v>15.57</v>
      </c>
      <c r="C1565" s="15">
        <f>IF(A1565&lt;=Assumptions!$B$13,IF(OR(A1565=0,A1565=Assumptions!$B$13),0.5,1),0)*Assumptions!$B$12</f>
        <v>0.01</v>
      </c>
      <c r="D1565" s="12">
        <f>D1564*(1-Assumptions!$B$12*(Assumptions!$B$5+Assumptions!$B$6))</f>
        <v>0.62677348032971225</v>
      </c>
      <c r="E1565" s="12">
        <f>E1564+Assumptions!$B$12*(D1564*Assumptions!$B$5-E1564*Assumptions!$B$7)</f>
        <v>0.16776871633374676</v>
      </c>
      <c r="F1565" s="12">
        <f t="shared" si="72"/>
        <v>0.20545780333654098</v>
      </c>
      <c r="G1565" s="12">
        <f>EXP(-Assumptions!$B$8*B1565)</f>
        <v>0.45909413628689416</v>
      </c>
      <c r="H1565" s="12">
        <f t="shared" si="73"/>
        <v>0.28774802959949991</v>
      </c>
      <c r="I1565" s="12">
        <f t="shared" si="74"/>
        <v>7.7021633921202426E-2</v>
      </c>
      <c r="J1565" s="12">
        <f>G1565*(D1565*Assumptions!$B$6+E1565*Assumptions!$B$7)</f>
        <v>6.7285619920551213E-3</v>
      </c>
    </row>
    <row r="1566" spans="1:10" x14ac:dyDescent="0.2">
      <c r="A1566" s="2">
        <v>1558</v>
      </c>
      <c r="B1566" s="14">
        <f>A1566*Assumptions!$B$12</f>
        <v>15.58</v>
      </c>
      <c r="C1566" s="15">
        <f>IF(A1566&lt;=Assumptions!$B$13,IF(OR(A1566=0,A1566=Assumptions!$B$13),0.5,1),0)*Assumptions!$B$12</f>
        <v>0.01</v>
      </c>
      <c r="D1566" s="12">
        <f>D1565*(1-Assumptions!$B$12*(Assumptions!$B$5+Assumptions!$B$6))</f>
        <v>0.62658544828561336</v>
      </c>
      <c r="E1566" s="12">
        <f>E1565+Assumptions!$B$12*(D1565*Assumptions!$B$5-E1565*Assumptions!$B$7)</f>
        <v>0.16781018667164582</v>
      </c>
      <c r="F1566" s="12">
        <f t="shared" si="72"/>
        <v>0.20560436504274082</v>
      </c>
      <c r="G1566" s="12">
        <f>EXP(-Assumptions!$B$8*B1566)</f>
        <v>0.4588646465959545</v>
      </c>
      <c r="H1566" s="12">
        <f t="shared" si="73"/>
        <v>0.28751791028974572</v>
      </c>
      <c r="I1566" s="12">
        <f t="shared" si="74"/>
        <v>7.700216200228592E-2</v>
      </c>
      <c r="J1566" s="12">
        <f>G1566*(D1566*Assumptions!$B$6+E1566*Assumptions!$B$7)</f>
        <v>6.7252872030117532E-3</v>
      </c>
    </row>
    <row r="1567" spans="1:10" x14ac:dyDescent="0.2">
      <c r="A1567" s="2">
        <v>1559</v>
      </c>
      <c r="B1567" s="14">
        <f>A1567*Assumptions!$B$12</f>
        <v>15.59</v>
      </c>
      <c r="C1567" s="15">
        <f>IF(A1567&lt;=Assumptions!$B$13,IF(OR(A1567=0,A1567=Assumptions!$B$13),0.5,1),0)*Assumptions!$B$12</f>
        <v>0.01</v>
      </c>
      <c r="D1567" s="12">
        <f>D1566*(1-Assumptions!$B$12*(Assumptions!$B$5+Assumptions!$B$6))</f>
        <v>0.62639747265112766</v>
      </c>
      <c r="E1567" s="12">
        <f>E1566+Assumptions!$B$12*(D1566*Assumptions!$B$5-E1566*Assumptions!$B$7)</f>
        <v>0.16785159866796712</v>
      </c>
      <c r="F1567" s="12">
        <f t="shared" si="72"/>
        <v>0.20575092868090522</v>
      </c>
      <c r="G1567" s="12">
        <f>EXP(-Assumptions!$B$8*B1567)</f>
        <v>0.45863527162117884</v>
      </c>
      <c r="H1567" s="12">
        <f t="shared" si="73"/>
        <v>0.2872879750121699</v>
      </c>
      <c r="I1567" s="12">
        <f t="shared" si="74"/>
        <v>7.6982663547132194E-2</v>
      </c>
      <c r="J1567" s="12">
        <f>G1567*(D1567*Assumptions!$B$6+E1567*Assumptions!$B$7)</f>
        <v>6.7220129274783089E-3</v>
      </c>
    </row>
    <row r="1568" spans="1:10" x14ac:dyDescent="0.2">
      <c r="A1568" s="2">
        <v>1560</v>
      </c>
      <c r="B1568" s="14">
        <f>A1568*Assumptions!$B$12</f>
        <v>15.6</v>
      </c>
      <c r="C1568" s="15">
        <f>IF(A1568&lt;=Assumptions!$B$13,IF(OR(A1568=0,A1568=Assumptions!$B$13),0.5,1),0)*Assumptions!$B$12</f>
        <v>0.01</v>
      </c>
      <c r="D1568" s="12">
        <f>D1567*(1-Assumptions!$B$12*(Assumptions!$B$5+Assumptions!$B$6))</f>
        <v>0.62620955340933238</v>
      </c>
      <c r="E1568" s="12">
        <f>E1567+Assumptions!$B$12*(D1567*Assumptions!$B$5-E1567*Assumptions!$B$7)</f>
        <v>0.16789295236316337</v>
      </c>
      <c r="F1568" s="12">
        <f t="shared" si="72"/>
        <v>0.20589749422750425</v>
      </c>
      <c r="G1568" s="12">
        <f>EXP(-Assumptions!$B$8*B1568)</f>
        <v>0.45840601130522352</v>
      </c>
      <c r="H1568" s="12">
        <f t="shared" si="73"/>
        <v>0.28705822361959737</v>
      </c>
      <c r="I1568" s="12">
        <f t="shared" si="74"/>
        <v>7.6963138619055627E-2</v>
      </c>
      <c r="J1568" s="12">
        <f>G1568*(D1568*Assumptions!$B$6+E1568*Assumptions!$B$7)</f>
        <v>6.7187391671487554E-3</v>
      </c>
    </row>
    <row r="1569" spans="1:10" x14ac:dyDescent="0.2">
      <c r="A1569" s="2">
        <v>1561</v>
      </c>
      <c r="B1569" s="14">
        <f>A1569*Assumptions!$B$12</f>
        <v>15.610000000000001</v>
      </c>
      <c r="C1569" s="15">
        <f>IF(A1569&lt;=Assumptions!$B$13,IF(OR(A1569=0,A1569=Assumptions!$B$13),0.5,1),0)*Assumptions!$B$12</f>
        <v>0.01</v>
      </c>
      <c r="D1569" s="12">
        <f>D1568*(1-Assumptions!$B$12*(Assumptions!$B$5+Assumptions!$B$6))</f>
        <v>0.62602169054330958</v>
      </c>
      <c r="E1569" s="12">
        <f>E1568+Assumptions!$B$12*(D1568*Assumptions!$B$5-E1568*Assumptions!$B$7)</f>
        <v>0.16793424779766367</v>
      </c>
      <c r="F1569" s="12">
        <f t="shared" si="72"/>
        <v>0.20604406165902675</v>
      </c>
      <c r="G1569" s="12">
        <f>EXP(-Assumptions!$B$8*B1569)</f>
        <v>0.45817686559077336</v>
      </c>
      <c r="H1569" s="12">
        <f t="shared" si="73"/>
        <v>0.28682865596497065</v>
      </c>
      <c r="I1569" s="12">
        <f t="shared" si="74"/>
        <v>7.6943587281277773E-2</v>
      </c>
      <c r="J1569" s="12">
        <f>G1569*(D1569*Assumptions!$B$6+E1569*Assumptions!$B$7)</f>
        <v>6.7154659237135955E-3</v>
      </c>
    </row>
    <row r="1570" spans="1:10" x14ac:dyDescent="0.2">
      <c r="A1570" s="2">
        <v>1562</v>
      </c>
      <c r="B1570" s="14">
        <f>A1570*Assumptions!$B$12</f>
        <v>15.620000000000001</v>
      </c>
      <c r="C1570" s="15">
        <f>IF(A1570&lt;=Assumptions!$B$13,IF(OR(A1570=0,A1570=Assumptions!$B$13),0.5,1),0)*Assumptions!$B$12</f>
        <v>0.01</v>
      </c>
      <c r="D1570" s="12">
        <f>D1569*(1-Assumptions!$B$12*(Assumptions!$B$5+Assumptions!$B$6))</f>
        <v>0.62583388403614659</v>
      </c>
      <c r="E1570" s="12">
        <f>E1569+Assumptions!$B$12*(D1569*Assumptions!$B$5-E1569*Assumptions!$B$7)</f>
        <v>0.16797548501187351</v>
      </c>
      <c r="F1570" s="12">
        <f t="shared" si="72"/>
        <v>0.2061906309519799</v>
      </c>
      <c r="G1570" s="12">
        <f>EXP(-Assumptions!$B$8*B1570)</f>
        <v>0.45794783442054199</v>
      </c>
      <c r="H1570" s="12">
        <f t="shared" si="73"/>
        <v>0.28659927190134993</v>
      </c>
      <c r="I1570" s="12">
        <f t="shared" si="74"/>
        <v>7.6924009596927689E-2</v>
      </c>
      <c r="J1570" s="12">
        <f>G1570*(D1570*Assumptions!$B$6+E1570*Assumptions!$B$7)</f>
        <v>6.7121931988598834E-3</v>
      </c>
    </row>
    <row r="1571" spans="1:10" x14ac:dyDescent="0.2">
      <c r="A1571" s="2">
        <v>1563</v>
      </c>
      <c r="B1571" s="14">
        <f>A1571*Assumptions!$B$12</f>
        <v>15.63</v>
      </c>
      <c r="C1571" s="15">
        <f>IF(A1571&lt;=Assumptions!$B$13,IF(OR(A1571=0,A1571=Assumptions!$B$13),0.5,1),0)*Assumptions!$B$12</f>
        <v>0.01</v>
      </c>
      <c r="D1571" s="12">
        <f>D1570*(1-Assumptions!$B$12*(Assumptions!$B$5+Assumptions!$B$6))</f>
        <v>0.62564613387093582</v>
      </c>
      <c r="E1571" s="12">
        <f>E1570+Assumptions!$B$12*(D1570*Assumptions!$B$5-E1570*Assumptions!$B$7)</f>
        <v>0.1680166640461748</v>
      </c>
      <c r="F1571" s="12">
        <f t="shared" si="72"/>
        <v>0.20633720208288939</v>
      </c>
      <c r="G1571" s="12">
        <f>EXP(-Assumptions!$B$8*B1571)</f>
        <v>0.45771891773727169</v>
      </c>
      <c r="H1571" s="12">
        <f t="shared" si="73"/>
        <v>0.28637007128191294</v>
      </c>
      <c r="I1571" s="12">
        <f t="shared" si="74"/>
        <v>7.6904405629041897E-2</v>
      </c>
      <c r="J1571" s="12">
        <f>G1571*(D1571*Assumptions!$B$6+E1571*Assumptions!$B$7)</f>
        <v>6.7089209942712254E-3</v>
      </c>
    </row>
    <row r="1572" spans="1:10" x14ac:dyDescent="0.2">
      <c r="A1572" s="2">
        <v>1564</v>
      </c>
      <c r="B1572" s="14">
        <f>A1572*Assumptions!$B$12</f>
        <v>15.64</v>
      </c>
      <c r="C1572" s="15">
        <f>IF(A1572&lt;=Assumptions!$B$13,IF(OR(A1572=0,A1572=Assumptions!$B$13),0.5,1),0)*Assumptions!$B$12</f>
        <v>0.01</v>
      </c>
      <c r="D1572" s="12">
        <f>D1571*(1-Assumptions!$B$12*(Assumptions!$B$5+Assumptions!$B$6))</f>
        <v>0.62545844003077455</v>
      </c>
      <c r="E1572" s="12">
        <f>E1571+Assumptions!$B$12*(D1571*Assumptions!$B$5-E1571*Assumptions!$B$7)</f>
        <v>0.16805778494092591</v>
      </c>
      <c r="F1572" s="12">
        <f t="shared" si="72"/>
        <v>0.20648377502829954</v>
      </c>
      <c r="G1572" s="12">
        <f>EXP(-Assumptions!$B$8*B1572)</f>
        <v>0.45749011548373314</v>
      </c>
      <c r="H1572" s="12">
        <f t="shared" si="73"/>
        <v>0.28614105395995465</v>
      </c>
      <c r="I1572" s="12">
        <f t="shared" si="74"/>
        <v>7.6884775440564587E-2</v>
      </c>
      <c r="J1572" s="12">
        <f>G1572*(D1572*Assumptions!$B$6+E1572*Assumptions!$B$7)</f>
        <v>6.705649311627775E-3</v>
      </c>
    </row>
    <row r="1573" spans="1:10" x14ac:dyDescent="0.2">
      <c r="A1573" s="2">
        <v>1565</v>
      </c>
      <c r="B1573" s="14">
        <f>A1573*Assumptions!$B$12</f>
        <v>15.65</v>
      </c>
      <c r="C1573" s="15">
        <f>IF(A1573&lt;=Assumptions!$B$13,IF(OR(A1573=0,A1573=Assumptions!$B$13),0.5,1),0)*Assumptions!$B$12</f>
        <v>0.01</v>
      </c>
      <c r="D1573" s="12">
        <f>D1572*(1-Assumptions!$B$12*(Assumptions!$B$5+Assumptions!$B$6))</f>
        <v>0.62527080249876532</v>
      </c>
      <c r="E1573" s="12">
        <f>E1572+Assumptions!$B$12*(D1572*Assumptions!$B$5-E1572*Assumptions!$B$7)</f>
        <v>0.16809884773646161</v>
      </c>
      <c r="F1573" s="12">
        <f t="shared" si="72"/>
        <v>0.20663034976477307</v>
      </c>
      <c r="G1573" s="12">
        <f>EXP(-Assumptions!$B$8*B1573)</f>
        <v>0.45726142760272587</v>
      </c>
      <c r="H1573" s="12">
        <f t="shared" si="73"/>
        <v>0.28591221978888748</v>
      </c>
      <c r="I1573" s="12">
        <f t="shared" si="74"/>
        <v>7.6865119094347678E-2</v>
      </c>
      <c r="J1573" s="12">
        <f>G1573*(D1573*Assumptions!$B$6+E1573*Assumptions!$B$7)</f>
        <v>6.7023781526062594E-3</v>
      </c>
    </row>
    <row r="1574" spans="1:10" x14ac:dyDescent="0.2">
      <c r="A1574" s="2">
        <v>1566</v>
      </c>
      <c r="B1574" s="14">
        <f>A1574*Assumptions!$B$12</f>
        <v>15.66</v>
      </c>
      <c r="C1574" s="15">
        <f>IF(A1574&lt;=Assumptions!$B$13,IF(OR(A1574=0,A1574=Assumptions!$B$13),0.5,1),0)*Assumptions!$B$12</f>
        <v>0.01</v>
      </c>
      <c r="D1574" s="12">
        <f>D1573*(1-Assumptions!$B$12*(Assumptions!$B$5+Assumptions!$B$6))</f>
        <v>0.62508322125801574</v>
      </c>
      <c r="E1574" s="12">
        <f>E1573+Assumptions!$B$12*(D1573*Assumptions!$B$5-E1573*Assumptions!$B$7)</f>
        <v>0.16813985247309313</v>
      </c>
      <c r="F1574" s="12">
        <f t="shared" si="72"/>
        <v>0.20677692626889113</v>
      </c>
      <c r="G1574" s="12">
        <f>EXP(-Assumptions!$B$8*B1574)</f>
        <v>0.45703285403707788</v>
      </c>
      <c r="H1574" s="12">
        <f t="shared" si="73"/>
        <v>0.28568356862224115</v>
      </c>
      <c r="I1574" s="12">
        <f t="shared" si="74"/>
        <v>7.6845436653150981E-2</v>
      </c>
      <c r="J1574" s="12">
        <f>G1574*(D1574*Assumptions!$B$6+E1574*Assumptions!$B$7)</f>
        <v>6.6991075188799609E-3</v>
      </c>
    </row>
    <row r="1575" spans="1:10" x14ac:dyDescent="0.2">
      <c r="A1575" s="2">
        <v>1567</v>
      </c>
      <c r="B1575" s="14">
        <f>A1575*Assumptions!$B$12</f>
        <v>15.67</v>
      </c>
      <c r="C1575" s="15">
        <f>IF(A1575&lt;=Assumptions!$B$13,IF(OR(A1575=0,A1575=Assumptions!$B$13),0.5,1),0)*Assumptions!$B$12</f>
        <v>0.01</v>
      </c>
      <c r="D1575" s="12">
        <f>D1574*(1-Assumptions!$B$12*(Assumptions!$B$5+Assumptions!$B$6))</f>
        <v>0.62489569629163833</v>
      </c>
      <c r="E1575" s="12">
        <f>E1574+Assumptions!$B$12*(D1574*Assumptions!$B$5-E1574*Assumptions!$B$7)</f>
        <v>0.16818079919110818</v>
      </c>
      <c r="F1575" s="12">
        <f t="shared" si="72"/>
        <v>0.2069235045172535</v>
      </c>
      <c r="G1575" s="12">
        <f>EXP(-Assumptions!$B$8*B1575)</f>
        <v>0.45680439472964574</v>
      </c>
      <c r="H1575" s="12">
        <f t="shared" si="73"/>
        <v>0.28545510031366239</v>
      </c>
      <c r="I1575" s="12">
        <f t="shared" si="74"/>
        <v>7.6825728179642269E-2</v>
      </c>
      <c r="J1575" s="12">
        <f>G1575*(D1575*Assumptions!$B$6+E1575*Assumptions!$B$7)</f>
        <v>6.6958374121187372E-3</v>
      </c>
    </row>
    <row r="1576" spans="1:10" x14ac:dyDescent="0.2">
      <c r="A1576" s="2">
        <v>1568</v>
      </c>
      <c r="B1576" s="14">
        <f>A1576*Assumptions!$B$12</f>
        <v>15.68</v>
      </c>
      <c r="C1576" s="15">
        <f>IF(A1576&lt;=Assumptions!$B$13,IF(OR(A1576=0,A1576=Assumptions!$B$13),0.5,1),0)*Assumptions!$B$12</f>
        <v>0.01</v>
      </c>
      <c r="D1576" s="12">
        <f>D1575*(1-Assumptions!$B$12*(Assumptions!$B$5+Assumptions!$B$6))</f>
        <v>0.62470822758275091</v>
      </c>
      <c r="E1576" s="12">
        <f>E1575+Assumptions!$B$12*(D1575*Assumptions!$B$5-E1575*Assumptions!$B$7)</f>
        <v>0.16822168793077094</v>
      </c>
      <c r="F1576" s="12">
        <f t="shared" si="72"/>
        <v>0.20707008448647815</v>
      </c>
      <c r="G1576" s="12">
        <f>EXP(-Assumptions!$B$8*B1576)</f>
        <v>0.45657604962331472</v>
      </c>
      <c r="H1576" s="12">
        <f t="shared" si="73"/>
        <v>0.28522681471691508</v>
      </c>
      <c r="I1576" s="12">
        <f t="shared" si="74"/>
        <v>7.6805993736397432E-2</v>
      </c>
      <c r="J1576" s="12">
        <f>G1576*(D1576*Assumptions!$B$6+E1576*Assumptions!$B$7)</f>
        <v>6.6925678339890228E-3</v>
      </c>
    </row>
    <row r="1577" spans="1:10" x14ac:dyDescent="0.2">
      <c r="A1577" s="2">
        <v>1569</v>
      </c>
      <c r="B1577" s="14">
        <f>A1577*Assumptions!$B$12</f>
        <v>15.69</v>
      </c>
      <c r="C1577" s="15">
        <f>IF(A1577&lt;=Assumptions!$B$13,IF(OR(A1577=0,A1577=Assumptions!$B$13),0.5,1),0)*Assumptions!$B$12</f>
        <v>0.01</v>
      </c>
      <c r="D1577" s="12">
        <f>D1576*(1-Assumptions!$B$12*(Assumptions!$B$5+Assumptions!$B$6))</f>
        <v>0.6245208151144761</v>
      </c>
      <c r="E1577" s="12">
        <f>E1576+Assumptions!$B$12*(D1576*Assumptions!$B$5-E1576*Assumptions!$B$7)</f>
        <v>0.16826251873232212</v>
      </c>
      <c r="F1577" s="12">
        <f t="shared" si="72"/>
        <v>0.20721666615320178</v>
      </c>
      <c r="G1577" s="12">
        <f>EXP(-Assumptions!$B$8*B1577)</f>
        <v>0.45634781866099849</v>
      </c>
      <c r="H1577" s="12">
        <f t="shared" si="73"/>
        <v>0.28499871168587992</v>
      </c>
      <c r="I1577" s="12">
        <f t="shared" si="74"/>
        <v>7.6786233385900599E-2</v>
      </c>
      <c r="J1577" s="12">
        <f>G1577*(D1577*Assumptions!$B$6+E1577*Assumptions!$B$7)</f>
        <v>6.6892987861538284E-3</v>
      </c>
    </row>
    <row r="1578" spans="1:10" x14ac:dyDescent="0.2">
      <c r="A1578" s="2">
        <v>1570</v>
      </c>
      <c r="B1578" s="14">
        <f>A1578*Assumptions!$B$12</f>
        <v>15.700000000000001</v>
      </c>
      <c r="C1578" s="15">
        <f>IF(A1578&lt;=Assumptions!$B$13,IF(OR(A1578=0,A1578=Assumptions!$B$13),0.5,1),0)*Assumptions!$B$12</f>
        <v>0.01</v>
      </c>
      <c r="D1578" s="12">
        <f>D1577*(1-Assumptions!$B$12*(Assumptions!$B$5+Assumptions!$B$6))</f>
        <v>0.62433345886994174</v>
      </c>
      <c r="E1578" s="12">
        <f>E1577+Assumptions!$B$12*(D1577*Assumptions!$B$5-E1577*Assumptions!$B$7)</f>
        <v>0.16830329163597885</v>
      </c>
      <c r="F1578" s="12">
        <f t="shared" si="72"/>
        <v>0.20736324949407942</v>
      </c>
      <c r="G1578" s="12">
        <f>EXP(-Assumptions!$B$8*B1578)</f>
        <v>0.45611970178563915</v>
      </c>
      <c r="H1578" s="12">
        <f t="shared" si="73"/>
        <v>0.28477079107455444</v>
      </c>
      <c r="I1578" s="12">
        <f t="shared" si="74"/>
        <v>7.6766447190544124E-2</v>
      </c>
      <c r="J1578" s="12">
        <f>G1578*(D1578*Assumptions!$B$6+E1578*Assumptions!$B$7)</f>
        <v>6.6860302702727512E-3</v>
      </c>
    </row>
    <row r="1579" spans="1:10" x14ac:dyDescent="0.2">
      <c r="A1579" s="2">
        <v>1571</v>
      </c>
      <c r="B1579" s="14">
        <f>A1579*Assumptions!$B$12</f>
        <v>15.71</v>
      </c>
      <c r="C1579" s="15">
        <f>IF(A1579&lt;=Assumptions!$B$13,IF(OR(A1579=0,A1579=Assumptions!$B$13),0.5,1),0)*Assumptions!$B$12</f>
        <v>0.01</v>
      </c>
      <c r="D1579" s="12">
        <f>D1578*(1-Assumptions!$B$12*(Assumptions!$B$5+Assumptions!$B$6))</f>
        <v>0.62414615883228075</v>
      </c>
      <c r="E1579" s="12">
        <f>E1578+Assumptions!$B$12*(D1578*Assumptions!$B$5-E1578*Assumptions!$B$7)</f>
        <v>0.16834400668193483</v>
      </c>
      <c r="F1579" s="12">
        <f t="shared" si="72"/>
        <v>0.20750983448578442</v>
      </c>
      <c r="G1579" s="12">
        <f>EXP(-Assumptions!$B$8*B1579)</f>
        <v>0.45589169894020781</v>
      </c>
      <c r="H1579" s="12">
        <f t="shared" si="73"/>
        <v>0.28454305273705327</v>
      </c>
      <c r="I1579" s="12">
        <f t="shared" si="74"/>
        <v>7.6746635212628964E-2</v>
      </c>
      <c r="J1579" s="12">
        <f>G1579*(D1579*Assumptions!$B$6+E1579*Assumptions!$B$7)</f>
        <v>6.6827622880019808E-3</v>
      </c>
    </row>
    <row r="1580" spans="1:10" x14ac:dyDescent="0.2">
      <c r="A1580" s="2">
        <v>1572</v>
      </c>
      <c r="B1580" s="14">
        <f>A1580*Assumptions!$B$12</f>
        <v>15.72</v>
      </c>
      <c r="C1580" s="15">
        <f>IF(A1580&lt;=Assumptions!$B$13,IF(OR(A1580=0,A1580=Assumptions!$B$13),0.5,1),0)*Assumptions!$B$12</f>
        <v>0.01</v>
      </c>
      <c r="D1580" s="12">
        <f>D1579*(1-Assumptions!$B$12*(Assumptions!$B$5+Assumptions!$B$6))</f>
        <v>0.62395891498463107</v>
      </c>
      <c r="E1580" s="12">
        <f>E1579+Assumptions!$B$12*(D1579*Assumptions!$B$5-E1579*Assumptions!$B$7)</f>
        <v>0.16838466391036033</v>
      </c>
      <c r="F1580" s="12">
        <f t="shared" si="72"/>
        <v>0.20765642110500859</v>
      </c>
      <c r="G1580" s="12">
        <f>EXP(-Assumptions!$B$8*B1580)</f>
        <v>0.45566381006770351</v>
      </c>
      <c r="H1580" s="12">
        <f t="shared" si="73"/>
        <v>0.28431549652760729</v>
      </c>
      <c r="I1580" s="12">
        <f t="shared" si="74"/>
        <v>7.6726797514364523E-2</v>
      </c>
      <c r="J1580" s="12">
        <f>G1580*(D1580*Assumptions!$B$6+E1580*Assumptions!$B$7)</f>
        <v>6.6794948409942987E-3</v>
      </c>
    </row>
    <row r="1581" spans="1:10" x14ac:dyDescent="0.2">
      <c r="A1581" s="2">
        <v>1573</v>
      </c>
      <c r="B1581" s="14">
        <f>A1581*Assumptions!$B$12</f>
        <v>15.73</v>
      </c>
      <c r="C1581" s="15">
        <f>IF(A1581&lt;=Assumptions!$B$13,IF(OR(A1581=0,A1581=Assumptions!$B$13),0.5,1),0)*Assumptions!$B$12</f>
        <v>0.01</v>
      </c>
      <c r="D1581" s="12">
        <f>D1580*(1-Assumptions!$B$12*(Assumptions!$B$5+Assumptions!$B$6))</f>
        <v>0.62377172731013575</v>
      </c>
      <c r="E1581" s="12">
        <f>E1580+Assumptions!$B$12*(D1580*Assumptions!$B$5-E1580*Assumptions!$B$7)</f>
        <v>0.16842526336140207</v>
      </c>
      <c r="F1581" s="12">
        <f t="shared" si="72"/>
        <v>0.20780300932846218</v>
      </c>
      <c r="G1581" s="12">
        <f>EXP(-Assumptions!$B$8*B1581)</f>
        <v>0.4554360351111541</v>
      </c>
      <c r="H1581" s="12">
        <f t="shared" si="73"/>
        <v>0.28408812230056424</v>
      </c>
      <c r="I1581" s="12">
        <f t="shared" si="74"/>
        <v>7.6706934157868889E-2</v>
      </c>
      <c r="J1581" s="12">
        <f>G1581*(D1581*Assumptions!$B$6+E1581*Assumptions!$B$7)</f>
        <v>6.6762279308990868E-3</v>
      </c>
    </row>
    <row r="1582" spans="1:10" x14ac:dyDescent="0.2">
      <c r="A1582" s="2">
        <v>1574</v>
      </c>
      <c r="B1582" s="14">
        <f>A1582*Assumptions!$B$12</f>
        <v>15.74</v>
      </c>
      <c r="C1582" s="15">
        <f>IF(A1582&lt;=Assumptions!$B$13,IF(OR(A1582=0,A1582=Assumptions!$B$13),0.5,1),0)*Assumptions!$B$12</f>
        <v>0.01</v>
      </c>
      <c r="D1582" s="12">
        <f>D1581*(1-Assumptions!$B$12*(Assumptions!$B$5+Assumptions!$B$6))</f>
        <v>0.6235845957919427</v>
      </c>
      <c r="E1582" s="12">
        <f>E1581+Assumptions!$B$12*(D1581*Assumptions!$B$5-E1581*Assumptions!$B$7)</f>
        <v>0.16846580507518338</v>
      </c>
      <c r="F1582" s="12">
        <f t="shared" si="72"/>
        <v>0.20794959913287392</v>
      </c>
      <c r="G1582" s="12">
        <f>EXP(-Assumptions!$B$8*B1582)</f>
        <v>0.45520837401361586</v>
      </c>
      <c r="H1582" s="12">
        <f t="shared" si="73"/>
        <v>0.28386092991038814</v>
      </c>
      <c r="I1582" s="12">
        <f t="shared" si="74"/>
        <v>7.6687045205168988E-2</v>
      </c>
      <c r="J1582" s="12">
        <f>G1582*(D1582*Assumptions!$B$6+E1582*Assumptions!$B$7)</f>
        <v>6.6729615593623315E-3</v>
      </c>
    </row>
    <row r="1583" spans="1:10" x14ac:dyDescent="0.2">
      <c r="A1583" s="2">
        <v>1575</v>
      </c>
      <c r="B1583" s="14">
        <f>A1583*Assumptions!$B$12</f>
        <v>15.75</v>
      </c>
      <c r="C1583" s="15">
        <f>IF(A1583&lt;=Assumptions!$B$13,IF(OR(A1583=0,A1583=Assumptions!$B$13),0.5,1),0)*Assumptions!$B$12</f>
        <v>0.01</v>
      </c>
      <c r="D1583" s="12">
        <f>D1582*(1-Assumptions!$B$12*(Assumptions!$B$5+Assumptions!$B$6))</f>
        <v>0.62339752041320518</v>
      </c>
      <c r="E1583" s="12">
        <f>E1582+Assumptions!$B$12*(D1582*Assumptions!$B$5-E1582*Assumptions!$B$7)</f>
        <v>0.16850628909180418</v>
      </c>
      <c r="F1583" s="12">
        <f t="shared" si="72"/>
        <v>0.20809619049499065</v>
      </c>
      <c r="G1583" s="12">
        <f>EXP(-Assumptions!$B$8*B1583)</f>
        <v>0.45498082671817347</v>
      </c>
      <c r="H1583" s="12">
        <f t="shared" si="73"/>
        <v>0.28363391921165954</v>
      </c>
      <c r="I1583" s="12">
        <f t="shared" si="74"/>
        <v>7.6667130718200596E-2</v>
      </c>
      <c r="J1583" s="12">
        <f>G1583*(D1583*Assumptions!$B$6+E1583*Assumptions!$B$7)</f>
        <v>6.6696957280266249E-3</v>
      </c>
    </row>
    <row r="1584" spans="1:10" x14ac:dyDescent="0.2">
      <c r="A1584" s="2">
        <v>1576</v>
      </c>
      <c r="B1584" s="14">
        <f>A1584*Assumptions!$B$12</f>
        <v>15.76</v>
      </c>
      <c r="C1584" s="15">
        <f>IF(A1584&lt;=Assumptions!$B$13,IF(OR(A1584=0,A1584=Assumptions!$B$13),0.5,1),0)*Assumptions!$B$12</f>
        <v>0.01</v>
      </c>
      <c r="D1584" s="12">
        <f>D1583*(1-Assumptions!$B$12*(Assumptions!$B$5+Assumptions!$B$6))</f>
        <v>0.62321050115708121</v>
      </c>
      <c r="E1584" s="12">
        <f>E1583+Assumptions!$B$12*(D1583*Assumptions!$B$5-E1583*Assumptions!$B$7)</f>
        <v>0.16854671545134092</v>
      </c>
      <c r="F1584" s="12">
        <f t="shared" si="72"/>
        <v>0.20824278339157787</v>
      </c>
      <c r="G1584" s="12">
        <f>EXP(-Assumptions!$B$8*B1584)</f>
        <v>0.45475339316794017</v>
      </c>
      <c r="H1584" s="12">
        <f t="shared" si="73"/>
        <v>0.28340709005907516</v>
      </c>
      <c r="I1584" s="12">
        <f t="shared" si="74"/>
        <v>7.6647190758808575E-2</v>
      </c>
      <c r="J1584" s="12">
        <f>G1584*(D1584*Assumptions!$B$6+E1584*Assumptions!$B$7)</f>
        <v>6.6664304385311802E-3</v>
      </c>
    </row>
    <row r="1585" spans="1:10" x14ac:dyDescent="0.2">
      <c r="A1585" s="2">
        <v>1577</v>
      </c>
      <c r="B1585" s="14">
        <f>A1585*Assumptions!$B$12</f>
        <v>15.77</v>
      </c>
      <c r="C1585" s="15">
        <f>IF(A1585&lt;=Assumptions!$B$13,IF(OR(A1585=0,A1585=Assumptions!$B$13),0.5,1),0)*Assumptions!$B$12</f>
        <v>0.01</v>
      </c>
      <c r="D1585" s="12">
        <f>D1584*(1-Assumptions!$B$12*(Assumptions!$B$5+Assumptions!$B$6))</f>
        <v>0.62302353800673416</v>
      </c>
      <c r="E1585" s="12">
        <f>E1584+Assumptions!$B$12*(D1584*Assumptions!$B$5-E1584*Assumptions!$B$7)</f>
        <v>0.16858708419384666</v>
      </c>
      <c r="F1585" s="12">
        <f t="shared" si="72"/>
        <v>0.20838937779941918</v>
      </c>
      <c r="G1585" s="12">
        <f>EXP(-Assumptions!$B$8*B1585)</f>
        <v>0.45452607330605754</v>
      </c>
      <c r="H1585" s="12">
        <f t="shared" si="73"/>
        <v>0.28318044230744815</v>
      </c>
      <c r="I1585" s="12">
        <f t="shared" si="74"/>
        <v>7.6627225388746847E-2</v>
      </c>
      <c r="J1585" s="12">
        <f>G1585*(D1585*Assumptions!$B$6+E1585*Assumptions!$B$7)</f>
        <v>6.6631656925118243E-3</v>
      </c>
    </row>
    <row r="1586" spans="1:10" x14ac:dyDescent="0.2">
      <c r="A1586" s="2">
        <v>1578</v>
      </c>
      <c r="B1586" s="14">
        <f>A1586*Assumptions!$B$12</f>
        <v>15.780000000000001</v>
      </c>
      <c r="C1586" s="15">
        <f>IF(A1586&lt;=Assumptions!$B$13,IF(OR(A1586=0,A1586=Assumptions!$B$13),0.5,1),0)*Assumptions!$B$12</f>
        <v>0.01</v>
      </c>
      <c r="D1586" s="12">
        <f>D1585*(1-Assumptions!$B$12*(Assumptions!$B$5+Assumptions!$B$6))</f>
        <v>0.62283663094533215</v>
      </c>
      <c r="E1586" s="12">
        <f>E1585+Assumptions!$B$12*(D1585*Assumptions!$B$5-E1585*Assumptions!$B$7)</f>
        <v>0.16862739535935109</v>
      </c>
      <c r="F1586" s="12">
        <f t="shared" si="72"/>
        <v>0.20853597369531676</v>
      </c>
      <c r="G1586" s="12">
        <f>EXP(-Assumptions!$B$8*B1586)</f>
        <v>0.45429886707569545</v>
      </c>
      <c r="H1586" s="12">
        <f t="shared" si="73"/>
        <v>0.28295397581170745</v>
      </c>
      <c r="I1586" s="12">
        <f t="shared" si="74"/>
        <v>7.6607234669678587E-2</v>
      </c>
      <c r="J1586" s="12">
        <f>G1586*(D1586*Assumptions!$B$6+E1586*Assumptions!$B$7)</f>
        <v>6.659901491601004E-3</v>
      </c>
    </row>
    <row r="1587" spans="1:10" x14ac:dyDescent="0.2">
      <c r="A1587" s="2">
        <v>1579</v>
      </c>
      <c r="B1587" s="14">
        <f>A1587*Assumptions!$B$12</f>
        <v>15.790000000000001</v>
      </c>
      <c r="C1587" s="15">
        <f>IF(A1587&lt;=Assumptions!$B$13,IF(OR(A1587=0,A1587=Assumptions!$B$13),0.5,1),0)*Assumptions!$B$12</f>
        <v>0.01</v>
      </c>
      <c r="D1587" s="12">
        <f>D1586*(1-Assumptions!$B$12*(Assumptions!$B$5+Assumptions!$B$6))</f>
        <v>0.62264977995604853</v>
      </c>
      <c r="E1587" s="12">
        <f>E1586+Assumptions!$B$12*(D1586*Assumptions!$B$5-E1586*Assumptions!$B$7)</f>
        <v>0.16866764898786049</v>
      </c>
      <c r="F1587" s="12">
        <f t="shared" si="72"/>
        <v>0.20868257105609098</v>
      </c>
      <c r="G1587" s="12">
        <f>EXP(-Assumptions!$B$8*B1587)</f>
        <v>0.45407177442005264</v>
      </c>
      <c r="H1587" s="12">
        <f t="shared" si="73"/>
        <v>0.28272769042689827</v>
      </c>
      <c r="I1587" s="12">
        <f t="shared" si="74"/>
        <v>7.6587218663176415E-2</v>
      </c>
      <c r="J1587" s="12">
        <f>G1587*(D1587*Assumptions!$B$6+E1587*Assumptions!$B$7)</f>
        <v>6.6566378374278033E-3</v>
      </c>
    </row>
    <row r="1588" spans="1:10" x14ac:dyDescent="0.2">
      <c r="A1588" s="2">
        <v>1580</v>
      </c>
      <c r="B1588" s="14">
        <f>A1588*Assumptions!$B$12</f>
        <v>15.8</v>
      </c>
      <c r="C1588" s="15">
        <f>IF(A1588&lt;=Assumptions!$B$13,IF(OR(A1588=0,A1588=Assumptions!$B$13),0.5,1),0)*Assumptions!$B$12</f>
        <v>0.01</v>
      </c>
      <c r="D1588" s="12">
        <f>D1587*(1-Assumptions!$B$12*(Assumptions!$B$5+Assumptions!$B$6))</f>
        <v>0.62246298502206177</v>
      </c>
      <c r="E1588" s="12">
        <f>E1587+Assumptions!$B$12*(D1587*Assumptions!$B$5-E1587*Assumptions!$B$7)</f>
        <v>0.16870784511935777</v>
      </c>
      <c r="F1588" s="12">
        <f t="shared" si="72"/>
        <v>0.20882916985858047</v>
      </c>
      <c r="G1588" s="12">
        <f>EXP(-Assumptions!$B$8*B1588)</f>
        <v>0.45384479528235583</v>
      </c>
      <c r="H1588" s="12">
        <f t="shared" si="73"/>
        <v>0.28250158600818176</v>
      </c>
      <c r="I1588" s="12">
        <f t="shared" si="74"/>
        <v>7.6567177430722319E-2</v>
      </c>
      <c r="J1588" s="12">
        <f>G1588*(D1588*Assumptions!$B$6+E1588*Assumptions!$B$7)</f>
        <v>6.6533747316179339E-3</v>
      </c>
    </row>
    <row r="1589" spans="1:10" x14ac:dyDescent="0.2">
      <c r="A1589" s="2">
        <v>1581</v>
      </c>
      <c r="B1589" s="14">
        <f>A1589*Assumptions!$B$12</f>
        <v>15.81</v>
      </c>
      <c r="C1589" s="15">
        <f>IF(A1589&lt;=Assumptions!$B$13,IF(OR(A1589=0,A1589=Assumptions!$B$13),0.5,1),0)*Assumptions!$B$12</f>
        <v>0.01</v>
      </c>
      <c r="D1589" s="12">
        <f>D1588*(1-Assumptions!$B$12*(Assumptions!$B$5+Assumptions!$B$6))</f>
        <v>0.62227624612655519</v>
      </c>
      <c r="E1589" s="12">
        <f>E1588+Assumptions!$B$12*(D1588*Assumptions!$B$5-E1588*Assumptions!$B$7)</f>
        <v>0.16874798379380251</v>
      </c>
      <c r="F1589" s="12">
        <f t="shared" si="72"/>
        <v>0.2089757700796423</v>
      </c>
      <c r="G1589" s="12">
        <f>EXP(-Assumptions!$B$8*B1589)</f>
        <v>0.45361792960586012</v>
      </c>
      <c r="H1589" s="12">
        <f t="shared" si="73"/>
        <v>0.28227566241083457</v>
      </c>
      <c r="I1589" s="12">
        <f t="shared" si="74"/>
        <v>7.6547111033707926E-2</v>
      </c>
      <c r="J1589" s="12">
        <f>G1589*(D1589*Assumptions!$B$6+E1589*Assumptions!$B$7)</f>
        <v>6.6501121757937438E-3</v>
      </c>
    </row>
    <row r="1590" spans="1:10" x14ac:dyDescent="0.2">
      <c r="A1590" s="2">
        <v>1582</v>
      </c>
      <c r="B1590" s="14">
        <f>A1590*Assumptions!$B$12</f>
        <v>15.82</v>
      </c>
      <c r="C1590" s="15">
        <f>IF(A1590&lt;=Assumptions!$B$13,IF(OR(A1590=0,A1590=Assumptions!$B$13),0.5,1),0)*Assumptions!$B$12</f>
        <v>0.01</v>
      </c>
      <c r="D1590" s="12">
        <f>D1589*(1-Assumptions!$B$12*(Assumptions!$B$5+Assumptions!$B$6))</f>
        <v>0.62208956325271725</v>
      </c>
      <c r="E1590" s="12">
        <f>E1589+Assumptions!$B$12*(D1589*Assumptions!$B$5-E1589*Assumptions!$B$7)</f>
        <v>0.16878806505113092</v>
      </c>
      <c r="F1590" s="12">
        <f t="shared" si="72"/>
        <v>0.20912237169615183</v>
      </c>
      <c r="G1590" s="12">
        <f>EXP(-Assumptions!$B$8*B1590)</f>
        <v>0.4533911773338492</v>
      </c>
      <c r="H1590" s="12">
        <f t="shared" si="73"/>
        <v>0.28204991949024955</v>
      </c>
      <c r="I1590" s="12">
        <f t="shared" si="74"/>
        <v>7.6527019533434576E-2</v>
      </c>
      <c r="J1590" s="12">
        <f>G1590*(D1590*Assumptions!$B$6+E1590*Assumptions!$B$7)</f>
        <v>6.6468501715742246E-3</v>
      </c>
    </row>
    <row r="1591" spans="1:10" x14ac:dyDescent="0.2">
      <c r="A1591" s="2">
        <v>1583</v>
      </c>
      <c r="B1591" s="14">
        <f>A1591*Assumptions!$B$12</f>
        <v>15.83</v>
      </c>
      <c r="C1591" s="15">
        <f>IF(A1591&lt;=Assumptions!$B$13,IF(OR(A1591=0,A1591=Assumptions!$B$13),0.5,1),0)*Assumptions!$B$12</f>
        <v>0.01</v>
      </c>
      <c r="D1591" s="12">
        <f>D1590*(1-Assumptions!$B$12*(Assumptions!$B$5+Assumptions!$B$6))</f>
        <v>0.6219029363837415</v>
      </c>
      <c r="E1591" s="12">
        <f>E1590+Assumptions!$B$12*(D1590*Assumptions!$B$5-E1590*Assumptions!$B$7)</f>
        <v>0.16882808893125589</v>
      </c>
      <c r="F1591" s="12">
        <f t="shared" si="72"/>
        <v>0.20926897468500261</v>
      </c>
      <c r="G1591" s="12">
        <f>EXP(-Assumptions!$B$8*B1591)</f>
        <v>0.45316453840963494</v>
      </c>
      <c r="H1591" s="12">
        <f t="shared" si="73"/>
        <v>0.28182435710193476</v>
      </c>
      <c r="I1591" s="12">
        <f t="shared" si="74"/>
        <v>7.6506902991113374E-2</v>
      </c>
      <c r="J1591" s="12">
        <f>G1591*(D1591*Assumptions!$B$6+E1591*Assumptions!$B$7)</f>
        <v>6.6435887205750161E-3</v>
      </c>
    </row>
    <row r="1592" spans="1:10" x14ac:dyDescent="0.2">
      <c r="A1592" s="2">
        <v>1584</v>
      </c>
      <c r="B1592" s="14">
        <f>A1592*Assumptions!$B$12</f>
        <v>15.84</v>
      </c>
      <c r="C1592" s="15">
        <f>IF(A1592&lt;=Assumptions!$B$13,IF(OR(A1592=0,A1592=Assumptions!$B$13),0.5,1),0)*Assumptions!$B$12</f>
        <v>0.01</v>
      </c>
      <c r="D1592" s="12">
        <f>D1591*(1-Assumptions!$B$12*(Assumptions!$B$5+Assumptions!$B$6))</f>
        <v>0.62171636550282638</v>
      </c>
      <c r="E1592" s="12">
        <f>E1591+Assumptions!$B$12*(D1591*Assumptions!$B$5-E1591*Assumptions!$B$7)</f>
        <v>0.16886805547406702</v>
      </c>
      <c r="F1592" s="12">
        <f t="shared" si="72"/>
        <v>0.20941557902310659</v>
      </c>
      <c r="G1592" s="12">
        <f>EXP(-Assumptions!$B$8*B1592)</f>
        <v>0.45293801277655771</v>
      </c>
      <c r="H1592" s="12">
        <f t="shared" si="73"/>
        <v>0.28159897510151422</v>
      </c>
      <c r="I1592" s="12">
        <f t="shared" si="74"/>
        <v>7.6486761467865427E-2</v>
      </c>
      <c r="J1592" s="12">
        <f>G1592*(D1592*Assumptions!$B$6+E1592*Assumptions!$B$7)</f>
        <v>6.6403278244084136E-3</v>
      </c>
    </row>
    <row r="1593" spans="1:10" x14ac:dyDescent="0.2">
      <c r="A1593" s="2">
        <v>1585</v>
      </c>
      <c r="B1593" s="14">
        <f>A1593*Assumptions!$B$12</f>
        <v>15.85</v>
      </c>
      <c r="C1593" s="15">
        <f>IF(A1593&lt;=Assumptions!$B$13,IF(OR(A1593=0,A1593=Assumptions!$B$13),0.5,1),0)*Assumptions!$B$12</f>
        <v>0.01</v>
      </c>
      <c r="D1593" s="12">
        <f>D1592*(1-Assumptions!$B$12*(Assumptions!$B$5+Assumptions!$B$6))</f>
        <v>0.62152985059317556</v>
      </c>
      <c r="E1593" s="12">
        <f>E1592+Assumptions!$B$12*(D1592*Assumptions!$B$5-E1592*Assumptions!$B$7)</f>
        <v>0.16890796471943056</v>
      </c>
      <c r="F1593" s="12">
        <f t="shared" si="72"/>
        <v>0.20956218468739388</v>
      </c>
      <c r="G1593" s="12">
        <f>EXP(-Assumptions!$B$8*B1593)</f>
        <v>0.45271160037798602</v>
      </c>
      <c r="H1593" s="12">
        <f t="shared" si="73"/>
        <v>0.28137377334472707</v>
      </c>
      <c r="I1593" s="12">
        <f t="shared" si="74"/>
        <v>7.6466595024721806E-2</v>
      </c>
      <c r="J1593" s="12">
        <f>G1593*(D1593*Assumptions!$B$6+E1593*Assumptions!$B$7)</f>
        <v>6.6370674846833611E-3</v>
      </c>
    </row>
    <row r="1594" spans="1:10" x14ac:dyDescent="0.2">
      <c r="A1594" s="2">
        <v>1586</v>
      </c>
      <c r="B1594" s="14">
        <f>A1594*Assumptions!$B$12</f>
        <v>15.860000000000001</v>
      </c>
      <c r="C1594" s="15">
        <f>IF(A1594&lt;=Assumptions!$B$13,IF(OR(A1594=0,A1594=Assumptions!$B$13),0.5,1),0)*Assumptions!$B$12</f>
        <v>0.01</v>
      </c>
      <c r="D1594" s="12">
        <f>D1593*(1-Assumptions!$B$12*(Assumptions!$B$5+Assumptions!$B$6))</f>
        <v>0.62134339163799768</v>
      </c>
      <c r="E1594" s="12">
        <f>E1593+Assumptions!$B$12*(D1593*Assumptions!$B$5-E1593*Assumptions!$B$7)</f>
        <v>0.16894781670718947</v>
      </c>
      <c r="F1594" s="12">
        <f t="shared" si="72"/>
        <v>0.20970879165481285</v>
      </c>
      <c r="G1594" s="12">
        <f>EXP(-Assumptions!$B$8*B1594)</f>
        <v>0.45248530115731667</v>
      </c>
      <c r="H1594" s="12">
        <f t="shared" si="73"/>
        <v>0.28114875168742792</v>
      </c>
      <c r="I1594" s="12">
        <f t="shared" si="74"/>
        <v>7.6446403722623762E-2</v>
      </c>
      <c r="J1594" s="12">
        <f>G1594*(D1594*Assumptions!$B$6+E1594*Assumptions!$B$7)</f>
        <v>6.6338077030054683E-3</v>
      </c>
    </row>
    <row r="1595" spans="1:10" x14ac:dyDescent="0.2">
      <c r="A1595" s="2">
        <v>1587</v>
      </c>
      <c r="B1595" s="14">
        <f>A1595*Assumptions!$B$12</f>
        <v>15.870000000000001</v>
      </c>
      <c r="C1595" s="15">
        <f>IF(A1595&lt;=Assumptions!$B$13,IF(OR(A1595=0,A1595=Assumptions!$B$13),0.5,1),0)*Assumptions!$B$12</f>
        <v>0.01</v>
      </c>
      <c r="D1595" s="12">
        <f>D1594*(1-Assumptions!$B$12*(Assumptions!$B$5+Assumptions!$B$6))</f>
        <v>0.62115698862050628</v>
      </c>
      <c r="E1595" s="12">
        <f>E1594+Assumptions!$B$12*(D1594*Assumptions!$B$5-E1594*Assumptions!$B$7)</f>
        <v>0.16898761147716349</v>
      </c>
      <c r="F1595" s="12">
        <f t="shared" si="72"/>
        <v>0.20985539990233024</v>
      </c>
      <c r="G1595" s="12">
        <f>EXP(-Assumptions!$B$8*B1595)</f>
        <v>0.45225911505797511</v>
      </c>
      <c r="H1595" s="12">
        <f t="shared" si="73"/>
        <v>0.28092390998558686</v>
      </c>
      <c r="I1595" s="12">
        <f t="shared" si="74"/>
        <v>7.642618762242287E-2</v>
      </c>
      <c r="J1595" s="12">
        <f>G1595*(D1595*Assumptions!$B$6+E1595*Assumptions!$B$7)</f>
        <v>6.6305484809770126E-3</v>
      </c>
    </row>
    <row r="1596" spans="1:10" x14ac:dyDescent="0.2">
      <c r="A1596" s="2">
        <v>1588</v>
      </c>
      <c r="B1596" s="14">
        <f>A1596*Assumptions!$B$12</f>
        <v>15.88</v>
      </c>
      <c r="C1596" s="15">
        <f>IF(A1596&lt;=Assumptions!$B$13,IF(OR(A1596=0,A1596=Assumptions!$B$13),0.5,1),0)*Assumptions!$B$12</f>
        <v>0.01</v>
      </c>
      <c r="D1596" s="12">
        <f>D1595*(1-Assumptions!$B$12*(Assumptions!$B$5+Assumptions!$B$6))</f>
        <v>0.62097064152392012</v>
      </c>
      <c r="E1596" s="12">
        <f>E1595+Assumptions!$B$12*(D1595*Assumptions!$B$5-E1595*Assumptions!$B$7)</f>
        <v>0.16902734906914901</v>
      </c>
      <c r="F1596" s="12">
        <f t="shared" si="72"/>
        <v>0.21000200940693087</v>
      </c>
      <c r="G1596" s="12">
        <f>EXP(-Assumptions!$B$8*B1596)</f>
        <v>0.45203304202341466</v>
      </c>
      <c r="H1596" s="12">
        <f t="shared" si="73"/>
        <v>0.28069924809528896</v>
      </c>
      <c r="I1596" s="12">
        <f t="shared" si="74"/>
        <v>7.640594678488101E-2</v>
      </c>
      <c r="J1596" s="12">
        <f>G1596*(D1596*Assumptions!$B$6+E1596*Assumptions!$B$7)</f>
        <v>6.6272898201969405E-3</v>
      </c>
    </row>
    <row r="1597" spans="1:10" x14ac:dyDescent="0.2">
      <c r="A1597" s="2">
        <v>1589</v>
      </c>
      <c r="B1597" s="14">
        <f>A1597*Assumptions!$B$12</f>
        <v>15.89</v>
      </c>
      <c r="C1597" s="15">
        <f>IF(A1597&lt;=Assumptions!$B$13,IF(OR(A1597=0,A1597=Assumptions!$B$13),0.5,1),0)*Assumptions!$B$12</f>
        <v>0.01</v>
      </c>
      <c r="D1597" s="12">
        <f>D1596*(1-Assumptions!$B$12*(Assumptions!$B$5+Assumptions!$B$6))</f>
        <v>0.62078435033146295</v>
      </c>
      <c r="E1597" s="12">
        <f>E1596+Assumptions!$B$12*(D1596*Assumptions!$B$5-E1596*Assumptions!$B$7)</f>
        <v>0.16906702952291922</v>
      </c>
      <c r="F1597" s="12">
        <f t="shared" si="72"/>
        <v>0.21014862014561783</v>
      </c>
      <c r="G1597" s="12">
        <f>EXP(-Assumptions!$B$8*B1597)</f>
        <v>0.451807081997117</v>
      </c>
      <c r="H1597" s="12">
        <f t="shared" si="73"/>
        <v>0.28047476587273429</v>
      </c>
      <c r="I1597" s="12">
        <f t="shared" si="74"/>
        <v>7.6385681270670566E-2</v>
      </c>
      <c r="J1597" s="12">
        <f>G1597*(D1597*Assumptions!$B$6+E1597*Assumptions!$B$7)</f>
        <v>6.6240317222608716E-3</v>
      </c>
    </row>
    <row r="1598" spans="1:10" x14ac:dyDescent="0.2">
      <c r="A1598" s="2">
        <v>1590</v>
      </c>
      <c r="B1598" s="14">
        <f>A1598*Assumptions!$B$12</f>
        <v>15.9</v>
      </c>
      <c r="C1598" s="15">
        <f>IF(A1598&lt;=Assumptions!$B$13,IF(OR(A1598=0,A1598=Assumptions!$B$13),0.5,1),0)*Assumptions!$B$12</f>
        <v>0.01</v>
      </c>
      <c r="D1598" s="12">
        <f>D1597*(1-Assumptions!$B$12*(Assumptions!$B$5+Assumptions!$B$6))</f>
        <v>0.62059811502636353</v>
      </c>
      <c r="E1598" s="12">
        <f>E1597+Assumptions!$B$12*(D1597*Assumptions!$B$5-E1597*Assumptions!$B$7)</f>
        <v>0.16910665287822405</v>
      </c>
      <c r="F1598" s="12">
        <f t="shared" si="72"/>
        <v>0.21029523209541243</v>
      </c>
      <c r="G1598" s="12">
        <f>EXP(-Assumptions!$B$8*B1598)</f>
        <v>0.45158123492259222</v>
      </c>
      <c r="H1598" s="12">
        <f t="shared" si="73"/>
        <v>0.28025046317423818</v>
      </c>
      <c r="I1598" s="12">
        <f t="shared" si="74"/>
        <v>7.636539114037455E-2</v>
      </c>
      <c r="J1598" s="12">
        <f>G1598*(D1598*Assumptions!$B$6+E1598*Assumptions!$B$7)</f>
        <v>6.6207741887611103E-3</v>
      </c>
    </row>
    <row r="1599" spans="1:10" x14ac:dyDescent="0.2">
      <c r="A1599" s="2">
        <v>1591</v>
      </c>
      <c r="B1599" s="14">
        <f>A1599*Assumptions!$B$12</f>
        <v>15.91</v>
      </c>
      <c r="C1599" s="15">
        <f>IF(A1599&lt;=Assumptions!$B$13,IF(OR(A1599=0,A1599=Assumptions!$B$13),0.5,1),0)*Assumptions!$B$12</f>
        <v>0.01</v>
      </c>
      <c r="D1599" s="12">
        <f>D1598*(1-Assumptions!$B$12*(Assumptions!$B$5+Assumptions!$B$6))</f>
        <v>0.62041193559185559</v>
      </c>
      <c r="E1599" s="12">
        <f>E1598+Assumptions!$B$12*(D1598*Assumptions!$B$5-E1598*Assumptions!$B$7)</f>
        <v>0.1691462191747902</v>
      </c>
      <c r="F1599" s="12">
        <f t="shared" si="72"/>
        <v>0.21044184523335421</v>
      </c>
      <c r="G1599" s="12">
        <f>EXP(-Assumptions!$B$8*B1599)</f>
        <v>0.45135550074337849</v>
      </c>
      <c r="H1599" s="12">
        <f t="shared" si="73"/>
        <v>0.28002633985623065</v>
      </c>
      <c r="I1599" s="12">
        <f t="shared" si="74"/>
        <v>7.6345076454486682E-2</v>
      </c>
      <c r="J1599" s="12">
        <f>G1599*(D1599*Assumptions!$B$6+E1599*Assumptions!$B$7)</f>
        <v>6.6175172212866408E-3</v>
      </c>
    </row>
    <row r="1600" spans="1:10" x14ac:dyDescent="0.2">
      <c r="A1600" s="2">
        <v>1592</v>
      </c>
      <c r="B1600" s="14">
        <f>A1600*Assumptions!$B$12</f>
        <v>15.92</v>
      </c>
      <c r="C1600" s="15">
        <f>IF(A1600&lt;=Assumptions!$B$13,IF(OR(A1600=0,A1600=Assumptions!$B$13),0.5,1),0)*Assumptions!$B$12</f>
        <v>0.01</v>
      </c>
      <c r="D1600" s="12">
        <f>D1599*(1-Assumptions!$B$12*(Assumptions!$B$5+Assumptions!$B$6))</f>
        <v>0.6202258120111781</v>
      </c>
      <c r="E1600" s="12">
        <f>E1599+Assumptions!$B$12*(D1599*Assumptions!$B$5-E1599*Assumptions!$B$7)</f>
        <v>0.16918572845232116</v>
      </c>
      <c r="F1600" s="12">
        <f t="shared" si="72"/>
        <v>0.21058845953650074</v>
      </c>
      <c r="G1600" s="12">
        <f>EXP(-Assumptions!$B$8*B1600)</f>
        <v>0.45112987940304233</v>
      </c>
      <c r="H1600" s="12">
        <f t="shared" si="73"/>
        <v>0.27980239577525678</v>
      </c>
      <c r="I1600" s="12">
        <f t="shared" si="74"/>
        <v>7.6324737273411519E-2</v>
      </c>
      <c r="J1600" s="12">
        <f>G1600*(D1600*Assumptions!$B$6+E1600*Assumptions!$B$7)</f>
        <v>6.6142608214231442E-3</v>
      </c>
    </row>
    <row r="1601" spans="1:10" x14ac:dyDescent="0.2">
      <c r="A1601" s="2">
        <v>1593</v>
      </c>
      <c r="B1601" s="14">
        <f>A1601*Assumptions!$B$12</f>
        <v>15.93</v>
      </c>
      <c r="C1601" s="15">
        <f>IF(A1601&lt;=Assumptions!$B$13,IF(OR(A1601=0,A1601=Assumptions!$B$13),0.5,1),0)*Assumptions!$B$12</f>
        <v>0.01</v>
      </c>
      <c r="D1601" s="12">
        <f>D1600*(1-Assumptions!$B$12*(Assumptions!$B$5+Assumptions!$B$6))</f>
        <v>0.6200397442675748</v>
      </c>
      <c r="E1601" s="12">
        <f>E1600+Assumptions!$B$12*(D1600*Assumptions!$B$5-E1600*Assumptions!$B$7)</f>
        <v>0.16922518075049722</v>
      </c>
      <c r="F1601" s="12">
        <f t="shared" si="72"/>
        <v>0.21073507498192798</v>
      </c>
      <c r="G1601" s="12">
        <f>EXP(-Assumptions!$B$8*B1601)</f>
        <v>0.45090437084517843</v>
      </c>
      <c r="H1601" s="12">
        <f t="shared" si="73"/>
        <v>0.27957863078797612</v>
      </c>
      <c r="I1601" s="12">
        <f t="shared" si="74"/>
        <v>7.630437365746455E-2</v>
      </c>
      <c r="J1601" s="12">
        <f>G1601*(D1601*Assumptions!$B$6+E1601*Assumptions!$B$7)</f>
        <v>6.6110049907529894E-3</v>
      </c>
    </row>
    <row r="1602" spans="1:10" x14ac:dyDescent="0.2">
      <c r="A1602" s="2">
        <v>1594</v>
      </c>
      <c r="B1602" s="14">
        <f>A1602*Assumptions!$B$12</f>
        <v>15.94</v>
      </c>
      <c r="C1602" s="15">
        <f>IF(A1602&lt;=Assumptions!$B$13,IF(OR(A1602=0,A1602=Assumptions!$B$13),0.5,1),0)*Assumptions!$B$12</f>
        <v>0.01</v>
      </c>
      <c r="D1602" s="12">
        <f>D1601*(1-Assumptions!$B$12*(Assumptions!$B$5+Assumptions!$B$6))</f>
        <v>0.61985373234429453</v>
      </c>
      <c r="E1602" s="12">
        <f>E1601+Assumptions!$B$12*(D1601*Assumptions!$B$5-E1601*Assumptions!$B$7)</f>
        <v>0.1692645761089755</v>
      </c>
      <c r="F1602" s="12">
        <f t="shared" si="72"/>
        <v>0.21088169154672998</v>
      </c>
      <c r="G1602" s="12">
        <f>EXP(-Assumptions!$B$8*B1602)</f>
        <v>0.45067897501340948</v>
      </c>
      <c r="H1602" s="12">
        <f t="shared" si="73"/>
        <v>0.27935504475116291</v>
      </c>
      <c r="I1602" s="12">
        <f t="shared" si="74"/>
        <v>7.628398566687232E-2</v>
      </c>
      <c r="J1602" s="12">
        <f>G1602*(D1602*Assumptions!$B$6+E1602*Assumptions!$B$7)</f>
        <v>6.6077497308552448E-3</v>
      </c>
    </row>
    <row r="1603" spans="1:10" x14ac:dyDescent="0.2">
      <c r="A1603" s="2">
        <v>1595</v>
      </c>
      <c r="B1603" s="14">
        <f>A1603*Assumptions!$B$12</f>
        <v>15.950000000000001</v>
      </c>
      <c r="C1603" s="15">
        <f>IF(A1603&lt;=Assumptions!$B$13,IF(OR(A1603=0,A1603=Assumptions!$B$13),0.5,1),0)*Assumptions!$B$12</f>
        <v>0.01</v>
      </c>
      <c r="D1603" s="12">
        <f>D1602*(1-Assumptions!$B$12*(Assumptions!$B$5+Assumptions!$B$6))</f>
        <v>0.61966777622459124</v>
      </c>
      <c r="E1603" s="12">
        <f>E1602+Assumptions!$B$12*(D1602*Assumptions!$B$5-E1602*Assumptions!$B$7)</f>
        <v>0.16930391456738986</v>
      </c>
      <c r="F1603" s="12">
        <f t="shared" si="72"/>
        <v>0.2110283092080189</v>
      </c>
      <c r="G1603" s="12">
        <f>EXP(-Assumptions!$B$8*B1603)</f>
        <v>0.45045369185138667</v>
      </c>
      <c r="H1603" s="12">
        <f t="shared" si="73"/>
        <v>0.27913163752170606</v>
      </c>
      <c r="I1603" s="12">
        <f t="shared" si="74"/>
        <v>7.626357336177253E-2</v>
      </c>
      <c r="J1603" s="12">
        <f>G1603*(D1603*Assumptions!$B$6+E1603*Assumptions!$B$7)</f>
        <v>6.6044950433056865E-3</v>
      </c>
    </row>
    <row r="1604" spans="1:10" x14ac:dyDescent="0.2">
      <c r="A1604" s="2">
        <v>1596</v>
      </c>
      <c r="B1604" s="14">
        <f>A1604*Assumptions!$B$12</f>
        <v>15.96</v>
      </c>
      <c r="C1604" s="15">
        <f>IF(A1604&lt;=Assumptions!$B$13,IF(OR(A1604=0,A1604=Assumptions!$B$13),0.5,1),0)*Assumptions!$B$12</f>
        <v>0.01</v>
      </c>
      <c r="D1604" s="12">
        <f>D1603*(1-Assumptions!$B$12*(Assumptions!$B$5+Assumptions!$B$6))</f>
        <v>0.61948187589172388</v>
      </c>
      <c r="E1604" s="12">
        <f>E1603+Assumptions!$B$12*(D1603*Assumptions!$B$5-E1603*Assumptions!$B$7)</f>
        <v>0.16934319616535107</v>
      </c>
      <c r="F1604" s="12">
        <f t="shared" si="72"/>
        <v>0.21117492794292506</v>
      </c>
      <c r="G1604" s="12">
        <f>EXP(-Assumptions!$B$8*B1604)</f>
        <v>0.45022852130278923</v>
      </c>
      <c r="H1604" s="12">
        <f t="shared" si="73"/>
        <v>0.27890840895660884</v>
      </c>
      <c r="I1604" s="12">
        <f t="shared" si="74"/>
        <v>7.6243136802214173E-2</v>
      </c>
      <c r="J1604" s="12">
        <f>G1604*(D1604*Assumptions!$B$6+E1604*Assumptions!$B$7)</f>
        <v>6.6012409296767978E-3</v>
      </c>
    </row>
    <row r="1605" spans="1:10" x14ac:dyDescent="0.2">
      <c r="A1605" s="2">
        <v>1597</v>
      </c>
      <c r="B1605" s="14">
        <f>A1605*Assumptions!$B$12</f>
        <v>15.97</v>
      </c>
      <c r="C1605" s="15">
        <f>IF(A1605&lt;=Assumptions!$B$13,IF(OR(A1605=0,A1605=Assumptions!$B$13),0.5,1),0)*Assumptions!$B$12</f>
        <v>0.01</v>
      </c>
      <c r="D1605" s="12">
        <f>D1604*(1-Assumptions!$B$12*(Assumptions!$B$5+Assumptions!$B$6))</f>
        <v>0.61929603132895639</v>
      </c>
      <c r="E1605" s="12">
        <f>E1604+Assumptions!$B$12*(D1604*Assumptions!$B$5-E1604*Assumptions!$B$7)</f>
        <v>0.16938242094244674</v>
      </c>
      <c r="F1605" s="12">
        <f t="shared" si="72"/>
        <v>0.21132154772859688</v>
      </c>
      <c r="G1605" s="12">
        <f>EXP(-Assumptions!$B$8*B1605)</f>
        <v>0.45000346331132435</v>
      </c>
      <c r="H1605" s="12">
        <f t="shared" si="73"/>
        <v>0.27868535891298879</v>
      </c>
      <c r="I1605" s="12">
        <f t="shared" si="74"/>
        <v>7.6222676048157634E-2</v>
      </c>
      <c r="J1605" s="12">
        <f>G1605*(D1605*Assumptions!$B$6+E1605*Assumptions!$B$7)</f>
        <v>6.5979873915377697E-3</v>
      </c>
    </row>
    <row r="1606" spans="1:10" x14ac:dyDescent="0.2">
      <c r="A1606" s="2">
        <v>1598</v>
      </c>
      <c r="B1606" s="14">
        <f>A1606*Assumptions!$B$12</f>
        <v>15.98</v>
      </c>
      <c r="C1606" s="15">
        <f>IF(A1606&lt;=Assumptions!$B$13,IF(OR(A1606=0,A1606=Assumptions!$B$13),0.5,1),0)*Assumptions!$B$12</f>
        <v>0.01</v>
      </c>
      <c r="D1606" s="12">
        <f>D1605*(1-Assumptions!$B$12*(Assumptions!$B$5+Assumptions!$B$6))</f>
        <v>0.61911024251955771</v>
      </c>
      <c r="E1606" s="12">
        <f>E1605+Assumptions!$B$12*(D1605*Assumptions!$B$5-E1605*Assumptions!$B$7)</f>
        <v>0.1694215889382413</v>
      </c>
      <c r="F1606" s="12">
        <f t="shared" si="72"/>
        <v>0.21146816854220099</v>
      </c>
      <c r="G1606" s="12">
        <f>EXP(-Assumptions!$B$8*B1606)</f>
        <v>0.44977851782072775</v>
      </c>
      <c r="H1606" s="12">
        <f t="shared" si="73"/>
        <v>0.27846248724807798</v>
      </c>
      <c r="I1606" s="12">
        <f t="shared" si="74"/>
        <v>7.6202191159474783E-2</v>
      </c>
      <c r="J1606" s="12">
        <f>G1606*(D1606*Assumptions!$B$6+E1606*Assumptions!$B$7)</f>
        <v>6.5947344304545189E-3</v>
      </c>
    </row>
    <row r="1607" spans="1:10" x14ac:dyDescent="0.2">
      <c r="A1607" s="2">
        <v>1599</v>
      </c>
      <c r="B1607" s="14">
        <f>A1607*Assumptions!$B$12</f>
        <v>15.99</v>
      </c>
      <c r="C1607" s="15">
        <f>IF(A1607&lt;=Assumptions!$B$13,IF(OR(A1607=0,A1607=Assumptions!$B$13),0.5,1),0)*Assumptions!$B$12</f>
        <v>0.01</v>
      </c>
      <c r="D1607" s="12">
        <f>D1606*(1-Assumptions!$B$12*(Assumptions!$B$5+Assumptions!$B$6))</f>
        <v>0.61892450944680188</v>
      </c>
      <c r="E1607" s="12">
        <f>E1606+Assumptions!$B$12*(D1606*Assumptions!$B$5-E1606*Assumptions!$B$7)</f>
        <v>0.1694607001922761</v>
      </c>
      <c r="F1607" s="12">
        <f t="shared" si="72"/>
        <v>0.21161479036092201</v>
      </c>
      <c r="G1607" s="12">
        <f>EXP(-Assumptions!$B$8*B1607)</f>
        <v>0.44955368477476287</v>
      </c>
      <c r="H1607" s="12">
        <f t="shared" si="73"/>
        <v>0.27823979381922231</v>
      </c>
      <c r="I1607" s="12">
        <f t="shared" si="74"/>
        <v>7.6181682195949091E-2</v>
      </c>
      <c r="J1607" s="12">
        <f>G1607*(D1607*Assumptions!$B$6+E1607*Assumptions!$B$7)</f>
        <v>6.5914820479896774E-3</v>
      </c>
    </row>
    <row r="1608" spans="1:10" x14ac:dyDescent="0.2">
      <c r="A1608" s="2">
        <v>1600</v>
      </c>
      <c r="B1608" s="14">
        <f>A1608*Assumptions!$B$12</f>
        <v>16</v>
      </c>
      <c r="C1608" s="15">
        <f>IF(A1608&lt;=Assumptions!$B$13,IF(OR(A1608=0,A1608=Assumptions!$B$13),0.5,1),0)*Assumptions!$B$12</f>
        <v>0.01</v>
      </c>
      <c r="D1608" s="12">
        <f>D1607*(1-Assumptions!$B$12*(Assumptions!$B$5+Assumptions!$B$6))</f>
        <v>0.61873883209396785</v>
      </c>
      <c r="E1608" s="12">
        <f>E1607+Assumptions!$B$12*(D1607*Assumptions!$B$5-E1607*Assumptions!$B$7)</f>
        <v>0.16949975474406934</v>
      </c>
      <c r="F1608" s="12">
        <f t="shared" ref="F1608:F1671" si="75">1-D1608-E1608</f>
        <v>0.21176141316196281</v>
      </c>
      <c r="G1608" s="12">
        <f>EXP(-Assumptions!$B$8*B1608)</f>
        <v>0.44932896411722156</v>
      </c>
      <c r="H1608" s="12">
        <f t="shared" ref="H1608:H1671" si="76">G1608*D1608</f>
        <v>0.27801727848388208</v>
      </c>
      <c r="I1608" s="12">
        <f t="shared" ref="I1608:I1671" si="77">G1608*E1608</f>
        <v>7.6161149217275792E-2</v>
      </c>
      <c r="J1608" s="12">
        <f>G1608*(D1608*Assumptions!$B$6+E1608*Assumptions!$B$7)</f>
        <v>6.5882302457026098E-3</v>
      </c>
    </row>
    <row r="1609" spans="1:10" x14ac:dyDescent="0.2">
      <c r="A1609" s="2">
        <v>1601</v>
      </c>
      <c r="B1609" s="14">
        <f>A1609*Assumptions!$B$12</f>
        <v>16.010000000000002</v>
      </c>
      <c r="C1609" s="15">
        <f>IF(A1609&lt;=Assumptions!$B$13,IF(OR(A1609=0,A1609=Assumptions!$B$13),0.5,1),0)*Assumptions!$B$12</f>
        <v>0.01</v>
      </c>
      <c r="D1609" s="12">
        <f>D1608*(1-Assumptions!$B$12*(Assumptions!$B$5+Assumptions!$B$6))</f>
        <v>0.61855321044433964</v>
      </c>
      <c r="E1609" s="12">
        <f>E1608+Assumptions!$B$12*(D1608*Assumptions!$B$5-E1608*Assumptions!$B$7)</f>
        <v>0.1695387526331161</v>
      </c>
      <c r="F1609" s="12">
        <f t="shared" si="75"/>
        <v>0.21190803692254426</v>
      </c>
      <c r="G1609" s="12">
        <f>EXP(-Assumptions!$B$8*B1609)</f>
        <v>0.44910435579192359</v>
      </c>
      <c r="H1609" s="12">
        <f t="shared" si="76"/>
        <v>0.27779494109963132</v>
      </c>
      <c r="I1609" s="12">
        <f t="shared" si="77"/>
        <v>7.61405922830619E-2</v>
      </c>
      <c r="J1609" s="12">
        <f>G1609*(D1609*Assumptions!$B$6+E1609*Assumptions!$B$7)</f>
        <v>6.584979025149409E-3</v>
      </c>
    </row>
    <row r="1610" spans="1:10" x14ac:dyDescent="0.2">
      <c r="A1610" s="2">
        <v>1602</v>
      </c>
      <c r="B1610" s="14">
        <f>A1610*Assumptions!$B$12</f>
        <v>16.02</v>
      </c>
      <c r="C1610" s="15">
        <f>IF(A1610&lt;=Assumptions!$B$13,IF(OR(A1610=0,A1610=Assumptions!$B$13),0.5,1),0)*Assumptions!$B$12</f>
        <v>0.01</v>
      </c>
      <c r="D1610" s="12">
        <f>D1609*(1-Assumptions!$B$12*(Assumptions!$B$5+Assumptions!$B$6))</f>
        <v>0.6183676444812064</v>
      </c>
      <c r="E1610" s="12">
        <f>E1609+Assumptions!$B$12*(D1609*Assumptions!$B$5-E1609*Assumptions!$B$7)</f>
        <v>0.16957769389888841</v>
      </c>
      <c r="F1610" s="12">
        <f t="shared" si="75"/>
        <v>0.21205466161990519</v>
      </c>
      <c r="G1610" s="12">
        <f>EXP(-Assumptions!$B$8*B1610)</f>
        <v>0.44887985974271699</v>
      </c>
      <c r="H1610" s="12">
        <f t="shared" si="76"/>
        <v>0.27757278152415821</v>
      </c>
      <c r="I1610" s="12">
        <f t="shared" si="77"/>
        <v>7.612001145282643E-2</v>
      </c>
      <c r="J1610" s="12">
        <f>G1610*(D1610*Assumptions!$B$6+E1610*Assumptions!$B$7)</f>
        <v>6.581728387882904E-3</v>
      </c>
    </row>
    <row r="1611" spans="1:10" x14ac:dyDescent="0.2">
      <c r="A1611" s="2">
        <v>1603</v>
      </c>
      <c r="B1611" s="14">
        <f>A1611*Assumptions!$B$12</f>
        <v>16.03</v>
      </c>
      <c r="C1611" s="15">
        <f>IF(A1611&lt;=Assumptions!$B$13,IF(OR(A1611=0,A1611=Assumptions!$B$13),0.5,1),0)*Assumptions!$B$12</f>
        <v>0.01</v>
      </c>
      <c r="D1611" s="12">
        <f>D1610*(1-Assumptions!$B$12*(Assumptions!$B$5+Assumptions!$B$6))</f>
        <v>0.61818213418786205</v>
      </c>
      <c r="E1611" s="12">
        <f>E1610+Assumptions!$B$12*(D1610*Assumptions!$B$5-E1610*Assumptions!$B$7)</f>
        <v>0.1696165785808352</v>
      </c>
      <c r="F1611" s="12">
        <f t="shared" si="75"/>
        <v>0.21220128723130274</v>
      </c>
      <c r="G1611" s="12">
        <f>EXP(-Assumptions!$B$8*B1611)</f>
        <v>0.44865547591347754</v>
      </c>
      <c r="H1611" s="12">
        <f t="shared" si="76"/>
        <v>0.27735079961526449</v>
      </c>
      <c r="I1611" s="12">
        <f t="shared" si="77"/>
        <v>7.6099406786000384E-2</v>
      </c>
      <c r="J1611" s="12">
        <f>G1611*(D1611*Assumptions!$B$6+E1611*Assumptions!$B$7)</f>
        <v>6.5784783354526644E-3</v>
      </c>
    </row>
    <row r="1612" spans="1:10" x14ac:dyDescent="0.2">
      <c r="A1612" s="2">
        <v>1604</v>
      </c>
      <c r="B1612" s="14">
        <f>A1612*Assumptions!$B$12</f>
        <v>16.04</v>
      </c>
      <c r="C1612" s="15">
        <f>IF(A1612&lt;=Assumptions!$B$13,IF(OR(A1612=0,A1612=Assumptions!$B$13),0.5,1),0)*Assumptions!$B$12</f>
        <v>0.01</v>
      </c>
      <c r="D1612" s="12">
        <f>D1611*(1-Assumptions!$B$12*(Assumptions!$B$5+Assumptions!$B$6))</f>
        <v>0.61799667954760573</v>
      </c>
      <c r="E1612" s="12">
        <f>E1611+Assumptions!$B$12*(D1611*Assumptions!$B$5-E1611*Assumptions!$B$7)</f>
        <v>0.16965540671838236</v>
      </c>
      <c r="F1612" s="12">
        <f t="shared" si="75"/>
        <v>0.21234791373401191</v>
      </c>
      <c r="G1612" s="12">
        <f>EXP(-Assumptions!$B$8*B1612)</f>
        <v>0.44843120424810951</v>
      </c>
      <c r="H1612" s="12">
        <f t="shared" si="76"/>
        <v>0.27712899523086587</v>
      </c>
      <c r="I1612" s="12">
        <f t="shared" si="77"/>
        <v>7.6078778341927014E-2</v>
      </c>
      <c r="J1612" s="12">
        <f>G1612*(D1612*Assumptions!$B$6+E1612*Assumptions!$B$7)</f>
        <v>6.5752288694050087E-3</v>
      </c>
    </row>
    <row r="1613" spans="1:10" x14ac:dyDescent="0.2">
      <c r="A1613" s="2">
        <v>1605</v>
      </c>
      <c r="B1613" s="14">
        <f>A1613*Assumptions!$B$12</f>
        <v>16.05</v>
      </c>
      <c r="C1613" s="15">
        <f>IF(A1613&lt;=Assumptions!$B$13,IF(OR(A1613=0,A1613=Assumptions!$B$13),0.5,1),0)*Assumptions!$B$12</f>
        <v>0.01</v>
      </c>
      <c r="D1613" s="12">
        <f>D1612*(1-Assumptions!$B$12*(Assumptions!$B$5+Assumptions!$B$6))</f>
        <v>0.61781128054374146</v>
      </c>
      <c r="E1613" s="12">
        <f>E1612+Assumptions!$B$12*(D1612*Assumptions!$B$5-E1612*Assumptions!$B$7)</f>
        <v>0.1696941783509327</v>
      </c>
      <c r="F1613" s="12">
        <f t="shared" si="75"/>
        <v>0.21249454110532584</v>
      </c>
      <c r="G1613" s="12">
        <f>EXP(-Assumptions!$B$8*B1613)</f>
        <v>0.44820704469054479</v>
      </c>
      <c r="H1613" s="12">
        <f t="shared" si="76"/>
        <v>0.27690736822899142</v>
      </c>
      <c r="I1613" s="12">
        <f t="shared" si="77"/>
        <v>7.6058126179861768E-2</v>
      </c>
      <c r="J1613" s="12">
        <f>G1613*(D1613*Assumptions!$B$6+E1613*Assumptions!$B$7)</f>
        <v>6.5719799912830031E-3</v>
      </c>
    </row>
    <row r="1614" spans="1:10" x14ac:dyDescent="0.2">
      <c r="A1614" s="2">
        <v>1606</v>
      </c>
      <c r="B1614" s="14">
        <f>A1614*Assumptions!$B$12</f>
        <v>16.059999999999999</v>
      </c>
      <c r="C1614" s="15">
        <f>IF(A1614&lt;=Assumptions!$B$13,IF(OR(A1614=0,A1614=Assumptions!$B$13),0.5,1),0)*Assumptions!$B$12</f>
        <v>0.01</v>
      </c>
      <c r="D1614" s="12">
        <f>D1613*(1-Assumptions!$B$12*(Assumptions!$B$5+Assumptions!$B$6))</f>
        <v>0.61762593715957836</v>
      </c>
      <c r="E1614" s="12">
        <f>E1613+Assumptions!$B$12*(D1613*Assumptions!$B$5-E1613*Assumptions!$B$7)</f>
        <v>0.169732893517866</v>
      </c>
      <c r="F1614" s="12">
        <f t="shared" si="75"/>
        <v>0.21264116932255564</v>
      </c>
      <c r="G1614" s="12">
        <f>EXP(-Assumptions!$B$8*B1614)</f>
        <v>0.44798299718474371</v>
      </c>
      <c r="H1614" s="12">
        <f t="shared" si="76"/>
        <v>0.27668591846778412</v>
      </c>
      <c r="I1614" s="12">
        <f t="shared" si="77"/>
        <v>7.6037450358972566E-2</v>
      </c>
      <c r="J1614" s="12">
        <f>G1614*(D1614*Assumptions!$B$6+E1614*Assumptions!$B$7)</f>
        <v>6.5687317026264687E-3</v>
      </c>
    </row>
    <row r="1615" spans="1:10" x14ac:dyDescent="0.2">
      <c r="A1615" s="2">
        <v>1607</v>
      </c>
      <c r="B1615" s="14">
        <f>A1615*Assumptions!$B$12</f>
        <v>16.07</v>
      </c>
      <c r="C1615" s="15">
        <f>IF(A1615&lt;=Assumptions!$B$13,IF(OR(A1615=0,A1615=Assumptions!$B$13),0.5,1),0)*Assumptions!$B$12</f>
        <v>0.01</v>
      </c>
      <c r="D1615" s="12">
        <f>D1614*(1-Assumptions!$B$12*(Assumptions!$B$5+Assumptions!$B$6))</f>
        <v>0.61744064937843046</v>
      </c>
      <c r="E1615" s="12">
        <f>E1614+Assumptions!$B$12*(D1614*Assumptions!$B$5-E1614*Assumptions!$B$7)</f>
        <v>0.16977155225853899</v>
      </c>
      <c r="F1615" s="12">
        <f t="shared" si="75"/>
        <v>0.21278779836303055</v>
      </c>
      <c r="G1615" s="12">
        <f>EXP(-Assumptions!$B$8*B1615)</f>
        <v>0.44775906167469409</v>
      </c>
      <c r="H1615" s="12">
        <f t="shared" si="76"/>
        <v>0.27646464580549984</v>
      </c>
      <c r="I1615" s="12">
        <f t="shared" si="77"/>
        <v>7.6016750938339706E-2</v>
      </c>
      <c r="J1615" s="12">
        <f>G1615*(D1615*Assumptions!$B$6+E1615*Assumptions!$B$7)</f>
        <v>6.5654840049719837E-3</v>
      </c>
    </row>
    <row r="1616" spans="1:10" x14ac:dyDescent="0.2">
      <c r="A1616" s="2">
        <v>1608</v>
      </c>
      <c r="B1616" s="14">
        <f>A1616*Assumptions!$B$12</f>
        <v>16.080000000000002</v>
      </c>
      <c r="C1616" s="15">
        <f>IF(A1616&lt;=Assumptions!$B$13,IF(OR(A1616=0,A1616=Assumptions!$B$13),0.5,1),0)*Assumptions!$B$12</f>
        <v>0.01</v>
      </c>
      <c r="D1616" s="12">
        <f>D1615*(1-Assumptions!$B$12*(Assumptions!$B$5+Assumptions!$B$6))</f>
        <v>0.61725541718361698</v>
      </c>
      <c r="E1616" s="12">
        <f>E1615+Assumptions!$B$12*(D1615*Assumptions!$B$5-E1615*Assumptions!$B$7)</f>
        <v>0.16981015461228541</v>
      </c>
      <c r="F1616" s="12">
        <f t="shared" si="75"/>
        <v>0.21293442820409761</v>
      </c>
      <c r="G1616" s="12">
        <f>EXP(-Assumptions!$B$8*B1616)</f>
        <v>0.44753523810441231</v>
      </c>
      <c r="H1616" s="12">
        <f t="shared" si="76"/>
        <v>0.27624355010050838</v>
      </c>
      <c r="I1616" s="12">
        <f t="shared" si="77"/>
        <v>7.5996027976956218E-2</v>
      </c>
      <c r="J1616" s="12">
        <f>G1616*(D1616*Assumptions!$B$6+E1616*Assumptions!$B$7)</f>
        <v>6.5622368998528944E-3</v>
      </c>
    </row>
    <row r="1617" spans="1:10" x14ac:dyDescent="0.2">
      <c r="A1617" s="2">
        <v>1609</v>
      </c>
      <c r="B1617" s="14">
        <f>A1617*Assumptions!$B$12</f>
        <v>16.09</v>
      </c>
      <c r="C1617" s="15">
        <f>IF(A1617&lt;=Assumptions!$B$13,IF(OR(A1617=0,A1617=Assumptions!$B$13),0.5,1),0)*Assumptions!$B$12</f>
        <v>0.01</v>
      </c>
      <c r="D1617" s="12">
        <f>D1616*(1-Assumptions!$B$12*(Assumptions!$B$5+Assumptions!$B$6))</f>
        <v>0.61707024055846194</v>
      </c>
      <c r="E1617" s="12">
        <f>E1616+Assumptions!$B$12*(D1616*Assumptions!$B$5-E1616*Assumptions!$B$7)</f>
        <v>0.16984870061841598</v>
      </c>
      <c r="F1617" s="12">
        <f t="shared" si="75"/>
        <v>0.21308105882312209</v>
      </c>
      <c r="G1617" s="12">
        <f>EXP(-Assumptions!$B$8*B1617)</f>
        <v>0.44731152641794242</v>
      </c>
      <c r="H1617" s="12">
        <f t="shared" si="76"/>
        <v>0.2760226312112925</v>
      </c>
      <c r="I1617" s="12">
        <f t="shared" si="77"/>
        <v>7.5975281533727776E-2</v>
      </c>
      <c r="J1617" s="12">
        <f>G1617*(D1617*Assumptions!$B$6+E1617*Assumptions!$B$7)</f>
        <v>6.5589903887993137E-3</v>
      </c>
    </row>
    <row r="1618" spans="1:10" x14ac:dyDescent="0.2">
      <c r="A1618" s="2">
        <v>1610</v>
      </c>
      <c r="B1618" s="14">
        <f>A1618*Assumptions!$B$12</f>
        <v>16.100000000000001</v>
      </c>
      <c r="C1618" s="15">
        <f>IF(A1618&lt;=Assumptions!$B$13,IF(OR(A1618=0,A1618=Assumptions!$B$13),0.5,1),0)*Assumptions!$B$12</f>
        <v>0.01</v>
      </c>
      <c r="D1618" s="12">
        <f>D1617*(1-Assumptions!$B$12*(Assumptions!$B$5+Assumptions!$B$6))</f>
        <v>0.61688511948629443</v>
      </c>
      <c r="E1618" s="12">
        <f>E1617+Assumptions!$B$12*(D1617*Assumptions!$B$5-E1617*Assumptions!$B$7)</f>
        <v>0.16988719031621846</v>
      </c>
      <c r="F1618" s="12">
        <f t="shared" si="75"/>
        <v>0.21322769019748711</v>
      </c>
      <c r="G1618" s="12">
        <f>EXP(-Assumptions!$B$8*B1618)</f>
        <v>0.44708792655935636</v>
      </c>
      <c r="H1618" s="12">
        <f t="shared" si="76"/>
        <v>0.2758018889964482</v>
      </c>
      <c r="I1618" s="12">
        <f t="shared" si="77"/>
        <v>7.5954511667472871E-2</v>
      </c>
      <c r="J1618" s="12">
        <f>G1618*(D1618*Assumptions!$B$6+E1618*Assumptions!$B$7)</f>
        <v>6.5557444733381261E-3</v>
      </c>
    </row>
    <row r="1619" spans="1:10" x14ac:dyDescent="0.2">
      <c r="A1619" s="2">
        <v>1611</v>
      </c>
      <c r="B1619" s="14">
        <f>A1619*Assumptions!$B$12</f>
        <v>16.11</v>
      </c>
      <c r="C1619" s="15">
        <f>IF(A1619&lt;=Assumptions!$B$13,IF(OR(A1619=0,A1619=Assumptions!$B$13),0.5,1),0)*Assumptions!$B$12</f>
        <v>0.01</v>
      </c>
      <c r="D1619" s="12">
        <f>D1618*(1-Assumptions!$B$12*(Assumptions!$B$5+Assumptions!$B$6))</f>
        <v>0.61670005395044858</v>
      </c>
      <c r="E1619" s="12">
        <f>E1618+Assumptions!$B$12*(D1618*Assumptions!$B$5-E1618*Assumptions!$B$7)</f>
        <v>0.16992562374495762</v>
      </c>
      <c r="F1619" s="12">
        <f t="shared" si="75"/>
        <v>0.2133743223045938</v>
      </c>
      <c r="G1619" s="12">
        <f>EXP(-Assumptions!$B$8*B1619)</f>
        <v>0.44686443847275442</v>
      </c>
      <c r="H1619" s="12">
        <f t="shared" si="76"/>
        <v>0.27558132331468455</v>
      </c>
      <c r="I1619" s="12">
        <f t="shared" si="77"/>
        <v>7.5933718436923037E-2</v>
      </c>
      <c r="J1619" s="12">
        <f>G1619*(D1619*Assumptions!$B$6+E1619*Assumptions!$B$7)</f>
        <v>6.5524991549929974E-3</v>
      </c>
    </row>
    <row r="1620" spans="1:10" x14ac:dyDescent="0.2">
      <c r="A1620" s="2">
        <v>1612</v>
      </c>
      <c r="B1620" s="14">
        <f>A1620*Assumptions!$B$12</f>
        <v>16.12</v>
      </c>
      <c r="C1620" s="15">
        <f>IF(A1620&lt;=Assumptions!$B$13,IF(OR(A1620=0,A1620=Assumptions!$B$13),0.5,1),0)*Assumptions!$B$12</f>
        <v>0.01</v>
      </c>
      <c r="D1620" s="12">
        <f>D1619*(1-Assumptions!$B$12*(Assumptions!$B$5+Assumptions!$B$6))</f>
        <v>0.61651504393426348</v>
      </c>
      <c r="E1620" s="12">
        <f>E1619+Assumptions!$B$12*(D1619*Assumptions!$B$5-E1619*Assumptions!$B$7)</f>
        <v>0.16996400094387523</v>
      </c>
      <c r="F1620" s="12">
        <f t="shared" si="75"/>
        <v>0.21352095512186128</v>
      </c>
      <c r="G1620" s="12">
        <f>EXP(-Assumptions!$B$8*B1620)</f>
        <v>0.44664106210226434</v>
      </c>
      <c r="H1620" s="12">
        <f t="shared" si="76"/>
        <v>0.27536093402482359</v>
      </c>
      <c r="I1620" s="12">
        <f t="shared" si="77"/>
        <v>7.5912901900722696E-2</v>
      </c>
      <c r="J1620" s="12">
        <f>G1620*(D1620*Assumptions!$B$6+E1620*Assumptions!$B$7)</f>
        <v>6.5492544352843711E-3</v>
      </c>
    </row>
    <row r="1621" spans="1:10" x14ac:dyDescent="0.2">
      <c r="A1621" s="2">
        <v>1613</v>
      </c>
      <c r="B1621" s="14">
        <f>A1621*Assumptions!$B$12</f>
        <v>16.13</v>
      </c>
      <c r="C1621" s="15">
        <f>IF(A1621&lt;=Assumptions!$B$13,IF(OR(A1621=0,A1621=Assumptions!$B$13),0.5,1),0)*Assumptions!$B$12</f>
        <v>0.01</v>
      </c>
      <c r="D1621" s="12">
        <f>D1620*(1-Assumptions!$B$12*(Assumptions!$B$5+Assumptions!$B$6))</f>
        <v>0.61633008942108325</v>
      </c>
      <c r="E1621" s="12">
        <f>E1620+Assumptions!$B$12*(D1620*Assumptions!$B$5-E1620*Assumptions!$B$7)</f>
        <v>0.17000232195219014</v>
      </c>
      <c r="F1621" s="12">
        <f t="shared" si="75"/>
        <v>0.21366758862672661</v>
      </c>
      <c r="G1621" s="12">
        <f>EXP(-Assumptions!$B$8*B1621)</f>
        <v>0.44641779739204213</v>
      </c>
      <c r="H1621" s="12">
        <f t="shared" si="76"/>
        <v>0.27514072098580034</v>
      </c>
      <c r="I1621" s="12">
        <f t="shared" si="77"/>
        <v>7.5892062117429535E-2</v>
      </c>
      <c r="J1621" s="12">
        <f>G1621*(D1621*Assumptions!$B$6+E1621*Assumptions!$B$7)</f>
        <v>6.5460103157294804E-3</v>
      </c>
    </row>
    <row r="1622" spans="1:10" x14ac:dyDescent="0.2">
      <c r="A1622" s="2">
        <v>1614</v>
      </c>
      <c r="B1622" s="14">
        <f>A1622*Assumptions!$B$12</f>
        <v>16.14</v>
      </c>
      <c r="C1622" s="15">
        <f>IF(A1622&lt;=Assumptions!$B$13,IF(OR(A1622=0,A1622=Assumptions!$B$13),0.5,1),0)*Assumptions!$B$12</f>
        <v>0.01</v>
      </c>
      <c r="D1622" s="12">
        <f>D1621*(1-Assumptions!$B$12*(Assumptions!$B$5+Assumptions!$B$6))</f>
        <v>0.61614519039425697</v>
      </c>
      <c r="E1622" s="12">
        <f>E1621+Assumptions!$B$12*(D1621*Assumptions!$B$5-E1621*Assumptions!$B$7)</f>
        <v>0.17004058680909825</v>
      </c>
      <c r="F1622" s="12">
        <f t="shared" si="75"/>
        <v>0.21381422279664478</v>
      </c>
      <c r="G1622" s="12">
        <f>EXP(-Assumptions!$B$8*B1622)</f>
        <v>0.44619464428627154</v>
      </c>
      <c r="H1622" s="12">
        <f t="shared" si="76"/>
        <v>0.27492068405666253</v>
      </c>
      <c r="I1622" s="12">
        <f t="shared" si="77"/>
        <v>7.5871199145514476E-2</v>
      </c>
      <c r="J1622" s="12">
        <f>G1622*(D1622*Assumptions!$B$6+E1622*Assumptions!$B$7)</f>
        <v>6.5427667978423497E-3</v>
      </c>
    </row>
    <row r="1623" spans="1:10" x14ac:dyDescent="0.2">
      <c r="A1623" s="2">
        <v>1615</v>
      </c>
      <c r="B1623" s="14">
        <f>A1623*Assumptions!$B$12</f>
        <v>16.149999999999999</v>
      </c>
      <c r="C1623" s="15">
        <f>IF(A1623&lt;=Assumptions!$B$13,IF(OR(A1623=0,A1623=Assumptions!$B$13),0.5,1),0)*Assumptions!$B$12</f>
        <v>0.01</v>
      </c>
      <c r="D1623" s="12">
        <f>D1622*(1-Assumptions!$B$12*(Assumptions!$B$5+Assumptions!$B$6))</f>
        <v>0.61596034683713874</v>
      </c>
      <c r="E1623" s="12">
        <f>E1622+Assumptions!$B$12*(D1622*Assumptions!$B$5-E1622*Assumptions!$B$7)</f>
        <v>0.17007879555377256</v>
      </c>
      <c r="F1623" s="12">
        <f t="shared" si="75"/>
        <v>0.2139608576090887</v>
      </c>
      <c r="G1623" s="12">
        <f>EXP(-Assumptions!$B$8*B1623)</f>
        <v>0.44597160272916442</v>
      </c>
      <c r="H1623" s="12">
        <f t="shared" si="76"/>
        <v>0.27470082309657079</v>
      </c>
      <c r="I1623" s="12">
        <f t="shared" si="77"/>
        <v>7.5850313043361831E-2</v>
      </c>
      <c r="J1623" s="12">
        <f>G1623*(D1623*Assumptions!$B$6+E1623*Assumptions!$B$7)</f>
        <v>6.5395238831337998E-3</v>
      </c>
    </row>
    <row r="1624" spans="1:10" x14ac:dyDescent="0.2">
      <c r="A1624" s="2">
        <v>1616</v>
      </c>
      <c r="B1624" s="14">
        <f>A1624*Assumptions!$B$12</f>
        <v>16.16</v>
      </c>
      <c r="C1624" s="15">
        <f>IF(A1624&lt;=Assumptions!$B$13,IF(OR(A1624=0,A1624=Assumptions!$B$13),0.5,1),0)*Assumptions!$B$12</f>
        <v>0.01</v>
      </c>
      <c r="D1624" s="12">
        <f>D1623*(1-Assumptions!$B$12*(Assumptions!$B$5+Assumptions!$B$6))</f>
        <v>0.61577555873308765</v>
      </c>
      <c r="E1624" s="12">
        <f>E1623+Assumptions!$B$12*(D1623*Assumptions!$B$5-E1623*Assumptions!$B$7)</f>
        <v>0.17011694822536311</v>
      </c>
      <c r="F1624" s="12">
        <f t="shared" si="75"/>
        <v>0.21410749304154925</v>
      </c>
      <c r="G1624" s="12">
        <f>EXP(-Assumptions!$B$8*B1624)</f>
        <v>0.44574867266496021</v>
      </c>
      <c r="H1624" s="12">
        <f t="shared" si="76"/>
        <v>0.27448113796479806</v>
      </c>
      <c r="I1624" s="12">
        <f t="shared" si="77"/>
        <v>7.5829403869269368E-2</v>
      </c>
      <c r="J1624" s="12">
        <f>G1624*(D1624*Assumptions!$B$6+E1624*Assumptions!$B$7)</f>
        <v>6.5362815731114486E-3</v>
      </c>
    </row>
    <row r="1625" spans="1:10" x14ac:dyDescent="0.2">
      <c r="A1625" s="2">
        <v>1617</v>
      </c>
      <c r="B1625" s="14">
        <f>A1625*Assumptions!$B$12</f>
        <v>16.170000000000002</v>
      </c>
      <c r="C1625" s="15">
        <f>IF(A1625&lt;=Assumptions!$B$13,IF(OR(A1625=0,A1625=Assumptions!$B$13),0.5,1),0)*Assumptions!$B$12</f>
        <v>0.01</v>
      </c>
      <c r="D1625" s="12">
        <f>D1624*(1-Assumptions!$B$12*(Assumptions!$B$5+Assumptions!$B$6))</f>
        <v>0.61559082606546778</v>
      </c>
      <c r="E1625" s="12">
        <f>E1624+Assumptions!$B$12*(D1624*Assumptions!$B$5-E1624*Assumptions!$B$7)</f>
        <v>0.17015504486299704</v>
      </c>
      <c r="F1625" s="12">
        <f t="shared" si="75"/>
        <v>0.21425412907153518</v>
      </c>
      <c r="G1625" s="12">
        <f>EXP(-Assumptions!$B$8*B1625)</f>
        <v>0.44552585403792655</v>
      </c>
      <c r="H1625" s="12">
        <f t="shared" si="76"/>
        <v>0.27426162852073022</v>
      </c>
      <c r="I1625" s="12">
        <f t="shared" si="77"/>
        <v>7.5808471681448469E-2</v>
      </c>
      <c r="J1625" s="12">
        <f>G1625*(D1625*Assumptions!$B$6+E1625*Assumptions!$B$7)</f>
        <v>6.5330398692797264E-3</v>
      </c>
    </row>
    <row r="1626" spans="1:10" x14ac:dyDescent="0.2">
      <c r="A1626" s="2">
        <v>1618</v>
      </c>
      <c r="B1626" s="14">
        <f>A1626*Assumptions!$B$12</f>
        <v>16.18</v>
      </c>
      <c r="C1626" s="15">
        <f>IF(A1626&lt;=Assumptions!$B$13,IF(OR(A1626=0,A1626=Assumptions!$B$13),0.5,1),0)*Assumptions!$B$12</f>
        <v>0.01</v>
      </c>
      <c r="D1626" s="12">
        <f>D1625*(1-Assumptions!$B$12*(Assumptions!$B$5+Assumptions!$B$6))</f>
        <v>0.61540614881764821</v>
      </c>
      <c r="E1626" s="12">
        <f>E1625+Assumptions!$B$12*(D1625*Assumptions!$B$5-E1625*Assumptions!$B$7)</f>
        <v>0.17019308550577864</v>
      </c>
      <c r="F1626" s="12">
        <f t="shared" si="75"/>
        <v>0.21440076567657315</v>
      </c>
      <c r="G1626" s="12">
        <f>EXP(-Assumptions!$B$8*B1626)</f>
        <v>0.44530314679235872</v>
      </c>
      <c r="H1626" s="12">
        <f t="shared" si="76"/>
        <v>0.27404229462386537</v>
      </c>
      <c r="I1626" s="12">
        <f t="shared" si="77"/>
        <v>7.5787516538024208E-2</v>
      </c>
      <c r="J1626" s="12">
        <f>G1626*(D1626*Assumptions!$B$6+E1626*Assumptions!$B$7)</f>
        <v>6.5297987731398645E-3</v>
      </c>
    </row>
    <row r="1627" spans="1:10" x14ac:dyDescent="0.2">
      <c r="A1627" s="2">
        <v>1619</v>
      </c>
      <c r="B1627" s="14">
        <f>A1627*Assumptions!$B$12</f>
        <v>16.190000000000001</v>
      </c>
      <c r="C1627" s="15">
        <f>IF(A1627&lt;=Assumptions!$B$13,IF(OR(A1627=0,A1627=Assumptions!$B$13),0.5,1),0)*Assumptions!$B$12</f>
        <v>0.01</v>
      </c>
      <c r="D1627" s="12">
        <f>D1626*(1-Assumptions!$B$12*(Assumptions!$B$5+Assumptions!$B$6))</f>
        <v>0.61522152697300292</v>
      </c>
      <c r="E1627" s="12">
        <f>E1626+Assumptions!$B$12*(D1626*Assumptions!$B$5-E1626*Assumptions!$B$7)</f>
        <v>0.17023107019278927</v>
      </c>
      <c r="F1627" s="12">
        <f t="shared" si="75"/>
        <v>0.21454740283420781</v>
      </c>
      <c r="G1627" s="12">
        <f>EXP(-Assumptions!$B$8*B1627)</f>
        <v>0.44508055087257986</v>
      </c>
      <c r="H1627" s="12">
        <f t="shared" si="76"/>
        <v>0.27382313613381387</v>
      </c>
      <c r="I1627" s="12">
        <f t="shared" si="77"/>
        <v>7.5766538497035463E-2</v>
      </c>
      <c r="J1627" s="12">
        <f>G1627*(D1627*Assumptions!$B$6+E1627*Assumptions!$B$7)</f>
        <v>6.5265582861899121E-3</v>
      </c>
    </row>
    <row r="1628" spans="1:10" x14ac:dyDescent="0.2">
      <c r="A1628" s="2">
        <v>1620</v>
      </c>
      <c r="B1628" s="14">
        <f>A1628*Assumptions!$B$12</f>
        <v>16.2</v>
      </c>
      <c r="C1628" s="15">
        <f>IF(A1628&lt;=Assumptions!$B$13,IF(OR(A1628=0,A1628=Assumptions!$B$13),0.5,1),0)*Assumptions!$B$12</f>
        <v>0.01</v>
      </c>
      <c r="D1628" s="12">
        <f>D1627*(1-Assumptions!$B$12*(Assumptions!$B$5+Assumptions!$B$6))</f>
        <v>0.61503696051491108</v>
      </c>
      <c r="E1628" s="12">
        <f>E1627+Assumptions!$B$12*(D1627*Assumptions!$B$5-E1627*Assumptions!$B$7)</f>
        <v>0.17026899896308748</v>
      </c>
      <c r="F1628" s="12">
        <f t="shared" si="75"/>
        <v>0.21469404052200144</v>
      </c>
      <c r="G1628" s="12">
        <f>EXP(-Assumptions!$B$8*B1628)</f>
        <v>0.44485806622294111</v>
      </c>
      <c r="H1628" s="12">
        <f t="shared" si="76"/>
        <v>0.27360415291029871</v>
      </c>
      <c r="I1628" s="12">
        <f t="shared" si="77"/>
        <v>7.5745537616435057E-2</v>
      </c>
      <c r="J1628" s="12">
        <f>G1628*(D1628*Assumptions!$B$6+E1628*Assumptions!$B$7)</f>
        <v>6.5233184099247402E-3</v>
      </c>
    </row>
    <row r="1629" spans="1:10" x14ac:dyDescent="0.2">
      <c r="A1629" s="2">
        <v>1621</v>
      </c>
      <c r="B1629" s="14">
        <f>A1629*Assumptions!$B$12</f>
        <v>16.21</v>
      </c>
      <c r="C1629" s="15">
        <f>IF(A1629&lt;=Assumptions!$B$13,IF(OR(A1629=0,A1629=Assumptions!$B$13),0.5,1),0)*Assumptions!$B$12</f>
        <v>0.01</v>
      </c>
      <c r="D1629" s="12">
        <f>D1628*(1-Assumptions!$B$12*(Assumptions!$B$5+Assumptions!$B$6))</f>
        <v>0.61485244942675665</v>
      </c>
      <c r="E1629" s="12">
        <f>E1628+Assumptions!$B$12*(D1628*Assumptions!$B$5-E1628*Assumptions!$B$7)</f>
        <v>0.17030687185570892</v>
      </c>
      <c r="F1629" s="12">
        <f t="shared" si="75"/>
        <v>0.21484067871753443</v>
      </c>
      <c r="G1629" s="12">
        <f>EXP(-Assumptions!$B$8*B1629)</f>
        <v>0.44463569278782117</v>
      </c>
      <c r="H1629" s="12">
        <f t="shared" si="76"/>
        <v>0.27338534481315474</v>
      </c>
      <c r="I1629" s="12">
        <f t="shared" si="77"/>
        <v>7.5724513954089814E-2</v>
      </c>
      <c r="J1629" s="12">
        <f>G1629*(D1629*Assumptions!$B$6+E1629*Assumptions!$B$7)</f>
        <v>6.5200791458360384E-3</v>
      </c>
    </row>
    <row r="1630" spans="1:10" x14ac:dyDescent="0.2">
      <c r="A1630" s="2">
        <v>1622</v>
      </c>
      <c r="B1630" s="14">
        <f>A1630*Assumptions!$B$12</f>
        <v>16.22</v>
      </c>
      <c r="C1630" s="15">
        <f>IF(A1630&lt;=Assumptions!$B$13,IF(OR(A1630=0,A1630=Assumptions!$B$13),0.5,1),0)*Assumptions!$B$12</f>
        <v>0.01</v>
      </c>
      <c r="D1630" s="12">
        <f>D1629*(1-Assumptions!$B$12*(Assumptions!$B$5+Assumptions!$B$6))</f>
        <v>0.61466799369192859</v>
      </c>
      <c r="E1630" s="12">
        <f>E1629+Assumptions!$B$12*(D1629*Assumptions!$B$5-E1629*Assumptions!$B$7)</f>
        <v>0.17034468890966642</v>
      </c>
      <c r="F1630" s="12">
        <f t="shared" si="75"/>
        <v>0.21498731739840499</v>
      </c>
      <c r="G1630" s="12">
        <f>EXP(-Assumptions!$B$8*B1630)</f>
        <v>0.44441343051162685</v>
      </c>
      <c r="H1630" s="12">
        <f t="shared" si="76"/>
        <v>0.27316671170232898</v>
      </c>
      <c r="I1630" s="12">
        <f t="shared" si="77"/>
        <v>7.5703467567780736E-2</v>
      </c>
      <c r="J1630" s="12">
        <f>G1630*(D1630*Assumptions!$B$6+E1630*Assumptions!$B$7)</f>
        <v>6.5168404954123261E-3</v>
      </c>
    </row>
    <row r="1631" spans="1:10" x14ac:dyDescent="0.2">
      <c r="A1631" s="2">
        <v>1623</v>
      </c>
      <c r="B1631" s="14">
        <f>A1631*Assumptions!$B$12</f>
        <v>16.23</v>
      </c>
      <c r="C1631" s="15">
        <f>IF(A1631&lt;=Assumptions!$B$13,IF(OR(A1631=0,A1631=Assumptions!$B$13),0.5,1),0)*Assumptions!$B$12</f>
        <v>0.01</v>
      </c>
      <c r="D1631" s="12">
        <f>D1630*(1-Assumptions!$B$12*(Assumptions!$B$5+Assumptions!$B$6))</f>
        <v>0.61448359329382107</v>
      </c>
      <c r="E1631" s="12">
        <f>E1630+Assumptions!$B$12*(D1630*Assumptions!$B$5-E1630*Assumptions!$B$7)</f>
        <v>0.17038245016394998</v>
      </c>
      <c r="F1631" s="12">
        <f t="shared" si="75"/>
        <v>0.21513395654222894</v>
      </c>
      <c r="G1631" s="12">
        <f>EXP(-Assumptions!$B$8*B1631)</f>
        <v>0.44419127933879232</v>
      </c>
      <c r="H1631" s="12">
        <f t="shared" si="76"/>
        <v>0.27294825343788054</v>
      </c>
      <c r="I1631" s="12">
        <f t="shared" si="77"/>
        <v>7.5682398515202975E-2</v>
      </c>
      <c r="J1631" s="12">
        <f>G1631*(D1631*Assumptions!$B$6+E1631*Assumptions!$B$7)</f>
        <v>6.5136024601389541E-3</v>
      </c>
    </row>
    <row r="1632" spans="1:10" x14ac:dyDescent="0.2">
      <c r="A1632" s="2">
        <v>1624</v>
      </c>
      <c r="B1632" s="14">
        <f>A1632*Assumptions!$B$12</f>
        <v>16.240000000000002</v>
      </c>
      <c r="C1632" s="15">
        <f>IF(A1632&lt;=Assumptions!$B$13,IF(OR(A1632=0,A1632=Assumptions!$B$13),0.5,1),0)*Assumptions!$B$12</f>
        <v>0.01</v>
      </c>
      <c r="D1632" s="12">
        <f>D1631*(1-Assumptions!$B$12*(Assumptions!$B$5+Assumptions!$B$6))</f>
        <v>0.61429924821583293</v>
      </c>
      <c r="E1632" s="12">
        <f>E1631+Assumptions!$B$12*(D1631*Assumptions!$B$5-E1631*Assumptions!$B$7)</f>
        <v>0.17042015565752677</v>
      </c>
      <c r="F1632" s="12">
        <f t="shared" si="75"/>
        <v>0.2152805961266403</v>
      </c>
      <c r="G1632" s="12">
        <f>EXP(-Assumptions!$B$8*B1632)</f>
        <v>0.44396923921378001</v>
      </c>
      <c r="H1632" s="12">
        <f t="shared" si="76"/>
        <v>0.27272996987998033</v>
      </c>
      <c r="I1632" s="12">
        <f t="shared" si="77"/>
        <v>7.5661306853966132E-2</v>
      </c>
      <c r="J1632" s="12">
        <f>G1632*(D1632*Assumptions!$B$6+E1632*Assumptions!$B$7)</f>
        <v>6.5103650414981102E-3</v>
      </c>
    </row>
    <row r="1633" spans="1:10" x14ac:dyDescent="0.2">
      <c r="A1633" s="2">
        <v>1625</v>
      </c>
      <c r="B1633" s="14">
        <f>A1633*Assumptions!$B$12</f>
        <v>16.25</v>
      </c>
      <c r="C1633" s="15">
        <f>IF(A1633&lt;=Assumptions!$B$13,IF(OR(A1633=0,A1633=Assumptions!$B$13),0.5,1),0)*Assumptions!$B$12</f>
        <v>0.01</v>
      </c>
      <c r="D1633" s="12">
        <f>D1632*(1-Assumptions!$B$12*(Assumptions!$B$5+Assumptions!$B$6))</f>
        <v>0.61411495844136821</v>
      </c>
      <c r="E1633" s="12">
        <f>E1632+Assumptions!$B$12*(D1632*Assumptions!$B$5-E1632*Assumptions!$B$7)</f>
        <v>0.17045780542934116</v>
      </c>
      <c r="F1633" s="12">
        <f t="shared" si="75"/>
        <v>0.21542723612929063</v>
      </c>
      <c r="G1633" s="12">
        <f>EXP(-Assumptions!$B$8*B1633)</f>
        <v>0.44374731008107987</v>
      </c>
      <c r="H1633" s="12">
        <f t="shared" si="76"/>
        <v>0.27251186088891127</v>
      </c>
      <c r="I1633" s="12">
        <f t="shared" si="77"/>
        <v>7.5640192641594231E-2</v>
      </c>
      <c r="J1633" s="12">
        <f>G1633*(D1633*Assumptions!$B$6+E1633*Assumptions!$B$7)</f>
        <v>6.5071282409688248E-3</v>
      </c>
    </row>
    <row r="1634" spans="1:10" x14ac:dyDescent="0.2">
      <c r="A1634" s="2">
        <v>1626</v>
      </c>
      <c r="B1634" s="14">
        <f>A1634*Assumptions!$B$12</f>
        <v>16.260000000000002</v>
      </c>
      <c r="C1634" s="15">
        <f>IF(A1634&lt;=Assumptions!$B$13,IF(OR(A1634=0,A1634=Assumptions!$B$13),0.5,1),0)*Assumptions!$B$12</f>
        <v>0.01</v>
      </c>
      <c r="D1634" s="12">
        <f>D1633*(1-Assumptions!$B$12*(Assumptions!$B$5+Assumptions!$B$6))</f>
        <v>0.61393072395383586</v>
      </c>
      <c r="E1634" s="12">
        <f>E1633+Assumptions!$B$12*(D1633*Assumptions!$B$5-E1633*Assumptions!$B$7)</f>
        <v>0.17049539951831477</v>
      </c>
      <c r="F1634" s="12">
        <f t="shared" si="75"/>
        <v>0.21557387652784937</v>
      </c>
      <c r="G1634" s="12">
        <f>EXP(-Assumptions!$B$8*B1634)</f>
        <v>0.44352549188520946</v>
      </c>
      <c r="H1634" s="12">
        <f t="shared" si="76"/>
        <v>0.27229392632506777</v>
      </c>
      <c r="I1634" s="12">
        <f t="shared" si="77"/>
        <v>7.5619055935525856E-2</v>
      </c>
      <c r="J1634" s="12">
        <f>G1634*(D1634*Assumptions!$B$6+E1634*Assumptions!$B$7)</f>
        <v>6.5038920600269711E-3</v>
      </c>
    </row>
    <row r="1635" spans="1:10" x14ac:dyDescent="0.2">
      <c r="A1635" s="2">
        <v>1627</v>
      </c>
      <c r="B1635" s="14">
        <f>A1635*Assumptions!$B$12</f>
        <v>16.27</v>
      </c>
      <c r="C1635" s="15">
        <f>IF(A1635&lt;=Assumptions!$B$13,IF(OR(A1635=0,A1635=Assumptions!$B$13),0.5,1),0)*Assumptions!$B$12</f>
        <v>0.01</v>
      </c>
      <c r="D1635" s="12">
        <f>D1634*(1-Assumptions!$B$12*(Assumptions!$B$5+Assumptions!$B$6))</f>
        <v>0.61374654473664969</v>
      </c>
      <c r="E1635" s="12">
        <f>E1634+Assumptions!$B$12*(D1634*Assumptions!$B$5-E1634*Assumptions!$B$7)</f>
        <v>0.17053293796334637</v>
      </c>
      <c r="F1635" s="12">
        <f t="shared" si="75"/>
        <v>0.21572051730000394</v>
      </c>
      <c r="G1635" s="12">
        <f>EXP(-Assumptions!$B$8*B1635)</f>
        <v>0.44330378457071445</v>
      </c>
      <c r="H1635" s="12">
        <f t="shared" si="76"/>
        <v>0.27207616604895613</v>
      </c>
      <c r="I1635" s="12">
        <f t="shared" si="77"/>
        <v>7.5597896793114308E-2</v>
      </c>
      <c r="J1635" s="12">
        <f>G1635*(D1635*Assumptions!$B$6+E1635*Assumptions!$B$7)</f>
        <v>6.5006565001452772E-3</v>
      </c>
    </row>
    <row r="1636" spans="1:10" x14ac:dyDescent="0.2">
      <c r="A1636" s="2">
        <v>1628</v>
      </c>
      <c r="B1636" s="14">
        <f>A1636*Assumptions!$B$12</f>
        <v>16.28</v>
      </c>
      <c r="C1636" s="15">
        <f>IF(A1636&lt;=Assumptions!$B$13,IF(OR(A1636=0,A1636=Assumptions!$B$13),0.5,1),0)*Assumptions!$B$12</f>
        <v>0.01</v>
      </c>
      <c r="D1636" s="12">
        <f>D1635*(1-Assumptions!$B$12*(Assumptions!$B$5+Assumptions!$B$6))</f>
        <v>0.61356242077322876</v>
      </c>
      <c r="E1636" s="12">
        <f>E1635+Assumptions!$B$12*(D1635*Assumptions!$B$5-E1635*Assumptions!$B$7)</f>
        <v>0.17057042080331203</v>
      </c>
      <c r="F1636" s="12">
        <f t="shared" si="75"/>
        <v>0.21586715842345922</v>
      </c>
      <c r="G1636" s="12">
        <f>EXP(-Assumptions!$B$8*B1636)</f>
        <v>0.44308218808216776</v>
      </c>
      <c r="H1636" s="12">
        <f t="shared" si="76"/>
        <v>0.27185857992119389</v>
      </c>
      <c r="I1636" s="12">
        <f t="shared" si="77"/>
        <v>7.5576715271627598E-2</v>
      </c>
      <c r="J1636" s="12">
        <f>G1636*(D1636*Assumptions!$B$6+E1636*Assumptions!$B$7)</f>
        <v>6.4974215627933195E-3</v>
      </c>
    </row>
    <row r="1637" spans="1:10" x14ac:dyDescent="0.2">
      <c r="A1637" s="2">
        <v>1629</v>
      </c>
      <c r="B1637" s="14">
        <f>A1637*Assumptions!$B$12</f>
        <v>16.29</v>
      </c>
      <c r="C1637" s="15">
        <f>IF(A1637&lt;=Assumptions!$B$13,IF(OR(A1637=0,A1637=Assumptions!$B$13),0.5,1),0)*Assumptions!$B$12</f>
        <v>0.01</v>
      </c>
      <c r="D1637" s="12">
        <f>D1636*(1-Assumptions!$B$12*(Assumptions!$B$5+Assumptions!$B$6))</f>
        <v>0.61337835204699676</v>
      </c>
      <c r="E1637" s="12">
        <f>E1636+Assumptions!$B$12*(D1636*Assumptions!$B$5-E1636*Assumptions!$B$7)</f>
        <v>0.17060784807706503</v>
      </c>
      <c r="F1637" s="12">
        <f t="shared" si="75"/>
        <v>0.21601379987593822</v>
      </c>
      <c r="G1637" s="12">
        <f>EXP(-Assumptions!$B$8*B1637)</f>
        <v>0.44286070236417052</v>
      </c>
      <c r="H1637" s="12">
        <f t="shared" si="76"/>
        <v>0.27164116780251041</v>
      </c>
      <c r="I1637" s="12">
        <f t="shared" si="77"/>
        <v>7.555551142824872E-2</v>
      </c>
      <c r="J1637" s="12">
        <f>G1637*(D1637*Assumptions!$B$6+E1637*Assumptions!$B$7)</f>
        <v>6.4941872494375412E-3</v>
      </c>
    </row>
    <row r="1638" spans="1:10" x14ac:dyDescent="0.2">
      <c r="A1638" s="2">
        <v>1630</v>
      </c>
      <c r="B1638" s="14">
        <f>A1638*Assumptions!$B$12</f>
        <v>16.3</v>
      </c>
      <c r="C1638" s="15">
        <f>IF(A1638&lt;=Assumptions!$B$13,IF(OR(A1638=0,A1638=Assumptions!$B$13),0.5,1),0)*Assumptions!$B$12</f>
        <v>0.01</v>
      </c>
      <c r="D1638" s="12">
        <f>D1637*(1-Assumptions!$B$12*(Assumptions!$B$5+Assumptions!$B$6))</f>
        <v>0.61319433854138272</v>
      </c>
      <c r="E1638" s="12">
        <f>E1637+Assumptions!$B$12*(D1637*Assumptions!$B$5-E1637*Assumptions!$B$7)</f>
        <v>0.17064521982343589</v>
      </c>
      <c r="F1638" s="12">
        <f t="shared" si="75"/>
        <v>0.21616044163518139</v>
      </c>
      <c r="G1638" s="12">
        <f>EXP(-Assumptions!$B$8*B1638)</f>
        <v>0.44263932736135109</v>
      </c>
      <c r="H1638" s="12">
        <f t="shared" si="76"/>
        <v>0.27142392955374622</v>
      </c>
      <c r="I1638" s="12">
        <f t="shared" si="77"/>
        <v>7.5534285320075556E-2</v>
      </c>
      <c r="J1638" s="12">
        <f>G1638*(D1638*Assumptions!$B$6+E1638*Assumptions!$B$7)</f>
        <v>6.4909535615412413E-3</v>
      </c>
    </row>
    <row r="1639" spans="1:10" x14ac:dyDescent="0.2">
      <c r="A1639" s="2">
        <v>1631</v>
      </c>
      <c r="B1639" s="14">
        <f>A1639*Assumptions!$B$12</f>
        <v>16.309999999999999</v>
      </c>
      <c r="C1639" s="15">
        <f>IF(A1639&lt;=Assumptions!$B$13,IF(OR(A1639=0,A1639=Assumptions!$B$13),0.5,1),0)*Assumptions!$B$12</f>
        <v>0.01</v>
      </c>
      <c r="D1639" s="12">
        <f>D1638*(1-Assumptions!$B$12*(Assumptions!$B$5+Assumptions!$B$6))</f>
        <v>0.61301038023982035</v>
      </c>
      <c r="E1639" s="12">
        <f>E1638+Assumptions!$B$12*(D1638*Assumptions!$B$5-E1638*Assumptions!$B$7)</f>
        <v>0.17068253608123246</v>
      </c>
      <c r="F1639" s="12">
        <f t="shared" si="75"/>
        <v>0.21630708367894719</v>
      </c>
      <c r="G1639" s="12">
        <f>EXP(-Assumptions!$B$8*B1639)</f>
        <v>0.44241806301836584</v>
      </c>
      <c r="H1639" s="12">
        <f t="shared" si="76"/>
        <v>0.27120686503585323</v>
      </c>
      <c r="I1639" s="12">
        <f t="shared" si="77"/>
        <v>7.5513037004121208E-2</v>
      </c>
      <c r="J1639" s="12">
        <f>G1639*(D1639*Assumptions!$B$6+E1639*Assumptions!$B$7)</f>
        <v>6.487720500564593E-3</v>
      </c>
    </row>
    <row r="1640" spans="1:10" x14ac:dyDescent="0.2">
      <c r="A1640" s="2">
        <v>1632</v>
      </c>
      <c r="B1640" s="14">
        <f>A1640*Assumptions!$B$12</f>
        <v>16.32</v>
      </c>
      <c r="C1640" s="15">
        <f>IF(A1640&lt;=Assumptions!$B$13,IF(OR(A1640=0,A1640=Assumptions!$B$13),0.5,1),0)*Assumptions!$B$12</f>
        <v>0.01</v>
      </c>
      <c r="D1640" s="12">
        <f>D1639*(1-Assumptions!$B$12*(Assumptions!$B$5+Assumptions!$B$6))</f>
        <v>0.61282647712574845</v>
      </c>
      <c r="E1640" s="12">
        <f>E1639+Assumptions!$B$12*(D1639*Assumptions!$B$5-E1639*Assumptions!$B$7)</f>
        <v>0.1707197968892398</v>
      </c>
      <c r="F1640" s="12">
        <f t="shared" si="75"/>
        <v>0.21645372598501175</v>
      </c>
      <c r="G1640" s="12">
        <f>EXP(-Assumptions!$B$8*B1640)</f>
        <v>0.44219690927989863</v>
      </c>
      <c r="H1640" s="12">
        <f t="shared" si="76"/>
        <v>0.27098997410989445</v>
      </c>
      <c r="I1640" s="12">
        <f t="shared" si="77"/>
        <v>7.549176653731389E-2</v>
      </c>
      <c r="J1640" s="12">
        <f>G1640*(D1640*Assumptions!$B$6+E1640*Assumptions!$B$7)</f>
        <v>6.4844880679646392E-3</v>
      </c>
    </row>
    <row r="1641" spans="1:10" x14ac:dyDescent="0.2">
      <c r="A1641" s="2">
        <v>1633</v>
      </c>
      <c r="B1641" s="14">
        <f>A1641*Assumptions!$B$12</f>
        <v>16.330000000000002</v>
      </c>
      <c r="C1641" s="15">
        <f>IF(A1641&lt;=Assumptions!$B$13,IF(OR(A1641=0,A1641=Assumptions!$B$13),0.5,1),0)*Assumptions!$B$12</f>
        <v>0.01</v>
      </c>
      <c r="D1641" s="12">
        <f>D1640*(1-Assumptions!$B$12*(Assumptions!$B$5+Assumptions!$B$6))</f>
        <v>0.6126426291826107</v>
      </c>
      <c r="E1641" s="12">
        <f>E1640+Assumptions!$B$12*(D1640*Assumptions!$B$5-E1640*Assumptions!$B$7)</f>
        <v>0.17075700228622032</v>
      </c>
      <c r="F1641" s="12">
        <f t="shared" si="75"/>
        <v>0.21660036853116899</v>
      </c>
      <c r="G1641" s="12">
        <f>EXP(-Assumptions!$B$8*B1641)</f>
        <v>0.44197586609066103</v>
      </c>
      <c r="H1641" s="12">
        <f t="shared" si="76"/>
        <v>0.27077325663704405</v>
      </c>
      <c r="I1641" s="12">
        <f t="shared" si="77"/>
        <v>7.5470473976497213E-2</v>
      </c>
      <c r="J1641" s="12">
        <f>G1641*(D1641*Assumptions!$B$6+E1641*Assumptions!$B$7)</f>
        <v>6.4812562651953018E-3</v>
      </c>
    </row>
    <row r="1642" spans="1:10" x14ac:dyDescent="0.2">
      <c r="A1642" s="2">
        <v>1634</v>
      </c>
      <c r="B1642" s="14">
        <f>A1642*Assumptions!$B$12</f>
        <v>16.34</v>
      </c>
      <c r="C1642" s="15">
        <f>IF(A1642&lt;=Assumptions!$B$13,IF(OR(A1642=0,A1642=Assumptions!$B$13),0.5,1),0)*Assumptions!$B$12</f>
        <v>0.01</v>
      </c>
      <c r="D1642" s="12">
        <f>D1641*(1-Assumptions!$B$12*(Assumptions!$B$5+Assumptions!$B$6))</f>
        <v>0.6124588363938559</v>
      </c>
      <c r="E1642" s="12">
        <f>E1641+Assumptions!$B$12*(D1641*Assumptions!$B$5-E1641*Assumptions!$B$7)</f>
        <v>0.17079415231091372</v>
      </c>
      <c r="F1642" s="12">
        <f t="shared" si="75"/>
        <v>0.21674701129523039</v>
      </c>
      <c r="G1642" s="12">
        <f>EXP(-Assumptions!$B$8*B1642)</f>
        <v>0.44175493339539229</v>
      </c>
      <c r="H1642" s="12">
        <f t="shared" si="76"/>
        <v>0.27055671247858726</v>
      </c>
      <c r="I1642" s="12">
        <f t="shared" si="77"/>
        <v>7.5449159378430178E-2</v>
      </c>
      <c r="J1642" s="12">
        <f>G1642*(D1642*Assumptions!$B$6+E1642*Assumptions!$B$7)</f>
        <v>6.4780250937073814E-3</v>
      </c>
    </row>
    <row r="1643" spans="1:10" x14ac:dyDescent="0.2">
      <c r="A1643" s="2">
        <v>1635</v>
      </c>
      <c r="B1643" s="14">
        <f>A1643*Assumptions!$B$12</f>
        <v>16.350000000000001</v>
      </c>
      <c r="C1643" s="15">
        <f>IF(A1643&lt;=Assumptions!$B$13,IF(OR(A1643=0,A1643=Assumptions!$B$13),0.5,1),0)*Assumptions!$B$12</f>
        <v>0.01</v>
      </c>
      <c r="D1643" s="12">
        <f>D1642*(1-Assumptions!$B$12*(Assumptions!$B$5+Assumptions!$B$6))</f>
        <v>0.61227509874293773</v>
      </c>
      <c r="E1643" s="12">
        <f>E1642+Assumptions!$B$12*(D1642*Assumptions!$B$5-E1642*Assumptions!$B$7)</f>
        <v>0.17083124700203703</v>
      </c>
      <c r="F1643" s="12">
        <f t="shared" si="75"/>
        <v>0.21689365425502524</v>
      </c>
      <c r="G1643" s="12">
        <f>EXP(-Assumptions!$B$8*B1643)</f>
        <v>0.44153411113885921</v>
      </c>
      <c r="H1643" s="12">
        <f t="shared" si="76"/>
        <v>0.27034034149592029</v>
      </c>
      <c r="I1643" s="12">
        <f t="shared" si="77"/>
        <v>7.5427822799787325E-2</v>
      </c>
      <c r="J1643" s="12">
        <f>G1643*(D1643*Assumptions!$B$6+E1643*Assumptions!$B$7)</f>
        <v>6.4747945549485687E-3</v>
      </c>
    </row>
    <row r="1644" spans="1:10" x14ac:dyDescent="0.2">
      <c r="A1644" s="2">
        <v>1636</v>
      </c>
      <c r="B1644" s="14">
        <f>A1644*Assumptions!$B$12</f>
        <v>16.36</v>
      </c>
      <c r="C1644" s="15">
        <f>IF(A1644&lt;=Assumptions!$B$13,IF(OR(A1644=0,A1644=Assumptions!$B$13),0.5,1),0)*Assumptions!$B$12</f>
        <v>0.01</v>
      </c>
      <c r="D1644" s="12">
        <f>D1643*(1-Assumptions!$B$12*(Assumptions!$B$5+Assumptions!$B$6))</f>
        <v>0.61209141621331487</v>
      </c>
      <c r="E1644" s="12">
        <f>E1643+Assumptions!$B$12*(D1643*Assumptions!$B$5-E1643*Assumptions!$B$7)</f>
        <v>0.17086828639828461</v>
      </c>
      <c r="F1644" s="12">
        <f t="shared" si="75"/>
        <v>0.21704029738840053</v>
      </c>
      <c r="G1644" s="12">
        <f>EXP(-Assumptions!$B$8*B1644)</f>
        <v>0.44131339926585617</v>
      </c>
      <c r="H1644" s="12">
        <f t="shared" si="76"/>
        <v>0.27012414355054998</v>
      </c>
      <c r="I1644" s="12">
        <f t="shared" si="77"/>
        <v>7.5406464297158832E-2</v>
      </c>
      <c r="J1644" s="12">
        <f>G1644*(D1644*Assumptions!$B$6+E1644*Assumptions!$B$7)</f>
        <v>6.4715646503634419E-3</v>
      </c>
    </row>
    <row r="1645" spans="1:10" x14ac:dyDescent="0.2">
      <c r="A1645" s="2">
        <v>1637</v>
      </c>
      <c r="B1645" s="14">
        <f>A1645*Assumptions!$B$12</f>
        <v>16.37</v>
      </c>
      <c r="C1645" s="15">
        <f>IF(A1645&lt;=Assumptions!$B$13,IF(OR(A1645=0,A1645=Assumptions!$B$13),0.5,1),0)*Assumptions!$B$12</f>
        <v>0.01</v>
      </c>
      <c r="D1645" s="12">
        <f>D1644*(1-Assumptions!$B$12*(Assumptions!$B$5+Assumptions!$B$6))</f>
        <v>0.61190778878845087</v>
      </c>
      <c r="E1645" s="12">
        <f>E1644+Assumptions!$B$12*(D1644*Assumptions!$B$5-E1644*Assumptions!$B$7)</f>
        <v>0.17090527053832813</v>
      </c>
      <c r="F1645" s="12">
        <f t="shared" si="75"/>
        <v>0.217186940673221</v>
      </c>
      <c r="G1645" s="12">
        <f>EXP(-Assumptions!$B$8*B1645)</f>
        <v>0.44109279772120524</v>
      </c>
      <c r="H1645" s="12">
        <f t="shared" si="76"/>
        <v>0.26990811850409413</v>
      </c>
      <c r="I1645" s="12">
        <f t="shared" si="77"/>
        <v>7.5385083927050622E-2</v>
      </c>
      <c r="J1645" s="12">
        <f>G1645*(D1645*Assumptions!$B$6+E1645*Assumptions!$B$7)</f>
        <v>6.4683353813934736E-3</v>
      </c>
    </row>
    <row r="1646" spans="1:10" x14ac:dyDescent="0.2">
      <c r="A1646" s="2">
        <v>1638</v>
      </c>
      <c r="B1646" s="14">
        <f>A1646*Assumptions!$B$12</f>
        <v>16.38</v>
      </c>
      <c r="C1646" s="15">
        <f>IF(A1646&lt;=Assumptions!$B$13,IF(OR(A1646=0,A1646=Assumptions!$B$13),0.5,1),0)*Assumptions!$B$12</f>
        <v>0.01</v>
      </c>
      <c r="D1646" s="12">
        <f>D1645*(1-Assumptions!$B$12*(Assumptions!$B$5+Assumptions!$B$6))</f>
        <v>0.61172421645181441</v>
      </c>
      <c r="E1646" s="12">
        <f>E1645+Assumptions!$B$12*(D1645*Assumptions!$B$5-E1645*Assumptions!$B$7)</f>
        <v>0.17094219946081665</v>
      </c>
      <c r="F1646" s="12">
        <f t="shared" si="75"/>
        <v>0.21733358408736894</v>
      </c>
      <c r="G1646" s="12">
        <f>EXP(-Assumptions!$B$8*B1646)</f>
        <v>0.44087230644975617</v>
      </c>
      <c r="H1646" s="12">
        <f t="shared" si="76"/>
        <v>0.2696922662182813</v>
      </c>
      <c r="I1646" s="12">
        <f t="shared" si="77"/>
        <v>7.5363681745884509E-2</v>
      </c>
      <c r="J1646" s="12">
        <f>G1646*(D1646*Assumptions!$B$6+E1646*Assumptions!$B$7)</f>
        <v>6.4651067494770377E-3</v>
      </c>
    </row>
    <row r="1647" spans="1:10" x14ac:dyDescent="0.2">
      <c r="A1647" s="2">
        <v>1639</v>
      </c>
      <c r="B1647" s="14">
        <f>A1647*Assumptions!$B$12</f>
        <v>16.39</v>
      </c>
      <c r="C1647" s="15">
        <f>IF(A1647&lt;=Assumptions!$B$13,IF(OR(A1647=0,A1647=Assumptions!$B$13),0.5,1),0)*Assumptions!$B$12</f>
        <v>0.01</v>
      </c>
      <c r="D1647" s="12">
        <f>D1646*(1-Assumptions!$B$12*(Assumptions!$B$5+Assumptions!$B$6))</f>
        <v>0.61154069918687892</v>
      </c>
      <c r="E1647" s="12">
        <f>E1646+Assumptions!$B$12*(D1646*Assumptions!$B$5-E1646*Assumptions!$B$7)</f>
        <v>0.17097907320437661</v>
      </c>
      <c r="F1647" s="12">
        <f t="shared" si="75"/>
        <v>0.21748022760874447</v>
      </c>
      <c r="G1647" s="12">
        <f>EXP(-Assumptions!$B$8*B1647)</f>
        <v>0.44065192539638581</v>
      </c>
      <c r="H1647" s="12">
        <f t="shared" si="76"/>
        <v>0.26947658655495021</v>
      </c>
      <c r="I1647" s="12">
        <f t="shared" si="77"/>
        <v>7.5342257809998148E-2</v>
      </c>
      <c r="J1647" s="12">
        <f>G1647*(D1647*Assumptions!$B$6+E1647*Assumptions!$B$7)</f>
        <v>6.4618787560494105E-3</v>
      </c>
    </row>
    <row r="1648" spans="1:10" x14ac:dyDescent="0.2">
      <c r="A1648" s="2">
        <v>1640</v>
      </c>
      <c r="B1648" s="14">
        <f>A1648*Assumptions!$B$12</f>
        <v>16.399999999999999</v>
      </c>
      <c r="C1648" s="15">
        <f>IF(A1648&lt;=Assumptions!$B$13,IF(OR(A1648=0,A1648=Assumptions!$B$13),0.5,1),0)*Assumptions!$B$12</f>
        <v>0.01</v>
      </c>
      <c r="D1648" s="12">
        <f>D1647*(1-Assumptions!$B$12*(Assumptions!$B$5+Assumptions!$B$6))</f>
        <v>0.61135723697712285</v>
      </c>
      <c r="E1648" s="12">
        <f>E1647+Assumptions!$B$12*(D1647*Assumptions!$B$5-E1647*Assumptions!$B$7)</f>
        <v>0.17101589180761179</v>
      </c>
      <c r="F1648" s="12">
        <f t="shared" si="75"/>
        <v>0.21762687121526536</v>
      </c>
      <c r="G1648" s="12">
        <f>EXP(-Assumptions!$B$8*B1648)</f>
        <v>0.4404316545059993</v>
      </c>
      <c r="H1648" s="12">
        <f t="shared" si="76"/>
        <v>0.26926107937605054</v>
      </c>
      <c r="I1648" s="12">
        <f t="shared" si="77"/>
        <v>7.532081217564543E-2</v>
      </c>
      <c r="J1648" s="12">
        <f>G1648*(D1648*Assumptions!$B$6+E1648*Assumptions!$B$7)</f>
        <v>6.458651402542777E-3</v>
      </c>
    </row>
    <row r="1649" spans="1:10" x14ac:dyDescent="0.2">
      <c r="A1649" s="2">
        <v>1641</v>
      </c>
      <c r="B1649" s="14">
        <f>A1649*Assumptions!$B$12</f>
        <v>16.41</v>
      </c>
      <c r="C1649" s="15">
        <f>IF(A1649&lt;=Assumptions!$B$13,IF(OR(A1649=0,A1649=Assumptions!$B$13),0.5,1),0)*Assumptions!$B$12</f>
        <v>0.01</v>
      </c>
      <c r="D1649" s="12">
        <f>D1648*(1-Assumptions!$B$12*(Assumptions!$B$5+Assumptions!$B$6))</f>
        <v>0.61117382980602974</v>
      </c>
      <c r="E1649" s="12">
        <f>E1648+Assumptions!$B$12*(D1648*Assumptions!$B$5-E1648*Assumptions!$B$7)</f>
        <v>0.17105265530910341</v>
      </c>
      <c r="F1649" s="12">
        <f t="shared" si="75"/>
        <v>0.21777351488486685</v>
      </c>
      <c r="G1649" s="12">
        <f>EXP(-Assumptions!$B$8*B1649)</f>
        <v>0.44021149372352858</v>
      </c>
      <c r="H1649" s="12">
        <f t="shared" si="76"/>
        <v>0.269045744543642</v>
      </c>
      <c r="I1649" s="12">
        <f t="shared" si="77"/>
        <v>7.529934489899627E-2</v>
      </c>
      <c r="J1649" s="12">
        <f>G1649*(D1649*Assumptions!$B$6+E1649*Assumptions!$B$7)</f>
        <v>6.4554246903862338E-3</v>
      </c>
    </row>
    <row r="1650" spans="1:10" x14ac:dyDescent="0.2">
      <c r="A1650" s="2">
        <v>1642</v>
      </c>
      <c r="B1650" s="14">
        <f>A1650*Assumptions!$B$12</f>
        <v>16.420000000000002</v>
      </c>
      <c r="C1650" s="15">
        <f>IF(A1650&lt;=Assumptions!$B$13,IF(OR(A1650=0,A1650=Assumptions!$B$13),0.5,1),0)*Assumptions!$B$12</f>
        <v>0.01</v>
      </c>
      <c r="D1650" s="12">
        <f>D1649*(1-Assumptions!$B$12*(Assumptions!$B$5+Assumptions!$B$6))</f>
        <v>0.61099047765708792</v>
      </c>
      <c r="E1650" s="12">
        <f>E1649+Assumptions!$B$12*(D1649*Assumptions!$B$5-E1649*Assumptions!$B$7)</f>
        <v>0.17108936374741007</v>
      </c>
      <c r="F1650" s="12">
        <f t="shared" si="75"/>
        <v>0.21792015859550201</v>
      </c>
      <c r="G1650" s="12">
        <f>EXP(-Assumptions!$B$8*B1650)</f>
        <v>0.4399914429939335</v>
      </c>
      <c r="H1650" s="12">
        <f t="shared" si="76"/>
        <v>0.26883058191989478</v>
      </c>
      <c r="I1650" s="12">
        <f t="shared" si="77"/>
        <v>7.5277856036136931E-2</v>
      </c>
      <c r="J1650" s="12">
        <f>G1650*(D1650*Assumptions!$B$6+E1650*Assumptions!$B$7)</f>
        <v>6.4521986210057947E-3</v>
      </c>
    </row>
    <row r="1651" spans="1:10" x14ac:dyDescent="0.2">
      <c r="A1651" s="2">
        <v>1643</v>
      </c>
      <c r="B1651" s="14">
        <f>A1651*Assumptions!$B$12</f>
        <v>16.43</v>
      </c>
      <c r="C1651" s="15">
        <f>IF(A1651&lt;=Assumptions!$B$13,IF(OR(A1651=0,A1651=Assumptions!$B$13),0.5,1),0)*Assumptions!$B$12</f>
        <v>0.01</v>
      </c>
      <c r="D1651" s="12">
        <f>D1650*(1-Assumptions!$B$12*(Assumptions!$B$5+Assumptions!$B$6))</f>
        <v>0.61080718051379079</v>
      </c>
      <c r="E1651" s="12">
        <f>E1650+Assumptions!$B$12*(D1650*Assumptions!$B$5-E1650*Assumptions!$B$7)</f>
        <v>0.17112601716106779</v>
      </c>
      <c r="F1651" s="12">
        <f t="shared" si="75"/>
        <v>0.21806680232514142</v>
      </c>
      <c r="G1651" s="12">
        <f>EXP(-Assumptions!$B$8*B1651)</f>
        <v>0.43977150226220163</v>
      </c>
      <c r="H1651" s="12">
        <f t="shared" si="76"/>
        <v>0.26861559136708957</v>
      </c>
      <c r="I1651" s="12">
        <f t="shared" si="77"/>
        <v>7.5256345643070072E-2</v>
      </c>
      <c r="J1651" s="12">
        <f>G1651*(D1651*Assumptions!$B$6+E1651*Assumptions!$B$7)</f>
        <v>6.4489731958244003E-3</v>
      </c>
    </row>
    <row r="1652" spans="1:10" x14ac:dyDescent="0.2">
      <c r="A1652" s="2">
        <v>1644</v>
      </c>
      <c r="B1652" s="14">
        <f>A1652*Assumptions!$B$12</f>
        <v>16.440000000000001</v>
      </c>
      <c r="C1652" s="15">
        <f>IF(A1652&lt;=Assumptions!$B$13,IF(OR(A1652=0,A1652=Assumptions!$B$13),0.5,1),0)*Assumptions!$B$12</f>
        <v>0.01</v>
      </c>
      <c r="D1652" s="12">
        <f>D1651*(1-Assumptions!$B$12*(Assumptions!$B$5+Assumptions!$B$6))</f>
        <v>0.61062393835963669</v>
      </c>
      <c r="E1652" s="12">
        <f>E1651+Assumptions!$B$12*(D1651*Assumptions!$B$5-E1651*Assumptions!$B$7)</f>
        <v>0.17116261558859</v>
      </c>
      <c r="F1652" s="12">
        <f t="shared" si="75"/>
        <v>0.21821344605177331</v>
      </c>
      <c r="G1652" s="12">
        <f>EXP(-Assumptions!$B$8*B1652)</f>
        <v>0.43955167147334756</v>
      </c>
      <c r="H1652" s="12">
        <f t="shared" si="76"/>
        <v>0.26840077274761664</v>
      </c>
      <c r="I1652" s="12">
        <f t="shared" si="77"/>
        <v>7.5234813775714796E-2</v>
      </c>
      <c r="J1652" s="12">
        <f>G1652*(D1652*Assumptions!$B$6+E1652*Assumptions!$B$7)</f>
        <v>6.4457484162619063E-3</v>
      </c>
    </row>
    <row r="1653" spans="1:10" x14ac:dyDescent="0.2">
      <c r="A1653" s="2">
        <v>1645</v>
      </c>
      <c r="B1653" s="14">
        <f>A1653*Assumptions!$B$12</f>
        <v>16.45</v>
      </c>
      <c r="C1653" s="15">
        <f>IF(A1653&lt;=Assumptions!$B$13,IF(OR(A1653=0,A1653=Assumptions!$B$13),0.5,1),0)*Assumptions!$B$12</f>
        <v>0.01</v>
      </c>
      <c r="D1653" s="12">
        <f>D1652*(1-Assumptions!$B$12*(Assumptions!$B$5+Assumptions!$B$6))</f>
        <v>0.61044075117812879</v>
      </c>
      <c r="E1653" s="12">
        <f>E1652+Assumptions!$B$12*(D1652*Assumptions!$B$5-E1652*Assumptions!$B$7)</f>
        <v>0.17119915906846764</v>
      </c>
      <c r="F1653" s="12">
        <f t="shared" si="75"/>
        <v>0.21836008975340357</v>
      </c>
      <c r="G1653" s="12">
        <f>EXP(-Assumptions!$B$8*B1653)</f>
        <v>0.43933195057241364</v>
      </c>
      <c r="H1653" s="12">
        <f t="shared" si="76"/>
        <v>0.26818612592397673</v>
      </c>
      <c r="I1653" s="12">
        <f t="shared" si="77"/>
        <v>7.52132604899068E-2</v>
      </c>
      <c r="J1653" s="12">
        <f>G1653*(D1653*Assumptions!$B$6+E1653*Assumptions!$B$7)</f>
        <v>6.4425242837351081E-3</v>
      </c>
    </row>
    <row r="1654" spans="1:10" x14ac:dyDescent="0.2">
      <c r="A1654" s="2">
        <v>1646</v>
      </c>
      <c r="B1654" s="14">
        <f>A1654*Assumptions!$B$12</f>
        <v>16.46</v>
      </c>
      <c r="C1654" s="15">
        <f>IF(A1654&lt;=Assumptions!$B$13,IF(OR(A1654=0,A1654=Assumptions!$B$13),0.5,1),0)*Assumptions!$B$12</f>
        <v>0.01</v>
      </c>
      <c r="D1654" s="12">
        <f>D1653*(1-Assumptions!$B$12*(Assumptions!$B$5+Assumptions!$B$6))</f>
        <v>0.61025761895277542</v>
      </c>
      <c r="E1654" s="12">
        <f>E1653+Assumptions!$B$12*(D1653*Assumptions!$B$5-E1653*Assumptions!$B$7)</f>
        <v>0.17123564763916904</v>
      </c>
      <c r="F1654" s="12">
        <f t="shared" si="75"/>
        <v>0.21850673340805554</v>
      </c>
      <c r="G1654" s="12">
        <f>EXP(-Assumptions!$B$8*B1654)</f>
        <v>0.43911233950446965</v>
      </c>
      <c r="H1654" s="12">
        <f t="shared" si="76"/>
        <v>0.26797165075878038</v>
      </c>
      <c r="I1654" s="12">
        <f t="shared" si="77"/>
        <v>7.5191685841398528E-2</v>
      </c>
      <c r="J1654" s="12">
        <f>G1654*(D1654*Assumptions!$B$6+E1654*Assumptions!$B$7)</f>
        <v>6.4393007996577309E-3</v>
      </c>
    </row>
    <row r="1655" spans="1:10" x14ac:dyDescent="0.2">
      <c r="A1655" s="2">
        <v>1647</v>
      </c>
      <c r="B1655" s="14">
        <f>A1655*Assumptions!$B$12</f>
        <v>16.47</v>
      </c>
      <c r="C1655" s="15">
        <f>IF(A1655&lt;=Assumptions!$B$13,IF(OR(A1655=0,A1655=Assumptions!$B$13),0.5,1),0)*Assumptions!$B$12</f>
        <v>0.01</v>
      </c>
      <c r="D1655" s="12">
        <f>D1654*(1-Assumptions!$B$12*(Assumptions!$B$5+Assumptions!$B$6))</f>
        <v>0.61007454166708963</v>
      </c>
      <c r="E1655" s="12">
        <f>E1654+Assumptions!$B$12*(D1654*Assumptions!$B$5-E1654*Assumptions!$B$7)</f>
        <v>0.17127208133914001</v>
      </c>
      <c r="F1655" s="12">
        <f t="shared" si="75"/>
        <v>0.21865337699377035</v>
      </c>
      <c r="G1655" s="12">
        <f>EXP(-Assumptions!$B$8*B1655)</f>
        <v>0.43889283821461283</v>
      </c>
      <c r="H1655" s="12">
        <f t="shared" si="76"/>
        <v>0.26775734711474802</v>
      </c>
      <c r="I1655" s="12">
        <f t="shared" si="77"/>
        <v>7.5170089885859187E-2</v>
      </c>
      <c r="J1655" s="12">
        <f>G1655*(D1655*Assumptions!$B$6+E1655*Assumptions!$B$7)</f>
        <v>6.4360779654404404E-3</v>
      </c>
    </row>
    <row r="1656" spans="1:10" x14ac:dyDescent="0.2">
      <c r="A1656" s="2">
        <v>1648</v>
      </c>
      <c r="B1656" s="14">
        <f>A1656*Assumptions!$B$12</f>
        <v>16.48</v>
      </c>
      <c r="C1656" s="15">
        <f>IF(A1656&lt;=Assumptions!$B$13,IF(OR(A1656=0,A1656=Assumptions!$B$13),0.5,1),0)*Assumptions!$B$12</f>
        <v>0.01</v>
      </c>
      <c r="D1656" s="12">
        <f>D1655*(1-Assumptions!$B$12*(Assumptions!$B$5+Assumptions!$B$6))</f>
        <v>0.60989151930458951</v>
      </c>
      <c r="E1656" s="12">
        <f>E1655+Assumptions!$B$12*(D1655*Assumptions!$B$5-E1655*Assumptions!$B$7)</f>
        <v>0.17130846020680388</v>
      </c>
      <c r="F1656" s="12">
        <f t="shared" si="75"/>
        <v>0.21880002048860661</v>
      </c>
      <c r="G1656" s="12">
        <f>EXP(-Assumptions!$B$8*B1656)</f>
        <v>0.43867344664796781</v>
      </c>
      <c r="H1656" s="12">
        <f t="shared" si="76"/>
        <v>0.26754321485470989</v>
      </c>
      <c r="I1656" s="12">
        <f t="shared" si="77"/>
        <v>7.5148472678874895E-2</v>
      </c>
      <c r="J1656" s="12">
        <f>G1656*(D1656*Assumptions!$B$6+E1656*Assumptions!$B$7)</f>
        <v>6.4328557824908442E-3</v>
      </c>
    </row>
    <row r="1657" spans="1:10" x14ac:dyDescent="0.2">
      <c r="A1657" s="2">
        <v>1649</v>
      </c>
      <c r="B1657" s="14">
        <f>A1657*Assumptions!$B$12</f>
        <v>16.490000000000002</v>
      </c>
      <c r="C1657" s="15">
        <f>IF(A1657&lt;=Assumptions!$B$13,IF(OR(A1657=0,A1657=Assumptions!$B$13),0.5,1),0)*Assumptions!$B$12</f>
        <v>0.01</v>
      </c>
      <c r="D1657" s="12">
        <f>D1656*(1-Assumptions!$B$12*(Assumptions!$B$5+Assumptions!$B$6))</f>
        <v>0.60970855184879813</v>
      </c>
      <c r="E1657" s="12">
        <f>E1656+Assumptions!$B$12*(D1656*Assumptions!$B$5-E1656*Assumptions!$B$7)</f>
        <v>0.17134478428056138</v>
      </c>
      <c r="F1657" s="12">
        <f t="shared" si="75"/>
        <v>0.21894666387064049</v>
      </c>
      <c r="G1657" s="12">
        <f>EXP(-Assumptions!$B$8*B1657)</f>
        <v>0.43845416474968674</v>
      </c>
      <c r="H1657" s="12">
        <f t="shared" si="76"/>
        <v>0.26732925384160583</v>
      </c>
      <c r="I1657" s="12">
        <f t="shared" si="77"/>
        <v>7.5126834275948795E-2</v>
      </c>
      <c r="J1657" s="12">
        <f>G1657*(D1657*Assumptions!$B$6+E1657*Assumptions!$B$7)</f>
        <v>6.4296342522134984E-3</v>
      </c>
    </row>
    <row r="1658" spans="1:10" x14ac:dyDescent="0.2">
      <c r="A1658" s="2">
        <v>1650</v>
      </c>
      <c r="B1658" s="14">
        <f>A1658*Assumptions!$B$12</f>
        <v>16.5</v>
      </c>
      <c r="C1658" s="15">
        <f>IF(A1658&lt;=Assumptions!$B$13,IF(OR(A1658=0,A1658=Assumptions!$B$13),0.5,1),0)*Assumptions!$B$12</f>
        <v>0.01</v>
      </c>
      <c r="D1658" s="12">
        <f>D1657*(1-Assumptions!$B$12*(Assumptions!$B$5+Assumptions!$B$6))</f>
        <v>0.60952563928324355</v>
      </c>
      <c r="E1658" s="12">
        <f>E1657+Assumptions!$B$12*(D1657*Assumptions!$B$5-E1657*Assumptions!$B$7)</f>
        <v>0.17138105359879086</v>
      </c>
      <c r="F1658" s="12">
        <f t="shared" si="75"/>
        <v>0.2190933071179656</v>
      </c>
      <c r="G1658" s="12">
        <f>EXP(-Assumptions!$B$8*B1658)</f>
        <v>0.43823499246494918</v>
      </c>
      <c r="H1658" s="12">
        <f t="shared" si="76"/>
        <v>0.26711546393848556</v>
      </c>
      <c r="I1658" s="12">
        <f t="shared" si="77"/>
        <v>7.5105174732501168E-2</v>
      </c>
      <c r="J1658" s="12">
        <f>G1658*(D1658*Assumptions!$B$6+E1658*Assumptions!$B$7)</f>
        <v>6.4264133760099139E-3</v>
      </c>
    </row>
    <row r="1659" spans="1:10" x14ac:dyDescent="0.2">
      <c r="A1659" s="2">
        <v>1651</v>
      </c>
      <c r="B1659" s="14">
        <f>A1659*Assumptions!$B$12</f>
        <v>16.510000000000002</v>
      </c>
      <c r="C1659" s="15">
        <f>IF(A1659&lt;=Assumptions!$B$13,IF(OR(A1659=0,A1659=Assumptions!$B$13),0.5,1),0)*Assumptions!$B$12</f>
        <v>0.01</v>
      </c>
      <c r="D1659" s="12">
        <f>D1658*(1-Assumptions!$B$12*(Assumptions!$B$5+Assumptions!$B$6))</f>
        <v>0.6093427815914586</v>
      </c>
      <c r="E1659" s="12">
        <f>E1658+Assumptions!$B$12*(D1658*Assumptions!$B$5-E1658*Assumptions!$B$7)</f>
        <v>0.17141726819984812</v>
      </c>
      <c r="F1659" s="12">
        <f t="shared" si="75"/>
        <v>0.21923995020869327</v>
      </c>
      <c r="G1659" s="12">
        <f>EXP(-Assumptions!$B$8*B1659)</f>
        <v>0.43801592973896203</v>
      </c>
      <c r="H1659" s="12">
        <f t="shared" si="76"/>
        <v>0.266901845008508</v>
      </c>
      <c r="I1659" s="12">
        <f t="shared" si="77"/>
        <v>7.5083494103869483E-2</v>
      </c>
      <c r="J1659" s="12">
        <f>G1659*(D1659*Assumptions!$B$6+E1659*Assumptions!$B$7)</f>
        <v>6.4231931552785546E-3</v>
      </c>
    </row>
    <row r="1660" spans="1:10" x14ac:dyDescent="0.2">
      <c r="A1660" s="2">
        <v>1652</v>
      </c>
      <c r="B1660" s="14">
        <f>A1660*Assumptions!$B$12</f>
        <v>16.52</v>
      </c>
      <c r="C1660" s="15">
        <f>IF(A1660&lt;=Assumptions!$B$13,IF(OR(A1660=0,A1660=Assumptions!$B$13),0.5,1),0)*Assumptions!$B$12</f>
        <v>0.01</v>
      </c>
      <c r="D1660" s="12">
        <f>D1659*(1-Assumptions!$B$12*(Assumptions!$B$5+Assumptions!$B$6))</f>
        <v>0.60915997875698114</v>
      </c>
      <c r="E1660" s="12">
        <f>E1659+Assumptions!$B$12*(D1659*Assumptions!$B$5-E1659*Assumptions!$B$7)</f>
        <v>0.17145342812206649</v>
      </c>
      <c r="F1660" s="12">
        <f t="shared" si="75"/>
        <v>0.21938659312095238</v>
      </c>
      <c r="G1660" s="12">
        <f>EXP(-Assumptions!$B$8*B1660)</f>
        <v>0.43779697651695959</v>
      </c>
      <c r="H1660" s="12">
        <f t="shared" si="76"/>
        <v>0.26668839691494167</v>
      </c>
      <c r="I1660" s="12">
        <f t="shared" si="77"/>
        <v>7.5061792445308556E-2</v>
      </c>
      <c r="J1660" s="12">
        <f>G1660*(D1660*Assumptions!$B$6+E1660*Assumptions!$B$7)</f>
        <v>6.4199735914148449E-3</v>
      </c>
    </row>
    <row r="1661" spans="1:10" x14ac:dyDescent="0.2">
      <c r="A1661" s="2">
        <v>1653</v>
      </c>
      <c r="B1661" s="14">
        <f>A1661*Assumptions!$B$12</f>
        <v>16.53</v>
      </c>
      <c r="C1661" s="15">
        <f>IF(A1661&lt;=Assumptions!$B$13,IF(OR(A1661=0,A1661=Assumptions!$B$13),0.5,1),0)*Assumptions!$B$12</f>
        <v>0.01</v>
      </c>
      <c r="D1661" s="12">
        <f>D1660*(1-Assumptions!$B$12*(Assumptions!$B$5+Assumptions!$B$6))</f>
        <v>0.60897723076335408</v>
      </c>
      <c r="E1661" s="12">
        <f>E1660+Assumptions!$B$12*(D1660*Assumptions!$B$5-E1660*Assumptions!$B$7)</f>
        <v>0.17148953340375686</v>
      </c>
      <c r="F1661" s="12">
        <f t="shared" si="75"/>
        <v>0.21953323583288906</v>
      </c>
      <c r="G1661" s="12">
        <f>EXP(-Assumptions!$B$8*B1661)</f>
        <v>0.43757813274420349</v>
      </c>
      <c r="H1661" s="12">
        <f t="shared" si="76"/>
        <v>0.26647511952116437</v>
      </c>
      <c r="I1661" s="12">
        <f t="shared" si="77"/>
        <v>7.5040069811990642E-2</v>
      </c>
      <c r="J1661" s="12">
        <f>G1661*(D1661*Assumptions!$B$6+E1661*Assumptions!$B$7)</f>
        <v>6.4167546858111763E-3</v>
      </c>
    </row>
    <row r="1662" spans="1:10" x14ac:dyDescent="0.2">
      <c r="A1662" s="2">
        <v>1654</v>
      </c>
      <c r="B1662" s="14">
        <f>A1662*Assumptions!$B$12</f>
        <v>16.54</v>
      </c>
      <c r="C1662" s="15">
        <f>IF(A1662&lt;=Assumptions!$B$13,IF(OR(A1662=0,A1662=Assumptions!$B$13),0.5,1),0)*Assumptions!$B$12</f>
        <v>0.01</v>
      </c>
      <c r="D1662" s="12">
        <f>D1661*(1-Assumptions!$B$12*(Assumptions!$B$5+Assumptions!$B$6))</f>
        <v>0.60879453759412505</v>
      </c>
      <c r="E1662" s="12">
        <f>E1661+Assumptions!$B$12*(D1661*Assumptions!$B$5-E1661*Assumptions!$B$7)</f>
        <v>0.17152558408320764</v>
      </c>
      <c r="F1662" s="12">
        <f t="shared" si="75"/>
        <v>0.2196798783226673</v>
      </c>
      <c r="G1662" s="12">
        <f>EXP(-Assumptions!$B$8*B1662)</f>
        <v>0.43735939836598298</v>
      </c>
      <c r="H1662" s="12">
        <f t="shared" si="76"/>
        <v>0.26626201269066335</v>
      </c>
      <c r="I1662" s="12">
        <f t="shared" si="77"/>
        <v>7.5018326259005522E-2</v>
      </c>
      <c r="J1662" s="12">
        <f>G1662*(D1662*Assumptions!$B$6+E1662*Assumptions!$B$7)</f>
        <v>6.4135364398569096E-3</v>
      </c>
    </row>
    <row r="1663" spans="1:10" x14ac:dyDescent="0.2">
      <c r="A1663" s="2">
        <v>1655</v>
      </c>
      <c r="B1663" s="14">
        <f>A1663*Assumptions!$B$12</f>
        <v>16.55</v>
      </c>
      <c r="C1663" s="15">
        <f>IF(A1663&lt;=Assumptions!$B$13,IF(OR(A1663=0,A1663=Assumptions!$B$13),0.5,1),0)*Assumptions!$B$12</f>
        <v>0.01</v>
      </c>
      <c r="D1663" s="12">
        <f>D1662*(1-Assumptions!$B$12*(Assumptions!$B$5+Assumptions!$B$6))</f>
        <v>0.60861189923284686</v>
      </c>
      <c r="E1663" s="12">
        <f>E1662+Assumptions!$B$12*(D1662*Assumptions!$B$5-E1662*Assumptions!$B$7)</f>
        <v>0.17156158019868487</v>
      </c>
      <c r="F1663" s="12">
        <f t="shared" si="75"/>
        <v>0.21982652056846827</v>
      </c>
      <c r="G1663" s="12">
        <f>EXP(-Assumptions!$B$8*B1663)</f>
        <v>0.4371407733276142</v>
      </c>
      <c r="H1663" s="12">
        <f t="shared" si="76"/>
        <v>0.26604907628703467</v>
      </c>
      <c r="I1663" s="12">
        <f t="shared" si="77"/>
        <v>7.4996561841360609E-2</v>
      </c>
      <c r="J1663" s="12">
        <f>G1663*(D1663*Assumptions!$B$6+E1663*Assumptions!$B$7)</f>
        <v>6.410318854938377E-3</v>
      </c>
    </row>
    <row r="1664" spans="1:10" x14ac:dyDescent="0.2">
      <c r="A1664" s="2">
        <v>1656</v>
      </c>
      <c r="B1664" s="14">
        <f>A1664*Assumptions!$B$12</f>
        <v>16.559999999999999</v>
      </c>
      <c r="C1664" s="15">
        <f>IF(A1664&lt;=Assumptions!$B$13,IF(OR(A1664=0,A1664=Assumptions!$B$13),0.5,1),0)*Assumptions!$B$12</f>
        <v>0.01</v>
      </c>
      <c r="D1664" s="12">
        <f>D1663*(1-Assumptions!$B$12*(Assumptions!$B$5+Assumptions!$B$6))</f>
        <v>0.60842931566307701</v>
      </c>
      <c r="E1664" s="12">
        <f>E1663+Assumptions!$B$12*(D1663*Assumptions!$B$5-E1663*Assumptions!$B$7)</f>
        <v>0.1715975217884321</v>
      </c>
      <c r="F1664" s="12">
        <f t="shared" si="75"/>
        <v>0.21997316254849089</v>
      </c>
      <c r="G1664" s="12">
        <f>EXP(-Assumptions!$B$8*B1664)</f>
        <v>0.4369222575744412</v>
      </c>
      <c r="H1664" s="12">
        <f t="shared" si="76"/>
        <v>0.2658363101739839</v>
      </c>
      <c r="I1664" s="12">
        <f t="shared" si="77"/>
        <v>7.4974776613981109E-2</v>
      </c>
      <c r="J1664" s="12">
        <f>G1664*(D1664*Assumptions!$B$6+E1664*Assumptions!$B$7)</f>
        <v>6.4071019324388953E-3</v>
      </c>
    </row>
    <row r="1665" spans="1:10" x14ac:dyDescent="0.2">
      <c r="A1665" s="2">
        <v>1657</v>
      </c>
      <c r="B1665" s="14">
        <f>A1665*Assumptions!$B$12</f>
        <v>16.57</v>
      </c>
      <c r="C1665" s="15">
        <f>IF(A1665&lt;=Assumptions!$B$13,IF(OR(A1665=0,A1665=Assumptions!$B$13),0.5,1),0)*Assumptions!$B$12</f>
        <v>0.01</v>
      </c>
      <c r="D1665" s="12">
        <f>D1664*(1-Assumptions!$B$12*(Assumptions!$B$5+Assumptions!$B$6))</f>
        <v>0.60824678686837808</v>
      </c>
      <c r="E1665" s="12">
        <f>E1664+Assumptions!$B$12*(D1664*Assumptions!$B$5-E1664*Assumptions!$B$7)</f>
        <v>0.1716334088906705</v>
      </c>
      <c r="F1665" s="12">
        <f t="shared" si="75"/>
        <v>0.22011980424095143</v>
      </c>
      <c r="G1665" s="12">
        <f>EXP(-Assumptions!$B$8*B1665)</f>
        <v>0.43670385105183473</v>
      </c>
      <c r="H1665" s="12">
        <f t="shared" si="76"/>
        <v>0.26562371421532527</v>
      </c>
      <c r="I1665" s="12">
        <f t="shared" si="77"/>
        <v>7.4952970631710011E-2</v>
      </c>
      <c r="J1665" s="12">
        <f>G1665*(D1665*Assumptions!$B$6+E1665*Assumptions!$B$7)</f>
        <v>6.4038856737387538E-3</v>
      </c>
    </row>
    <row r="1666" spans="1:10" x14ac:dyDescent="0.2">
      <c r="A1666" s="2">
        <v>1658</v>
      </c>
      <c r="B1666" s="14">
        <f>A1666*Assumptions!$B$12</f>
        <v>16.580000000000002</v>
      </c>
      <c r="C1666" s="15">
        <f>IF(A1666&lt;=Assumptions!$B$13,IF(OR(A1666=0,A1666=Assumptions!$B$13),0.5,1),0)*Assumptions!$B$12</f>
        <v>0.01</v>
      </c>
      <c r="D1666" s="12">
        <f>D1665*(1-Assumptions!$B$12*(Assumptions!$B$5+Assumptions!$B$6))</f>
        <v>0.60806431283231754</v>
      </c>
      <c r="E1666" s="12">
        <f>E1665+Assumptions!$B$12*(D1665*Assumptions!$B$5-E1665*Assumptions!$B$7)</f>
        <v>0.17166924154359883</v>
      </c>
      <c r="F1666" s="12">
        <f t="shared" si="75"/>
        <v>0.22026644562408362</v>
      </c>
      <c r="G1666" s="12">
        <f>EXP(-Assumptions!$B$8*B1666)</f>
        <v>0.43648555370519326</v>
      </c>
      <c r="H1666" s="12">
        <f t="shared" si="76"/>
        <v>0.26541128827498195</v>
      </c>
      <c r="I1666" s="12">
        <f t="shared" si="77"/>
        <v>7.4931143949308304E-2</v>
      </c>
      <c r="J1666" s="12">
        <f>G1666*(D1666*Assumptions!$B$6+E1666*Assumptions!$B$7)</f>
        <v>6.4006700802152344E-3</v>
      </c>
    </row>
    <row r="1667" spans="1:10" x14ac:dyDescent="0.2">
      <c r="A1667" s="2">
        <v>1659</v>
      </c>
      <c r="B1667" s="14">
        <f>A1667*Assumptions!$B$12</f>
        <v>16.59</v>
      </c>
      <c r="C1667" s="15">
        <f>IF(A1667&lt;=Assumptions!$B$13,IF(OR(A1667=0,A1667=Assumptions!$B$13),0.5,1),0)*Assumptions!$B$12</f>
        <v>0.01</v>
      </c>
      <c r="D1667" s="12">
        <f>D1666*(1-Assumptions!$B$12*(Assumptions!$B$5+Assumptions!$B$6))</f>
        <v>0.60788189353846789</v>
      </c>
      <c r="E1667" s="12">
        <f>E1666+Assumptions!$B$12*(D1666*Assumptions!$B$5-E1666*Assumptions!$B$7)</f>
        <v>0.17170501978539349</v>
      </c>
      <c r="F1667" s="12">
        <f t="shared" si="75"/>
        <v>0.22041308667613863</v>
      </c>
      <c r="G1667" s="12">
        <f>EXP(-Assumptions!$B$8*B1667)</f>
        <v>0.43626736547994266</v>
      </c>
      <c r="H1667" s="12">
        <f t="shared" si="76"/>
        <v>0.26519903221698637</v>
      </c>
      <c r="I1667" s="12">
        <f t="shared" si="77"/>
        <v>7.490929662145504E-2</v>
      </c>
      <c r="J1667" s="12">
        <f>G1667*(D1667*Assumptions!$B$6+E1667*Assumptions!$B$7)</f>
        <v>6.3974551532426163E-3</v>
      </c>
    </row>
    <row r="1668" spans="1:10" x14ac:dyDescent="0.2">
      <c r="A1668" s="2">
        <v>1660</v>
      </c>
      <c r="B1668" s="14">
        <f>A1668*Assumptions!$B$12</f>
        <v>16.600000000000001</v>
      </c>
      <c r="C1668" s="15">
        <f>IF(A1668&lt;=Assumptions!$B$13,IF(OR(A1668=0,A1668=Assumptions!$B$13),0.5,1),0)*Assumptions!$B$12</f>
        <v>0.01</v>
      </c>
      <c r="D1668" s="12">
        <f>D1667*(1-Assumptions!$B$12*(Assumptions!$B$5+Assumptions!$B$6))</f>
        <v>0.60769952897040636</v>
      </c>
      <c r="E1668" s="12">
        <f>E1667+Assumptions!$B$12*(D1667*Assumptions!$B$5-E1667*Assumptions!$B$7)</f>
        <v>0.17174074365420849</v>
      </c>
      <c r="F1668" s="12">
        <f t="shared" si="75"/>
        <v>0.22055972737538515</v>
      </c>
      <c r="G1668" s="12">
        <f>EXP(-Assumptions!$B$8*B1668)</f>
        <v>0.43604928632153556</v>
      </c>
      <c r="H1668" s="12">
        <f t="shared" si="76"/>
        <v>0.264986945905479</v>
      </c>
      <c r="I1668" s="12">
        <f t="shared" si="77"/>
        <v>7.4887428702747394E-2</v>
      </c>
      <c r="J1668" s="12">
        <f>G1668*(D1668*Assumptions!$B$6+E1668*Assumptions!$B$7)</f>
        <v>6.3942408941921611E-3</v>
      </c>
    </row>
    <row r="1669" spans="1:10" x14ac:dyDescent="0.2">
      <c r="A1669" s="2">
        <v>1661</v>
      </c>
      <c r="B1669" s="14">
        <f>A1669*Assumptions!$B$12</f>
        <v>16.61</v>
      </c>
      <c r="C1669" s="15">
        <f>IF(A1669&lt;=Assumptions!$B$13,IF(OR(A1669=0,A1669=Assumptions!$B$13),0.5,1),0)*Assumptions!$B$12</f>
        <v>0.01</v>
      </c>
      <c r="D1669" s="12">
        <f>D1668*(1-Assumptions!$B$12*(Assumptions!$B$5+Assumptions!$B$6))</f>
        <v>0.6075172191117153</v>
      </c>
      <c r="E1669" s="12">
        <f>E1668+Assumptions!$B$12*(D1668*Assumptions!$B$5-E1668*Assumptions!$B$7)</f>
        <v>0.17177641318817546</v>
      </c>
      <c r="F1669" s="12">
        <f t="shared" si="75"/>
        <v>0.22070636770010923</v>
      </c>
      <c r="G1669" s="12">
        <f>EXP(-Assumptions!$B$8*B1669)</f>
        <v>0.4358313161754524</v>
      </c>
      <c r="H1669" s="12">
        <f t="shared" si="76"/>
        <v>0.26477502920470958</v>
      </c>
      <c r="I1669" s="12">
        <f t="shared" si="77"/>
        <v>7.4865540247700854E-2</v>
      </c>
      <c r="J1669" s="12">
        <f>G1669*(D1669*Assumptions!$B$6+E1669*Assumptions!$B$7)</f>
        <v>6.3910273044321389E-3</v>
      </c>
    </row>
    <row r="1670" spans="1:10" x14ac:dyDescent="0.2">
      <c r="A1670" s="2">
        <v>1662</v>
      </c>
      <c r="B1670" s="14">
        <f>A1670*Assumptions!$B$12</f>
        <v>16.62</v>
      </c>
      <c r="C1670" s="15">
        <f>IF(A1670&lt;=Assumptions!$B$13,IF(OR(A1670=0,A1670=Assumptions!$B$13),0.5,1),0)*Assumptions!$B$12</f>
        <v>0.01</v>
      </c>
      <c r="D1670" s="12">
        <f>D1669*(1-Assumptions!$B$12*(Assumptions!$B$5+Assumptions!$B$6))</f>
        <v>0.60733496394598185</v>
      </c>
      <c r="E1670" s="12">
        <f>E1669+Assumptions!$B$12*(D1669*Assumptions!$B$5-E1669*Assumptions!$B$7)</f>
        <v>0.17181202842540372</v>
      </c>
      <c r="F1670" s="12">
        <f t="shared" si="75"/>
        <v>0.22085300762861443</v>
      </c>
      <c r="G1670" s="12">
        <f>EXP(-Assumptions!$B$8*B1670)</f>
        <v>0.43561345498720044</v>
      </c>
      <c r="H1670" s="12">
        <f t="shared" si="76"/>
        <v>0.26456328197903595</v>
      </c>
      <c r="I1670" s="12">
        <f t="shared" si="77"/>
        <v>7.4843631310749212E-2</v>
      </c>
      <c r="J1670" s="12">
        <f>G1670*(D1670*Assumptions!$B$6+E1670*Assumptions!$B$7)</f>
        <v>6.3878143853278203E-3</v>
      </c>
    </row>
    <row r="1671" spans="1:10" x14ac:dyDescent="0.2">
      <c r="A1671" s="2">
        <v>1663</v>
      </c>
      <c r="B1671" s="14">
        <f>A1671*Assumptions!$B$12</f>
        <v>16.63</v>
      </c>
      <c r="C1671" s="15">
        <f>IF(A1671&lt;=Assumptions!$B$13,IF(OR(A1671=0,A1671=Assumptions!$B$13),0.5,1),0)*Assumptions!$B$12</f>
        <v>0.01</v>
      </c>
      <c r="D1671" s="12">
        <f>D1670*(1-Assumptions!$B$12*(Assumptions!$B$5+Assumptions!$B$6))</f>
        <v>0.60715276345679803</v>
      </c>
      <c r="E1671" s="12">
        <f>E1670+Assumptions!$B$12*(D1670*Assumptions!$B$5-E1670*Assumptions!$B$7)</f>
        <v>0.17184758940398021</v>
      </c>
      <c r="F1671" s="12">
        <f t="shared" si="75"/>
        <v>0.22099964713922177</v>
      </c>
      <c r="G1671" s="12">
        <f>EXP(-Assumptions!$B$8*B1671)</f>
        <v>0.43539570270231465</v>
      </c>
      <c r="H1671" s="12">
        <f t="shared" si="76"/>
        <v>0.2643517040929248</v>
      </c>
      <c r="I1671" s="12">
        <f t="shared" si="77"/>
        <v>7.4821701946244795E-2</v>
      </c>
      <c r="J1671" s="12">
        <f>G1671*(D1671*Assumptions!$B$6+E1671*Assumptions!$B$7)</f>
        <v>6.3846021382414882E-3</v>
      </c>
    </row>
    <row r="1672" spans="1:10" x14ac:dyDescent="0.2">
      <c r="A1672" s="2">
        <v>1664</v>
      </c>
      <c r="B1672" s="14">
        <f>A1672*Assumptions!$B$12</f>
        <v>16.64</v>
      </c>
      <c r="C1672" s="15">
        <f>IF(A1672&lt;=Assumptions!$B$13,IF(OR(A1672=0,A1672=Assumptions!$B$13),0.5,1),0)*Assumptions!$B$12</f>
        <v>0.01</v>
      </c>
      <c r="D1672" s="12">
        <f>D1671*(1-Assumptions!$B$12*(Assumptions!$B$5+Assumptions!$B$6))</f>
        <v>0.60697061762776106</v>
      </c>
      <c r="E1672" s="12">
        <f>E1671+Assumptions!$B$12*(D1671*Assumptions!$B$5-E1671*Assumptions!$B$7)</f>
        <v>0.17188309616196956</v>
      </c>
      <c r="F1672" s="12">
        <f t="shared" ref="F1672:F1735" si="78">1-D1672-E1672</f>
        <v>0.22114628621026938</v>
      </c>
      <c r="G1672" s="12">
        <f>EXP(-Assumptions!$B$8*B1672)</f>
        <v>0.43517805926635666</v>
      </c>
      <c r="H1672" s="12">
        <f t="shared" ref="H1672:H1735" si="79">G1672*D1672</f>
        <v>0.26414029541095091</v>
      </c>
      <c r="I1672" s="12">
        <f t="shared" ref="I1672:I1735" si="80">G1672*E1672</f>
        <v>7.479975220845847E-2</v>
      </c>
      <c r="J1672" s="12">
        <f>G1672*(D1672*Assumptions!$B$6+E1672*Assumptions!$B$7)</f>
        <v>6.3813905645324328E-3</v>
      </c>
    </row>
    <row r="1673" spans="1:10" x14ac:dyDescent="0.2">
      <c r="A1673" s="2">
        <v>1665</v>
      </c>
      <c r="B1673" s="14">
        <f>A1673*Assumptions!$B$12</f>
        <v>16.649999999999999</v>
      </c>
      <c r="C1673" s="15">
        <f>IF(A1673&lt;=Assumptions!$B$13,IF(OR(A1673=0,A1673=Assumptions!$B$13),0.5,1),0)*Assumptions!$B$12</f>
        <v>0.01</v>
      </c>
      <c r="D1673" s="12">
        <f>D1672*(1-Assumptions!$B$12*(Assumptions!$B$5+Assumptions!$B$6))</f>
        <v>0.60678852644247272</v>
      </c>
      <c r="E1673" s="12">
        <f>E1672+Assumptions!$B$12*(D1672*Assumptions!$B$5-E1672*Assumptions!$B$7)</f>
        <v>0.17191854873741413</v>
      </c>
      <c r="F1673" s="12">
        <f t="shared" si="78"/>
        <v>0.22129292482011315</v>
      </c>
      <c r="G1673" s="12">
        <f>EXP(-Assumptions!$B$8*B1673)</f>
        <v>0.43496052462491586</v>
      </c>
      <c r="H1673" s="12">
        <f t="shared" si="79"/>
        <v>0.26392905579779757</v>
      </c>
      <c r="I1673" s="12">
        <f t="shared" si="80"/>
        <v>7.4777782151579819E-2</v>
      </c>
      <c r="J1673" s="12">
        <f>G1673*(D1673*Assumptions!$B$6+E1673*Assumptions!$B$7)</f>
        <v>6.3781796655569666E-3</v>
      </c>
    </row>
    <row r="1674" spans="1:10" x14ac:dyDescent="0.2">
      <c r="A1674" s="2">
        <v>1666</v>
      </c>
      <c r="B1674" s="14">
        <f>A1674*Assumptions!$B$12</f>
        <v>16.66</v>
      </c>
      <c r="C1674" s="15">
        <f>IF(A1674&lt;=Assumptions!$B$13,IF(OR(A1674=0,A1674=Assumptions!$B$13),0.5,1),0)*Assumptions!$B$12</f>
        <v>0.01</v>
      </c>
      <c r="D1674" s="12">
        <f>D1673*(1-Assumptions!$B$12*(Assumptions!$B$5+Assumptions!$B$6))</f>
        <v>0.60660648988454002</v>
      </c>
      <c r="E1674" s="12">
        <f>E1673+Assumptions!$B$12*(D1673*Assumptions!$B$5-E1673*Assumptions!$B$7)</f>
        <v>0.17195394716833393</v>
      </c>
      <c r="F1674" s="12">
        <f t="shared" si="78"/>
        <v>0.22143956294712605</v>
      </c>
      <c r="G1674" s="12">
        <f>EXP(-Assumptions!$B$8*B1674)</f>
        <v>0.43474309872360839</v>
      </c>
      <c r="H1674" s="12">
        <f t="shared" si="79"/>
        <v>0.26371798511825612</v>
      </c>
      <c r="I1674" s="12">
        <f t="shared" si="80"/>
        <v>7.4755791829717144E-2</v>
      </c>
      <c r="J1674" s="12">
        <f>G1674*(D1674*Assumptions!$B$6+E1674*Assumptions!$B$7)</f>
        <v>6.3749694426684187E-3</v>
      </c>
    </row>
    <row r="1675" spans="1:10" x14ac:dyDescent="0.2">
      <c r="A1675" s="2">
        <v>1667</v>
      </c>
      <c r="B1675" s="14">
        <f>A1675*Assumptions!$B$12</f>
        <v>16.670000000000002</v>
      </c>
      <c r="C1675" s="15">
        <f>IF(A1675&lt;=Assumptions!$B$13,IF(OR(A1675=0,A1675=Assumptions!$B$13),0.5,1),0)*Assumptions!$B$12</f>
        <v>0.01</v>
      </c>
      <c r="D1675" s="12">
        <f>D1674*(1-Assumptions!$B$12*(Assumptions!$B$5+Assumptions!$B$6))</f>
        <v>0.60642450793757463</v>
      </c>
      <c r="E1675" s="12">
        <f>E1674+Assumptions!$B$12*(D1674*Assumptions!$B$5-E1674*Assumptions!$B$7)</f>
        <v>0.17198929149272665</v>
      </c>
      <c r="F1675" s="12">
        <f t="shared" si="78"/>
        <v>0.22158620056969872</v>
      </c>
      <c r="G1675" s="12">
        <f>EXP(-Assumptions!$B$8*B1675)</f>
        <v>0.43452578150807791</v>
      </c>
      <c r="H1675" s="12">
        <f t="shared" si="79"/>
        <v>0.26350708323722621</v>
      </c>
      <c r="I1675" s="12">
        <f t="shared" si="80"/>
        <v>7.4733781296897658E-2</v>
      </c>
      <c r="J1675" s="12">
        <f>G1675*(D1675*Assumptions!$B$6+E1675*Assumptions!$B$7)</f>
        <v>6.3717598972171455E-3</v>
      </c>
    </row>
    <row r="1676" spans="1:10" x14ac:dyDescent="0.2">
      <c r="A1676" s="2">
        <v>1668</v>
      </c>
      <c r="B1676" s="14">
        <f>A1676*Assumptions!$B$12</f>
        <v>16.68</v>
      </c>
      <c r="C1676" s="15">
        <f>IF(A1676&lt;=Assumptions!$B$13,IF(OR(A1676=0,A1676=Assumptions!$B$13),0.5,1),0)*Assumptions!$B$12</f>
        <v>0.01</v>
      </c>
      <c r="D1676" s="12">
        <f>D1675*(1-Assumptions!$B$12*(Assumptions!$B$5+Assumptions!$B$6))</f>
        <v>0.60624258058519342</v>
      </c>
      <c r="E1676" s="12">
        <f>E1675+Assumptions!$B$12*(D1675*Assumptions!$B$5-E1675*Assumptions!$B$7)</f>
        <v>0.1720245817485678</v>
      </c>
      <c r="F1676" s="12">
        <f t="shared" si="78"/>
        <v>0.22173283766623877</v>
      </c>
      <c r="G1676" s="12">
        <f>EXP(-Assumptions!$B$8*B1676)</f>
        <v>0.43430857292399505</v>
      </c>
      <c r="H1676" s="12">
        <f t="shared" si="79"/>
        <v>0.26329635001971541</v>
      </c>
      <c r="I1676" s="12">
        <f t="shared" si="80"/>
        <v>7.4711750607067612E-2</v>
      </c>
      <c r="J1676" s="12">
        <f>G1676*(D1676*Assumptions!$B$6+E1676*Assumptions!$B$7)</f>
        <v>6.3685510305505353E-3</v>
      </c>
    </row>
    <row r="1677" spans="1:10" x14ac:dyDescent="0.2">
      <c r="A1677" s="2">
        <v>1669</v>
      </c>
      <c r="B1677" s="14">
        <f>A1677*Assumptions!$B$12</f>
        <v>16.690000000000001</v>
      </c>
      <c r="C1677" s="15">
        <f>IF(A1677&lt;=Assumptions!$B$13,IF(OR(A1677=0,A1677=Assumptions!$B$13),0.5,1),0)*Assumptions!$B$12</f>
        <v>0.01</v>
      </c>
      <c r="D1677" s="12">
        <f>D1676*(1-Assumptions!$B$12*(Assumptions!$B$5+Assumptions!$B$6))</f>
        <v>0.60606070781101784</v>
      </c>
      <c r="E1677" s="12">
        <f>E1676+Assumptions!$B$12*(D1676*Assumptions!$B$5-E1676*Assumptions!$B$7)</f>
        <v>0.17205981797381056</v>
      </c>
      <c r="F1677" s="12">
        <f t="shared" si="78"/>
        <v>0.2218794742151716</v>
      </c>
      <c r="G1677" s="12">
        <f>EXP(-Assumptions!$B$8*B1677)</f>
        <v>0.43409147291705769</v>
      </c>
      <c r="H1677" s="12">
        <f t="shared" si="79"/>
        <v>0.26308578533083926</v>
      </c>
      <c r="I1677" s="12">
        <f t="shared" si="80"/>
        <v>7.4689699814092264E-2</v>
      </c>
      <c r="J1677" s="12">
        <f>G1677*(D1677*Assumptions!$B$6+E1677*Assumptions!$B$7)</f>
        <v>6.3653428440130057E-3</v>
      </c>
    </row>
    <row r="1678" spans="1:10" x14ac:dyDescent="0.2">
      <c r="A1678" s="2">
        <v>1670</v>
      </c>
      <c r="B1678" s="14">
        <f>A1678*Assumptions!$B$12</f>
        <v>16.7</v>
      </c>
      <c r="C1678" s="15">
        <f>IF(A1678&lt;=Assumptions!$B$13,IF(OR(A1678=0,A1678=Assumptions!$B$13),0.5,1),0)*Assumptions!$B$12</f>
        <v>0.01</v>
      </c>
      <c r="D1678" s="12">
        <f>D1677*(1-Assumptions!$B$12*(Assumptions!$B$5+Assumptions!$B$6))</f>
        <v>0.60587888959867453</v>
      </c>
      <c r="E1678" s="12">
        <f>E1677+Assumptions!$B$12*(D1677*Assumptions!$B$5-E1677*Assumptions!$B$7)</f>
        <v>0.17209500020638585</v>
      </c>
      <c r="F1678" s="12">
        <f t="shared" si="78"/>
        <v>0.22202611019493962</v>
      </c>
      <c r="G1678" s="12">
        <f>EXP(-Assumptions!$B$8*B1678)</f>
        <v>0.4338744814329909</v>
      </c>
      <c r="H1678" s="12">
        <f t="shared" si="79"/>
        <v>0.26287538903582125</v>
      </c>
      <c r="I1678" s="12">
        <f t="shared" si="80"/>
        <v>7.466762897175612E-2</v>
      </c>
      <c r="J1678" s="12">
        <f>G1678*(D1678*Assumptions!$B$6+E1678*Assumptions!$B$7)</f>
        <v>6.3621353389460194E-3</v>
      </c>
    </row>
    <row r="1679" spans="1:10" x14ac:dyDescent="0.2">
      <c r="A1679" s="2">
        <v>1671</v>
      </c>
      <c r="B1679" s="14">
        <f>A1679*Assumptions!$B$12</f>
        <v>16.71</v>
      </c>
      <c r="C1679" s="15">
        <f>IF(A1679&lt;=Assumptions!$B$13,IF(OR(A1679=0,A1679=Assumptions!$B$13),0.5,1),0)*Assumptions!$B$12</f>
        <v>0.01</v>
      </c>
      <c r="D1679" s="12">
        <f>D1678*(1-Assumptions!$B$12*(Assumptions!$B$5+Assumptions!$B$6))</f>
        <v>0.60569712593179492</v>
      </c>
      <c r="E1679" s="12">
        <f>E1678+Assumptions!$B$12*(D1678*Assumptions!$B$5-E1678*Assumptions!$B$7)</f>
        <v>0.17213012848420239</v>
      </c>
      <c r="F1679" s="12">
        <f t="shared" si="78"/>
        <v>0.22217274558400268</v>
      </c>
      <c r="G1679" s="12">
        <f>EXP(-Assumptions!$B$8*B1679)</f>
        <v>0.43365759841754659</v>
      </c>
      <c r="H1679" s="12">
        <f t="shared" si="79"/>
        <v>0.26266516099999249</v>
      </c>
      <c r="I1679" s="12">
        <f t="shared" si="80"/>
        <v>7.4645538133762943E-2</v>
      </c>
      <c r="J1679" s="12">
        <f>G1679*(D1679*Assumptions!$B$6+E1679*Assumptions!$B$7)</f>
        <v>6.3589285166880715E-3</v>
      </c>
    </row>
    <row r="1680" spans="1:10" x14ac:dyDescent="0.2">
      <c r="A1680" s="2">
        <v>1672</v>
      </c>
      <c r="B1680" s="14">
        <f>A1680*Assumptions!$B$12</f>
        <v>16.72</v>
      </c>
      <c r="C1680" s="15">
        <f>IF(A1680&lt;=Assumptions!$B$13,IF(OR(A1680=0,A1680=Assumptions!$B$13),0.5,1),0)*Assumptions!$B$12</f>
        <v>0.01</v>
      </c>
      <c r="D1680" s="12">
        <f>D1679*(1-Assumptions!$B$12*(Assumptions!$B$5+Assumptions!$B$6))</f>
        <v>0.60551541679401544</v>
      </c>
      <c r="E1680" s="12">
        <f>E1679+Assumptions!$B$12*(D1679*Assumptions!$B$5-E1679*Assumptions!$B$7)</f>
        <v>0.17216520284514666</v>
      </c>
      <c r="F1680" s="12">
        <f t="shared" si="78"/>
        <v>0.2223193803608379</v>
      </c>
      <c r="G1680" s="12">
        <f>EXP(-Assumptions!$B$8*B1680)</f>
        <v>0.43344082381650428</v>
      </c>
      <c r="H1680" s="12">
        <f t="shared" si="79"/>
        <v>0.262455101088792</v>
      </c>
      <c r="I1680" s="12">
        <f t="shared" si="80"/>
        <v>7.4623427353735935E-2</v>
      </c>
      <c r="J1680" s="12">
        <f>G1680*(D1680*Assumptions!$B$6+E1680*Assumptions!$B$7)</f>
        <v>6.3557223785747179E-3</v>
      </c>
    </row>
    <row r="1681" spans="1:10" x14ac:dyDescent="0.2">
      <c r="A1681" s="2">
        <v>1673</v>
      </c>
      <c r="B1681" s="14">
        <f>A1681*Assumptions!$B$12</f>
        <v>16.73</v>
      </c>
      <c r="C1681" s="15">
        <f>IF(A1681&lt;=Assumptions!$B$13,IF(OR(A1681=0,A1681=Assumptions!$B$13),0.5,1),0)*Assumptions!$B$12</f>
        <v>0.01</v>
      </c>
      <c r="D1681" s="12">
        <f>D1680*(1-Assumptions!$B$12*(Assumptions!$B$5+Assumptions!$B$6))</f>
        <v>0.60533376216897727</v>
      </c>
      <c r="E1681" s="12">
        <f>E1680+Assumptions!$B$12*(D1680*Assumptions!$B$5-E1680*Assumptions!$B$7)</f>
        <v>0.1722002233270829</v>
      </c>
      <c r="F1681" s="12">
        <f t="shared" si="78"/>
        <v>0.22246601450393982</v>
      </c>
      <c r="G1681" s="12">
        <f>EXP(-Assumptions!$B$8*B1681)</f>
        <v>0.43322415757567012</v>
      </c>
      <c r="H1681" s="12">
        <f t="shared" si="79"/>
        <v>0.26224520916776622</v>
      </c>
      <c r="I1681" s="12">
        <f t="shared" si="80"/>
        <v>7.4601296685217755E-2</v>
      </c>
      <c r="J1681" s="12">
        <f>G1681*(D1681*Assumptions!$B$6+E1681*Assumptions!$B$7)</f>
        <v>6.3525169259385497E-3</v>
      </c>
    </row>
    <row r="1682" spans="1:10" x14ac:dyDescent="0.2">
      <c r="A1682" s="2">
        <v>1674</v>
      </c>
      <c r="B1682" s="14">
        <f>A1682*Assumptions!$B$12</f>
        <v>16.740000000000002</v>
      </c>
      <c r="C1682" s="15">
        <f>IF(A1682&lt;=Assumptions!$B$13,IF(OR(A1682=0,A1682=Assumptions!$B$13),0.5,1),0)*Assumptions!$B$12</f>
        <v>0.01</v>
      </c>
      <c r="D1682" s="12">
        <f>D1681*(1-Assumptions!$B$12*(Assumptions!$B$5+Assumptions!$B$6))</f>
        <v>0.60515216204032662</v>
      </c>
      <c r="E1682" s="12">
        <f>E1681+Assumptions!$B$12*(D1681*Assumptions!$B$5-E1681*Assumptions!$B$7)</f>
        <v>0.17223518996785317</v>
      </c>
      <c r="F1682" s="12">
        <f t="shared" si="78"/>
        <v>0.22261264799182021</v>
      </c>
      <c r="G1682" s="12">
        <f>EXP(-Assumptions!$B$8*B1682)</f>
        <v>0.43300759964087754</v>
      </c>
      <c r="H1682" s="12">
        <f t="shared" si="79"/>
        <v>0.26203548510256919</v>
      </c>
      <c r="I1682" s="12">
        <f t="shared" si="80"/>
        <v>7.457914618167065E-2</v>
      </c>
      <c r="J1682" s="12">
        <f>G1682*(D1682*Assumptions!$B$6+E1682*Assumptions!$B$7)</f>
        <v>6.3493121601092247E-3</v>
      </c>
    </row>
    <row r="1683" spans="1:10" x14ac:dyDescent="0.2">
      <c r="A1683" s="2">
        <v>1675</v>
      </c>
      <c r="B1683" s="14">
        <f>A1683*Assumptions!$B$12</f>
        <v>16.75</v>
      </c>
      <c r="C1683" s="15">
        <f>IF(A1683&lt;=Assumptions!$B$13,IF(OR(A1683=0,A1683=Assumptions!$B$13),0.5,1),0)*Assumptions!$B$12</f>
        <v>0.01</v>
      </c>
      <c r="D1683" s="12">
        <f>D1682*(1-Assumptions!$B$12*(Assumptions!$B$5+Assumptions!$B$6))</f>
        <v>0.60497061639171457</v>
      </c>
      <c r="E1683" s="12">
        <f>E1682+Assumptions!$B$12*(D1682*Assumptions!$B$5-E1682*Assumptions!$B$7)</f>
        <v>0.1722701028052773</v>
      </c>
      <c r="F1683" s="12">
        <f t="shared" si="78"/>
        <v>0.22275928080300814</v>
      </c>
      <c r="G1683" s="12">
        <f>EXP(-Assumptions!$B$8*B1683)</f>
        <v>0.43279114995798723</v>
      </c>
      <c r="H1683" s="12">
        <f t="shared" si="79"/>
        <v>0.26182592875896249</v>
      </c>
      <c r="I1683" s="12">
        <f t="shared" si="80"/>
        <v>7.455697589647664E-2</v>
      </c>
      <c r="J1683" s="12">
        <f>G1683*(D1683*Assumptions!$B$6+E1683*Assumptions!$B$7)</f>
        <v>6.3461080824134576E-3</v>
      </c>
    </row>
    <row r="1684" spans="1:10" x14ac:dyDescent="0.2">
      <c r="A1684" s="2">
        <v>1676</v>
      </c>
      <c r="B1684" s="14">
        <f>A1684*Assumptions!$B$12</f>
        <v>16.760000000000002</v>
      </c>
      <c r="C1684" s="15">
        <f>IF(A1684&lt;=Assumptions!$B$13,IF(OR(A1684=0,A1684=Assumptions!$B$13),0.5,1),0)*Assumptions!$B$12</f>
        <v>0.01</v>
      </c>
      <c r="D1684" s="12">
        <f>D1683*(1-Assumptions!$B$12*(Assumptions!$B$5+Assumptions!$B$6))</f>
        <v>0.60478912520679706</v>
      </c>
      <c r="E1684" s="12">
        <f>E1683+Assumptions!$B$12*(D1683*Assumptions!$B$5-E1683*Assumptions!$B$7)</f>
        <v>0.172304961877153</v>
      </c>
      <c r="F1684" s="12">
        <f t="shared" si="78"/>
        <v>0.22290591291604994</v>
      </c>
      <c r="G1684" s="12">
        <f>EXP(-Assumptions!$B$8*B1684)</f>
        <v>0.43257480847288665</v>
      </c>
      <c r="H1684" s="12">
        <f t="shared" si="79"/>
        <v>0.26161654000281492</v>
      </c>
      <c r="I1684" s="12">
        <f t="shared" si="80"/>
        <v>7.4534785882937493E-2</v>
      </c>
      <c r="J1684" s="12">
        <f>G1684*(D1684*Assumptions!$B$6+E1684*Assumptions!$B$7)</f>
        <v>6.3429046941750238E-3</v>
      </c>
    </row>
    <row r="1685" spans="1:10" x14ac:dyDescent="0.2">
      <c r="A1685" s="2">
        <v>1677</v>
      </c>
      <c r="B1685" s="14">
        <f>A1685*Assumptions!$B$12</f>
        <v>16.77</v>
      </c>
      <c r="C1685" s="15">
        <f>IF(A1685&lt;=Assumptions!$B$13,IF(OR(A1685=0,A1685=Assumptions!$B$13),0.5,1),0)*Assumptions!$B$12</f>
        <v>0.01</v>
      </c>
      <c r="D1685" s="12">
        <f>D1684*(1-Assumptions!$B$12*(Assumptions!$B$5+Assumptions!$B$6))</f>
        <v>0.60460768846923507</v>
      </c>
      <c r="E1685" s="12">
        <f>E1684+Assumptions!$B$12*(D1684*Assumptions!$B$5-E1684*Assumptions!$B$7)</f>
        <v>0.17233976722125577</v>
      </c>
      <c r="F1685" s="12">
        <f t="shared" si="78"/>
        <v>0.22305254430950916</v>
      </c>
      <c r="G1685" s="12">
        <f>EXP(-Assumptions!$B$8*B1685)</f>
        <v>0.4323585751314904</v>
      </c>
      <c r="H1685" s="12">
        <f t="shared" si="79"/>
        <v>0.26140731870010253</v>
      </c>
      <c r="I1685" s="12">
        <f t="shared" si="80"/>
        <v>7.4512576194274885E-2</v>
      </c>
      <c r="J1685" s="12">
        <f>G1685*(D1685*Assumptions!$B$6+E1685*Assumptions!$B$7)</f>
        <v>6.3397019967147685E-3</v>
      </c>
    </row>
    <row r="1686" spans="1:10" x14ac:dyDescent="0.2">
      <c r="A1686" s="2">
        <v>1678</v>
      </c>
      <c r="B1686" s="14">
        <f>A1686*Assumptions!$B$12</f>
        <v>16.78</v>
      </c>
      <c r="C1686" s="15">
        <f>IF(A1686&lt;=Assumptions!$B$13,IF(OR(A1686=0,A1686=Assumptions!$B$13),0.5,1),0)*Assumptions!$B$12</f>
        <v>0.01</v>
      </c>
      <c r="D1686" s="12">
        <f>D1685*(1-Assumptions!$B$12*(Assumptions!$B$5+Assumptions!$B$6))</f>
        <v>0.60442630616269433</v>
      </c>
      <c r="E1686" s="12">
        <f>E1685+Assumptions!$B$12*(D1685*Assumptions!$B$5-E1685*Assumptions!$B$7)</f>
        <v>0.172374518875339</v>
      </c>
      <c r="F1686" s="12">
        <f t="shared" si="78"/>
        <v>0.22319917496196667</v>
      </c>
      <c r="G1686" s="12">
        <f>EXP(-Assumptions!$B$8*B1686)</f>
        <v>0.43214244987974021</v>
      </c>
      <c r="H1686" s="12">
        <f t="shared" si="79"/>
        <v>0.26119826471690866</v>
      </c>
      <c r="I1686" s="12">
        <f t="shared" si="80"/>
        <v>7.4490346883630515E-2</v>
      </c>
      <c r="J1686" s="12">
        <f>G1686*(D1686*Assumptions!$B$6+E1686*Assumptions!$B$7)</f>
        <v>6.3364999913506134E-3</v>
      </c>
    </row>
    <row r="1687" spans="1:10" x14ac:dyDescent="0.2">
      <c r="A1687" s="2">
        <v>1679</v>
      </c>
      <c r="B1687" s="14">
        <f>A1687*Assumptions!$B$12</f>
        <v>16.79</v>
      </c>
      <c r="C1687" s="15">
        <f>IF(A1687&lt;=Assumptions!$B$13,IF(OR(A1687=0,A1687=Assumptions!$B$13),0.5,1),0)*Assumptions!$B$12</f>
        <v>0.01</v>
      </c>
      <c r="D1687" s="12">
        <f>D1686*(1-Assumptions!$B$12*(Assumptions!$B$5+Assumptions!$B$6))</f>
        <v>0.60424497827084556</v>
      </c>
      <c r="E1687" s="12">
        <f>E1686+Assumptions!$B$12*(D1686*Assumptions!$B$5-E1686*Assumptions!$B$7)</f>
        <v>0.17240921687713387</v>
      </c>
      <c r="F1687" s="12">
        <f t="shared" si="78"/>
        <v>0.22334580485202057</v>
      </c>
      <c r="G1687" s="12">
        <f>EXP(-Assumptions!$B$8*B1687)</f>
        <v>0.43192643266360475</v>
      </c>
      <c r="H1687" s="12">
        <f t="shared" si="79"/>
        <v>0.26098937791942367</v>
      </c>
      <c r="I1687" s="12">
        <f t="shared" si="80"/>
        <v>7.4468098004066188E-2</v>
      </c>
      <c r="J1687" s="12">
        <f>G1687*(D1687*Assumptions!$B$6+E1687*Assumptions!$B$7)</f>
        <v>6.3332986793975471E-3</v>
      </c>
    </row>
    <row r="1688" spans="1:10" x14ac:dyDescent="0.2">
      <c r="A1688" s="2">
        <v>1680</v>
      </c>
      <c r="B1688" s="14">
        <f>A1688*Assumptions!$B$12</f>
        <v>16.8</v>
      </c>
      <c r="C1688" s="15">
        <f>IF(A1688&lt;=Assumptions!$B$13,IF(OR(A1688=0,A1688=Assumptions!$B$13),0.5,1),0)*Assumptions!$B$12</f>
        <v>0.01</v>
      </c>
      <c r="D1688" s="12">
        <f>D1687*(1-Assumptions!$B$12*(Assumptions!$B$5+Assumptions!$B$6))</f>
        <v>0.60406370477736437</v>
      </c>
      <c r="E1688" s="12">
        <f>E1687+Assumptions!$B$12*(D1687*Assumptions!$B$5-E1687*Assumptions!$B$7)</f>
        <v>0.17244386126434946</v>
      </c>
      <c r="F1688" s="12">
        <f t="shared" si="78"/>
        <v>0.22349243395828616</v>
      </c>
      <c r="G1688" s="12">
        <f>EXP(-Assumptions!$B$8*B1688)</f>
        <v>0.43171052342907967</v>
      </c>
      <c r="H1688" s="12">
        <f t="shared" si="79"/>
        <v>0.26078065817394502</v>
      </c>
      <c r="I1688" s="12">
        <f t="shared" si="80"/>
        <v>7.4445829608563899E-2</v>
      </c>
      <c r="J1688" s="12">
        <f>G1688*(D1688*Assumptions!$B$6+E1688*Assumptions!$B$7)</f>
        <v>6.3300980621676453E-3</v>
      </c>
    </row>
    <row r="1689" spans="1:10" x14ac:dyDescent="0.2">
      <c r="A1689" s="2">
        <v>1681</v>
      </c>
      <c r="B1689" s="14">
        <f>A1689*Assumptions!$B$12</f>
        <v>16.809999999999999</v>
      </c>
      <c r="C1689" s="15">
        <f>IF(A1689&lt;=Assumptions!$B$13,IF(OR(A1689=0,A1689=Assumptions!$B$13),0.5,1),0)*Assumptions!$B$12</f>
        <v>0.01</v>
      </c>
      <c r="D1689" s="12">
        <f>D1688*(1-Assumptions!$B$12*(Assumptions!$B$5+Assumptions!$B$6))</f>
        <v>0.60388248566593117</v>
      </c>
      <c r="E1689" s="12">
        <f>E1688+Assumptions!$B$12*(D1688*Assumptions!$B$5-E1688*Assumptions!$B$7)</f>
        <v>0.17247845207467277</v>
      </c>
      <c r="F1689" s="12">
        <f t="shared" si="78"/>
        <v>0.22363906225939606</v>
      </c>
      <c r="G1689" s="12">
        <f>EXP(-Assumptions!$B$8*B1689)</f>
        <v>0.4314947221221877</v>
      </c>
      <c r="H1689" s="12">
        <f t="shared" si="79"/>
        <v>0.26057210534687697</v>
      </c>
      <c r="I1689" s="12">
        <f t="shared" si="80"/>
        <v>7.4423541750025995E-2</v>
      </c>
      <c r="J1689" s="12">
        <f>G1689*(D1689*Assumptions!$B$6+E1689*Assumptions!$B$7)</f>
        <v>6.326898140970069E-3</v>
      </c>
    </row>
    <row r="1690" spans="1:10" x14ac:dyDescent="0.2">
      <c r="A1690" s="2">
        <v>1682</v>
      </c>
      <c r="B1690" s="14">
        <f>A1690*Assumptions!$B$12</f>
        <v>16.82</v>
      </c>
      <c r="C1690" s="15">
        <f>IF(A1690&lt;=Assumptions!$B$13,IF(OR(A1690=0,A1690=Assumptions!$B$13),0.5,1),0)*Assumptions!$B$12</f>
        <v>0.01</v>
      </c>
      <c r="D1690" s="12">
        <f>D1689*(1-Assumptions!$B$12*(Assumptions!$B$5+Assumptions!$B$6))</f>
        <v>0.60370132092023143</v>
      </c>
      <c r="E1690" s="12">
        <f>E1689+Assumptions!$B$12*(D1689*Assumptions!$B$5-E1689*Assumptions!$B$7)</f>
        <v>0.17251298934576861</v>
      </c>
      <c r="F1690" s="12">
        <f t="shared" si="78"/>
        <v>0.22378568973399995</v>
      </c>
      <c r="G1690" s="12">
        <f>EXP(-Assumptions!$B$8*B1690)</f>
        <v>0.43127902868897855</v>
      </c>
      <c r="H1690" s="12">
        <f t="shared" si="79"/>
        <v>0.26036371930473073</v>
      </c>
      <c r="I1690" s="12">
        <f t="shared" si="80"/>
        <v>7.4401234481275197E-2</v>
      </c>
      <c r="J1690" s="12">
        <f>G1690*(D1690*Assumptions!$B$6+E1690*Assumptions!$B$7)</f>
        <v>6.3236989171110668E-3</v>
      </c>
    </row>
    <row r="1691" spans="1:10" x14ac:dyDescent="0.2">
      <c r="A1691" s="2">
        <v>1683</v>
      </c>
      <c r="B1691" s="14">
        <f>A1691*Assumptions!$B$12</f>
        <v>16.830000000000002</v>
      </c>
      <c r="C1691" s="15">
        <f>IF(A1691&lt;=Assumptions!$B$13,IF(OR(A1691=0,A1691=Assumptions!$B$13),0.5,1),0)*Assumptions!$B$12</f>
        <v>0.01</v>
      </c>
      <c r="D1691" s="12">
        <f>D1690*(1-Assumptions!$B$12*(Assumptions!$B$5+Assumptions!$B$6))</f>
        <v>0.60352021052395544</v>
      </c>
      <c r="E1691" s="12">
        <f>E1690+Assumptions!$B$12*(D1690*Assumptions!$B$5-E1690*Assumptions!$B$7)</f>
        <v>0.17254747311527976</v>
      </c>
      <c r="F1691" s="12">
        <f t="shared" si="78"/>
        <v>0.2239323163607648</v>
      </c>
      <c r="G1691" s="12">
        <f>EXP(-Assumptions!$B$8*B1691)</f>
        <v>0.43106344307552874</v>
      </c>
      <c r="H1691" s="12">
        <f t="shared" si="79"/>
        <v>0.26015549991412418</v>
      </c>
      <c r="I1691" s="12">
        <f t="shared" si="80"/>
        <v>7.4378907855054729E-2</v>
      </c>
      <c r="J1691" s="12">
        <f>G1691*(D1691*Assumptions!$B$6+E1691*Assumptions!$B$7)</f>
        <v>6.3205003918939788E-3</v>
      </c>
    </row>
    <row r="1692" spans="1:10" x14ac:dyDescent="0.2">
      <c r="A1692" s="2">
        <v>1684</v>
      </c>
      <c r="B1692" s="14">
        <f>A1692*Assumptions!$B$12</f>
        <v>16.84</v>
      </c>
      <c r="C1692" s="15">
        <f>IF(A1692&lt;=Assumptions!$B$13,IF(OR(A1692=0,A1692=Assumptions!$B$13),0.5,1),0)*Assumptions!$B$12</f>
        <v>0.01</v>
      </c>
      <c r="D1692" s="12">
        <f>D1691*(1-Assumptions!$B$12*(Assumptions!$B$5+Assumptions!$B$6))</f>
        <v>0.60333915446079822</v>
      </c>
      <c r="E1692" s="12">
        <f>E1691+Assumptions!$B$12*(D1691*Assumptions!$B$5-E1691*Assumptions!$B$7)</f>
        <v>0.17258190342082691</v>
      </c>
      <c r="F1692" s="12">
        <f t="shared" si="78"/>
        <v>0.22407894211837487</v>
      </c>
      <c r="G1692" s="12">
        <f>EXP(-Assumptions!$B$8*B1692)</f>
        <v>0.430847965227942</v>
      </c>
      <c r="H1692" s="12">
        <f t="shared" si="79"/>
        <v>0.25994744704178191</v>
      </c>
      <c r="I1692" s="12">
        <f t="shared" si="80"/>
        <v>7.435656192402848E-2</v>
      </c>
      <c r="J1692" s="12">
        <f>G1692*(D1692*Assumptions!$B$6+E1692*Assumptions!$B$7)</f>
        <v>6.3173025666192432E-3</v>
      </c>
    </row>
    <row r="1693" spans="1:10" x14ac:dyDescent="0.2">
      <c r="A1693" s="2">
        <v>1685</v>
      </c>
      <c r="B1693" s="14">
        <f>A1693*Assumptions!$B$12</f>
        <v>16.850000000000001</v>
      </c>
      <c r="C1693" s="15">
        <f>IF(A1693&lt;=Assumptions!$B$13,IF(OR(A1693=0,A1693=Assumptions!$B$13),0.5,1),0)*Assumptions!$B$12</f>
        <v>0.01</v>
      </c>
      <c r="D1693" s="12">
        <f>D1692*(1-Assumptions!$B$12*(Assumptions!$B$5+Assumptions!$B$6))</f>
        <v>0.60315815271446005</v>
      </c>
      <c r="E1693" s="12">
        <f>E1692+Assumptions!$B$12*(D1692*Assumptions!$B$5-E1692*Assumptions!$B$7)</f>
        <v>0.17261628030000867</v>
      </c>
      <c r="F1693" s="12">
        <f t="shared" si="78"/>
        <v>0.22422556698553128</v>
      </c>
      <c r="G1693" s="12">
        <f>EXP(-Assumptions!$B$8*B1693)</f>
        <v>0.4306325950923488</v>
      </c>
      <c r="H1693" s="12">
        <f t="shared" si="79"/>
        <v>0.25973956055453518</v>
      </c>
      <c r="I1693" s="12">
        <f t="shared" si="80"/>
        <v>7.4334196740781011E-2</v>
      </c>
      <c r="J1693" s="12">
        <f>G1693*(D1693*Assumptions!$B$6+E1693*Assumptions!$B$7)</f>
        <v>6.3141054425844027E-3</v>
      </c>
    </row>
    <row r="1694" spans="1:10" x14ac:dyDescent="0.2">
      <c r="A1694" s="2">
        <v>1686</v>
      </c>
      <c r="B1694" s="14">
        <f>A1694*Assumptions!$B$12</f>
        <v>16.86</v>
      </c>
      <c r="C1694" s="15">
        <f>IF(A1694&lt;=Assumptions!$B$13,IF(OR(A1694=0,A1694=Assumptions!$B$13),0.5,1),0)*Assumptions!$B$12</f>
        <v>0.01</v>
      </c>
      <c r="D1694" s="12">
        <f>D1693*(1-Assumptions!$B$12*(Assumptions!$B$5+Assumptions!$B$6))</f>
        <v>0.60297720526864573</v>
      </c>
      <c r="E1694" s="12">
        <f>E1693+Assumptions!$B$12*(D1693*Assumptions!$B$5-E1693*Assumptions!$B$7)</f>
        <v>0.17265060379040156</v>
      </c>
      <c r="F1694" s="12">
        <f t="shared" si="78"/>
        <v>0.2243721909409527</v>
      </c>
      <c r="G1694" s="12">
        <f>EXP(-Assumptions!$B$8*B1694)</f>
        <v>0.43041733261490667</v>
      </c>
      <c r="H1694" s="12">
        <f t="shared" si="79"/>
        <v>0.25953184031932153</v>
      </c>
      <c r="I1694" s="12">
        <f t="shared" si="80"/>
        <v>7.4311812357817739E-2</v>
      </c>
      <c r="J1694" s="12">
        <f>G1694*(D1694*Assumptions!$B$6+E1694*Assumptions!$B$7)</f>
        <v>6.3109090210841014E-3</v>
      </c>
    </row>
    <row r="1695" spans="1:10" x14ac:dyDescent="0.2">
      <c r="A1695" s="2">
        <v>1687</v>
      </c>
      <c r="B1695" s="14">
        <f>A1695*Assumptions!$B$12</f>
        <v>16.87</v>
      </c>
      <c r="C1695" s="15">
        <f>IF(A1695&lt;=Assumptions!$B$13,IF(OR(A1695=0,A1695=Assumptions!$B$13),0.5,1),0)*Assumptions!$B$12</f>
        <v>0.01</v>
      </c>
      <c r="D1695" s="12">
        <f>D1694*(1-Assumptions!$B$12*(Assumptions!$B$5+Assumptions!$B$6))</f>
        <v>0.60279631210706519</v>
      </c>
      <c r="E1695" s="12">
        <f>E1694+Assumptions!$B$12*(D1694*Assumptions!$B$5-E1694*Assumptions!$B$7)</f>
        <v>0.17268487392956008</v>
      </c>
      <c r="F1695" s="12">
        <f t="shared" si="78"/>
        <v>0.22451881396337472</v>
      </c>
      <c r="G1695" s="12">
        <f>EXP(-Assumptions!$B$8*B1695)</f>
        <v>0.43020217774179986</v>
      </c>
      <c r="H1695" s="12">
        <f t="shared" si="79"/>
        <v>0.25932428620318515</v>
      </c>
      <c r="I1695" s="12">
        <f t="shared" si="80"/>
        <v>7.4289408827564907E-2</v>
      </c>
      <c r="J1695" s="12">
        <f>G1695*(D1695*Assumptions!$B$6+E1695*Assumptions!$B$7)</f>
        <v>6.3077133034100978E-3</v>
      </c>
    </row>
    <row r="1696" spans="1:10" x14ac:dyDescent="0.2">
      <c r="A1696" s="2">
        <v>1688</v>
      </c>
      <c r="B1696" s="14">
        <f>A1696*Assumptions!$B$12</f>
        <v>16.88</v>
      </c>
      <c r="C1696" s="15">
        <f>IF(A1696&lt;=Assumptions!$B$13,IF(OR(A1696=0,A1696=Assumptions!$B$13),0.5,1),0)*Assumptions!$B$12</f>
        <v>0.01</v>
      </c>
      <c r="D1696" s="12">
        <f>D1695*(1-Assumptions!$B$12*(Assumptions!$B$5+Assumptions!$B$6))</f>
        <v>0.60261547321343312</v>
      </c>
      <c r="E1696" s="12">
        <f>E1695+Assumptions!$B$12*(D1695*Assumptions!$B$5-E1695*Assumptions!$B$7)</f>
        <v>0.17271909075501671</v>
      </c>
      <c r="F1696" s="12">
        <f t="shared" si="78"/>
        <v>0.22466543603155018</v>
      </c>
      <c r="G1696" s="12">
        <f>EXP(-Assumptions!$B$8*B1696)</f>
        <v>0.4299871304192398</v>
      </c>
      <c r="H1696" s="12">
        <f t="shared" si="79"/>
        <v>0.25911689807327637</v>
      </c>
      <c r="I1696" s="12">
        <f t="shared" si="80"/>
        <v>7.4266986202369892E-2</v>
      </c>
      <c r="J1696" s="12">
        <f>G1696*(D1696*Assumptions!$B$6+E1696*Assumptions!$B$7)</f>
        <v>6.3045182908512583E-3</v>
      </c>
    </row>
    <row r="1697" spans="1:10" x14ac:dyDescent="0.2">
      <c r="A1697" s="2">
        <v>1689</v>
      </c>
      <c r="B1697" s="14">
        <f>A1697*Assumptions!$B$12</f>
        <v>16.89</v>
      </c>
      <c r="C1697" s="15">
        <f>IF(A1697&lt;=Assumptions!$B$13,IF(OR(A1697=0,A1697=Assumptions!$B$13),0.5,1),0)*Assumptions!$B$12</f>
        <v>0.01</v>
      </c>
      <c r="D1697" s="12">
        <f>D1696*(1-Assumptions!$B$12*(Assumptions!$B$5+Assumptions!$B$6))</f>
        <v>0.60243468857146909</v>
      </c>
      <c r="E1697" s="12">
        <f>E1696+Assumptions!$B$12*(D1696*Assumptions!$B$5-E1696*Assumptions!$B$7)</f>
        <v>0.17275325430428187</v>
      </c>
      <c r="F1697" s="12">
        <f t="shared" si="78"/>
        <v>0.22481205712424904</v>
      </c>
      <c r="G1697" s="12">
        <f>EXP(-Assumptions!$B$8*B1697)</f>
        <v>0.4297721905934645</v>
      </c>
      <c r="H1697" s="12">
        <f t="shared" si="79"/>
        <v>0.25890967579685187</v>
      </c>
      <c r="I1697" s="12">
        <f t="shared" si="80"/>
        <v>7.4244544534501064E-2</v>
      </c>
      <c r="J1697" s="12">
        <f>G1697*(D1697*Assumptions!$B$6+E1697*Assumptions!$B$7)</f>
        <v>6.3013239846935716E-3</v>
      </c>
    </row>
    <row r="1698" spans="1:10" x14ac:dyDescent="0.2">
      <c r="A1698" s="2">
        <v>1690</v>
      </c>
      <c r="B1698" s="14">
        <f>A1698*Assumptions!$B$12</f>
        <v>16.899999999999999</v>
      </c>
      <c r="C1698" s="15">
        <f>IF(A1698&lt;=Assumptions!$B$13,IF(OR(A1698=0,A1698=Assumptions!$B$13),0.5,1),0)*Assumptions!$B$12</f>
        <v>0.01</v>
      </c>
      <c r="D1698" s="12">
        <f>D1697*(1-Assumptions!$B$12*(Assumptions!$B$5+Assumptions!$B$6))</f>
        <v>0.60225395816489768</v>
      </c>
      <c r="E1698" s="12">
        <f>E1697+Assumptions!$B$12*(D1697*Assumptions!$B$5-E1697*Assumptions!$B$7)</f>
        <v>0.17278736461484404</v>
      </c>
      <c r="F1698" s="12">
        <f t="shared" si="78"/>
        <v>0.22495867722025828</v>
      </c>
      <c r="G1698" s="12">
        <f>EXP(-Assumptions!$B$8*B1698)</f>
        <v>0.42955735821073915</v>
      </c>
      <c r="H1698" s="12">
        <f t="shared" si="79"/>
        <v>0.25870261924127447</v>
      </c>
      <c r="I1698" s="12">
        <f t="shared" si="80"/>
        <v>7.4222083876148148E-2</v>
      </c>
      <c r="J1698" s="12">
        <f>G1698*(D1698*Assumptions!$B$6+E1698*Assumptions!$B$7)</f>
        <v>6.298130386220153E-3</v>
      </c>
    </row>
    <row r="1699" spans="1:10" x14ac:dyDescent="0.2">
      <c r="A1699" s="2">
        <v>1691</v>
      </c>
      <c r="B1699" s="14">
        <f>A1699*Assumptions!$B$12</f>
        <v>16.91</v>
      </c>
      <c r="C1699" s="15">
        <f>IF(A1699&lt;=Assumptions!$B$13,IF(OR(A1699=0,A1699=Assumptions!$B$13),0.5,1),0)*Assumptions!$B$12</f>
        <v>0.01</v>
      </c>
      <c r="D1699" s="12">
        <f>D1698*(1-Assumptions!$B$12*(Assumptions!$B$5+Assumptions!$B$6))</f>
        <v>0.60207328197744825</v>
      </c>
      <c r="E1699" s="12">
        <f>E1698+Assumptions!$B$12*(D1698*Assumptions!$B$5-E1698*Assumptions!$B$7)</f>
        <v>0.17282142172416959</v>
      </c>
      <c r="F1699" s="12">
        <f t="shared" si="78"/>
        <v>0.22510529629838216</v>
      </c>
      <c r="G1699" s="12">
        <f>EXP(-Assumptions!$B$8*B1699)</f>
        <v>0.42934263321735555</v>
      </c>
      <c r="H1699" s="12">
        <f t="shared" si="79"/>
        <v>0.25849572827401307</v>
      </c>
      <c r="I1699" s="12">
        <f t="shared" si="80"/>
        <v>7.4199604279422071E-2</v>
      </c>
      <c r="J1699" s="12">
        <f>G1699*(D1699*Assumptions!$B$6+E1699*Assumptions!$B$7)</f>
        <v>6.2949374967112342E-3</v>
      </c>
    </row>
    <row r="1700" spans="1:10" x14ac:dyDescent="0.2">
      <c r="A1700" s="2">
        <v>1692</v>
      </c>
      <c r="B1700" s="14">
        <f>A1700*Assumptions!$B$12</f>
        <v>16.920000000000002</v>
      </c>
      <c r="C1700" s="15">
        <f>IF(A1700&lt;=Assumptions!$B$13,IF(OR(A1700=0,A1700=Assumptions!$B$13),0.5,1),0)*Assumptions!$B$12</f>
        <v>0.01</v>
      </c>
      <c r="D1700" s="12">
        <f>D1699*(1-Assumptions!$B$12*(Assumptions!$B$5+Assumptions!$B$6))</f>
        <v>0.60189265999285502</v>
      </c>
      <c r="E1700" s="12">
        <f>E1699+Assumptions!$B$12*(D1699*Assumptions!$B$5-E1699*Assumptions!$B$7)</f>
        <v>0.17285542566970299</v>
      </c>
      <c r="F1700" s="12">
        <f t="shared" si="78"/>
        <v>0.22525191433744199</v>
      </c>
      <c r="G1700" s="12">
        <f>EXP(-Assumptions!$B$8*B1700)</f>
        <v>0.42912801555963248</v>
      </c>
      <c r="H1700" s="12">
        <f t="shared" si="79"/>
        <v>0.25828900276264249</v>
      </c>
      <c r="I1700" s="12">
        <f t="shared" si="80"/>
        <v>7.4177105796355197E-2</v>
      </c>
      <c r="J1700" s="12">
        <f>G1700*(D1700*Assumptions!$B$6+E1700*Assumptions!$B$7)</f>
        <v>6.2917453174441852E-3</v>
      </c>
    </row>
    <row r="1701" spans="1:10" x14ac:dyDescent="0.2">
      <c r="A1701" s="2">
        <v>1693</v>
      </c>
      <c r="B1701" s="14">
        <f>A1701*Assumptions!$B$12</f>
        <v>16.93</v>
      </c>
      <c r="C1701" s="15">
        <f>IF(A1701&lt;=Assumptions!$B$13,IF(OR(A1701=0,A1701=Assumptions!$B$13),0.5,1),0)*Assumptions!$B$12</f>
        <v>0.01</v>
      </c>
      <c r="D1701" s="12">
        <f>D1700*(1-Assumptions!$B$12*(Assumptions!$B$5+Assumptions!$B$6))</f>
        <v>0.60171209219485722</v>
      </c>
      <c r="E1701" s="12">
        <f>E1700+Assumptions!$B$12*(D1700*Assumptions!$B$5-E1700*Assumptions!$B$7)</f>
        <v>0.17288937648886671</v>
      </c>
      <c r="F1701" s="12">
        <f t="shared" si="78"/>
        <v>0.22539853131627607</v>
      </c>
      <c r="G1701" s="12">
        <f>EXP(-Assumptions!$B$8*B1701)</f>
        <v>0.42891350518391558</v>
      </c>
      <c r="H1701" s="12">
        <f t="shared" si="79"/>
        <v>0.25808244257484358</v>
      </c>
      <c r="I1701" s="12">
        <f t="shared" si="80"/>
        <v>7.4154588478901468E-2</v>
      </c>
      <c r="J1701" s="12">
        <f>G1701*(D1701*Assumptions!$B$6+E1701*Assumptions!$B$7)</f>
        <v>6.2885538496935088E-3</v>
      </c>
    </row>
    <row r="1702" spans="1:10" x14ac:dyDescent="0.2">
      <c r="A1702" s="2">
        <v>1694</v>
      </c>
      <c r="B1702" s="14">
        <f>A1702*Assumptions!$B$12</f>
        <v>16.940000000000001</v>
      </c>
      <c r="C1702" s="15">
        <f>IF(A1702&lt;=Assumptions!$B$13,IF(OR(A1702=0,A1702=Assumptions!$B$13),0.5,1),0)*Assumptions!$B$12</f>
        <v>0.01</v>
      </c>
      <c r="D1702" s="12">
        <f>D1701*(1-Assumptions!$B$12*(Assumptions!$B$5+Assumptions!$B$6))</f>
        <v>0.60153157856719874</v>
      </c>
      <c r="E1702" s="12">
        <f>E1701+Assumptions!$B$12*(D1701*Assumptions!$B$5-E1701*Assumptions!$B$7)</f>
        <v>0.17292327421906126</v>
      </c>
      <c r="F1702" s="12">
        <f t="shared" si="78"/>
        <v>0.22554514721374</v>
      </c>
      <c r="G1702" s="12">
        <f>EXP(-Assumptions!$B$8*B1702)</f>
        <v>0.42869910203657718</v>
      </c>
      <c r="H1702" s="12">
        <f t="shared" si="79"/>
        <v>0.25787604757840288</v>
      </c>
      <c r="I1702" s="12">
        <f t="shared" si="80"/>
        <v>7.4132052378936358E-2</v>
      </c>
      <c r="J1702" s="12">
        <f>G1702*(D1702*Assumptions!$B$6+E1702*Assumptions!$B$7)</f>
        <v>6.2853630947308477E-3</v>
      </c>
    </row>
    <row r="1703" spans="1:10" x14ac:dyDescent="0.2">
      <c r="A1703" s="2">
        <v>1695</v>
      </c>
      <c r="B1703" s="14">
        <f>A1703*Assumptions!$B$12</f>
        <v>16.95</v>
      </c>
      <c r="C1703" s="15">
        <f>IF(A1703&lt;=Assumptions!$B$13,IF(OR(A1703=0,A1703=Assumptions!$B$13),0.5,1),0)*Assumptions!$B$12</f>
        <v>0.01</v>
      </c>
      <c r="D1703" s="12">
        <f>D1702*(1-Assumptions!$B$12*(Assumptions!$B$5+Assumptions!$B$6))</f>
        <v>0.60135111909362859</v>
      </c>
      <c r="E1703" s="12">
        <f>E1702+Assumptions!$B$12*(D1702*Assumptions!$B$5-E1702*Assumptions!$B$7)</f>
        <v>0.17295711889766516</v>
      </c>
      <c r="F1703" s="12">
        <f t="shared" si="78"/>
        <v>0.22569176200870625</v>
      </c>
      <c r="G1703" s="12">
        <f>EXP(-Assumptions!$B$8*B1703)</f>
        <v>0.42848480606401657</v>
      </c>
      <c r="H1703" s="12">
        <f t="shared" si="79"/>
        <v>0.25766981764121277</v>
      </c>
      <c r="I1703" s="12">
        <f t="shared" si="80"/>
        <v>7.4109497548257103E-2</v>
      </c>
      <c r="J1703" s="12">
        <f>G1703*(D1703*Assumptions!$B$6+E1703*Assumptions!$B$7)</f>
        <v>6.2821730538249838E-3</v>
      </c>
    </row>
    <row r="1704" spans="1:10" x14ac:dyDescent="0.2">
      <c r="A1704" s="2">
        <v>1696</v>
      </c>
      <c r="B1704" s="14">
        <f>A1704*Assumptions!$B$12</f>
        <v>16.96</v>
      </c>
      <c r="C1704" s="15">
        <f>IF(A1704&lt;=Assumptions!$B$13,IF(OR(A1704=0,A1704=Assumptions!$B$13),0.5,1),0)*Assumptions!$B$12</f>
        <v>0.01</v>
      </c>
      <c r="D1704" s="12">
        <f>D1703*(1-Assumptions!$B$12*(Assumptions!$B$5+Assumptions!$B$6))</f>
        <v>0.60117071375790054</v>
      </c>
      <c r="E1704" s="12">
        <f>E1703+Assumptions!$B$12*(D1703*Assumptions!$B$5-E1703*Assumptions!$B$7)</f>
        <v>0.17299091056203506</v>
      </c>
      <c r="F1704" s="12">
        <f t="shared" si="78"/>
        <v>0.2258383756800644</v>
      </c>
      <c r="G1704" s="12">
        <f>EXP(-Assumptions!$B$8*B1704)</f>
        <v>0.42827061721265963</v>
      </c>
      <c r="H1704" s="12">
        <f t="shared" si="79"/>
        <v>0.25746375263127119</v>
      </c>
      <c r="I1704" s="12">
        <f t="shared" si="80"/>
        <v>7.4086924038582747E-2</v>
      </c>
      <c r="J1704" s="12">
        <f>G1704*(D1704*Assumptions!$B$6+E1704*Assumptions!$B$7)</f>
        <v>6.2789837282418498E-3</v>
      </c>
    </row>
    <row r="1705" spans="1:10" x14ac:dyDescent="0.2">
      <c r="A1705" s="2">
        <v>1697</v>
      </c>
      <c r="B1705" s="14">
        <f>A1705*Assumptions!$B$12</f>
        <v>16.97</v>
      </c>
      <c r="C1705" s="15">
        <f>IF(A1705&lt;=Assumptions!$B$13,IF(OR(A1705=0,A1705=Assumptions!$B$13),0.5,1),0)*Assumptions!$B$12</f>
        <v>0.01</v>
      </c>
      <c r="D1705" s="12">
        <f>D1704*(1-Assumptions!$B$12*(Assumptions!$B$5+Assumptions!$B$6))</f>
        <v>0.60099036254377314</v>
      </c>
      <c r="E1705" s="12">
        <f>E1704+Assumptions!$B$12*(D1704*Assumptions!$B$5-E1704*Assumptions!$B$7)</f>
        <v>0.17302464924950561</v>
      </c>
      <c r="F1705" s="12">
        <f t="shared" si="78"/>
        <v>0.22598498820672125</v>
      </c>
      <c r="G1705" s="12">
        <f>EXP(-Assumptions!$B$8*B1705)</f>
        <v>0.42805653542895927</v>
      </c>
      <c r="H1705" s="12">
        <f t="shared" si="79"/>
        <v>0.2572578524166817</v>
      </c>
      <c r="I1705" s="12">
        <f t="shared" si="80"/>
        <v>7.4064331901554245E-2</v>
      </c>
      <c r="J1705" s="12">
        <f>G1705*(D1705*Assumptions!$B$6+E1705*Assumptions!$B$7)</f>
        <v>6.2757951192445299E-3</v>
      </c>
    </row>
    <row r="1706" spans="1:10" x14ac:dyDescent="0.2">
      <c r="A1706" s="2">
        <v>1698</v>
      </c>
      <c r="B1706" s="14">
        <f>A1706*Assumptions!$B$12</f>
        <v>16.98</v>
      </c>
      <c r="C1706" s="15">
        <f>IF(A1706&lt;=Assumptions!$B$13,IF(OR(A1706=0,A1706=Assumptions!$B$13),0.5,1),0)*Assumptions!$B$12</f>
        <v>0.01</v>
      </c>
      <c r="D1706" s="12">
        <f>D1705*(1-Assumptions!$B$12*(Assumptions!$B$5+Assumptions!$B$6))</f>
        <v>0.60081006543501003</v>
      </c>
      <c r="E1706" s="12">
        <f>E1705+Assumptions!$B$12*(D1705*Assumptions!$B$5-E1705*Assumptions!$B$7)</f>
        <v>0.17305833499738962</v>
      </c>
      <c r="F1706" s="12">
        <f t="shared" si="78"/>
        <v>0.22613159956760034</v>
      </c>
      <c r="G1706" s="12">
        <f>EXP(-Assumptions!$B$8*B1706)</f>
        <v>0.42784256065939497</v>
      </c>
      <c r="H1706" s="12">
        <f t="shared" si="79"/>
        <v>0.25705211686565332</v>
      </c>
      <c r="I1706" s="12">
        <f t="shared" si="80"/>
        <v>7.4041721188734561E-2</v>
      </c>
      <c r="J1706" s="12">
        <f>G1706*(D1706*Assumptions!$B$6+E1706*Assumptions!$B$7)</f>
        <v>6.2726072280932616E-3</v>
      </c>
    </row>
    <row r="1707" spans="1:10" x14ac:dyDescent="0.2">
      <c r="A1707" s="2">
        <v>1699</v>
      </c>
      <c r="B1707" s="14">
        <f>A1707*Assumptions!$B$12</f>
        <v>16.990000000000002</v>
      </c>
      <c r="C1707" s="15">
        <f>IF(A1707&lt;=Assumptions!$B$13,IF(OR(A1707=0,A1707=Assumptions!$B$13),0.5,1),0)*Assumptions!$B$12</f>
        <v>0.01</v>
      </c>
      <c r="D1707" s="12">
        <f>D1706*(1-Assumptions!$B$12*(Assumptions!$B$5+Assumptions!$B$6))</f>
        <v>0.60062982241537954</v>
      </c>
      <c r="E1707" s="12">
        <f>E1706+Assumptions!$B$12*(D1706*Assumptions!$B$5-E1706*Assumptions!$B$7)</f>
        <v>0.17309196784297792</v>
      </c>
      <c r="F1707" s="12">
        <f t="shared" si="78"/>
        <v>0.22627820974164253</v>
      </c>
      <c r="G1707" s="12">
        <f>EXP(-Assumptions!$B$8*B1707)</f>
        <v>0.42762869285047306</v>
      </c>
      <c r="H1707" s="12">
        <f t="shared" si="79"/>
        <v>0.25684654584650052</v>
      </c>
      <c r="I1707" s="12">
        <f t="shared" si="80"/>
        <v>7.4019091951608759E-2</v>
      </c>
      <c r="J1707" s="12">
        <f>G1707*(D1707*Assumptions!$B$6+E1707*Assumptions!$B$7)</f>
        <v>6.2694200560454438E-3</v>
      </c>
    </row>
    <row r="1708" spans="1:10" x14ac:dyDescent="0.2">
      <c r="A1708" s="2">
        <v>1700</v>
      </c>
      <c r="B1708" s="14">
        <f>A1708*Assumptions!$B$12</f>
        <v>17</v>
      </c>
      <c r="C1708" s="15">
        <f>IF(A1708&lt;=Assumptions!$B$13,IF(OR(A1708=0,A1708=Assumptions!$B$13),0.5,1),0)*Assumptions!$B$12</f>
        <v>0.01</v>
      </c>
      <c r="D1708" s="12">
        <f>D1707*(1-Assumptions!$B$12*(Assumptions!$B$5+Assumptions!$B$6))</f>
        <v>0.60044963346865499</v>
      </c>
      <c r="E1708" s="12">
        <f>E1707+Assumptions!$B$12*(D1707*Assumptions!$B$5-E1707*Assumptions!$B$7)</f>
        <v>0.17312554782353951</v>
      </c>
      <c r="F1708" s="12">
        <f t="shared" si="78"/>
        <v>0.22642481870780551</v>
      </c>
      <c r="G1708" s="12">
        <f>EXP(-Assumptions!$B$8*B1708)</f>
        <v>0.42741493194872665</v>
      </c>
      <c r="H1708" s="12">
        <f t="shared" si="79"/>
        <v>0.25664113922764303</v>
      </c>
      <c r="I1708" s="12">
        <f t="shared" si="80"/>
        <v>7.3996444241584164E-2</v>
      </c>
      <c r="J1708" s="12">
        <f>G1708*(D1708*Assumptions!$B$6+E1708*Assumptions!$B$7)</f>
        <v>6.266233604355638E-3</v>
      </c>
    </row>
    <row r="1709" spans="1:10" x14ac:dyDescent="0.2">
      <c r="A1709" s="2">
        <v>1701</v>
      </c>
      <c r="B1709" s="14">
        <f>A1709*Assumptions!$B$12</f>
        <v>17.010000000000002</v>
      </c>
      <c r="C1709" s="15">
        <f>IF(A1709&lt;=Assumptions!$B$13,IF(OR(A1709=0,A1709=Assumptions!$B$13),0.5,1),0)*Assumptions!$B$12</f>
        <v>0.01</v>
      </c>
      <c r="D1709" s="12">
        <f>D1708*(1-Assumptions!$B$12*(Assumptions!$B$5+Assumptions!$B$6))</f>
        <v>0.60026949857861445</v>
      </c>
      <c r="E1709" s="12">
        <f>E1708+Assumptions!$B$12*(D1708*Assumptions!$B$5-E1708*Assumptions!$B$7)</f>
        <v>0.17315907497632146</v>
      </c>
      <c r="F1709" s="12">
        <f t="shared" si="78"/>
        <v>0.22657142644506409</v>
      </c>
      <c r="G1709" s="12">
        <f>EXP(-Assumptions!$B$8*B1709)</f>
        <v>0.42720127790071538</v>
      </c>
      <c r="H1709" s="12">
        <f t="shared" si="79"/>
        <v>0.25643589687760576</v>
      </c>
      <c r="I1709" s="12">
        <f t="shared" si="80"/>
        <v>7.3973778109990312E-2</v>
      </c>
      <c r="J1709" s="12">
        <f>G1709*(D1709*Assumptions!$B$6+E1709*Assumptions!$B$7)</f>
        <v>6.2630478742755737E-3</v>
      </c>
    </row>
    <row r="1710" spans="1:10" x14ac:dyDescent="0.2">
      <c r="A1710" s="2">
        <v>1702</v>
      </c>
      <c r="B1710" s="14">
        <f>A1710*Assumptions!$B$12</f>
        <v>17.02</v>
      </c>
      <c r="C1710" s="15">
        <f>IF(A1710&lt;=Assumptions!$B$13,IF(OR(A1710=0,A1710=Assumptions!$B$13),0.5,1),0)*Assumptions!$B$12</f>
        <v>0.01</v>
      </c>
      <c r="D1710" s="12">
        <f>D1709*(1-Assumptions!$B$12*(Assumptions!$B$5+Assumptions!$B$6))</f>
        <v>0.6000894177290409</v>
      </c>
      <c r="E1710" s="12">
        <f>E1709+Assumptions!$B$12*(D1709*Assumptions!$B$5-E1709*Assumptions!$B$7)</f>
        <v>0.17319254933854902</v>
      </c>
      <c r="F1710" s="12">
        <f t="shared" si="78"/>
        <v>0.22671803293241008</v>
      </c>
      <c r="G1710" s="12">
        <f>EXP(-Assumptions!$B$8*B1710)</f>
        <v>0.42698773065302592</v>
      </c>
      <c r="H1710" s="12">
        <f t="shared" si="79"/>
        <v>0.25623081866501884</v>
      </c>
      <c r="I1710" s="12">
        <f t="shared" si="80"/>
        <v>7.3951093608079277E-2</v>
      </c>
      <c r="J1710" s="12">
        <f>G1710*(D1710*Assumptions!$B$6+E1710*Assumptions!$B$7)</f>
        <v>6.2598628670541522E-3</v>
      </c>
    </row>
    <row r="1711" spans="1:10" x14ac:dyDescent="0.2">
      <c r="A1711" s="2">
        <v>1703</v>
      </c>
      <c r="B1711" s="14">
        <f>A1711*Assumptions!$B$12</f>
        <v>17.03</v>
      </c>
      <c r="C1711" s="15">
        <f>IF(A1711&lt;=Assumptions!$B$13,IF(OR(A1711=0,A1711=Assumptions!$B$13),0.5,1),0)*Assumptions!$B$12</f>
        <v>0.01</v>
      </c>
      <c r="D1711" s="12">
        <f>D1710*(1-Assumptions!$B$12*(Assumptions!$B$5+Assumptions!$B$6))</f>
        <v>0.59990939090372219</v>
      </c>
      <c r="E1711" s="12">
        <f>E1710+Assumptions!$B$12*(D1710*Assumptions!$B$5-E1710*Assumptions!$B$7)</f>
        <v>0.17322597094742556</v>
      </c>
      <c r="F1711" s="12">
        <f t="shared" si="78"/>
        <v>0.22686463814885224</v>
      </c>
      <c r="G1711" s="12">
        <f>EXP(-Assumptions!$B$8*B1711)</f>
        <v>0.4267742901522712</v>
      </c>
      <c r="H1711" s="12">
        <f t="shared" si="79"/>
        <v>0.25602590445861739</v>
      </c>
      <c r="I1711" s="12">
        <f t="shared" si="80"/>
        <v>7.3928390787025497E-2</v>
      </c>
      <c r="J1711" s="12">
        <f>G1711*(D1711*Assumptions!$B$6+E1711*Assumptions!$B$7)</f>
        <v>6.2566785839374486E-3</v>
      </c>
    </row>
    <row r="1712" spans="1:10" x14ac:dyDescent="0.2">
      <c r="A1712" s="2">
        <v>1704</v>
      </c>
      <c r="B1712" s="14">
        <f>A1712*Assumptions!$B$12</f>
        <v>17.04</v>
      </c>
      <c r="C1712" s="15">
        <f>IF(A1712&lt;=Assumptions!$B$13,IF(OR(A1712=0,A1712=Assumptions!$B$13),0.5,1),0)*Assumptions!$B$12</f>
        <v>0.01</v>
      </c>
      <c r="D1712" s="12">
        <f>D1711*(1-Assumptions!$B$12*(Assumptions!$B$5+Assumptions!$B$6))</f>
        <v>0.59972941808645108</v>
      </c>
      <c r="E1712" s="12">
        <f>E1711+Assumptions!$B$12*(D1711*Assumptions!$B$5-E1711*Assumptions!$B$7)</f>
        <v>0.17325933984013259</v>
      </c>
      <c r="F1712" s="12">
        <f t="shared" si="78"/>
        <v>0.22701124207341633</v>
      </c>
      <c r="G1712" s="12">
        <f>EXP(-Assumptions!$B$8*B1712)</f>
        <v>0.42656095634509139</v>
      </c>
      <c r="H1712" s="12">
        <f t="shared" si="79"/>
        <v>0.25582115412724171</v>
      </c>
      <c r="I1712" s="12">
        <f t="shared" si="80"/>
        <v>7.3905669697926155E-2</v>
      </c>
      <c r="J1712" s="12">
        <f>G1712*(D1712*Assumptions!$B$6+E1712*Assumptions!$B$7)</f>
        <v>6.2534950261687247E-3</v>
      </c>
    </row>
    <row r="1713" spans="1:10" x14ac:dyDescent="0.2">
      <c r="A1713" s="2">
        <v>1705</v>
      </c>
      <c r="B1713" s="14">
        <f>A1713*Assumptions!$B$12</f>
        <v>17.05</v>
      </c>
      <c r="C1713" s="15">
        <f>IF(A1713&lt;=Assumptions!$B$13,IF(OR(A1713=0,A1713=Assumptions!$B$13),0.5,1),0)*Assumptions!$B$12</f>
        <v>0.01</v>
      </c>
      <c r="D1713" s="12">
        <f>D1712*(1-Assumptions!$B$12*(Assumptions!$B$5+Assumptions!$B$6))</f>
        <v>0.59954949926102519</v>
      </c>
      <c r="E1713" s="12">
        <f>E1712+Assumptions!$B$12*(D1712*Assumptions!$B$5-E1712*Assumptions!$B$7)</f>
        <v>0.17329265605382982</v>
      </c>
      <c r="F1713" s="12">
        <f t="shared" si="78"/>
        <v>0.22715784468514499</v>
      </c>
      <c r="G1713" s="12">
        <f>EXP(-Assumptions!$B$8*B1713)</f>
        <v>0.42634772917815278</v>
      </c>
      <c r="H1713" s="12">
        <f t="shared" si="79"/>
        <v>0.25561656753983669</v>
      </c>
      <c r="I1713" s="12">
        <f t="shared" si="80"/>
        <v>7.3882930391801008E-2</v>
      </c>
      <c r="J1713" s="12">
        <f>G1713*(D1713*Assumptions!$B$6+E1713*Assumptions!$B$7)</f>
        <v>6.2503121949884178E-3</v>
      </c>
    </row>
    <row r="1714" spans="1:10" x14ac:dyDescent="0.2">
      <c r="A1714" s="2">
        <v>1706</v>
      </c>
      <c r="B1714" s="14">
        <f>A1714*Assumptions!$B$12</f>
        <v>17.059999999999999</v>
      </c>
      <c r="C1714" s="15">
        <f>IF(A1714&lt;=Assumptions!$B$13,IF(OR(A1714=0,A1714=Assumptions!$B$13),0.5,1),0)*Assumptions!$B$12</f>
        <v>0.01</v>
      </c>
      <c r="D1714" s="12">
        <f>D1713*(1-Assumptions!$B$12*(Assumptions!$B$5+Assumptions!$B$6))</f>
        <v>0.59936963441124691</v>
      </c>
      <c r="E1714" s="12">
        <f>E1713+Assumptions!$B$12*(D1713*Assumptions!$B$5-E1713*Assumptions!$B$7)</f>
        <v>0.17332591962565511</v>
      </c>
      <c r="F1714" s="12">
        <f t="shared" si="78"/>
        <v>0.22730444596309798</v>
      </c>
      <c r="G1714" s="12">
        <f>EXP(-Assumptions!$B$8*B1714)</f>
        <v>0.42613460859814872</v>
      </c>
      <c r="H1714" s="12">
        <f t="shared" si="79"/>
        <v>0.25541214456545219</v>
      </c>
      <c r="I1714" s="12">
        <f t="shared" si="80"/>
        <v>7.3860172919592723E-2</v>
      </c>
      <c r="J1714" s="12">
        <f>G1714*(D1714*Assumptions!$B$6+E1714*Assumptions!$B$7)</f>
        <v>6.2471300916341586E-3</v>
      </c>
    </row>
    <row r="1715" spans="1:10" x14ac:dyDescent="0.2">
      <c r="A1715" s="2">
        <v>1707</v>
      </c>
      <c r="B1715" s="14">
        <f>A1715*Assumptions!$B$12</f>
        <v>17.07</v>
      </c>
      <c r="C1715" s="15">
        <f>IF(A1715&lt;=Assumptions!$B$13,IF(OR(A1715=0,A1715=Assumptions!$B$13),0.5,1),0)*Assumptions!$B$12</f>
        <v>0.01</v>
      </c>
      <c r="D1715" s="12">
        <f>D1714*(1-Assumptions!$B$12*(Assumptions!$B$5+Assumptions!$B$6))</f>
        <v>0.59918982352092354</v>
      </c>
      <c r="E1715" s="12">
        <f>E1714+Assumptions!$B$12*(D1714*Assumptions!$B$5-E1714*Assumptions!$B$7)</f>
        <v>0.17335913059272454</v>
      </c>
      <c r="F1715" s="12">
        <f t="shared" si="78"/>
        <v>0.22745104588635193</v>
      </c>
      <c r="G1715" s="12">
        <f>EXP(-Assumptions!$B$8*B1715)</f>
        <v>0.42592159455179901</v>
      </c>
      <c r="H1715" s="12">
        <f t="shared" si="79"/>
        <v>0.25520788507324282</v>
      </c>
      <c r="I1715" s="12">
        <f t="shared" si="80"/>
        <v>7.3837397332166793E-2</v>
      </c>
      <c r="J1715" s="12">
        <f>G1715*(D1715*Assumptions!$B$6+E1715*Assumptions!$B$7)</f>
        <v>6.2439487173407675E-3</v>
      </c>
    </row>
    <row r="1716" spans="1:10" x14ac:dyDescent="0.2">
      <c r="A1716" s="2">
        <v>1708</v>
      </c>
      <c r="B1716" s="14">
        <f>A1716*Assumptions!$B$12</f>
        <v>17.080000000000002</v>
      </c>
      <c r="C1716" s="15">
        <f>IF(A1716&lt;=Assumptions!$B$13,IF(OR(A1716=0,A1716=Assumptions!$B$13),0.5,1),0)*Assumptions!$B$12</f>
        <v>0.01</v>
      </c>
      <c r="D1716" s="12">
        <f>D1715*(1-Assumptions!$B$12*(Assumptions!$B$5+Assumptions!$B$6))</f>
        <v>0.59901006657386724</v>
      </c>
      <c r="E1716" s="12">
        <f>E1715+Assumptions!$B$12*(D1715*Assumptions!$B$5-E1715*Assumptions!$B$7)</f>
        <v>0.17339228899213235</v>
      </c>
      <c r="F1716" s="12">
        <f t="shared" si="78"/>
        <v>0.22759764443400041</v>
      </c>
      <c r="G1716" s="12">
        <f>EXP(-Assumptions!$B$8*B1716)</f>
        <v>0.42570868698585013</v>
      </c>
      <c r="H1716" s="12">
        <f t="shared" si="79"/>
        <v>0.25500378893246767</v>
      </c>
      <c r="I1716" s="12">
        <f t="shared" si="80"/>
        <v>7.3814603680311744E-2</v>
      </c>
      <c r="J1716" s="12">
        <f>G1716*(D1716*Assumptions!$B$6+E1716*Assumptions!$B$7)</f>
        <v>6.2407680733402643E-3</v>
      </c>
    </row>
    <row r="1717" spans="1:10" x14ac:dyDescent="0.2">
      <c r="A1717" s="2">
        <v>1709</v>
      </c>
      <c r="B1717" s="14">
        <f>A1717*Assumptions!$B$12</f>
        <v>17.09</v>
      </c>
      <c r="C1717" s="15">
        <f>IF(A1717&lt;=Assumptions!$B$13,IF(OR(A1717=0,A1717=Assumptions!$B$13),0.5,1),0)*Assumptions!$B$12</f>
        <v>0.01</v>
      </c>
      <c r="D1717" s="12">
        <f>D1716*(1-Assumptions!$B$12*(Assumptions!$B$5+Assumptions!$B$6))</f>
        <v>0.59883036355389507</v>
      </c>
      <c r="E1717" s="12">
        <f>E1716+Assumptions!$B$12*(D1716*Assumptions!$B$5-E1716*Assumptions!$B$7)</f>
        <v>0.17342539486095107</v>
      </c>
      <c r="F1717" s="12">
        <f t="shared" si="78"/>
        <v>0.22774424158515386</v>
      </c>
      <c r="G1717" s="12">
        <f>EXP(-Assumptions!$B$8*B1717)</f>
        <v>0.42549588584707532</v>
      </c>
      <c r="H1717" s="12">
        <f t="shared" si="79"/>
        <v>0.25479985601249072</v>
      </c>
      <c r="I1717" s="12">
        <f t="shared" si="80"/>
        <v>7.3791792014739205E-2</v>
      </c>
      <c r="J1717" s="12">
        <f>G1717*(D1717*Assumptions!$B$6+E1717*Assumptions!$B$7)</f>
        <v>6.2375881608618677E-3</v>
      </c>
    </row>
    <row r="1718" spans="1:10" x14ac:dyDescent="0.2">
      <c r="A1718" s="2">
        <v>1710</v>
      </c>
      <c r="B1718" s="14">
        <f>A1718*Assumptions!$B$12</f>
        <v>17.100000000000001</v>
      </c>
      <c r="C1718" s="15">
        <f>IF(A1718&lt;=Assumptions!$B$13,IF(OR(A1718=0,A1718=Assumptions!$B$13),0.5,1),0)*Assumptions!$B$12</f>
        <v>0.01</v>
      </c>
      <c r="D1718" s="12">
        <f>D1717*(1-Assumptions!$B$12*(Assumptions!$B$5+Assumptions!$B$6))</f>
        <v>0.59865071444482898</v>
      </c>
      <c r="E1718" s="12">
        <f>E1717+Assumptions!$B$12*(D1717*Assumptions!$B$5-E1717*Assumptions!$B$7)</f>
        <v>0.17345844823623138</v>
      </c>
      <c r="F1718" s="12">
        <f t="shared" si="78"/>
        <v>0.22789083731893964</v>
      </c>
      <c r="G1718" s="12">
        <f>EXP(-Assumptions!$B$8*B1718)</f>
        <v>0.42528319108227408</v>
      </c>
      <c r="H1718" s="12">
        <f t="shared" si="79"/>
        <v>0.25459608618278012</v>
      </c>
      <c r="I1718" s="12">
        <f t="shared" si="80"/>
        <v>7.3768962386083936E-2</v>
      </c>
      <c r="J1718" s="12">
        <f>G1718*(D1718*Assumptions!$B$6+E1718*Assumptions!$B$7)</f>
        <v>6.234408981131998E-3</v>
      </c>
    </row>
    <row r="1719" spans="1:10" x14ac:dyDescent="0.2">
      <c r="A1719" s="2">
        <v>1711</v>
      </c>
      <c r="B1719" s="14">
        <f>A1719*Assumptions!$B$12</f>
        <v>17.11</v>
      </c>
      <c r="C1719" s="15">
        <f>IF(A1719&lt;=Assumptions!$B$13,IF(OR(A1719=0,A1719=Assumptions!$B$13),0.5,1),0)*Assumptions!$B$12</f>
        <v>0.01</v>
      </c>
      <c r="D1719" s="12">
        <f>D1718*(1-Assumptions!$B$12*(Assumptions!$B$5+Assumptions!$B$6))</f>
        <v>0.59847111923049556</v>
      </c>
      <c r="E1719" s="12">
        <f>E1718+Assumptions!$B$12*(D1718*Assumptions!$B$5-E1718*Assumptions!$B$7)</f>
        <v>0.17349144915500223</v>
      </c>
      <c r="F1719" s="12">
        <f t="shared" si="78"/>
        <v>0.22803743161450221</v>
      </c>
      <c r="G1719" s="12">
        <f>EXP(-Assumptions!$B$8*B1719)</f>
        <v>0.4250706026382729</v>
      </c>
      <c r="H1719" s="12">
        <f t="shared" si="79"/>
        <v>0.25439247931290843</v>
      </c>
      <c r="I1719" s="12">
        <f t="shared" si="80"/>
        <v>7.3746114844904079E-2</v>
      </c>
      <c r="J1719" s="12">
        <f>G1719*(D1719*Assumptions!$B$6+E1719*Assumptions!$B$7)</f>
        <v>6.2312305353742882E-3</v>
      </c>
    </row>
    <row r="1720" spans="1:10" x14ac:dyDescent="0.2">
      <c r="A1720" s="2">
        <v>1712</v>
      </c>
      <c r="B1720" s="14">
        <f>A1720*Assumptions!$B$12</f>
        <v>17.12</v>
      </c>
      <c r="C1720" s="15">
        <f>IF(A1720&lt;=Assumptions!$B$13,IF(OR(A1720=0,A1720=Assumptions!$B$13),0.5,1),0)*Assumptions!$B$12</f>
        <v>0.01</v>
      </c>
      <c r="D1720" s="12">
        <f>D1719*(1-Assumptions!$B$12*(Assumptions!$B$5+Assumptions!$B$6))</f>
        <v>0.59829157789472642</v>
      </c>
      <c r="E1720" s="12">
        <f>E1719+Assumptions!$B$12*(D1719*Assumptions!$B$5-E1719*Assumptions!$B$7)</f>
        <v>0.17352439765427083</v>
      </c>
      <c r="F1720" s="12">
        <f t="shared" si="78"/>
        <v>0.22818402445100275</v>
      </c>
      <c r="G1720" s="12">
        <f>EXP(-Assumptions!$B$8*B1720)</f>
        <v>0.42485812046192456</v>
      </c>
      <c r="H1720" s="12">
        <f t="shared" si="79"/>
        <v>0.2541890352725526</v>
      </c>
      <c r="I1720" s="12">
        <f t="shared" si="80"/>
        <v>7.3723249441681099E-2</v>
      </c>
      <c r="J1720" s="12">
        <f>G1720*(D1720*Assumptions!$B$6+E1720*Assumptions!$B$7)</f>
        <v>6.2280528248095813E-3</v>
      </c>
    </row>
    <row r="1721" spans="1:10" x14ac:dyDescent="0.2">
      <c r="A1721" s="2">
        <v>1713</v>
      </c>
      <c r="B1721" s="14">
        <f>A1721*Assumptions!$B$12</f>
        <v>17.13</v>
      </c>
      <c r="C1721" s="15">
        <f>IF(A1721&lt;=Assumptions!$B$13,IF(OR(A1721=0,A1721=Assumptions!$B$13),0.5,1),0)*Assumptions!$B$12</f>
        <v>0.01</v>
      </c>
      <c r="D1721" s="12">
        <f>D1720*(1-Assumptions!$B$12*(Assumptions!$B$5+Assumptions!$B$6))</f>
        <v>0.59811209042135804</v>
      </c>
      <c r="E1721" s="12">
        <f>E1720+Assumptions!$B$12*(D1720*Assumptions!$B$5-E1720*Assumptions!$B$7)</f>
        <v>0.17355729377102264</v>
      </c>
      <c r="F1721" s="12">
        <f t="shared" si="78"/>
        <v>0.22833061580761932</v>
      </c>
      <c r="G1721" s="12">
        <f>EXP(-Assumptions!$B$8*B1721)</f>
        <v>0.42464574450010856</v>
      </c>
      <c r="H1721" s="12">
        <f t="shared" si="79"/>
        <v>0.25398575393149381</v>
      </c>
      <c r="I1721" s="12">
        <f t="shared" si="80"/>
        <v>7.3700366226819955E-2</v>
      </c>
      <c r="J1721" s="12">
        <f>G1721*(D1721*Assumptions!$B$6+E1721*Assumptions!$B$7)</f>
        <v>6.2248758506559358E-3</v>
      </c>
    </row>
    <row r="1722" spans="1:10" x14ac:dyDescent="0.2">
      <c r="A1722" s="2">
        <v>1714</v>
      </c>
      <c r="B1722" s="14">
        <f>A1722*Assumptions!$B$12</f>
        <v>17.14</v>
      </c>
      <c r="C1722" s="15">
        <f>IF(A1722&lt;=Assumptions!$B$13,IF(OR(A1722=0,A1722=Assumptions!$B$13),0.5,1),0)*Assumptions!$B$12</f>
        <v>0.01</v>
      </c>
      <c r="D1722" s="12">
        <f>D1721*(1-Assumptions!$B$12*(Assumptions!$B$5+Assumptions!$B$6))</f>
        <v>0.59793265679423169</v>
      </c>
      <c r="E1722" s="12">
        <f>E1721+Assumptions!$B$12*(D1721*Assumptions!$B$5-E1721*Assumptions!$B$7)</f>
        <v>0.17359013754222138</v>
      </c>
      <c r="F1722" s="12">
        <f t="shared" si="78"/>
        <v>0.22847720566354693</v>
      </c>
      <c r="G1722" s="12">
        <f>EXP(-Assumptions!$B$8*B1722)</f>
        <v>0.42443347469973086</v>
      </c>
      <c r="H1722" s="12">
        <f t="shared" si="79"/>
        <v>0.25378263515961741</v>
      </c>
      <c r="I1722" s="12">
        <f t="shared" si="80"/>
        <v>7.3677465250649221E-2</v>
      </c>
      <c r="J1722" s="12">
        <f>G1722*(D1722*Assumptions!$B$6+E1722*Assumptions!$B$7)</f>
        <v>6.2216996141286349E-3</v>
      </c>
    </row>
    <row r="1723" spans="1:10" x14ac:dyDescent="0.2">
      <c r="A1723" s="2">
        <v>1715</v>
      </c>
      <c r="B1723" s="14">
        <f>A1723*Assumptions!$B$12</f>
        <v>17.150000000000002</v>
      </c>
      <c r="C1723" s="15">
        <f>IF(A1723&lt;=Assumptions!$B$13,IF(OR(A1723=0,A1723=Assumptions!$B$13),0.5,1),0)*Assumptions!$B$12</f>
        <v>0.01</v>
      </c>
      <c r="D1723" s="12">
        <f>D1722*(1-Assumptions!$B$12*(Assumptions!$B$5+Assumptions!$B$6))</f>
        <v>0.59775327699719338</v>
      </c>
      <c r="E1723" s="12">
        <f>E1722+Assumptions!$B$12*(D1722*Assumptions!$B$5-E1722*Assumptions!$B$7)</f>
        <v>0.17362292900480911</v>
      </c>
      <c r="F1723" s="12">
        <f t="shared" si="78"/>
        <v>0.22862379399799751</v>
      </c>
      <c r="G1723" s="12">
        <f>EXP(-Assumptions!$B$8*B1723)</f>
        <v>0.42422131100772403</v>
      </c>
      <c r="H1723" s="12">
        <f t="shared" si="79"/>
        <v>0.25357967882691257</v>
      </c>
      <c r="I1723" s="12">
        <f t="shared" si="80"/>
        <v>7.3654546563421117E-2</v>
      </c>
      <c r="J1723" s="12">
        <f>G1723*(D1723*Assumptions!$B$6+E1723*Assumptions!$B$7)</f>
        <v>6.2185241164401817E-3</v>
      </c>
    </row>
    <row r="1724" spans="1:10" x14ac:dyDescent="0.2">
      <c r="A1724" s="2">
        <v>1716</v>
      </c>
      <c r="B1724" s="14">
        <f>A1724*Assumptions!$B$12</f>
        <v>17.16</v>
      </c>
      <c r="C1724" s="15">
        <f>IF(A1724&lt;=Assumptions!$B$13,IF(OR(A1724=0,A1724=Assumptions!$B$13),0.5,1),0)*Assumptions!$B$12</f>
        <v>0.01</v>
      </c>
      <c r="D1724" s="12">
        <f>D1723*(1-Assumptions!$B$12*(Assumptions!$B$5+Assumptions!$B$6))</f>
        <v>0.59757395101409427</v>
      </c>
      <c r="E1724" s="12">
        <f>E1723+Assumptions!$B$12*(D1723*Assumptions!$B$5-E1723*Assumptions!$B$7)</f>
        <v>0.17365566819570613</v>
      </c>
      <c r="F1724" s="12">
        <f t="shared" si="78"/>
        <v>0.2287703807901996</v>
      </c>
      <c r="G1724" s="12">
        <f>EXP(-Assumptions!$B$8*B1724)</f>
        <v>0.42400925337104722</v>
      </c>
      <c r="H1724" s="12">
        <f t="shared" si="79"/>
        <v>0.25337688480347287</v>
      </c>
      <c r="I1724" s="12">
        <f t="shared" si="80"/>
        <v>7.3631610215311671E-2</v>
      </c>
      <c r="J1724" s="12">
        <f>G1724*(D1724*Assumptions!$B$6+E1724*Assumptions!$B$7)</f>
        <v>6.2153493588003126E-3</v>
      </c>
    </row>
    <row r="1725" spans="1:10" x14ac:dyDescent="0.2">
      <c r="A1725" s="2">
        <v>1717</v>
      </c>
      <c r="B1725" s="14">
        <f>A1725*Assumptions!$B$12</f>
        <v>17.170000000000002</v>
      </c>
      <c r="C1725" s="15">
        <f>IF(A1725&lt;=Assumptions!$B$13,IF(OR(A1725=0,A1725=Assumptions!$B$13),0.5,1),0)*Assumptions!$B$12</f>
        <v>0.01</v>
      </c>
      <c r="D1725" s="12">
        <f>D1724*(1-Assumptions!$B$12*(Assumptions!$B$5+Assumptions!$B$6))</f>
        <v>0.59739467882879005</v>
      </c>
      <c r="E1725" s="12">
        <f>E1724+Assumptions!$B$12*(D1724*Assumptions!$B$5-E1724*Assumptions!$B$7)</f>
        <v>0.17368835515181111</v>
      </c>
      <c r="F1725" s="12">
        <f t="shared" si="78"/>
        <v>0.22891696601939884</v>
      </c>
      <c r="G1725" s="12">
        <f>EXP(-Assumptions!$B$8*B1725)</f>
        <v>0.42379730173668595</v>
      </c>
      <c r="H1725" s="12">
        <f t="shared" si="79"/>
        <v>0.25317425295949531</v>
      </c>
      <c r="I1725" s="12">
        <f t="shared" si="80"/>
        <v>7.3608656256420768E-2</v>
      </c>
      <c r="J1725" s="12">
        <f>G1725*(D1725*Assumptions!$B$6+E1725*Assumptions!$B$7)</f>
        <v>6.2121753424159917E-3</v>
      </c>
    </row>
    <row r="1726" spans="1:10" x14ac:dyDescent="0.2">
      <c r="A1726" s="2">
        <v>1718</v>
      </c>
      <c r="B1726" s="14">
        <f>A1726*Assumptions!$B$12</f>
        <v>17.18</v>
      </c>
      <c r="C1726" s="15">
        <f>IF(A1726&lt;=Assumptions!$B$13,IF(OR(A1726=0,A1726=Assumptions!$B$13),0.5,1),0)*Assumptions!$B$12</f>
        <v>0.01</v>
      </c>
      <c r="D1726" s="12">
        <f>D1725*(1-Assumptions!$B$12*(Assumptions!$B$5+Assumptions!$B$6))</f>
        <v>0.5972154604251414</v>
      </c>
      <c r="E1726" s="12">
        <f>E1725+Assumptions!$B$12*(D1725*Assumptions!$B$5-E1725*Assumptions!$B$7)</f>
        <v>0.17372098991000096</v>
      </c>
      <c r="F1726" s="12">
        <f t="shared" si="78"/>
        <v>0.22906354966485765</v>
      </c>
      <c r="G1726" s="12">
        <f>EXP(-Assumptions!$B$8*B1726)</f>
        <v>0.42358545605165238</v>
      </c>
      <c r="H1726" s="12">
        <f t="shared" si="79"/>
        <v>0.25297178316528107</v>
      </c>
      <c r="I1726" s="12">
        <f t="shared" si="80"/>
        <v>7.3585684736772253E-2</v>
      </c>
      <c r="J1726" s="12">
        <f>G1726*(D1726*Assumptions!$B$6+E1726*Assumptions!$B$7)</f>
        <v>6.2090020684914234E-3</v>
      </c>
    </row>
    <row r="1727" spans="1:10" x14ac:dyDescent="0.2">
      <c r="A1727" s="2">
        <v>1719</v>
      </c>
      <c r="B1727" s="14">
        <f>A1727*Assumptions!$B$12</f>
        <v>17.190000000000001</v>
      </c>
      <c r="C1727" s="15">
        <f>IF(A1727&lt;=Assumptions!$B$13,IF(OR(A1727=0,A1727=Assumptions!$B$13),0.5,1),0)*Assumptions!$B$12</f>
        <v>0.01</v>
      </c>
      <c r="D1727" s="12">
        <f>D1726*(1-Assumptions!$B$12*(Assumptions!$B$5+Assumptions!$B$6))</f>
        <v>0.59703629578701389</v>
      </c>
      <c r="E1727" s="12">
        <f>E1726+Assumptions!$B$12*(D1726*Assumptions!$B$5-E1726*Assumptions!$B$7)</f>
        <v>0.17375357250713097</v>
      </c>
      <c r="F1727" s="12">
        <f t="shared" si="78"/>
        <v>0.22921013170585514</v>
      </c>
      <c r="G1727" s="12">
        <f>EXP(-Assumptions!$B$8*B1727)</f>
        <v>0.42337371626298492</v>
      </c>
      <c r="H1727" s="12">
        <f t="shared" si="79"/>
        <v>0.25276947529123478</v>
      </c>
      <c r="I1727" s="12">
        <f t="shared" si="80"/>
        <v>7.3562695706314046E-2</v>
      </c>
      <c r="J1727" s="12">
        <f>G1727*(D1727*Assumptions!$B$6+E1727*Assumptions!$B$7)</f>
        <v>6.2058295382280502E-3</v>
      </c>
    </row>
    <row r="1728" spans="1:10" x14ac:dyDescent="0.2">
      <c r="A1728" s="2">
        <v>1720</v>
      </c>
      <c r="B1728" s="14">
        <f>A1728*Assumptions!$B$12</f>
        <v>17.2</v>
      </c>
      <c r="C1728" s="15">
        <f>IF(A1728&lt;=Assumptions!$B$13,IF(OR(A1728=0,A1728=Assumptions!$B$13),0.5,1),0)*Assumptions!$B$12</f>
        <v>0.01</v>
      </c>
      <c r="D1728" s="12">
        <f>D1727*(1-Assumptions!$B$12*(Assumptions!$B$5+Assumptions!$B$6))</f>
        <v>0.59685718489827777</v>
      </c>
      <c r="E1728" s="12">
        <f>E1727+Assumptions!$B$12*(D1727*Assumptions!$B$5-E1727*Assumptions!$B$7)</f>
        <v>0.1737861029800348</v>
      </c>
      <c r="F1728" s="12">
        <f t="shared" si="78"/>
        <v>0.22935671212168743</v>
      </c>
      <c r="G1728" s="12">
        <f>EXP(-Assumptions!$B$8*B1728)</f>
        <v>0.42316208231774882</v>
      </c>
      <c r="H1728" s="12">
        <f t="shared" si="79"/>
        <v>0.25256732920786484</v>
      </c>
      <c r="I1728" s="12">
        <f t="shared" si="80"/>
        <v>7.3539689214918255E-2</v>
      </c>
      <c r="J1728" s="12">
        <f>G1728*(D1728*Assumptions!$B$6+E1728*Assumptions!$B$7)</f>
        <v>6.2026577528245617E-3</v>
      </c>
    </row>
    <row r="1729" spans="1:10" x14ac:dyDescent="0.2">
      <c r="A1729" s="2">
        <v>1721</v>
      </c>
      <c r="B1729" s="14">
        <f>A1729*Assumptions!$B$12</f>
        <v>17.21</v>
      </c>
      <c r="C1729" s="15">
        <f>IF(A1729&lt;=Assumptions!$B$13,IF(OR(A1729=0,A1729=Assumptions!$B$13),0.5,1),0)*Assumptions!$B$12</f>
        <v>0.01</v>
      </c>
      <c r="D1729" s="12">
        <f>D1728*(1-Assumptions!$B$12*(Assumptions!$B$5+Assumptions!$B$6))</f>
        <v>0.59667812774280826</v>
      </c>
      <c r="E1729" s="12">
        <f>E1728+Assumptions!$B$12*(D1728*Assumptions!$B$5-E1728*Assumptions!$B$7)</f>
        <v>0.17381858136552444</v>
      </c>
      <c r="F1729" s="12">
        <f t="shared" si="78"/>
        <v>0.22950329089166729</v>
      </c>
      <c r="G1729" s="12">
        <f>EXP(-Assumptions!$B$8*B1729)</f>
        <v>0.42295055416303545</v>
      </c>
      <c r="H1729" s="12">
        <f t="shared" si="79"/>
        <v>0.25236534478578321</v>
      </c>
      <c r="I1729" s="12">
        <f t="shared" si="80"/>
        <v>7.3516665312381227E-2</v>
      </c>
      <c r="J1729" s="12">
        <f>G1729*(D1729*Assumptions!$B$6+E1729*Assumptions!$B$7)</f>
        <v>6.1994867134768945E-3</v>
      </c>
    </row>
    <row r="1730" spans="1:10" x14ac:dyDescent="0.2">
      <c r="A1730" s="2">
        <v>1722</v>
      </c>
      <c r="B1730" s="14">
        <f>A1730*Assumptions!$B$12</f>
        <v>17.22</v>
      </c>
      <c r="C1730" s="15">
        <f>IF(A1730&lt;=Assumptions!$B$13,IF(OR(A1730=0,A1730=Assumptions!$B$13),0.5,1),0)*Assumptions!$B$12</f>
        <v>0.01</v>
      </c>
      <c r="D1730" s="12">
        <f>D1729*(1-Assumptions!$B$12*(Assumptions!$B$5+Assumptions!$B$6))</f>
        <v>0.59649912430448548</v>
      </c>
      <c r="E1730" s="12">
        <f>E1729+Assumptions!$B$12*(D1729*Assumptions!$B$5-E1729*Assumptions!$B$7)</f>
        <v>0.17385100770039025</v>
      </c>
      <c r="F1730" s="12">
        <f t="shared" si="78"/>
        <v>0.22964986799512427</v>
      </c>
      <c r="G1730" s="12">
        <f>EXP(-Assumptions!$B$8*B1730)</f>
        <v>0.42273913174596284</v>
      </c>
      <c r="H1730" s="12">
        <f t="shared" si="79"/>
        <v>0.25216352189570534</v>
      </c>
      <c r="I1730" s="12">
        <f t="shared" si="80"/>
        <v>7.3493624048423675E-2</v>
      </c>
      <c r="J1730" s="12">
        <f>G1730*(D1730*Assumptions!$B$6+E1730*Assumptions!$B$7)</f>
        <v>6.1963164213782373E-3</v>
      </c>
    </row>
    <row r="1731" spans="1:10" x14ac:dyDescent="0.2">
      <c r="A1731" s="2">
        <v>1723</v>
      </c>
      <c r="B1731" s="14">
        <f>A1731*Assumptions!$B$12</f>
        <v>17.23</v>
      </c>
      <c r="C1731" s="15">
        <f>IF(A1731&lt;=Assumptions!$B$13,IF(OR(A1731=0,A1731=Assumptions!$B$13),0.5,1),0)*Assumptions!$B$12</f>
        <v>0.01</v>
      </c>
      <c r="D1731" s="12">
        <f>D1730*(1-Assumptions!$B$12*(Assumptions!$B$5+Assumptions!$B$6))</f>
        <v>0.59632017456719411</v>
      </c>
      <c r="E1731" s="12">
        <f>E1730+Assumptions!$B$12*(D1730*Assumptions!$B$5-E1730*Assumptions!$B$7)</f>
        <v>0.17388338202140094</v>
      </c>
      <c r="F1731" s="12">
        <f t="shared" si="78"/>
        <v>0.22979644341140495</v>
      </c>
      <c r="G1731" s="12">
        <f>EXP(-Assumptions!$B$8*B1731)</f>
        <v>0.42252781501367537</v>
      </c>
      <c r="H1731" s="12">
        <f t="shared" si="79"/>
        <v>0.25196186040844998</v>
      </c>
      <c r="I1731" s="12">
        <f t="shared" si="80"/>
        <v>7.3470565472690735E-2</v>
      </c>
      <c r="J1731" s="12">
        <f>G1731*(D1731*Assumptions!$B$6+E1731*Assumptions!$B$7)</f>
        <v>6.1931468777190373E-3</v>
      </c>
    </row>
    <row r="1732" spans="1:10" x14ac:dyDescent="0.2">
      <c r="A1732" s="2">
        <v>1724</v>
      </c>
      <c r="B1732" s="14">
        <f>A1732*Assumptions!$B$12</f>
        <v>17.240000000000002</v>
      </c>
      <c r="C1732" s="15">
        <f>IF(A1732&lt;=Assumptions!$B$13,IF(OR(A1732=0,A1732=Assumptions!$B$13),0.5,1),0)*Assumptions!$B$12</f>
        <v>0.01</v>
      </c>
      <c r="D1732" s="12">
        <f>D1731*(1-Assumptions!$B$12*(Assumptions!$B$5+Assumptions!$B$6))</f>
        <v>0.59614127851482401</v>
      </c>
      <c r="E1732" s="12">
        <f>E1731+Assumptions!$B$12*(D1731*Assumptions!$B$5-E1731*Assumptions!$B$7)</f>
        <v>0.17391570436530368</v>
      </c>
      <c r="F1732" s="12">
        <f t="shared" si="78"/>
        <v>0.22994301711987231</v>
      </c>
      <c r="G1732" s="12">
        <f>EXP(-Assumptions!$B$8*B1732)</f>
        <v>0.4223166039133438</v>
      </c>
      <c r="H1732" s="12">
        <f t="shared" si="79"/>
        <v>0.2517603601949393</v>
      </c>
      <c r="I1732" s="12">
        <f t="shared" si="80"/>
        <v>7.3447489634752158E-2</v>
      </c>
      <c r="J1732" s="12">
        <f>G1732*(D1732*Assumptions!$B$6+E1732*Assumptions!$B$7)</f>
        <v>6.1899780836870014E-3</v>
      </c>
    </row>
    <row r="1733" spans="1:10" x14ac:dyDescent="0.2">
      <c r="A1733" s="2">
        <v>1725</v>
      </c>
      <c r="B1733" s="14">
        <f>A1733*Assumptions!$B$12</f>
        <v>17.25</v>
      </c>
      <c r="C1733" s="15">
        <f>IF(A1733&lt;=Assumptions!$B$13,IF(OR(A1733=0,A1733=Assumptions!$B$13),0.5,1),0)*Assumptions!$B$12</f>
        <v>0.01</v>
      </c>
      <c r="D1733" s="12">
        <f>D1732*(1-Assumptions!$B$12*(Assumptions!$B$5+Assumptions!$B$6))</f>
        <v>0.59596243613126954</v>
      </c>
      <c r="E1733" s="12">
        <f>E1732+Assumptions!$B$12*(D1732*Assumptions!$B$5-E1732*Assumptions!$B$7)</f>
        <v>0.17394797476882398</v>
      </c>
      <c r="F1733" s="12">
        <f t="shared" si="78"/>
        <v>0.23008958909990648</v>
      </c>
      <c r="G1733" s="12">
        <f>EXP(-Assumptions!$B$8*B1733)</f>
        <v>0.42210549839216549</v>
      </c>
      <c r="H1733" s="12">
        <f t="shared" si="79"/>
        <v>0.2515590211261986</v>
      </c>
      <c r="I1733" s="12">
        <f t="shared" si="80"/>
        <v>7.3424396584102269E-2</v>
      </c>
      <c r="J1733" s="12">
        <f>G1733*(D1733*Assumptions!$B$6+E1733*Assumptions!$B$7)</f>
        <v>6.1868100404671002E-3</v>
      </c>
    </row>
    <row r="1734" spans="1:10" x14ac:dyDescent="0.2">
      <c r="A1734" s="2">
        <v>1726</v>
      </c>
      <c r="B1734" s="14">
        <f>A1734*Assumptions!$B$12</f>
        <v>17.260000000000002</v>
      </c>
      <c r="C1734" s="15">
        <f>IF(A1734&lt;=Assumptions!$B$13,IF(OR(A1734=0,A1734=Assumptions!$B$13),0.5,1),0)*Assumptions!$B$12</f>
        <v>0.01</v>
      </c>
      <c r="D1734" s="12">
        <f>D1733*(1-Assumptions!$B$12*(Assumptions!$B$5+Assumptions!$B$6))</f>
        <v>0.59578364740043022</v>
      </c>
      <c r="E1734" s="12">
        <f>E1733+Assumptions!$B$12*(D1733*Assumptions!$B$5-E1733*Assumptions!$B$7)</f>
        <v>0.17398019326866582</v>
      </c>
      <c r="F1734" s="12">
        <f t="shared" si="78"/>
        <v>0.23023615933090397</v>
      </c>
      <c r="G1734" s="12">
        <f>EXP(-Assumptions!$B$8*B1734)</f>
        <v>0.42189449839736393</v>
      </c>
      <c r="H1734" s="12">
        <f t="shared" si="79"/>
        <v>0.25135784307335646</v>
      </c>
      <c r="I1734" s="12">
        <f t="shared" si="80"/>
        <v>7.340128637016019E-2</v>
      </c>
      <c r="J1734" s="12">
        <f>G1734*(D1734*Assumptions!$B$6+E1734*Assumptions!$B$7)</f>
        <v>6.1836427492415746E-3</v>
      </c>
    </row>
    <row r="1735" spans="1:10" x14ac:dyDescent="0.2">
      <c r="A1735" s="2">
        <v>1727</v>
      </c>
      <c r="B1735" s="14">
        <f>A1735*Assumptions!$B$12</f>
        <v>17.27</v>
      </c>
      <c r="C1735" s="15">
        <f>IF(A1735&lt;=Assumptions!$B$13,IF(OR(A1735=0,A1735=Assumptions!$B$13),0.5,1),0)*Assumptions!$B$12</f>
        <v>0.01</v>
      </c>
      <c r="D1735" s="12">
        <f>D1734*(1-Assumptions!$B$12*(Assumptions!$B$5+Assumptions!$B$6))</f>
        <v>0.59560491230621015</v>
      </c>
      <c r="E1735" s="12">
        <f>E1734+Assumptions!$B$12*(D1734*Assumptions!$B$5-E1734*Assumptions!$B$7)</f>
        <v>0.17401235990151157</v>
      </c>
      <c r="F1735" s="12">
        <f t="shared" si="78"/>
        <v>0.23038272779227828</v>
      </c>
      <c r="G1735" s="12">
        <f>EXP(-Assumptions!$B$8*B1735)</f>
        <v>0.42168360387618919</v>
      </c>
      <c r="H1735" s="12">
        <f t="shared" si="79"/>
        <v>0.25115682590764432</v>
      </c>
      <c r="I1735" s="12">
        <f t="shared" si="80"/>
        <v>7.3378159042269867E-2</v>
      </c>
      <c r="J1735" s="12">
        <f>G1735*(D1735*Assumptions!$B$6+E1735*Assumptions!$B$7)</f>
        <v>6.1804762111899369E-3</v>
      </c>
    </row>
    <row r="1736" spans="1:10" x14ac:dyDescent="0.2">
      <c r="A1736" s="2">
        <v>1728</v>
      </c>
      <c r="B1736" s="14">
        <f>A1736*Assumptions!$B$12</f>
        <v>17.28</v>
      </c>
      <c r="C1736" s="15">
        <f>IF(A1736&lt;=Assumptions!$B$13,IF(OR(A1736=0,A1736=Assumptions!$B$13),0.5,1),0)*Assumptions!$B$12</f>
        <v>0.01</v>
      </c>
      <c r="D1736" s="12">
        <f>D1735*(1-Assumptions!$B$12*(Assumptions!$B$5+Assumptions!$B$6))</f>
        <v>0.59542623083251833</v>
      </c>
      <c r="E1736" s="12">
        <f>E1735+Assumptions!$B$12*(D1735*Assumptions!$B$5-E1735*Assumptions!$B$7)</f>
        <v>0.17404447470402204</v>
      </c>
      <c r="F1736" s="12">
        <f t="shared" ref="F1736:F1799" si="81">1-D1736-E1736</f>
        <v>0.23052929446345963</v>
      </c>
      <c r="G1736" s="12">
        <f>EXP(-Assumptions!$B$8*B1736)</f>
        <v>0.42147281477591758</v>
      </c>
      <c r="H1736" s="12">
        <f t="shared" ref="H1736:H1799" si="82">G1736*D1736</f>
        <v>0.25095596950039673</v>
      </c>
      <c r="I1736" s="12">
        <f t="shared" ref="I1736:I1799" si="83">G1736*E1736</f>
        <v>7.3355014649700151E-2</v>
      </c>
      <c r="J1736" s="12">
        <f>G1736*(D1736*Assumptions!$B$6+E1736*Assumptions!$B$7)</f>
        <v>6.1773104274889749E-3</v>
      </c>
    </row>
    <row r="1737" spans="1:10" x14ac:dyDescent="0.2">
      <c r="A1737" s="2">
        <v>1729</v>
      </c>
      <c r="B1737" s="14">
        <f>A1737*Assumptions!$B$12</f>
        <v>17.29</v>
      </c>
      <c r="C1737" s="15">
        <f>IF(A1737&lt;=Assumptions!$B$13,IF(OR(A1737=0,A1737=Assumptions!$B$13),0.5,1),0)*Assumptions!$B$12</f>
        <v>0.01</v>
      </c>
      <c r="D1737" s="12">
        <f>D1736*(1-Assumptions!$B$12*(Assumptions!$B$5+Assumptions!$B$6))</f>
        <v>0.59524760296326862</v>
      </c>
      <c r="E1737" s="12">
        <f>E1736+Assumptions!$B$12*(D1736*Assumptions!$B$5-E1736*Assumptions!$B$7)</f>
        <v>0.17407653771283654</v>
      </c>
      <c r="F1737" s="12">
        <f t="shared" si="81"/>
        <v>0.23067585932389484</v>
      </c>
      <c r="G1737" s="12">
        <f>EXP(-Assumptions!$B$8*B1737)</f>
        <v>0.42126213104385191</v>
      </c>
      <c r="H1737" s="12">
        <f t="shared" si="82"/>
        <v>0.25075527372305118</v>
      </c>
      <c r="I1737" s="12">
        <f t="shared" si="83"/>
        <v>7.333185324164497E-2</v>
      </c>
      <c r="J1737" s="12">
        <f>G1737*(D1737*Assumptions!$B$6+E1737*Assumptions!$B$7)</f>
        <v>6.1741453993127597E-3</v>
      </c>
    </row>
    <row r="1738" spans="1:10" x14ac:dyDescent="0.2">
      <c r="A1738" s="2">
        <v>1730</v>
      </c>
      <c r="B1738" s="14">
        <f>A1738*Assumptions!$B$12</f>
        <v>17.3</v>
      </c>
      <c r="C1738" s="15">
        <f>IF(A1738&lt;=Assumptions!$B$13,IF(OR(A1738=0,A1738=Assumptions!$B$13),0.5,1),0)*Assumptions!$B$12</f>
        <v>0.01</v>
      </c>
      <c r="D1738" s="12">
        <f>D1737*(1-Assumptions!$B$12*(Assumptions!$B$5+Assumptions!$B$6))</f>
        <v>0.59506902868237965</v>
      </c>
      <c r="E1738" s="12">
        <f>E1737+Assumptions!$B$12*(D1737*Assumptions!$B$5-E1737*Assumptions!$B$7)</f>
        <v>0.17410854896457278</v>
      </c>
      <c r="F1738" s="12">
        <f t="shared" si="81"/>
        <v>0.23082242235304756</v>
      </c>
      <c r="G1738" s="12">
        <f>EXP(-Assumptions!$B$8*B1738)</f>
        <v>0.42105155262732114</v>
      </c>
      <c r="H1738" s="12">
        <f t="shared" si="82"/>
        <v>0.25055473844714787</v>
      </c>
      <c r="I1738" s="12">
        <f t="shared" si="83"/>
        <v>7.3308674867223339E-2</v>
      </c>
      <c r="J1738" s="12">
        <f>G1738*(D1738*Assumptions!$B$6+E1738*Assumptions!$B$7)</f>
        <v>6.1709811278326454E-3</v>
      </c>
    </row>
    <row r="1739" spans="1:10" x14ac:dyDescent="0.2">
      <c r="A1739" s="2">
        <v>1731</v>
      </c>
      <c r="B1739" s="14">
        <f>A1739*Assumptions!$B$12</f>
        <v>17.309999999999999</v>
      </c>
      <c r="C1739" s="15">
        <f>IF(A1739&lt;=Assumptions!$B$13,IF(OR(A1739=0,A1739=Assumptions!$B$13),0.5,1),0)*Assumptions!$B$12</f>
        <v>0.01</v>
      </c>
      <c r="D1739" s="12">
        <f>D1738*(1-Assumptions!$B$12*(Assumptions!$B$5+Assumptions!$B$6))</f>
        <v>0.59489050797377496</v>
      </c>
      <c r="E1739" s="12">
        <f>E1738+Assumptions!$B$12*(D1738*Assumptions!$B$5-E1738*Assumptions!$B$7)</f>
        <v>0.17414050849582696</v>
      </c>
      <c r="F1739" s="12">
        <f t="shared" si="81"/>
        <v>0.23096898353039808</v>
      </c>
      <c r="G1739" s="12">
        <f>EXP(-Assumptions!$B$8*B1739)</f>
        <v>0.42084107947368082</v>
      </c>
      <c r="H1739" s="12">
        <f t="shared" si="82"/>
        <v>0.25035436354432977</v>
      </c>
      <c r="I1739" s="12">
        <f t="shared" si="83"/>
        <v>7.3285479575479512E-2</v>
      </c>
      <c r="J1739" s="12">
        <f>G1739*(D1739*Assumptions!$B$6+E1739*Assumptions!$B$7)</f>
        <v>6.1678176142172724E-3</v>
      </c>
    </row>
    <row r="1740" spans="1:10" x14ac:dyDescent="0.2">
      <c r="A1740" s="2">
        <v>1732</v>
      </c>
      <c r="B1740" s="14">
        <f>A1740*Assumptions!$B$12</f>
        <v>17.32</v>
      </c>
      <c r="C1740" s="15">
        <f>IF(A1740&lt;=Assumptions!$B$13,IF(OR(A1740=0,A1740=Assumptions!$B$13),0.5,1),0)*Assumptions!$B$12</f>
        <v>0.01</v>
      </c>
      <c r="D1740" s="12">
        <f>D1739*(1-Assumptions!$B$12*(Assumptions!$B$5+Assumptions!$B$6))</f>
        <v>0.59471204082138285</v>
      </c>
      <c r="E1740" s="12">
        <f>E1739+Assumptions!$B$12*(D1739*Assumptions!$B$5-E1739*Assumptions!$B$7)</f>
        <v>0.17417241634317379</v>
      </c>
      <c r="F1740" s="12">
        <f t="shared" si="81"/>
        <v>0.23111554283544336</v>
      </c>
      <c r="G1740" s="12">
        <f>EXP(-Assumptions!$B$8*B1740)</f>
        <v>0.4206307115303124</v>
      </c>
      <c r="H1740" s="12">
        <f t="shared" si="82"/>
        <v>0.25015414888634246</v>
      </c>
      <c r="I1740" s="12">
        <f t="shared" si="83"/>
        <v>7.3262267415382998E-2</v>
      </c>
      <c r="J1740" s="12">
        <f>G1740*(D1740*Assumptions!$B$6+E1740*Assumptions!$B$7)</f>
        <v>6.1646548596325755E-3</v>
      </c>
    </row>
    <row r="1741" spans="1:10" x14ac:dyDescent="0.2">
      <c r="A1741" s="2">
        <v>1733</v>
      </c>
      <c r="B1741" s="14">
        <f>A1741*Assumptions!$B$12</f>
        <v>17.330000000000002</v>
      </c>
      <c r="C1741" s="15">
        <f>IF(A1741&lt;=Assumptions!$B$13,IF(OR(A1741=0,A1741=Assumptions!$B$13),0.5,1),0)*Assumptions!$B$12</f>
        <v>0.01</v>
      </c>
      <c r="D1741" s="12">
        <f>D1740*(1-Assumptions!$B$12*(Assumptions!$B$5+Assumptions!$B$6))</f>
        <v>0.59453362720913649</v>
      </c>
      <c r="E1741" s="12">
        <f>E1740+Assumptions!$B$12*(D1740*Assumptions!$B$5-E1740*Assumptions!$B$7)</f>
        <v>0.17420427254316648</v>
      </c>
      <c r="F1741" s="12">
        <f t="shared" si="81"/>
        <v>0.23126210024769703</v>
      </c>
      <c r="G1741" s="12">
        <f>EXP(-Assumptions!$B$8*B1741)</f>
        <v>0.42042044874462409</v>
      </c>
      <c r="H1741" s="12">
        <f t="shared" si="82"/>
        <v>0.24995409434503421</v>
      </c>
      <c r="I1741" s="12">
        <f t="shared" si="83"/>
        <v>7.3239038435828852E-2</v>
      </c>
      <c r="J1741" s="12">
        <f>G1741*(D1741*Assumptions!$B$6+E1741*Assumptions!$B$7)</f>
        <v>6.1614928652417847E-3</v>
      </c>
    </row>
    <row r="1742" spans="1:10" x14ac:dyDescent="0.2">
      <c r="A1742" s="2">
        <v>1734</v>
      </c>
      <c r="B1742" s="14">
        <f>A1742*Assumptions!$B$12</f>
        <v>17.34</v>
      </c>
      <c r="C1742" s="15">
        <f>IF(A1742&lt;=Assumptions!$B$13,IF(OR(A1742=0,A1742=Assumptions!$B$13),0.5,1),0)*Assumptions!$B$12</f>
        <v>0.01</v>
      </c>
      <c r="D1742" s="12">
        <f>D1741*(1-Assumptions!$B$12*(Assumptions!$B$5+Assumptions!$B$6))</f>
        <v>0.59435526712097375</v>
      </c>
      <c r="E1742" s="12">
        <f>E1741+Assumptions!$B$12*(D1741*Assumptions!$B$5-E1741*Assumptions!$B$7)</f>
        <v>0.17423607713233671</v>
      </c>
      <c r="F1742" s="12">
        <f t="shared" si="81"/>
        <v>0.23140865574668953</v>
      </c>
      <c r="G1742" s="12">
        <f>EXP(-Assumptions!$B$8*B1742)</f>
        <v>0.42021029106405028</v>
      </c>
      <c r="H1742" s="12">
        <f t="shared" si="82"/>
        <v>0.24975419979235575</v>
      </c>
      <c r="I1742" s="12">
        <f t="shared" si="83"/>
        <v>7.3215792685637521E-2</v>
      </c>
      <c r="J1742" s="12">
        <f>G1742*(D1742*Assumptions!$B$6+E1742*Assumptions!$B$7)</f>
        <v>6.1583316322054334E-3</v>
      </c>
    </row>
    <row r="1743" spans="1:10" x14ac:dyDescent="0.2">
      <c r="A1743" s="2">
        <v>1735</v>
      </c>
      <c r="B1743" s="14">
        <f>A1743*Assumptions!$B$12</f>
        <v>17.350000000000001</v>
      </c>
      <c r="C1743" s="15">
        <f>IF(A1743&lt;=Assumptions!$B$13,IF(OR(A1743=0,A1743=Assumptions!$B$13),0.5,1),0)*Assumptions!$B$12</f>
        <v>0.01</v>
      </c>
      <c r="D1743" s="12">
        <f>D1742*(1-Assumptions!$B$12*(Assumptions!$B$5+Assumptions!$B$6))</f>
        <v>0.59417696054083746</v>
      </c>
      <c r="E1743" s="12">
        <f>E1742+Assumptions!$B$12*(D1742*Assumptions!$B$5-E1742*Assumptions!$B$7)</f>
        <v>0.17426783014719474</v>
      </c>
      <c r="F1743" s="12">
        <f t="shared" si="81"/>
        <v>0.2315552093119678</v>
      </c>
      <c r="G1743" s="12">
        <f>EXP(-Assumptions!$B$8*B1743)</f>
        <v>0.42000023843605128</v>
      </c>
      <c r="H1743" s="12">
        <f t="shared" si="82"/>
        <v>0.24955446510035997</v>
      </c>
      <c r="I1743" s="12">
        <f t="shared" si="83"/>
        <v>7.3192530213555082E-2</v>
      </c>
      <c r="J1743" s="12">
        <f>G1743*(D1743*Assumptions!$B$6+E1743*Assumptions!$B$7)</f>
        <v>6.1551711616813533E-3</v>
      </c>
    </row>
    <row r="1744" spans="1:10" x14ac:dyDescent="0.2">
      <c r="A1744" s="2">
        <v>1736</v>
      </c>
      <c r="B1744" s="14">
        <f>A1744*Assumptions!$B$12</f>
        <v>17.36</v>
      </c>
      <c r="C1744" s="15">
        <f>IF(A1744&lt;=Assumptions!$B$13,IF(OR(A1744=0,A1744=Assumptions!$B$13),0.5,1),0)*Assumptions!$B$12</f>
        <v>0.01</v>
      </c>
      <c r="D1744" s="12">
        <f>D1743*(1-Assumptions!$B$12*(Assumptions!$B$5+Assumptions!$B$6))</f>
        <v>0.59399870745267525</v>
      </c>
      <c r="E1744" s="12">
        <f>E1743+Assumptions!$B$12*(D1743*Assumptions!$B$5-E1743*Assumptions!$B$7)</f>
        <v>0.17429953162422931</v>
      </c>
      <c r="F1744" s="12">
        <f t="shared" si="81"/>
        <v>0.23170176092309544</v>
      </c>
      <c r="G1744" s="12">
        <f>EXP(-Assumptions!$B$8*B1744)</f>
        <v>0.41979029080811425</v>
      </c>
      <c r="H1744" s="12">
        <f t="shared" si="82"/>
        <v>0.24935489014120252</v>
      </c>
      <c r="I1744" s="12">
        <f t="shared" si="83"/>
        <v>7.3169251068253324E-2</v>
      </c>
      <c r="J1744" s="12">
        <f>G1744*(D1744*Assumptions!$B$6+E1744*Assumptions!$B$7)</f>
        <v>6.1520114548246916E-3</v>
      </c>
    </row>
    <row r="1745" spans="1:10" x14ac:dyDescent="0.2">
      <c r="A1745" s="2">
        <v>1737</v>
      </c>
      <c r="B1745" s="14">
        <f>A1745*Assumptions!$B$12</f>
        <v>17.37</v>
      </c>
      <c r="C1745" s="15">
        <f>IF(A1745&lt;=Assumptions!$B$13,IF(OR(A1745=0,A1745=Assumptions!$B$13),0.5,1),0)*Assumptions!$B$12</f>
        <v>0.01</v>
      </c>
      <c r="D1745" s="12">
        <f>D1744*(1-Assumptions!$B$12*(Assumptions!$B$5+Assumptions!$B$6))</f>
        <v>0.59382050784043949</v>
      </c>
      <c r="E1745" s="12">
        <f>E1744+Assumptions!$B$12*(D1744*Assumptions!$B$5-E1744*Assumptions!$B$7)</f>
        <v>0.17433118159990774</v>
      </c>
      <c r="F1745" s="12">
        <f t="shared" si="81"/>
        <v>0.23184831055965277</v>
      </c>
      <c r="G1745" s="12">
        <f>EXP(-Assumptions!$B$8*B1745)</f>
        <v>0.41958044812775197</v>
      </c>
      <c r="H1745" s="12">
        <f t="shared" si="82"/>
        <v>0.24915547478714087</v>
      </c>
      <c r="I1745" s="12">
        <f t="shared" si="83"/>
        <v>7.314595529832979E-2</v>
      </c>
      <c r="J1745" s="12">
        <f>G1745*(D1745*Assumptions!$B$6+E1745*Assumptions!$B$7)</f>
        <v>6.1488525127878987E-3</v>
      </c>
    </row>
    <row r="1746" spans="1:10" x14ac:dyDescent="0.2">
      <c r="A1746" s="2">
        <v>1738</v>
      </c>
      <c r="B1746" s="14">
        <f>A1746*Assumptions!$B$12</f>
        <v>17.38</v>
      </c>
      <c r="C1746" s="15">
        <f>IF(A1746&lt;=Assumptions!$B$13,IF(OR(A1746=0,A1746=Assumptions!$B$13),0.5,1),0)*Assumptions!$B$12</f>
        <v>0.01</v>
      </c>
      <c r="D1746" s="12">
        <f>D1745*(1-Assumptions!$B$12*(Assumptions!$B$5+Assumptions!$B$6))</f>
        <v>0.59364236168808737</v>
      </c>
      <c r="E1746" s="12">
        <f>E1745+Assumptions!$B$12*(D1745*Assumptions!$B$5-E1745*Assumptions!$B$7)</f>
        <v>0.17436278011067588</v>
      </c>
      <c r="F1746" s="12">
        <f t="shared" si="81"/>
        <v>0.23199485820123675</v>
      </c>
      <c r="G1746" s="12">
        <f>EXP(-Assumptions!$B$8*B1746)</f>
        <v>0.41937071034250395</v>
      </c>
      <c r="H1746" s="12">
        <f t="shared" si="82"/>
        <v>0.24895621891053485</v>
      </c>
      <c r="I1746" s="12">
        <f t="shared" si="83"/>
        <v>7.312264295230797E-2</v>
      </c>
      <c r="J1746" s="12">
        <f>G1746*(D1746*Assumptions!$B$6+E1746*Assumptions!$B$7)</f>
        <v>6.1456943367207469E-3</v>
      </c>
    </row>
    <row r="1747" spans="1:10" x14ac:dyDescent="0.2">
      <c r="A1747" s="2">
        <v>1739</v>
      </c>
      <c r="B1747" s="14">
        <f>A1747*Assumptions!$B$12</f>
        <v>17.39</v>
      </c>
      <c r="C1747" s="15">
        <f>IF(A1747&lt;=Assumptions!$B$13,IF(OR(A1747=0,A1747=Assumptions!$B$13),0.5,1),0)*Assumptions!$B$12</f>
        <v>0.01</v>
      </c>
      <c r="D1747" s="12">
        <f>D1746*(1-Assumptions!$B$12*(Assumptions!$B$5+Assumptions!$B$6))</f>
        <v>0.59346426897958093</v>
      </c>
      <c r="E1747" s="12">
        <f>E1746+Assumptions!$B$12*(D1746*Assumptions!$B$5-E1746*Assumptions!$B$7)</f>
        <v>0.17439432719295817</v>
      </c>
      <c r="F1747" s="12">
        <f t="shared" si="81"/>
        <v>0.2321414038274609</v>
      </c>
      <c r="G1747" s="12">
        <f>EXP(-Assumptions!$B$8*B1747)</f>
        <v>0.41916107739993569</v>
      </c>
      <c r="H1747" s="12">
        <f t="shared" si="82"/>
        <v>0.24875712238384637</v>
      </c>
      <c r="I1747" s="12">
        <f t="shared" si="83"/>
        <v>7.3099314078637248E-2</v>
      </c>
      <c r="J1747" s="12">
        <f>G1747*(D1747*Assumptions!$B$6+E1747*Assumptions!$B$7)</f>
        <v>6.1425369277703264E-3</v>
      </c>
    </row>
    <row r="1748" spans="1:10" x14ac:dyDescent="0.2">
      <c r="A1748" s="2">
        <v>1740</v>
      </c>
      <c r="B1748" s="14">
        <f>A1748*Assumptions!$B$12</f>
        <v>17.400000000000002</v>
      </c>
      <c r="C1748" s="15">
        <f>IF(A1748&lt;=Assumptions!$B$13,IF(OR(A1748=0,A1748=Assumptions!$B$13),0.5,1),0)*Assumptions!$B$12</f>
        <v>0.01</v>
      </c>
      <c r="D1748" s="12">
        <f>D1747*(1-Assumptions!$B$12*(Assumptions!$B$5+Assumptions!$B$6))</f>
        <v>0.59328622969888711</v>
      </c>
      <c r="E1748" s="12">
        <f>E1747+Assumptions!$B$12*(D1747*Assumptions!$B$5-E1747*Assumptions!$B$7)</f>
        <v>0.17442582288315761</v>
      </c>
      <c r="F1748" s="12">
        <f t="shared" si="81"/>
        <v>0.23228794741795528</v>
      </c>
      <c r="G1748" s="12">
        <f>EXP(-Assumptions!$B$8*B1748)</f>
        <v>0.41895154924763894</v>
      </c>
      <c r="H1748" s="12">
        <f t="shared" si="82"/>
        <v>0.24855818507963934</v>
      </c>
      <c r="I1748" s="12">
        <f t="shared" si="83"/>
        <v>7.3075968725693149E-2</v>
      </c>
      <c r="J1748" s="12">
        <f>G1748*(D1748*Assumptions!$B$6+E1748*Assumptions!$B$7)</f>
        <v>6.1393802870810515E-3</v>
      </c>
    </row>
    <row r="1749" spans="1:10" x14ac:dyDescent="0.2">
      <c r="A1749" s="2">
        <v>1741</v>
      </c>
      <c r="B1749" s="14">
        <f>A1749*Assumptions!$B$12</f>
        <v>17.41</v>
      </c>
      <c r="C1749" s="15">
        <f>IF(A1749&lt;=Assumptions!$B$13,IF(OR(A1749=0,A1749=Assumptions!$B$13),0.5,1),0)*Assumptions!$B$12</f>
        <v>0.01</v>
      </c>
      <c r="D1749" s="12">
        <f>D1748*(1-Assumptions!$B$12*(Assumptions!$B$5+Assumptions!$B$6))</f>
        <v>0.59310824382997751</v>
      </c>
      <c r="E1749" s="12">
        <f>E1748+Assumptions!$B$12*(D1748*Assumptions!$B$5-E1748*Assumptions!$B$7)</f>
        <v>0.17445726721765581</v>
      </c>
      <c r="F1749" s="12">
        <f t="shared" si="81"/>
        <v>0.23243448895236668</v>
      </c>
      <c r="G1749" s="12">
        <f>EXP(-Assumptions!$B$8*B1749)</f>
        <v>0.41874212583323173</v>
      </c>
      <c r="H1749" s="12">
        <f t="shared" si="82"/>
        <v>0.24835940687057953</v>
      </c>
      <c r="I1749" s="12">
        <f t="shared" si="83"/>
        <v>7.3052606941777357E-2</v>
      </c>
      <c r="J1749" s="12">
        <f>G1749*(D1749*Assumptions!$B$6+E1749*Assumptions!$B$7)</f>
        <v>6.1362244157946643E-3</v>
      </c>
    </row>
    <row r="1750" spans="1:10" x14ac:dyDescent="0.2">
      <c r="A1750" s="2">
        <v>1742</v>
      </c>
      <c r="B1750" s="14">
        <f>A1750*Assumptions!$B$12</f>
        <v>17.420000000000002</v>
      </c>
      <c r="C1750" s="15">
        <f>IF(A1750&lt;=Assumptions!$B$13,IF(OR(A1750=0,A1750=Assumptions!$B$13),0.5,1),0)*Assumptions!$B$12</f>
        <v>0.01</v>
      </c>
      <c r="D1750" s="12">
        <f>D1749*(1-Assumptions!$B$12*(Assumptions!$B$5+Assumptions!$B$6))</f>
        <v>0.5929303113568285</v>
      </c>
      <c r="E1750" s="12">
        <f>E1749+Assumptions!$B$12*(D1749*Assumptions!$B$5-E1749*Assumptions!$B$7)</f>
        <v>0.17448866023281298</v>
      </c>
      <c r="F1750" s="12">
        <f t="shared" si="81"/>
        <v>0.23258102841035852</v>
      </c>
      <c r="G1750" s="12">
        <f>EXP(-Assumptions!$B$8*B1750)</f>
        <v>0.41853280710435814</v>
      </c>
      <c r="H1750" s="12">
        <f t="shared" si="82"/>
        <v>0.24816078762943453</v>
      </c>
      <c r="I1750" s="12">
        <f t="shared" si="83"/>
        <v>7.3029228775117805E-2</v>
      </c>
      <c r="J1750" s="12">
        <f>G1750*(D1750*Assumptions!$B$6+E1750*Assumptions!$B$7)</f>
        <v>6.1330693150502356E-3</v>
      </c>
    </row>
    <row r="1751" spans="1:10" x14ac:dyDescent="0.2">
      <c r="A1751" s="2">
        <v>1743</v>
      </c>
      <c r="B1751" s="14">
        <f>A1751*Assumptions!$B$12</f>
        <v>17.43</v>
      </c>
      <c r="C1751" s="15">
        <f>IF(A1751&lt;=Assumptions!$B$13,IF(OR(A1751=0,A1751=Assumptions!$B$13),0.5,1),0)*Assumptions!$B$12</f>
        <v>0.01</v>
      </c>
      <c r="D1751" s="12">
        <f>D1750*(1-Assumptions!$B$12*(Assumptions!$B$5+Assumptions!$B$6))</f>
        <v>0.59275243226342145</v>
      </c>
      <c r="E1751" s="12">
        <f>E1750+Assumptions!$B$12*(D1750*Assumptions!$B$5-E1750*Assumptions!$B$7)</f>
        <v>0.17452000196496795</v>
      </c>
      <c r="F1751" s="12">
        <f t="shared" si="81"/>
        <v>0.23272756577161061</v>
      </c>
      <c r="G1751" s="12">
        <f>EXP(-Assumptions!$B$8*B1751)</f>
        <v>0.41832359300868849</v>
      </c>
      <c r="H1751" s="12">
        <f t="shared" si="82"/>
        <v>0.24796232722907371</v>
      </c>
      <c r="I1751" s="12">
        <f t="shared" si="83"/>
        <v>7.3005834273868767E-2</v>
      </c>
      <c r="J1751" s="12">
        <f>G1751*(D1751*Assumptions!$B$6+E1751*Assumptions!$B$7)</f>
        <v>6.1299149859841756E-3</v>
      </c>
    </row>
    <row r="1752" spans="1:10" x14ac:dyDescent="0.2">
      <c r="A1752" s="2">
        <v>1744</v>
      </c>
      <c r="B1752" s="14">
        <f>A1752*Assumptions!$B$12</f>
        <v>17.440000000000001</v>
      </c>
      <c r="C1752" s="15">
        <f>IF(A1752&lt;=Assumptions!$B$13,IF(OR(A1752=0,A1752=Assumptions!$B$13),0.5,1),0)*Assumptions!$B$12</f>
        <v>0.01</v>
      </c>
      <c r="D1752" s="12">
        <f>D1751*(1-Assumptions!$B$12*(Assumptions!$B$5+Assumptions!$B$6))</f>
        <v>0.59257460653374239</v>
      </c>
      <c r="E1752" s="12">
        <f>E1751+Assumptions!$B$12*(D1751*Assumptions!$B$5-E1751*Assumptions!$B$7)</f>
        <v>0.17455129245043816</v>
      </c>
      <c r="F1752" s="12">
        <f t="shared" si="81"/>
        <v>0.23287410101581946</v>
      </c>
      <c r="G1752" s="12">
        <f>EXP(-Assumptions!$B$8*B1752)</f>
        <v>0.41811448349391928</v>
      </c>
      <c r="H1752" s="12">
        <f t="shared" si="82"/>
        <v>0.24776402554246815</v>
      </c>
      <c r="I1752" s="12">
        <f t="shared" si="83"/>
        <v>7.2982423486111003E-2</v>
      </c>
      <c r="J1752" s="12">
        <f>G1752*(D1752*Assumptions!$B$6+E1752*Assumptions!$B$7)</f>
        <v>6.1267614297302311E-3</v>
      </c>
    </row>
    <row r="1753" spans="1:10" x14ac:dyDescent="0.2">
      <c r="A1753" s="2">
        <v>1745</v>
      </c>
      <c r="B1753" s="14">
        <f>A1753*Assumptions!$B$12</f>
        <v>17.45</v>
      </c>
      <c r="C1753" s="15">
        <f>IF(A1753&lt;=Assumptions!$B$13,IF(OR(A1753=0,A1753=Assumptions!$B$13),0.5,1),0)*Assumptions!$B$12</f>
        <v>0.01</v>
      </c>
      <c r="D1753" s="12">
        <f>D1752*(1-Assumptions!$B$12*(Assumptions!$B$5+Assumptions!$B$6))</f>
        <v>0.59239683415178224</v>
      </c>
      <c r="E1753" s="12">
        <f>E1752+Assumptions!$B$12*(D1752*Assumptions!$B$5-E1752*Assumptions!$B$7)</f>
        <v>0.17458253172551969</v>
      </c>
      <c r="F1753" s="12">
        <f t="shared" si="81"/>
        <v>0.23302063412269808</v>
      </c>
      <c r="G1753" s="12">
        <f>EXP(-Assumptions!$B$8*B1753)</f>
        <v>0.41790547850777315</v>
      </c>
      <c r="H1753" s="12">
        <f t="shared" si="82"/>
        <v>0.24756588244269048</v>
      </c>
      <c r="I1753" s="12">
        <f t="shared" si="83"/>
        <v>7.2958996459851794E-2</v>
      </c>
      <c r="J1753" s="12">
        <f>G1753*(D1753*Assumptions!$B$6+E1753*Assumptions!$B$7)</f>
        <v>6.1236086474194948E-3</v>
      </c>
    </row>
    <row r="1754" spans="1:10" x14ac:dyDescent="0.2">
      <c r="A1754" s="2">
        <v>1746</v>
      </c>
      <c r="B1754" s="14">
        <f>A1754*Assumptions!$B$12</f>
        <v>17.46</v>
      </c>
      <c r="C1754" s="15">
        <f>IF(A1754&lt;=Assumptions!$B$13,IF(OR(A1754=0,A1754=Assumptions!$B$13),0.5,1),0)*Assumptions!$B$12</f>
        <v>0.01</v>
      </c>
      <c r="D1754" s="12">
        <f>D1753*(1-Assumptions!$B$12*(Assumptions!$B$5+Assumptions!$B$6))</f>
        <v>0.59221911510153669</v>
      </c>
      <c r="E1754" s="12">
        <f>E1753+Assumptions!$B$12*(D1753*Assumptions!$B$5-E1753*Assumptions!$B$7)</f>
        <v>0.17461371982648727</v>
      </c>
      <c r="F1754" s="12">
        <f t="shared" si="81"/>
        <v>0.23316716507197605</v>
      </c>
      <c r="G1754" s="12">
        <f>EXP(-Assumptions!$B$8*B1754)</f>
        <v>0.41769657799799875</v>
      </c>
      <c r="H1754" s="12">
        <f t="shared" si="82"/>
        <v>0.24736789780291482</v>
      </c>
      <c r="I1754" s="12">
        <f t="shared" si="83"/>
        <v>7.2935553243025045E-2</v>
      </c>
      <c r="J1754" s="12">
        <f>G1754*(D1754*Assumptions!$B$6+E1754*Assumptions!$B$7)</f>
        <v>6.1204566401803998E-3</v>
      </c>
    </row>
    <row r="1755" spans="1:10" x14ac:dyDescent="0.2">
      <c r="A1755" s="2">
        <v>1747</v>
      </c>
      <c r="B1755" s="14">
        <f>A1755*Assumptions!$B$12</f>
        <v>17.47</v>
      </c>
      <c r="C1755" s="15">
        <f>IF(A1755&lt;=Assumptions!$B$13,IF(OR(A1755=0,A1755=Assumptions!$B$13),0.5,1),0)*Assumptions!$B$12</f>
        <v>0.01</v>
      </c>
      <c r="D1755" s="12">
        <f>D1754*(1-Assumptions!$B$12*(Assumptions!$B$5+Assumptions!$B$6))</f>
        <v>0.5920414493670062</v>
      </c>
      <c r="E1755" s="12">
        <f>E1754+Assumptions!$B$12*(D1754*Assumptions!$B$5-E1754*Assumptions!$B$7)</f>
        <v>0.17464485678959432</v>
      </c>
      <c r="F1755" s="12">
        <f t="shared" si="81"/>
        <v>0.23331369384339948</v>
      </c>
      <c r="G1755" s="12">
        <f>EXP(-Assumptions!$B$8*B1755)</f>
        <v>0.41748778191237118</v>
      </c>
      <c r="H1755" s="12">
        <f t="shared" si="82"/>
        <v>0.24717007149641684</v>
      </c>
      <c r="I1755" s="12">
        <f t="shared" si="83"/>
        <v>7.2912093883491458E-2</v>
      </c>
      <c r="J1755" s="12">
        <f>G1755*(D1755*Assumptions!$B$6+E1755*Assumptions!$B$7)</f>
        <v>6.1173054091387411E-3</v>
      </c>
    </row>
    <row r="1756" spans="1:10" x14ac:dyDescent="0.2">
      <c r="A1756" s="2">
        <v>1748</v>
      </c>
      <c r="B1756" s="14">
        <f>A1756*Assumptions!$B$12</f>
        <v>17.48</v>
      </c>
      <c r="C1756" s="15">
        <f>IF(A1756&lt;=Assumptions!$B$13,IF(OR(A1756=0,A1756=Assumptions!$B$13),0.5,1),0)*Assumptions!$B$12</f>
        <v>0.01</v>
      </c>
      <c r="D1756" s="12">
        <f>D1755*(1-Assumptions!$B$12*(Assumptions!$B$5+Assumptions!$B$6))</f>
        <v>0.59186383693219613</v>
      </c>
      <c r="E1756" s="12">
        <f>E1755+Assumptions!$B$12*(D1755*Assumptions!$B$5-E1755*Assumptions!$B$7)</f>
        <v>0.17467594265107292</v>
      </c>
      <c r="F1756" s="12">
        <f t="shared" si="81"/>
        <v>0.23346022041673095</v>
      </c>
      <c r="G1756" s="12">
        <f>EXP(-Assumptions!$B$8*B1756)</f>
        <v>0.41727909019869108</v>
      </c>
      <c r="H1756" s="12">
        <f t="shared" si="82"/>
        <v>0.24697240339657325</v>
      </c>
      <c r="I1756" s="12">
        <f t="shared" si="83"/>
        <v>7.2888618429038446E-2</v>
      </c>
      <c r="J1756" s="12">
        <f>G1756*(D1756*Assumptions!$B$6+E1756*Assumptions!$B$7)</f>
        <v>6.1141549554176557E-3</v>
      </c>
    </row>
    <row r="1757" spans="1:10" x14ac:dyDescent="0.2">
      <c r="A1757" s="2">
        <v>1749</v>
      </c>
      <c r="B1757" s="14">
        <f>A1757*Assumptions!$B$12</f>
        <v>17.490000000000002</v>
      </c>
      <c r="C1757" s="15">
        <f>IF(A1757&lt;=Assumptions!$B$13,IF(OR(A1757=0,A1757=Assumptions!$B$13),0.5,1),0)*Assumptions!$B$12</f>
        <v>0.01</v>
      </c>
      <c r="D1757" s="12">
        <f>D1756*(1-Assumptions!$B$12*(Assumptions!$B$5+Assumptions!$B$6))</f>
        <v>0.59168627778111649</v>
      </c>
      <c r="E1757" s="12">
        <f>E1756+Assumptions!$B$12*(D1756*Assumptions!$B$5-E1756*Assumptions!$B$7)</f>
        <v>0.17470697744713382</v>
      </c>
      <c r="F1757" s="12">
        <f t="shared" si="81"/>
        <v>0.2336067447717497</v>
      </c>
      <c r="G1757" s="12">
        <f>EXP(-Assumptions!$B$8*B1757)</f>
        <v>0.41707050280478575</v>
      </c>
      <c r="H1757" s="12">
        <f t="shared" si="82"/>
        <v>0.24677489337686237</v>
      </c>
      <c r="I1757" s="12">
        <f t="shared" si="83"/>
        <v>7.2865126927380466E-2</v>
      </c>
      <c r="J1757" s="12">
        <f>G1757*(D1757*Assumptions!$B$6+E1757*Assumptions!$B$7)</f>
        <v>6.1110052801376467E-3</v>
      </c>
    </row>
    <row r="1758" spans="1:10" x14ac:dyDescent="0.2">
      <c r="A1758" s="2">
        <v>1750</v>
      </c>
      <c r="B1758" s="14">
        <f>A1758*Assumptions!$B$12</f>
        <v>17.5</v>
      </c>
      <c r="C1758" s="15">
        <f>IF(A1758&lt;=Assumptions!$B$13,IF(OR(A1758=0,A1758=Assumptions!$B$13),0.5,1),0)*Assumptions!$B$12</f>
        <v>0.01</v>
      </c>
      <c r="D1758" s="12">
        <f>D1757*(1-Assumptions!$B$12*(Assumptions!$B$5+Assumptions!$B$6))</f>
        <v>0.59150877189778217</v>
      </c>
      <c r="E1758" s="12">
        <f>E1757+Assumptions!$B$12*(D1757*Assumptions!$B$5-E1757*Assumptions!$B$7)</f>
        <v>0.17473796121396648</v>
      </c>
      <c r="F1758" s="12">
        <f t="shared" si="81"/>
        <v>0.23375326688825135</v>
      </c>
      <c r="G1758" s="12">
        <f>EXP(-Assumptions!$B$8*B1758)</f>
        <v>0.41686201967850839</v>
      </c>
      <c r="H1758" s="12">
        <f t="shared" si="82"/>
        <v>0.2465775413108636</v>
      </c>
      <c r="I1758" s="12">
        <f t="shared" si="83"/>
        <v>7.2841619426158924E-2</v>
      </c>
      <c r="J1758" s="12">
        <f>G1758*(D1758*Assumptions!$B$6+E1758*Assumptions!$B$7)</f>
        <v>6.1078563844165828E-3</v>
      </c>
    </row>
    <row r="1759" spans="1:10" x14ac:dyDescent="0.2">
      <c r="A1759" s="2">
        <v>1751</v>
      </c>
      <c r="B1759" s="14">
        <f>A1759*Assumptions!$B$12</f>
        <v>17.510000000000002</v>
      </c>
      <c r="C1759" s="15">
        <f>IF(A1759&lt;=Assumptions!$B$13,IF(OR(A1759=0,A1759=Assumptions!$B$13),0.5,1),0)*Assumptions!$B$12</f>
        <v>0.01</v>
      </c>
      <c r="D1759" s="12">
        <f>D1758*(1-Assumptions!$B$12*(Assumptions!$B$5+Assumptions!$B$6))</f>
        <v>0.59133131926621285</v>
      </c>
      <c r="E1759" s="12">
        <f>E1758+Assumptions!$B$12*(D1758*Assumptions!$B$5-E1758*Assumptions!$B$7)</f>
        <v>0.17476889398773907</v>
      </c>
      <c r="F1759" s="12">
        <f t="shared" si="81"/>
        <v>0.23389978674604808</v>
      </c>
      <c r="G1759" s="12">
        <f>EXP(-Assumptions!$B$8*B1759)</f>
        <v>0.41665364076773798</v>
      </c>
      <c r="H1759" s="12">
        <f t="shared" si="82"/>
        <v>0.24638034707225723</v>
      </c>
      <c r="I1759" s="12">
        <f t="shared" si="83"/>
        <v>7.2818095972942309E-2</v>
      </c>
      <c r="J1759" s="12">
        <f>G1759*(D1759*Assumptions!$B$6+E1759*Assumptions!$B$7)</f>
        <v>6.1047082693696884E-3</v>
      </c>
    </row>
    <row r="1760" spans="1:10" x14ac:dyDescent="0.2">
      <c r="A1760" s="2">
        <v>1752</v>
      </c>
      <c r="B1760" s="14">
        <f>A1760*Assumptions!$B$12</f>
        <v>17.52</v>
      </c>
      <c r="C1760" s="15">
        <f>IF(A1760&lt;=Assumptions!$B$13,IF(OR(A1760=0,A1760=Assumptions!$B$13),0.5,1),0)*Assumptions!$B$12</f>
        <v>0.01</v>
      </c>
      <c r="D1760" s="12">
        <f>D1759*(1-Assumptions!$B$12*(Assumptions!$B$5+Assumptions!$B$6))</f>
        <v>0.59115391987043298</v>
      </c>
      <c r="E1760" s="12">
        <f>E1759+Assumptions!$B$12*(D1759*Assumptions!$B$5-E1759*Assumptions!$B$7)</f>
        <v>0.17479977580459843</v>
      </c>
      <c r="F1760" s="12">
        <f t="shared" si="81"/>
        <v>0.23404630432496859</v>
      </c>
      <c r="G1760" s="12">
        <f>EXP(-Assumptions!$B$8*B1760)</f>
        <v>0.41644536602038007</v>
      </c>
      <c r="H1760" s="12">
        <f t="shared" si="82"/>
        <v>0.2461833105348249</v>
      </c>
      <c r="I1760" s="12">
        <f t="shared" si="83"/>
        <v>7.2794556615226366E-2</v>
      </c>
      <c r="J1760" s="12">
        <f>G1760*(D1760*Assumptions!$B$6+E1760*Assumptions!$B$7)</f>
        <v>6.1015609361095673E-3</v>
      </c>
    </row>
    <row r="1761" spans="1:10" x14ac:dyDescent="0.2">
      <c r="A1761" s="2">
        <v>1753</v>
      </c>
      <c r="B1761" s="14">
        <f>A1761*Assumptions!$B$12</f>
        <v>17.53</v>
      </c>
      <c r="C1761" s="15">
        <f>IF(A1761&lt;=Assumptions!$B$13,IF(OR(A1761=0,A1761=Assumptions!$B$13),0.5,1),0)*Assumptions!$B$12</f>
        <v>0.01</v>
      </c>
      <c r="D1761" s="12">
        <f>D1760*(1-Assumptions!$B$12*(Assumptions!$B$5+Assumptions!$B$6))</f>
        <v>0.59097657369447187</v>
      </c>
      <c r="E1761" s="12">
        <f>E1760+Assumptions!$B$12*(D1760*Assumptions!$B$5-E1760*Assumptions!$B$7)</f>
        <v>0.17483060670067022</v>
      </c>
      <c r="F1761" s="12">
        <f t="shared" si="81"/>
        <v>0.23419281960485791</v>
      </c>
      <c r="G1761" s="12">
        <f>EXP(-Assumptions!$B$8*B1761)</f>
        <v>0.41623719538436577</v>
      </c>
      <c r="H1761" s="12">
        <f t="shared" si="82"/>
        <v>0.24598643157244893</v>
      </c>
      <c r="I1761" s="12">
        <f t="shared" si="83"/>
        <v>7.2771001400434077E-2</v>
      </c>
      <c r="J1761" s="12">
        <f>G1761*(D1761*Assumptions!$B$6+E1761*Assumptions!$B$7)</f>
        <v>6.0984143857461936E-3</v>
      </c>
    </row>
    <row r="1762" spans="1:10" x14ac:dyDescent="0.2">
      <c r="A1762" s="2">
        <v>1754</v>
      </c>
      <c r="B1762" s="14">
        <f>A1762*Assumptions!$B$12</f>
        <v>17.54</v>
      </c>
      <c r="C1762" s="15">
        <f>IF(A1762&lt;=Assumptions!$B$13,IF(OR(A1762=0,A1762=Assumptions!$B$13),0.5,1),0)*Assumptions!$B$12</f>
        <v>0.01</v>
      </c>
      <c r="D1762" s="12">
        <f>D1761*(1-Assumptions!$B$12*(Assumptions!$B$5+Assumptions!$B$6))</f>
        <v>0.59079928072236354</v>
      </c>
      <c r="E1762" s="12">
        <f>E1761+Assumptions!$B$12*(D1761*Assumptions!$B$5-E1761*Assumptions!$B$7)</f>
        <v>0.17486138671205878</v>
      </c>
      <c r="F1762" s="12">
        <f t="shared" si="81"/>
        <v>0.23433933256557768</v>
      </c>
      <c r="G1762" s="12">
        <f>EXP(-Assumptions!$B$8*B1762)</f>
        <v>0.41602912880765253</v>
      </c>
      <c r="H1762" s="12">
        <f t="shared" si="82"/>
        <v>0.24578971005911265</v>
      </c>
      <c r="I1762" s="12">
        <f t="shared" si="83"/>
        <v>7.2747430375915842E-2</v>
      </c>
      <c r="J1762" s="12">
        <f>G1762*(D1762*Assumptions!$B$6+E1762*Assumptions!$B$7)</f>
        <v>6.0952686193869185E-3</v>
      </c>
    </row>
    <row r="1763" spans="1:10" x14ac:dyDescent="0.2">
      <c r="A1763" s="2">
        <v>1755</v>
      </c>
      <c r="B1763" s="14">
        <f>A1763*Assumptions!$B$12</f>
        <v>17.55</v>
      </c>
      <c r="C1763" s="15">
        <f>IF(A1763&lt;=Assumptions!$B$13,IF(OR(A1763=0,A1763=Assumptions!$B$13),0.5,1),0)*Assumptions!$B$12</f>
        <v>0.01</v>
      </c>
      <c r="D1763" s="12">
        <f>D1762*(1-Assumptions!$B$12*(Assumptions!$B$5+Assumptions!$B$6))</f>
        <v>0.59062204093814685</v>
      </c>
      <c r="E1763" s="12">
        <f>E1762+Assumptions!$B$12*(D1762*Assumptions!$B$5-E1762*Assumptions!$B$7)</f>
        <v>0.17489211587484724</v>
      </c>
      <c r="F1763" s="12">
        <f t="shared" si="81"/>
        <v>0.23448584318700591</v>
      </c>
      <c r="G1763" s="12">
        <f>EXP(-Assumptions!$B$8*B1763)</f>
        <v>0.41582116623822357</v>
      </c>
      <c r="H1763" s="12">
        <f t="shared" si="82"/>
        <v>0.24559314586890005</v>
      </c>
      <c r="I1763" s="12">
        <f t="shared" si="83"/>
        <v>7.2723843588949511E-2</v>
      </c>
      <c r="J1763" s="12">
        <f>G1763*(D1763*Assumptions!$B$6+E1763*Assumptions!$B$7)</f>
        <v>6.0921236381364773E-3</v>
      </c>
    </row>
    <row r="1764" spans="1:10" x14ac:dyDescent="0.2">
      <c r="A1764" s="2">
        <v>1756</v>
      </c>
      <c r="B1764" s="14">
        <f>A1764*Assumptions!$B$12</f>
        <v>17.559999999999999</v>
      </c>
      <c r="C1764" s="15">
        <f>IF(A1764&lt;=Assumptions!$B$13,IF(OR(A1764=0,A1764=Assumptions!$B$13),0.5,1),0)*Assumptions!$B$12</f>
        <v>0.01</v>
      </c>
      <c r="D1764" s="12">
        <f>D1763*(1-Assumptions!$B$12*(Assumptions!$B$5+Assumptions!$B$6))</f>
        <v>0.59044485432586546</v>
      </c>
      <c r="E1764" s="12">
        <f>E1763+Assumptions!$B$12*(D1763*Assumptions!$B$5-E1763*Assumptions!$B$7)</f>
        <v>0.17492279422509743</v>
      </c>
      <c r="F1764" s="12">
        <f t="shared" si="81"/>
        <v>0.2346323514490371</v>
      </c>
      <c r="G1764" s="12">
        <f>EXP(-Assumptions!$B$8*B1764)</f>
        <v>0.41561330762408838</v>
      </c>
      <c r="H1764" s="12">
        <f t="shared" si="82"/>
        <v>0.24539673887599597</v>
      </c>
      <c r="I1764" s="12">
        <f t="shared" si="83"/>
        <v>7.270024108674053E-2</v>
      </c>
      <c r="J1764" s="12">
        <f>G1764*(D1764*Assumptions!$B$6+E1764*Assumptions!$B$7)</f>
        <v>6.0889794430969866E-3</v>
      </c>
    </row>
    <row r="1765" spans="1:10" x14ac:dyDescent="0.2">
      <c r="A1765" s="2">
        <v>1757</v>
      </c>
      <c r="B1765" s="14">
        <f>A1765*Assumptions!$B$12</f>
        <v>17.57</v>
      </c>
      <c r="C1765" s="15">
        <f>IF(A1765&lt;=Assumptions!$B$13,IF(OR(A1765=0,A1765=Assumptions!$B$13),0.5,1),0)*Assumptions!$B$12</f>
        <v>0.01</v>
      </c>
      <c r="D1765" s="12">
        <f>D1764*(1-Assumptions!$B$12*(Assumptions!$B$5+Assumptions!$B$6))</f>
        <v>0.59026772086956769</v>
      </c>
      <c r="E1765" s="12">
        <f>E1764+Assumptions!$B$12*(D1764*Assumptions!$B$5-E1764*Assumptions!$B$7)</f>
        <v>0.17495342179885007</v>
      </c>
      <c r="F1765" s="12">
        <f t="shared" si="81"/>
        <v>0.23477885733158224</v>
      </c>
      <c r="G1765" s="12">
        <f>EXP(-Assumptions!$B$8*B1765)</f>
        <v>0.41540555291328224</v>
      </c>
      <c r="H1765" s="12">
        <f t="shared" si="82"/>
        <v>0.24520048895468571</v>
      </c>
      <c r="I1765" s="12">
        <f t="shared" si="83"/>
        <v>7.2676622916422004E-2</v>
      </c>
      <c r="J1765" s="12">
        <f>G1765*(D1765*Assumptions!$B$6+E1765*Assumptions!$B$7)</f>
        <v>6.0858360353679575E-3</v>
      </c>
    </row>
    <row r="1766" spans="1:10" x14ac:dyDescent="0.2">
      <c r="A1766" s="2">
        <v>1758</v>
      </c>
      <c r="B1766" s="14">
        <f>A1766*Assumptions!$B$12</f>
        <v>17.580000000000002</v>
      </c>
      <c r="C1766" s="15">
        <f>IF(A1766&lt;=Assumptions!$B$13,IF(OR(A1766=0,A1766=Assumptions!$B$13),0.5,1),0)*Assumptions!$B$12</f>
        <v>0.01</v>
      </c>
      <c r="D1766" s="12">
        <f>D1765*(1-Assumptions!$B$12*(Assumptions!$B$5+Assumptions!$B$6))</f>
        <v>0.59009064055330684</v>
      </c>
      <c r="E1766" s="12">
        <f>E1765+Assumptions!$B$12*(D1765*Assumptions!$B$5-E1765*Assumptions!$B$7)</f>
        <v>0.17498399863212455</v>
      </c>
      <c r="F1766" s="12">
        <f t="shared" si="81"/>
        <v>0.23492536081456861</v>
      </c>
      <c r="G1766" s="12">
        <f>EXP(-Assumptions!$B$8*B1766)</f>
        <v>0.41519790205386653</v>
      </c>
      <c r="H1766" s="12">
        <f t="shared" si="82"/>
        <v>0.24500439597935525</v>
      </c>
      <c r="I1766" s="12">
        <f t="shared" si="83"/>
        <v>7.2652989125054759E-2</v>
      </c>
      <c r="J1766" s="12">
        <f>G1766*(D1766*Assumptions!$B$6+E1766*Assumptions!$B$7)</f>
        <v>6.0826934160462904E-3</v>
      </c>
    </row>
    <row r="1767" spans="1:10" x14ac:dyDescent="0.2">
      <c r="A1767" s="2">
        <v>1759</v>
      </c>
      <c r="B1767" s="14">
        <f>A1767*Assumptions!$B$12</f>
        <v>17.59</v>
      </c>
      <c r="C1767" s="15">
        <f>IF(A1767&lt;=Assumptions!$B$13,IF(OR(A1767=0,A1767=Assumptions!$B$13),0.5,1),0)*Assumptions!$B$12</f>
        <v>0.01</v>
      </c>
      <c r="D1767" s="12">
        <f>D1766*(1-Assumptions!$B$12*(Assumptions!$B$5+Assumptions!$B$6))</f>
        <v>0.5899136133611409</v>
      </c>
      <c r="E1767" s="12">
        <f>E1766+Assumptions!$B$12*(D1766*Assumptions!$B$5-E1766*Assumptions!$B$7)</f>
        <v>0.17501452476091914</v>
      </c>
      <c r="F1767" s="12">
        <f t="shared" si="81"/>
        <v>0.23507186187793996</v>
      </c>
      <c r="G1767" s="12">
        <f>EXP(-Assumptions!$B$8*B1767)</f>
        <v>0.4149903549939285</v>
      </c>
      <c r="H1767" s="12">
        <f t="shared" si="82"/>
        <v>0.24480845982449095</v>
      </c>
      <c r="I1767" s="12">
        <f t="shared" si="83"/>
        <v>7.2629339759627529E-2</v>
      </c>
      <c r="J1767" s="12">
        <f>G1767*(D1767*Assumptions!$B$6+E1767*Assumptions!$B$7)</f>
        <v>6.0795515862262853E-3</v>
      </c>
    </row>
    <row r="1768" spans="1:10" x14ac:dyDescent="0.2">
      <c r="A1768" s="2">
        <v>1760</v>
      </c>
      <c r="B1768" s="14">
        <f>A1768*Assumptions!$B$12</f>
        <v>17.600000000000001</v>
      </c>
      <c r="C1768" s="15">
        <f>IF(A1768&lt;=Assumptions!$B$13,IF(OR(A1768=0,A1768=Assumptions!$B$13),0.5,1),0)*Assumptions!$B$12</f>
        <v>0.01</v>
      </c>
      <c r="D1768" s="12">
        <f>D1767*(1-Assumptions!$B$12*(Assumptions!$B$5+Assumptions!$B$6))</f>
        <v>0.5897366392771326</v>
      </c>
      <c r="E1768" s="12">
        <f>E1767+Assumptions!$B$12*(D1767*Assumptions!$B$5-E1767*Assumptions!$B$7)</f>
        <v>0.17504500022121092</v>
      </c>
      <c r="F1768" s="12">
        <f t="shared" si="81"/>
        <v>0.23521836050165648</v>
      </c>
      <c r="G1768" s="12">
        <f>EXP(-Assumptions!$B$8*B1768)</f>
        <v>0.41478291168158132</v>
      </c>
      <c r="H1768" s="12">
        <f t="shared" si="82"/>
        <v>0.24461268036467948</v>
      </c>
      <c r="I1768" s="12">
        <f t="shared" si="83"/>
        <v>7.2605674867056907E-2</v>
      </c>
      <c r="J1768" s="12">
        <f>G1768*(D1768*Assumptions!$B$6+E1768*Assumptions!$B$7)</f>
        <v>6.07641054699964E-3</v>
      </c>
    </row>
    <row r="1769" spans="1:10" x14ac:dyDescent="0.2">
      <c r="A1769" s="2">
        <v>1761</v>
      </c>
      <c r="B1769" s="14">
        <f>A1769*Assumptions!$B$12</f>
        <v>17.61</v>
      </c>
      <c r="C1769" s="15">
        <f>IF(A1769&lt;=Assumptions!$B$13,IF(OR(A1769=0,A1769=Assumptions!$B$13),0.5,1),0)*Assumptions!$B$12</f>
        <v>0.01</v>
      </c>
      <c r="D1769" s="12">
        <f>D1768*(1-Assumptions!$B$12*(Assumptions!$B$5+Assumptions!$B$6))</f>
        <v>0.58955971828534948</v>
      </c>
      <c r="E1769" s="12">
        <f>E1768+Assumptions!$B$12*(D1768*Assumptions!$B$5-E1768*Assumptions!$B$7)</f>
        <v>0.17507542504895574</v>
      </c>
      <c r="F1769" s="12">
        <f t="shared" si="81"/>
        <v>0.23536485666569479</v>
      </c>
      <c r="G1769" s="12">
        <f>EXP(-Assumptions!$B$8*B1769)</f>
        <v>0.41457557206496426</v>
      </c>
      <c r="H1769" s="12">
        <f t="shared" si="82"/>
        <v>0.24441705747460793</v>
      </c>
      <c r="I1769" s="12">
        <f t="shared" si="83"/>
        <v>7.2581994494187591E-2</v>
      </c>
      <c r="J1769" s="12">
        <f>G1769*(D1769*Assumptions!$B$6+E1769*Assumptions!$B$7)</f>
        <v>6.0732702994554591E-3</v>
      </c>
    </row>
    <row r="1770" spans="1:10" x14ac:dyDescent="0.2">
      <c r="A1770" s="2">
        <v>1762</v>
      </c>
      <c r="B1770" s="14">
        <f>A1770*Assumptions!$B$12</f>
        <v>17.62</v>
      </c>
      <c r="C1770" s="15">
        <f>IF(A1770&lt;=Assumptions!$B$13,IF(OR(A1770=0,A1770=Assumptions!$B$13),0.5,1),0)*Assumptions!$B$12</f>
        <v>0.01</v>
      </c>
      <c r="D1770" s="12">
        <f>D1769*(1-Assumptions!$B$12*(Assumptions!$B$5+Assumptions!$B$6))</f>
        <v>0.58938285036986393</v>
      </c>
      <c r="E1770" s="12">
        <f>E1769+Assumptions!$B$12*(D1769*Assumptions!$B$5-E1769*Assumptions!$B$7)</f>
        <v>0.17510579928008832</v>
      </c>
      <c r="F1770" s="12">
        <f t="shared" si="81"/>
        <v>0.23551135035004775</v>
      </c>
      <c r="G1770" s="12">
        <f>EXP(-Assumptions!$B$8*B1770)</f>
        <v>0.41436833609224238</v>
      </c>
      <c r="H1770" s="12">
        <f t="shared" si="82"/>
        <v>0.24422159102906357</v>
      </c>
      <c r="I1770" s="12">
        <f t="shared" si="83"/>
        <v>7.2558298687792372E-2</v>
      </c>
      <c r="J1770" s="12">
        <f>G1770*(D1770*Assumptions!$B$6+E1770*Assumptions!$B$7)</f>
        <v>6.0701308446802545E-3</v>
      </c>
    </row>
    <row r="1771" spans="1:10" x14ac:dyDescent="0.2">
      <c r="A1771" s="2">
        <v>1763</v>
      </c>
      <c r="B1771" s="14">
        <f>A1771*Assumptions!$B$12</f>
        <v>17.63</v>
      </c>
      <c r="C1771" s="15">
        <f>IF(A1771&lt;=Assumptions!$B$13,IF(OR(A1771=0,A1771=Assumptions!$B$13),0.5,1),0)*Assumptions!$B$12</f>
        <v>0.01</v>
      </c>
      <c r="D1771" s="12">
        <f>D1770*(1-Assumptions!$B$12*(Assumptions!$B$5+Assumptions!$B$6))</f>
        <v>0.58920603551475303</v>
      </c>
      <c r="E1771" s="12">
        <f>E1770+Assumptions!$B$12*(D1770*Assumptions!$B$5-E1770*Assumptions!$B$7)</f>
        <v>0.17513612295052225</v>
      </c>
      <c r="F1771" s="12">
        <f t="shared" si="81"/>
        <v>0.23565784153472472</v>
      </c>
      <c r="G1771" s="12">
        <f>EXP(-Assumptions!$B$8*B1771)</f>
        <v>0.41416120371160675</v>
      </c>
      <c r="H1771" s="12">
        <f t="shared" si="82"/>
        <v>0.24402628090293382</v>
      </c>
      <c r="I1771" s="12">
        <f t="shared" si="83"/>
        <v>7.2534587494572256E-2</v>
      </c>
      <c r="J1771" s="12">
        <f>G1771*(D1771*Assumptions!$B$6+E1771*Assumptions!$B$7)</f>
        <v>6.0669921837579518E-3</v>
      </c>
    </row>
    <row r="1772" spans="1:10" x14ac:dyDescent="0.2">
      <c r="A1772" s="2">
        <v>1764</v>
      </c>
      <c r="B1772" s="14">
        <f>A1772*Assumptions!$B$12</f>
        <v>17.64</v>
      </c>
      <c r="C1772" s="15">
        <f>IF(A1772&lt;=Assumptions!$B$13,IF(OR(A1772=0,A1772=Assumptions!$B$13),0.5,1),0)*Assumptions!$B$12</f>
        <v>0.01</v>
      </c>
      <c r="D1772" s="12">
        <f>D1771*(1-Assumptions!$B$12*(Assumptions!$B$5+Assumptions!$B$6))</f>
        <v>0.58902927370409863</v>
      </c>
      <c r="E1772" s="12">
        <f>E1771+Assumptions!$B$12*(D1771*Assumptions!$B$5-E1771*Assumptions!$B$7)</f>
        <v>0.17516639609614995</v>
      </c>
      <c r="F1772" s="12">
        <f t="shared" si="81"/>
        <v>0.23580433019975142</v>
      </c>
      <c r="G1772" s="12">
        <f>EXP(-Assumptions!$B$8*B1772)</f>
        <v>0.41395417487127406</v>
      </c>
      <c r="H1772" s="12">
        <f t="shared" si="82"/>
        <v>0.24383112697120599</v>
      </c>
      <c r="I1772" s="12">
        <f t="shared" si="83"/>
        <v>7.2510860961156512E-2</v>
      </c>
      <c r="J1772" s="12">
        <f>G1772*(D1772*Assumptions!$B$6+E1772*Assumptions!$B$7)</f>
        <v>6.0638543177698864E-3</v>
      </c>
    </row>
    <row r="1773" spans="1:10" x14ac:dyDescent="0.2">
      <c r="A1773" s="2">
        <v>1765</v>
      </c>
      <c r="B1773" s="14">
        <f>A1773*Assumptions!$B$12</f>
        <v>17.650000000000002</v>
      </c>
      <c r="C1773" s="15">
        <f>IF(A1773&lt;=Assumptions!$B$13,IF(OR(A1773=0,A1773=Assumptions!$B$13),0.5,1),0)*Assumptions!$B$12</f>
        <v>0.01</v>
      </c>
      <c r="D1773" s="12">
        <f>D1772*(1-Assumptions!$B$12*(Assumptions!$B$5+Assumptions!$B$6))</f>
        <v>0.58885256492198745</v>
      </c>
      <c r="E1773" s="12">
        <f>E1772+Assumptions!$B$12*(D1772*Assumptions!$B$5-E1772*Assumptions!$B$7)</f>
        <v>0.1751966187528427</v>
      </c>
      <c r="F1773" s="12">
        <f t="shared" si="81"/>
        <v>0.23595081632516984</v>
      </c>
      <c r="G1773" s="12">
        <f>EXP(-Assumptions!$B$8*B1773)</f>
        <v>0.41374724951948727</v>
      </c>
      <c r="H1773" s="12">
        <f t="shared" si="82"/>
        <v>0.24363612910896762</v>
      </c>
      <c r="I1773" s="12">
        <f t="shared" si="83"/>
        <v>7.2487119134102898E-2</v>
      </c>
      <c r="J1773" s="12">
        <f>G1773*(D1773*Assumptions!$B$6+E1773*Assumptions!$B$7)</f>
        <v>6.0607172477948213E-3</v>
      </c>
    </row>
    <row r="1774" spans="1:10" x14ac:dyDescent="0.2">
      <c r="A1774" s="2">
        <v>1766</v>
      </c>
      <c r="B1774" s="14">
        <f>A1774*Assumptions!$B$12</f>
        <v>17.66</v>
      </c>
      <c r="C1774" s="15">
        <f>IF(A1774&lt;=Assumptions!$B$13,IF(OR(A1774=0,A1774=Assumptions!$B$13),0.5,1),0)*Assumptions!$B$12</f>
        <v>0.01</v>
      </c>
      <c r="D1774" s="12">
        <f>D1773*(1-Assumptions!$B$12*(Assumptions!$B$5+Assumptions!$B$6))</f>
        <v>0.58867590915251089</v>
      </c>
      <c r="E1774" s="12">
        <f>E1773+Assumptions!$B$12*(D1773*Assumptions!$B$5-E1773*Assumptions!$B$7)</f>
        <v>0.17522679095645069</v>
      </c>
      <c r="F1774" s="12">
        <f t="shared" si="81"/>
        <v>0.23609729989103842</v>
      </c>
      <c r="G1774" s="12">
        <f>EXP(-Assumptions!$B$8*B1774)</f>
        <v>0.41354042760451515</v>
      </c>
      <c r="H1774" s="12">
        <f t="shared" si="82"/>
        <v>0.24344128719140606</v>
      </c>
      <c r="I1774" s="12">
        <f t="shared" si="83"/>
        <v>7.2463362059897604E-2</v>
      </c>
      <c r="J1774" s="12">
        <f>G1774*(D1774*Assumptions!$B$6+E1774*Assumptions!$B$7)</f>
        <v>6.0575809749089417E-3</v>
      </c>
    </row>
    <row r="1775" spans="1:10" x14ac:dyDescent="0.2">
      <c r="A1775" s="2">
        <v>1767</v>
      </c>
      <c r="B1775" s="14">
        <f>A1775*Assumptions!$B$12</f>
        <v>17.670000000000002</v>
      </c>
      <c r="C1775" s="15">
        <f>IF(A1775&lt;=Assumptions!$B$13,IF(OR(A1775=0,A1775=Assumptions!$B$13),0.5,1),0)*Assumptions!$B$12</f>
        <v>0.01</v>
      </c>
      <c r="D1775" s="12">
        <f>D1774*(1-Assumptions!$B$12*(Assumptions!$B$5+Assumptions!$B$6))</f>
        <v>0.58849930637976511</v>
      </c>
      <c r="E1775" s="12">
        <f>E1774+Assumptions!$B$12*(D1774*Assumptions!$B$5-E1774*Assumptions!$B$7)</f>
        <v>0.17525691274280297</v>
      </c>
      <c r="F1775" s="12">
        <f t="shared" si="81"/>
        <v>0.23624378087743192</v>
      </c>
      <c r="G1775" s="12">
        <f>EXP(-Assumptions!$B$8*B1775)</f>
        <v>0.41333370907465189</v>
      </c>
      <c r="H1775" s="12">
        <f t="shared" si="82"/>
        <v>0.24324660109380827</v>
      </c>
      <c r="I1775" s="12">
        <f t="shared" si="83"/>
        <v>7.2439589784955377E-2</v>
      </c>
      <c r="J1775" s="12">
        <f>G1775*(D1775*Assumptions!$B$6+E1775*Assumptions!$B$7)</f>
        <v>6.0544455001858514E-3</v>
      </c>
    </row>
    <row r="1776" spans="1:10" x14ac:dyDescent="0.2">
      <c r="A1776" s="2">
        <v>1768</v>
      </c>
      <c r="B1776" s="14">
        <f>A1776*Assumptions!$B$12</f>
        <v>17.68</v>
      </c>
      <c r="C1776" s="15">
        <f>IF(A1776&lt;=Assumptions!$B$13,IF(OR(A1776=0,A1776=Assumptions!$B$13),0.5,1),0)*Assumptions!$B$12</f>
        <v>0.01</v>
      </c>
      <c r="D1776" s="12">
        <f>D1775*(1-Assumptions!$B$12*(Assumptions!$B$5+Assumptions!$B$6))</f>
        <v>0.58832275658785116</v>
      </c>
      <c r="E1776" s="12">
        <f>E1775+Assumptions!$B$12*(D1775*Assumptions!$B$5-E1775*Assumptions!$B$7)</f>
        <v>0.17528698414770752</v>
      </c>
      <c r="F1776" s="12">
        <f t="shared" si="81"/>
        <v>0.23639025926444132</v>
      </c>
      <c r="G1776" s="12">
        <f>EXP(-Assumptions!$B$8*B1776)</f>
        <v>0.41312709387821822</v>
      </c>
      <c r="H1776" s="12">
        <f t="shared" si="82"/>
        <v>0.24305207069156132</v>
      </c>
      <c r="I1776" s="12">
        <f t="shared" si="83"/>
        <v>7.2415802355619716E-2</v>
      </c>
      <c r="J1776" s="12">
        <f>G1776*(D1776*Assumptions!$B$6+E1776*Assumptions!$B$7)</f>
        <v>6.0513108246965991E-3</v>
      </c>
    </row>
    <row r="1777" spans="1:10" x14ac:dyDescent="0.2">
      <c r="A1777" s="2">
        <v>1769</v>
      </c>
      <c r="B1777" s="14">
        <f>A1777*Assumptions!$B$12</f>
        <v>17.690000000000001</v>
      </c>
      <c r="C1777" s="15">
        <f>IF(A1777&lt;=Assumptions!$B$13,IF(OR(A1777=0,A1777=Assumptions!$B$13),0.5,1),0)*Assumptions!$B$12</f>
        <v>0.01</v>
      </c>
      <c r="D1777" s="12">
        <f>D1776*(1-Assumptions!$B$12*(Assumptions!$B$5+Assumptions!$B$6))</f>
        <v>0.58814625976087487</v>
      </c>
      <c r="E1777" s="12">
        <f>E1776+Assumptions!$B$12*(D1776*Assumptions!$B$5-E1776*Assumptions!$B$7)</f>
        <v>0.17531700520695123</v>
      </c>
      <c r="F1777" s="12">
        <f t="shared" si="81"/>
        <v>0.2365367350321739</v>
      </c>
      <c r="G1777" s="12">
        <f>EXP(-Assumptions!$B$8*B1777)</f>
        <v>0.41292058196356013</v>
      </c>
      <c r="H1777" s="12">
        <f t="shared" si="82"/>
        <v>0.24285769586015166</v>
      </c>
      <c r="I1777" s="12">
        <f t="shared" si="83"/>
        <v>7.23919998181628E-2</v>
      </c>
      <c r="J1777" s="12">
        <f>G1777*(D1777*Assumptions!$B$6+E1777*Assumptions!$B$7)</f>
        <v>6.0481769495096564E-3</v>
      </c>
    </row>
    <row r="1778" spans="1:10" x14ac:dyDescent="0.2">
      <c r="A1778" s="2">
        <v>1770</v>
      </c>
      <c r="B1778" s="14">
        <f>A1778*Assumptions!$B$12</f>
        <v>17.7</v>
      </c>
      <c r="C1778" s="15">
        <f>IF(A1778&lt;=Assumptions!$B$13,IF(OR(A1778=0,A1778=Assumptions!$B$13),0.5,1),0)*Assumptions!$B$12</f>
        <v>0.01</v>
      </c>
      <c r="D1778" s="12">
        <f>D1777*(1-Assumptions!$B$12*(Assumptions!$B$5+Assumptions!$B$6))</f>
        <v>0.58796981588294661</v>
      </c>
      <c r="E1778" s="12">
        <f>E1777+Assumptions!$B$12*(D1777*Assumptions!$B$5-E1777*Assumptions!$B$7)</f>
        <v>0.17534697595629994</v>
      </c>
      <c r="F1778" s="12">
        <f t="shared" si="81"/>
        <v>0.23668320816075344</v>
      </c>
      <c r="G1778" s="12">
        <f>EXP(-Assumptions!$B$8*B1778)</f>
        <v>0.41271417327904963</v>
      </c>
      <c r="H1778" s="12">
        <f t="shared" si="82"/>
        <v>0.24266347647516534</v>
      </c>
      <c r="I1778" s="12">
        <f t="shared" si="83"/>
        <v>7.2368182218785729E-2</v>
      </c>
      <c r="J1778" s="12">
        <f>G1778*(D1778*Assumptions!$B$6+E1778*Assumptions!$B$7)</f>
        <v>6.0450438756909398E-3</v>
      </c>
    </row>
    <row r="1779" spans="1:10" x14ac:dyDescent="0.2">
      <c r="A1779" s="2">
        <v>1771</v>
      </c>
      <c r="B1779" s="14">
        <f>A1779*Assumptions!$B$12</f>
        <v>17.71</v>
      </c>
      <c r="C1779" s="15">
        <f>IF(A1779&lt;=Assumptions!$B$13,IF(OR(A1779=0,A1779=Assumptions!$B$13),0.5,1),0)*Assumptions!$B$12</f>
        <v>0.01</v>
      </c>
      <c r="D1779" s="12">
        <f>D1778*(1-Assumptions!$B$12*(Assumptions!$B$5+Assumptions!$B$6))</f>
        <v>0.58779342493818176</v>
      </c>
      <c r="E1779" s="12">
        <f>E1778+Assumptions!$B$12*(D1778*Assumptions!$B$5-E1778*Assumptions!$B$7)</f>
        <v>0.1753768964314984</v>
      </c>
      <c r="F1779" s="12">
        <f t="shared" si="81"/>
        <v>0.23682967863031984</v>
      </c>
      <c r="G1779" s="12">
        <f>EXP(-Assumptions!$B$8*B1779)</f>
        <v>0.41250786777308462</v>
      </c>
      <c r="H1779" s="12">
        <f t="shared" si="82"/>
        <v>0.24246941241228803</v>
      </c>
      <c r="I1779" s="12">
        <f t="shared" si="83"/>
        <v>7.2344349603618491E-2</v>
      </c>
      <c r="J1779" s="12">
        <f>G1779*(D1779*Assumptions!$B$6+E1779*Assumptions!$B$7)</f>
        <v>6.0419116043038054E-3</v>
      </c>
    </row>
    <row r="1780" spans="1:10" x14ac:dyDescent="0.2">
      <c r="A1780" s="2">
        <v>1772</v>
      </c>
      <c r="B1780" s="14">
        <f>A1780*Assumptions!$B$12</f>
        <v>17.72</v>
      </c>
      <c r="C1780" s="15">
        <f>IF(A1780&lt;=Assumptions!$B$13,IF(OR(A1780=0,A1780=Assumptions!$B$13),0.5,1),0)*Assumptions!$B$12</f>
        <v>0.01</v>
      </c>
      <c r="D1780" s="12">
        <f>D1779*(1-Assumptions!$B$12*(Assumptions!$B$5+Assumptions!$B$6))</f>
        <v>0.58761708691070036</v>
      </c>
      <c r="E1780" s="12">
        <f>E1779+Assumptions!$B$12*(D1779*Assumptions!$B$5-E1779*Assumptions!$B$7)</f>
        <v>0.17540676666827029</v>
      </c>
      <c r="F1780" s="12">
        <f t="shared" si="81"/>
        <v>0.23697614642102935</v>
      </c>
      <c r="G1780" s="12">
        <f>EXP(-Assumptions!$B$8*B1780)</f>
        <v>0.41230166539408875</v>
      </c>
      <c r="H1780" s="12">
        <f t="shared" si="82"/>
        <v>0.24227550354730473</v>
      </c>
      <c r="I1780" s="12">
        <f t="shared" si="83"/>
        <v>7.2320502018720173E-2</v>
      </c>
      <c r="J1780" s="12">
        <f>G1780*(D1780*Assumptions!$B$6+E1780*Assumptions!$B$7)</f>
        <v>6.0387801364090565E-3</v>
      </c>
    </row>
    <row r="1781" spans="1:10" x14ac:dyDescent="0.2">
      <c r="A1781" s="2">
        <v>1773</v>
      </c>
      <c r="B1781" s="14">
        <f>A1781*Assumptions!$B$12</f>
        <v>17.73</v>
      </c>
      <c r="C1781" s="15">
        <f>IF(A1781&lt;=Assumptions!$B$13,IF(OR(A1781=0,A1781=Assumptions!$B$13),0.5,1),0)*Assumptions!$B$12</f>
        <v>0.01</v>
      </c>
      <c r="D1781" s="12">
        <f>D1780*(1-Assumptions!$B$12*(Assumptions!$B$5+Assumptions!$B$6))</f>
        <v>0.58744080178462721</v>
      </c>
      <c r="E1781" s="12">
        <f>E1780+Assumptions!$B$12*(D1780*Assumptions!$B$5-E1780*Assumptions!$B$7)</f>
        <v>0.17543658670231829</v>
      </c>
      <c r="F1781" s="12">
        <f t="shared" si="81"/>
        <v>0.2371226115130545</v>
      </c>
      <c r="G1781" s="12">
        <f>EXP(-Assumptions!$B$8*B1781)</f>
        <v>0.41209556609051129</v>
      </c>
      <c r="H1781" s="12">
        <f t="shared" si="82"/>
        <v>0.24208174975609978</v>
      </c>
      <c r="I1781" s="12">
        <f t="shared" si="83"/>
        <v>7.2296639510078919E-2</v>
      </c>
      <c r="J1781" s="12">
        <f>G1781*(D1781*Assumptions!$B$6+E1781*Assumptions!$B$7)</f>
        <v>6.0356494730649437E-3</v>
      </c>
    </row>
    <row r="1782" spans="1:10" x14ac:dyDescent="0.2">
      <c r="A1782" s="2">
        <v>1774</v>
      </c>
      <c r="B1782" s="14">
        <f>A1782*Assumptions!$B$12</f>
        <v>17.740000000000002</v>
      </c>
      <c r="C1782" s="15">
        <f>IF(A1782&lt;=Assumptions!$B$13,IF(OR(A1782=0,A1782=Assumptions!$B$13),0.5,1),0)*Assumptions!$B$12</f>
        <v>0.01</v>
      </c>
      <c r="D1782" s="12">
        <f>D1781*(1-Assumptions!$B$12*(Assumptions!$B$5+Assumptions!$B$6))</f>
        <v>0.58726456954409179</v>
      </c>
      <c r="E1782" s="12">
        <f>E1781+Assumptions!$B$12*(D1781*Assumptions!$B$5-E1781*Assumptions!$B$7)</f>
        <v>0.17546635656932405</v>
      </c>
      <c r="F1782" s="12">
        <f t="shared" si="81"/>
        <v>0.23726907388658416</v>
      </c>
      <c r="G1782" s="12">
        <f>EXP(-Assumptions!$B$8*B1782)</f>
        <v>0.41188956981082753</v>
      </c>
      <c r="H1782" s="12">
        <f t="shared" si="82"/>
        <v>0.24188815091465676</v>
      </c>
      <c r="I1782" s="12">
        <f t="shared" si="83"/>
        <v>7.2272762123612153E-2</v>
      </c>
      <c r="J1782" s="12">
        <f>G1782*(D1782*Assumptions!$B$6+E1782*Assumptions!$B$7)</f>
        <v>6.0325196153271756E-3</v>
      </c>
    </row>
    <row r="1783" spans="1:10" x14ac:dyDescent="0.2">
      <c r="A1783" s="2">
        <v>1775</v>
      </c>
      <c r="B1783" s="14">
        <f>A1783*Assumptions!$B$12</f>
        <v>17.75</v>
      </c>
      <c r="C1783" s="15">
        <f>IF(A1783&lt;=Assumptions!$B$13,IF(OR(A1783=0,A1783=Assumptions!$B$13),0.5,1),0)*Assumptions!$B$12</f>
        <v>0.01</v>
      </c>
      <c r="D1783" s="12">
        <f>D1782*(1-Assumptions!$B$12*(Assumptions!$B$5+Assumptions!$B$6))</f>
        <v>0.58708839017322856</v>
      </c>
      <c r="E1783" s="12">
        <f>E1782+Assumptions!$B$12*(D1782*Assumptions!$B$5-E1782*Assumptions!$B$7)</f>
        <v>0.17549607630494821</v>
      </c>
      <c r="F1783" s="12">
        <f t="shared" si="81"/>
        <v>0.23741553352182324</v>
      </c>
      <c r="G1783" s="12">
        <f>EXP(-Assumptions!$B$8*B1783)</f>
        <v>0.41168367650353843</v>
      </c>
      <c r="H1783" s="12">
        <f t="shared" si="82"/>
        <v>0.24169470689905859</v>
      </c>
      <c r="I1783" s="12">
        <f t="shared" si="83"/>
        <v>7.2248869905166588E-2</v>
      </c>
      <c r="J1783" s="12">
        <f>G1783*(D1783*Assumptions!$B$6+E1783*Assumptions!$B$7)</f>
        <v>6.0293905642489149E-3</v>
      </c>
    </row>
    <row r="1784" spans="1:10" x14ac:dyDescent="0.2">
      <c r="A1784" s="2">
        <v>1776</v>
      </c>
      <c r="B1784" s="14">
        <f>A1784*Assumptions!$B$12</f>
        <v>17.760000000000002</v>
      </c>
      <c r="C1784" s="15">
        <f>IF(A1784&lt;=Assumptions!$B$13,IF(OR(A1784=0,A1784=Assumptions!$B$13),0.5,1),0)*Assumptions!$B$12</f>
        <v>0.01</v>
      </c>
      <c r="D1784" s="12">
        <f>D1783*(1-Assumptions!$B$12*(Assumptions!$B$5+Assumptions!$B$6))</f>
        <v>0.58691226365617666</v>
      </c>
      <c r="E1784" s="12">
        <f>E1783+Assumptions!$B$12*(D1783*Assumptions!$B$5-E1783*Assumptions!$B$7)</f>
        <v>0.17552574594483039</v>
      </c>
      <c r="F1784" s="12">
        <f t="shared" si="81"/>
        <v>0.23756199039899295</v>
      </c>
      <c r="G1784" s="12">
        <f>EXP(-Assumptions!$B$8*B1784)</f>
        <v>0.41147788611717051</v>
      </c>
      <c r="H1784" s="12">
        <f t="shared" si="82"/>
        <v>0.24150141758548702</v>
      </c>
      <c r="I1784" s="12">
        <f t="shared" si="83"/>
        <v>7.222496290051833E-2</v>
      </c>
      <c r="J1784" s="12">
        <f>G1784*(D1784*Assumptions!$B$6+E1784*Assumptions!$B$7)</f>
        <v>6.0262623208807865E-3</v>
      </c>
    </row>
    <row r="1785" spans="1:10" x14ac:dyDescent="0.2">
      <c r="A1785" s="2">
        <v>1777</v>
      </c>
      <c r="B1785" s="14">
        <f>A1785*Assumptions!$B$12</f>
        <v>17.77</v>
      </c>
      <c r="C1785" s="15">
        <f>IF(A1785&lt;=Assumptions!$B$13,IF(OR(A1785=0,A1785=Assumptions!$B$13),0.5,1),0)*Assumptions!$B$12</f>
        <v>0.01</v>
      </c>
      <c r="D1785" s="12">
        <f>D1784*(1-Assumptions!$B$12*(Assumptions!$B$5+Assumptions!$B$6))</f>
        <v>0.58673618997707977</v>
      </c>
      <c r="E1785" s="12">
        <f>E1784+Assumptions!$B$12*(D1784*Assumptions!$B$5-E1784*Assumptions!$B$7)</f>
        <v>0.17555536552458922</v>
      </c>
      <c r="F1785" s="12">
        <f t="shared" si="81"/>
        <v>0.23770844449833101</v>
      </c>
      <c r="G1785" s="12">
        <f>EXP(-Assumptions!$B$8*B1785)</f>
        <v>0.41127219860027636</v>
      </c>
      <c r="H1785" s="12">
        <f t="shared" si="82"/>
        <v>0.24130828285022304</v>
      </c>
      <c r="I1785" s="12">
        <f t="shared" si="83"/>
        <v>7.2201041155372972E-2</v>
      </c>
      <c r="J1785" s="12">
        <f>G1785*(D1785*Assumptions!$B$6+E1785*Assumptions!$B$7)</f>
        <v>6.023134886270879E-3</v>
      </c>
    </row>
    <row r="1786" spans="1:10" x14ac:dyDescent="0.2">
      <c r="A1786" s="2">
        <v>1778</v>
      </c>
      <c r="B1786" s="14">
        <f>A1786*Assumptions!$B$12</f>
        <v>17.78</v>
      </c>
      <c r="C1786" s="15">
        <f>IF(A1786&lt;=Assumptions!$B$13,IF(OR(A1786=0,A1786=Assumptions!$B$13),0.5,1),0)*Assumptions!$B$12</f>
        <v>0.01</v>
      </c>
      <c r="D1786" s="12">
        <f>D1785*(1-Assumptions!$B$12*(Assumptions!$B$5+Assumptions!$B$6))</f>
        <v>0.58656016912008668</v>
      </c>
      <c r="E1786" s="12">
        <f>E1785+Assumptions!$B$12*(D1785*Assumptions!$B$5-E1785*Assumptions!$B$7)</f>
        <v>0.17558493507982234</v>
      </c>
      <c r="F1786" s="12">
        <f t="shared" si="81"/>
        <v>0.23785489580009098</v>
      </c>
      <c r="G1786" s="12">
        <f>EXP(-Assumptions!$B$8*B1786)</f>
        <v>0.4110666139014339</v>
      </c>
      <c r="H1786" s="12">
        <f t="shared" si="82"/>
        <v>0.24111530256964644</v>
      </c>
      <c r="I1786" s="12">
        <f t="shared" si="83"/>
        <v>7.2177104715365661E-2</v>
      </c>
      <c r="J1786" s="12">
        <f>G1786*(D1786*Assumptions!$B$6+E1786*Assumptions!$B$7)</f>
        <v>6.0200082614647477E-3</v>
      </c>
    </row>
    <row r="1787" spans="1:10" x14ac:dyDescent="0.2">
      <c r="A1787" s="2">
        <v>1779</v>
      </c>
      <c r="B1787" s="14">
        <f>A1787*Assumptions!$B$12</f>
        <v>17.79</v>
      </c>
      <c r="C1787" s="15">
        <f>IF(A1787&lt;=Assumptions!$B$13,IF(OR(A1787=0,A1787=Assumptions!$B$13),0.5,1),0)*Assumptions!$B$12</f>
        <v>0.01</v>
      </c>
      <c r="D1787" s="12">
        <f>D1786*(1-Assumptions!$B$12*(Assumptions!$B$5+Assumptions!$B$6))</f>
        <v>0.58638420106935063</v>
      </c>
      <c r="E1787" s="12">
        <f>E1786+Assumptions!$B$12*(D1786*Assumptions!$B$5-E1786*Assumptions!$B$7)</f>
        <v>0.17561445464610645</v>
      </c>
      <c r="F1787" s="12">
        <f t="shared" si="81"/>
        <v>0.23800134428454292</v>
      </c>
      <c r="G1787" s="12">
        <f>EXP(-Assumptions!$B$8*B1787)</f>
        <v>0.41086113196924717</v>
      </c>
      <c r="H1787" s="12">
        <f t="shared" si="82"/>
        <v>0.24092247662023603</v>
      </c>
      <c r="I1787" s="12">
        <f t="shared" si="83"/>
        <v>7.2153153626061312E-2</v>
      </c>
      <c r="J1787" s="12">
        <f>G1787*(D1787*Assumptions!$B$6+E1787*Assumptions!$B$7)</f>
        <v>6.0168824475054263E-3</v>
      </c>
    </row>
    <row r="1788" spans="1:10" x14ac:dyDescent="0.2">
      <c r="A1788" s="2">
        <v>1780</v>
      </c>
      <c r="B1788" s="14">
        <f>A1788*Assumptions!$B$12</f>
        <v>17.8</v>
      </c>
      <c r="C1788" s="15">
        <f>IF(A1788&lt;=Assumptions!$B$13,IF(OR(A1788=0,A1788=Assumptions!$B$13),0.5,1),0)*Assumptions!$B$12</f>
        <v>0.01</v>
      </c>
      <c r="D1788" s="12">
        <f>D1787*(1-Assumptions!$B$12*(Assumptions!$B$5+Assumptions!$B$6))</f>
        <v>0.58620828580902984</v>
      </c>
      <c r="E1788" s="12">
        <f>E1787+Assumptions!$B$12*(D1787*Assumptions!$B$5-E1787*Assumptions!$B$7)</f>
        <v>0.17564392425899727</v>
      </c>
      <c r="F1788" s="12">
        <f t="shared" si="81"/>
        <v>0.23814778993197289</v>
      </c>
      <c r="G1788" s="12">
        <f>EXP(-Assumptions!$B$8*B1788)</f>
        <v>0.41065575275234545</v>
      </c>
      <c r="H1788" s="12">
        <f t="shared" si="82"/>
        <v>0.24072980487856921</v>
      </c>
      <c r="I1788" s="12">
        <f t="shared" si="83"/>
        <v>7.2129187932954475E-2</v>
      </c>
      <c r="J1788" s="12">
        <f>G1788*(D1788*Assumptions!$B$6+E1788*Assumptions!$B$7)</f>
        <v>6.0137574454334165E-3</v>
      </c>
    </row>
    <row r="1789" spans="1:10" x14ac:dyDescent="0.2">
      <c r="A1789" s="2">
        <v>1781</v>
      </c>
      <c r="B1789" s="14">
        <f>A1789*Assumptions!$B$12</f>
        <v>17.809999999999999</v>
      </c>
      <c r="C1789" s="15">
        <f>IF(A1789&lt;=Assumptions!$B$13,IF(OR(A1789=0,A1789=Assumptions!$B$13),0.5,1),0)*Assumptions!$B$12</f>
        <v>0.01</v>
      </c>
      <c r="D1789" s="12">
        <f>D1788*(1-Assumptions!$B$12*(Assumptions!$B$5+Assumptions!$B$6))</f>
        <v>0.5860324233232872</v>
      </c>
      <c r="E1789" s="12">
        <f>E1788+Assumptions!$B$12*(D1788*Assumptions!$B$5-E1788*Assumptions!$B$7)</f>
        <v>0.17567334395402959</v>
      </c>
      <c r="F1789" s="12">
        <f t="shared" si="81"/>
        <v>0.23829423272268321</v>
      </c>
      <c r="G1789" s="12">
        <f>EXP(-Assumptions!$B$8*B1789)</f>
        <v>0.41045047619938418</v>
      </c>
      <c r="H1789" s="12">
        <f t="shared" si="82"/>
        <v>0.24053728722132234</v>
      </c>
      <c r="I1789" s="12">
        <f t="shared" si="83"/>
        <v>7.2105207681469649E-2</v>
      </c>
      <c r="J1789" s="12">
        <f>G1789*(D1789*Assumptions!$B$6+E1789*Assumptions!$B$7)</f>
        <v>6.0106332562867067E-3</v>
      </c>
    </row>
    <row r="1790" spans="1:10" x14ac:dyDescent="0.2">
      <c r="A1790" s="2">
        <v>1782</v>
      </c>
      <c r="B1790" s="14">
        <f>A1790*Assumptions!$B$12</f>
        <v>17.82</v>
      </c>
      <c r="C1790" s="15">
        <f>IF(A1790&lt;=Assumptions!$B$13,IF(OR(A1790=0,A1790=Assumptions!$B$13),0.5,1),0)*Assumptions!$B$12</f>
        <v>0.01</v>
      </c>
      <c r="D1790" s="12">
        <f>D1789*(1-Assumptions!$B$12*(Assumptions!$B$5+Assumptions!$B$6))</f>
        <v>0.58585661359629027</v>
      </c>
      <c r="E1790" s="12">
        <f>E1789+Assumptions!$B$12*(D1789*Assumptions!$B$5-E1789*Assumptions!$B$7)</f>
        <v>0.17570271376671723</v>
      </c>
      <c r="F1790" s="12">
        <f t="shared" si="81"/>
        <v>0.23844067263699251</v>
      </c>
      <c r="G1790" s="12">
        <f>EXP(-Assumptions!$B$8*B1790)</f>
        <v>0.41024530225904399</v>
      </c>
      <c r="H1790" s="12">
        <f t="shared" si="82"/>
        <v>0.24034492352527004</v>
      </c>
      <c r="I1790" s="12">
        <f t="shared" si="83"/>
        <v>7.2081212916961193E-2</v>
      </c>
      <c r="J1790" s="12">
        <f>G1790*(D1790*Assumptions!$B$6+E1790*Assumptions!$B$7)</f>
        <v>6.0075098811007603E-3</v>
      </c>
    </row>
    <row r="1791" spans="1:10" x14ac:dyDescent="0.2">
      <c r="A1791" s="2">
        <v>1783</v>
      </c>
      <c r="B1791" s="14">
        <f>A1791*Assumptions!$B$12</f>
        <v>17.830000000000002</v>
      </c>
      <c r="C1791" s="15">
        <f>IF(A1791&lt;=Assumptions!$B$13,IF(OR(A1791=0,A1791=Assumptions!$B$13),0.5,1),0)*Assumptions!$B$12</f>
        <v>0.01</v>
      </c>
      <c r="D1791" s="12">
        <f>D1790*(1-Assumptions!$B$12*(Assumptions!$B$5+Assumptions!$B$6))</f>
        <v>0.58568085661221136</v>
      </c>
      <c r="E1791" s="12">
        <f>E1790+Assumptions!$B$12*(D1790*Assumptions!$B$5-E1790*Assumptions!$B$7)</f>
        <v>0.17573203373255314</v>
      </c>
      <c r="F1791" s="12">
        <f t="shared" si="81"/>
        <v>0.2385871096552355</v>
      </c>
      <c r="G1791" s="12">
        <f>EXP(-Assumptions!$B$8*B1791)</f>
        <v>0.4100402308800315</v>
      </c>
      <c r="H1791" s="12">
        <f t="shared" si="82"/>
        <v>0.24015271366728577</v>
      </c>
      <c r="I1791" s="12">
        <f t="shared" si="83"/>
        <v>7.2057203684713578E-2</v>
      </c>
      <c r="J1791" s="12">
        <f>G1791*(D1791*Assumptions!$B$6+E1791*Assumptions!$B$7)</f>
        <v>6.0043873209085366E-3</v>
      </c>
    </row>
    <row r="1792" spans="1:10" x14ac:dyDescent="0.2">
      <c r="A1792" s="2">
        <v>1784</v>
      </c>
      <c r="B1792" s="14">
        <f>A1792*Assumptions!$B$12</f>
        <v>17.84</v>
      </c>
      <c r="C1792" s="15">
        <f>IF(A1792&lt;=Assumptions!$B$13,IF(OR(A1792=0,A1792=Assumptions!$B$13),0.5,1),0)*Assumptions!$B$12</f>
        <v>0.01</v>
      </c>
      <c r="D1792" s="12">
        <f>D1791*(1-Assumptions!$B$12*(Assumptions!$B$5+Assumptions!$B$6))</f>
        <v>0.58550515235522771</v>
      </c>
      <c r="E1792" s="12">
        <f>E1791+Assumptions!$B$12*(D1791*Assumptions!$B$5-E1791*Assumptions!$B$7)</f>
        <v>0.17576130388700931</v>
      </c>
      <c r="F1792" s="12">
        <f t="shared" si="81"/>
        <v>0.23873354375776298</v>
      </c>
      <c r="G1792" s="12">
        <f>EXP(-Assumptions!$B$8*B1792)</f>
        <v>0.40983526201107895</v>
      </c>
      <c r="H1792" s="12">
        <f t="shared" si="82"/>
        <v>0.23996065752434145</v>
      </c>
      <c r="I1792" s="12">
        <f t="shared" si="83"/>
        <v>7.2033180029941329E-2</v>
      </c>
      <c r="J1792" s="12">
        <f>G1792*(D1792*Assumptions!$B$6+E1792*Assumptions!$B$7)</f>
        <v>6.0012655767404804E-3</v>
      </c>
    </row>
    <row r="1793" spans="1:10" x14ac:dyDescent="0.2">
      <c r="A1793" s="2">
        <v>1785</v>
      </c>
      <c r="B1793" s="14">
        <f>A1793*Assumptions!$B$12</f>
        <v>17.850000000000001</v>
      </c>
      <c r="C1793" s="15">
        <f>IF(A1793&lt;=Assumptions!$B$13,IF(OR(A1793=0,A1793=Assumptions!$B$13),0.5,1),0)*Assumptions!$B$12</f>
        <v>0.01</v>
      </c>
      <c r="D1793" s="12">
        <f>D1792*(1-Assumptions!$B$12*(Assumptions!$B$5+Assumptions!$B$6))</f>
        <v>0.58532950080952117</v>
      </c>
      <c r="E1793" s="12">
        <f>E1792+Assumptions!$B$12*(D1792*Assumptions!$B$5-E1792*Assumptions!$B$7)</f>
        <v>0.17579052426553685</v>
      </c>
      <c r="F1793" s="12">
        <f t="shared" si="81"/>
        <v>0.23887997492494198</v>
      </c>
      <c r="G1793" s="12">
        <f>EXP(-Assumptions!$B$8*B1793)</f>
        <v>0.409630395600944</v>
      </c>
      <c r="H1793" s="12">
        <f t="shared" si="82"/>
        <v>0.23976875497350722</v>
      </c>
      <c r="I1793" s="12">
        <f t="shared" si="83"/>
        <v>7.2009141997789197E-2</v>
      </c>
      <c r="J1793" s="12">
        <f>G1793*(D1793*Assumptions!$B$6+E1793*Assumptions!$B$7)</f>
        <v>5.9981446496245325E-3</v>
      </c>
    </row>
    <row r="1794" spans="1:10" x14ac:dyDescent="0.2">
      <c r="A1794" s="2">
        <v>1786</v>
      </c>
      <c r="B1794" s="14">
        <f>A1794*Assumptions!$B$12</f>
        <v>17.86</v>
      </c>
      <c r="C1794" s="15">
        <f>IF(A1794&lt;=Assumptions!$B$13,IF(OR(A1794=0,A1794=Assumptions!$B$13),0.5,1),0)*Assumptions!$B$12</f>
        <v>0.01</v>
      </c>
      <c r="D1794" s="12">
        <f>D1793*(1-Assumptions!$B$12*(Assumptions!$B$5+Assumptions!$B$6))</f>
        <v>0.5851539019592783</v>
      </c>
      <c r="E1794" s="12">
        <f>E1793+Assumptions!$B$12*(D1793*Assumptions!$B$5-E1793*Assumptions!$B$7)</f>
        <v>0.17581969490356597</v>
      </c>
      <c r="F1794" s="12">
        <f t="shared" si="81"/>
        <v>0.23902640313715573</v>
      </c>
      <c r="G1794" s="12">
        <f>EXP(-Assumptions!$B$8*B1794)</f>
        <v>0.40942563159841006</v>
      </c>
      <c r="H1794" s="12">
        <f t="shared" si="82"/>
        <v>0.23957700589195163</v>
      </c>
      <c r="I1794" s="12">
        <f t="shared" si="83"/>
        <v>7.198508963333225E-2</v>
      </c>
      <c r="J1794" s="12">
        <f>G1794*(D1794*Assumptions!$B$6+E1794*Assumptions!$B$7)</f>
        <v>5.9950245405861295E-3</v>
      </c>
    </row>
    <row r="1795" spans="1:10" x14ac:dyDescent="0.2">
      <c r="A1795" s="2">
        <v>1787</v>
      </c>
      <c r="B1795" s="14">
        <f>A1795*Assumptions!$B$12</f>
        <v>17.87</v>
      </c>
      <c r="C1795" s="15">
        <f>IF(A1795&lt;=Assumptions!$B$13,IF(OR(A1795=0,A1795=Assumptions!$B$13),0.5,1),0)*Assumptions!$B$12</f>
        <v>0.01</v>
      </c>
      <c r="D1795" s="12">
        <f>D1794*(1-Assumptions!$B$12*(Assumptions!$B$5+Assumptions!$B$6))</f>
        <v>0.58497835578869051</v>
      </c>
      <c r="E1795" s="12">
        <f>E1794+Assumptions!$B$12*(D1794*Assumptions!$B$5-E1794*Assumptions!$B$7)</f>
        <v>0.17584881583650605</v>
      </c>
      <c r="F1795" s="12">
        <f t="shared" si="81"/>
        <v>0.23917282837480344</v>
      </c>
      <c r="G1795" s="12">
        <f>EXP(-Assumptions!$B$8*B1795)</f>
        <v>0.40922096995228618</v>
      </c>
      <c r="H1795" s="12">
        <f t="shared" si="82"/>
        <v>0.23938541015694151</v>
      </c>
      <c r="I1795" s="12">
        <f t="shared" si="83"/>
        <v>7.1961022981575945E-2</v>
      </c>
      <c r="J1795" s="12">
        <f>G1795*(D1795*Assumptions!$B$6+E1795*Assumptions!$B$7)</f>
        <v>5.9919052506482127E-3</v>
      </c>
    </row>
    <row r="1796" spans="1:10" x14ac:dyDescent="0.2">
      <c r="A1796" s="2">
        <v>1788</v>
      </c>
      <c r="B1796" s="14">
        <f>A1796*Assumptions!$B$12</f>
        <v>17.88</v>
      </c>
      <c r="C1796" s="15">
        <f>IF(A1796&lt;=Assumptions!$B$13,IF(OR(A1796=0,A1796=Assumptions!$B$13),0.5,1),0)*Assumptions!$B$12</f>
        <v>0.01</v>
      </c>
      <c r="D1796" s="12">
        <f>D1795*(1-Assumptions!$B$12*(Assumptions!$B$5+Assumptions!$B$6))</f>
        <v>0.58480286228195388</v>
      </c>
      <c r="E1796" s="12">
        <f>E1795+Assumptions!$B$12*(D1795*Assumptions!$B$5-E1795*Assumptions!$B$7)</f>
        <v>0.17587788709974553</v>
      </c>
      <c r="F1796" s="12">
        <f t="shared" si="81"/>
        <v>0.23931925061830059</v>
      </c>
      <c r="G1796" s="12">
        <f>EXP(-Assumptions!$B$8*B1796)</f>
        <v>0.40901641061140692</v>
      </c>
      <c r="H1796" s="12">
        <f t="shared" si="82"/>
        <v>0.23919396764584169</v>
      </c>
      <c r="I1796" s="12">
        <f t="shared" si="83"/>
        <v>7.1936942087456185E-2</v>
      </c>
      <c r="J1796" s="12">
        <f>G1796*(D1796*Assumptions!$B$6+E1796*Assumptions!$B$7)</f>
        <v>5.9887867808312263E-3</v>
      </c>
    </row>
    <row r="1797" spans="1:10" x14ac:dyDescent="0.2">
      <c r="A1797" s="2">
        <v>1789</v>
      </c>
      <c r="B1797" s="14">
        <f>A1797*Assumptions!$B$12</f>
        <v>17.89</v>
      </c>
      <c r="C1797" s="15">
        <f>IF(A1797&lt;=Assumptions!$B$13,IF(OR(A1797=0,A1797=Assumptions!$B$13),0.5,1),0)*Assumptions!$B$12</f>
        <v>0.01</v>
      </c>
      <c r="D1797" s="12">
        <f>D1796*(1-Assumptions!$B$12*(Assumptions!$B$5+Assumptions!$B$6))</f>
        <v>0.58462742142326929</v>
      </c>
      <c r="E1797" s="12">
        <f>E1796+Assumptions!$B$12*(D1796*Assumptions!$B$5-E1796*Assumptions!$B$7)</f>
        <v>0.17590690872865206</v>
      </c>
      <c r="F1797" s="12">
        <f t="shared" si="81"/>
        <v>0.23946566984807865</v>
      </c>
      <c r="G1797" s="12">
        <f>EXP(-Assumptions!$B$8*B1797)</f>
        <v>0.4088119535246324</v>
      </c>
      <c r="H1797" s="12">
        <f t="shared" si="82"/>
        <v>0.23900267823611523</v>
      </c>
      <c r="I1797" s="12">
        <f t="shared" si="83"/>
        <v>7.1912846995839455E-2</v>
      </c>
      <c r="J1797" s="12">
        <f>G1797*(D1797*Assumptions!$B$6+E1797*Assumptions!$B$7)</f>
        <v>5.9856691321531251E-3</v>
      </c>
    </row>
    <row r="1798" spans="1:10" x14ac:dyDescent="0.2">
      <c r="A1798" s="2">
        <v>1790</v>
      </c>
      <c r="B1798" s="14">
        <f>A1798*Assumptions!$B$12</f>
        <v>17.900000000000002</v>
      </c>
      <c r="C1798" s="15">
        <f>IF(A1798&lt;=Assumptions!$B$13,IF(OR(A1798=0,A1798=Assumptions!$B$13),0.5,1),0)*Assumptions!$B$12</f>
        <v>0.01</v>
      </c>
      <c r="D1798" s="12">
        <f>D1797*(1-Assumptions!$B$12*(Assumptions!$B$5+Assumptions!$B$6))</f>
        <v>0.58445203319684236</v>
      </c>
      <c r="E1798" s="12">
        <f>E1797+Assumptions!$B$12*(D1797*Assumptions!$B$5-E1797*Assumptions!$B$7)</f>
        <v>0.17593588075857239</v>
      </c>
      <c r="F1798" s="12">
        <f t="shared" si="81"/>
        <v>0.23961208604458525</v>
      </c>
      <c r="G1798" s="12">
        <f>EXP(-Assumptions!$B$8*B1798)</f>
        <v>0.40860759864084839</v>
      </c>
      <c r="H1798" s="12">
        <f t="shared" si="82"/>
        <v>0.23881154180532316</v>
      </c>
      <c r="I1798" s="12">
        <f t="shared" si="83"/>
        <v>7.1888737751522908E-2</v>
      </c>
      <c r="J1798" s="12">
        <f>G1798*(D1798*Assumptions!$B$6+E1798*Assumptions!$B$7)</f>
        <v>5.9825523056293772E-3</v>
      </c>
    </row>
    <row r="1799" spans="1:10" x14ac:dyDescent="0.2">
      <c r="A1799" s="2">
        <v>1791</v>
      </c>
      <c r="B1799" s="14">
        <f>A1799*Assumptions!$B$12</f>
        <v>17.91</v>
      </c>
      <c r="C1799" s="15">
        <f>IF(A1799&lt;=Assumptions!$B$13,IF(OR(A1799=0,A1799=Assumptions!$B$13),0.5,1),0)*Assumptions!$B$12</f>
        <v>0.01</v>
      </c>
      <c r="D1799" s="12">
        <f>D1798*(1-Assumptions!$B$12*(Assumptions!$B$5+Assumptions!$B$6))</f>
        <v>0.58427669758688328</v>
      </c>
      <c r="E1799" s="12">
        <f>E1798+Assumptions!$B$12*(D1798*Assumptions!$B$5-E1798*Assumptions!$B$7)</f>
        <v>0.17596480322483246</v>
      </c>
      <c r="F1799" s="12">
        <f t="shared" si="81"/>
        <v>0.23975849918828426</v>
      </c>
      <c r="G1799" s="12">
        <f>EXP(-Assumptions!$B$8*B1799)</f>
        <v>0.40840334590896626</v>
      </c>
      <c r="H1799" s="12">
        <f t="shared" si="82"/>
        <v>0.23862055823112435</v>
      </c>
      <c r="I1799" s="12">
        <f t="shared" si="83"/>
        <v>7.1864614399234431E-2</v>
      </c>
      <c r="J1799" s="12">
        <f>G1799*(D1799*Assumptions!$B$6+E1799*Assumptions!$B$7)</f>
        <v>5.9794363022729656E-3</v>
      </c>
    </row>
    <row r="1800" spans="1:10" x14ac:dyDescent="0.2">
      <c r="A1800" s="2">
        <v>1792</v>
      </c>
      <c r="B1800" s="14">
        <f>A1800*Assumptions!$B$12</f>
        <v>17.920000000000002</v>
      </c>
      <c r="C1800" s="15">
        <f>IF(A1800&lt;=Assumptions!$B$13,IF(OR(A1800=0,A1800=Assumptions!$B$13),0.5,1),0)*Assumptions!$B$12</f>
        <v>0.01</v>
      </c>
      <c r="D1800" s="12">
        <f>D1799*(1-Assumptions!$B$12*(Assumptions!$B$5+Assumptions!$B$6))</f>
        <v>0.58410141457760723</v>
      </c>
      <c r="E1800" s="12">
        <f>E1799+Assumptions!$B$12*(D1799*Assumptions!$B$5-E1799*Assumptions!$B$7)</f>
        <v>0.17599367616273742</v>
      </c>
      <c r="F1800" s="12">
        <f t="shared" ref="F1800:F1863" si="84">1-D1800-E1800</f>
        <v>0.23990490925965535</v>
      </c>
      <c r="G1800" s="12">
        <f>EXP(-Assumptions!$B$8*B1800)</f>
        <v>0.40819919527792264</v>
      </c>
      <c r="H1800" s="12">
        <f t="shared" ref="H1800:H1863" si="85">G1800*D1800</f>
        <v>0.23842972739127555</v>
      </c>
      <c r="I1800" s="12">
        <f t="shared" ref="I1800:I1863" si="86">G1800*E1800</f>
        <v>7.1840476983632731E-2</v>
      </c>
      <c r="J1800" s="12">
        <f>G1800*(D1800*Assumptions!$B$6+E1800*Assumptions!$B$7)</f>
        <v>5.976321123094392E-3</v>
      </c>
    </row>
    <row r="1801" spans="1:10" x14ac:dyDescent="0.2">
      <c r="A1801" s="2">
        <v>1793</v>
      </c>
      <c r="B1801" s="14">
        <f>A1801*Assumptions!$B$12</f>
        <v>17.93</v>
      </c>
      <c r="C1801" s="15">
        <f>IF(A1801&lt;=Assumptions!$B$13,IF(OR(A1801=0,A1801=Assumptions!$B$13),0.5,1),0)*Assumptions!$B$12</f>
        <v>0.01</v>
      </c>
      <c r="D1801" s="12">
        <f>D1800*(1-Assumptions!$B$12*(Assumptions!$B$5+Assumptions!$B$6))</f>
        <v>0.58392618415323394</v>
      </c>
      <c r="E1801" s="12">
        <f>E1800+Assumptions!$B$12*(D1800*Assumptions!$B$5-E1800*Assumptions!$B$7)</f>
        <v>0.17602249960757158</v>
      </c>
      <c r="F1801" s="12">
        <f t="shared" si="84"/>
        <v>0.24005131623919448</v>
      </c>
      <c r="G1801" s="12">
        <f>EXP(-Assumptions!$B$8*B1801)</f>
        <v>0.40799514669668002</v>
      </c>
      <c r="H1801" s="12">
        <f t="shared" si="85"/>
        <v>0.23823904916363128</v>
      </c>
      <c r="I1801" s="12">
        <f t="shared" si="86"/>
        <v>7.1816325549307461E-2</v>
      </c>
      <c r="J1801" s="12">
        <f>G1801*(D1801*Assumptions!$B$6+E1801*Assumptions!$B$7)</f>
        <v>5.9732067691016869E-3</v>
      </c>
    </row>
    <row r="1802" spans="1:10" x14ac:dyDescent="0.2">
      <c r="A1802" s="2">
        <v>1794</v>
      </c>
      <c r="B1802" s="14">
        <f>A1802*Assumptions!$B$12</f>
        <v>17.940000000000001</v>
      </c>
      <c r="C1802" s="15">
        <f>IF(A1802&lt;=Assumptions!$B$13,IF(OR(A1802=0,A1802=Assumptions!$B$13),0.5,1),0)*Assumptions!$B$12</f>
        <v>0.01</v>
      </c>
      <c r="D1802" s="12">
        <f>D1801*(1-Assumptions!$B$12*(Assumptions!$B$5+Assumptions!$B$6))</f>
        <v>0.58375100629798804</v>
      </c>
      <c r="E1802" s="12">
        <f>E1801+Assumptions!$B$12*(D1801*Assumptions!$B$5-E1801*Assumptions!$B$7)</f>
        <v>0.17605127359459843</v>
      </c>
      <c r="F1802" s="12">
        <f t="shared" si="84"/>
        <v>0.24019772010741353</v>
      </c>
      <c r="G1802" s="12">
        <f>EXP(-Assumptions!$B$8*B1802)</f>
        <v>0.40779120011422615</v>
      </c>
      <c r="H1802" s="12">
        <f t="shared" si="85"/>
        <v>0.23804852342614374</v>
      </c>
      <c r="I1802" s="12">
        <f t="shared" si="86"/>
        <v>7.1792160140779271E-2</v>
      </c>
      <c r="J1802" s="12">
        <f>G1802*(D1802*Assumptions!$B$6+E1802*Assumptions!$B$7)</f>
        <v>5.9700932413004016E-3</v>
      </c>
    </row>
    <row r="1803" spans="1:10" x14ac:dyDescent="0.2">
      <c r="A1803" s="2">
        <v>1795</v>
      </c>
      <c r="B1803" s="14">
        <f>A1803*Assumptions!$B$12</f>
        <v>17.95</v>
      </c>
      <c r="C1803" s="15">
        <f>IF(A1803&lt;=Assumptions!$B$13,IF(OR(A1803=0,A1803=Assumptions!$B$13),0.5,1),0)*Assumptions!$B$12</f>
        <v>0.01</v>
      </c>
      <c r="D1803" s="12">
        <f>D1802*(1-Assumptions!$B$12*(Assumptions!$B$5+Assumptions!$B$6))</f>
        <v>0.58357588099609869</v>
      </c>
      <c r="E1803" s="12">
        <f>E1802+Assumptions!$B$12*(D1802*Assumptions!$B$5-E1802*Assumptions!$B$7)</f>
        <v>0.17607999815906072</v>
      </c>
      <c r="F1803" s="12">
        <f t="shared" si="84"/>
        <v>0.24034412084484058</v>
      </c>
      <c r="G1803" s="12">
        <f>EXP(-Assumptions!$B$8*B1803)</f>
        <v>0.40758735547957453</v>
      </c>
      <c r="H1803" s="12">
        <f t="shared" si="85"/>
        <v>0.23785815005686275</v>
      </c>
      <c r="I1803" s="12">
        <f t="shared" si="86"/>
        <v>7.1767980802499909E-2</v>
      </c>
      <c r="J1803" s="12">
        <f>G1803*(D1803*Assumptions!$B$6+E1803*Assumptions!$B$7)</f>
        <v>5.9669805406936238E-3</v>
      </c>
    </row>
    <row r="1804" spans="1:10" x14ac:dyDescent="0.2">
      <c r="A1804" s="2">
        <v>1796</v>
      </c>
      <c r="B1804" s="14">
        <f>A1804*Assumptions!$B$12</f>
        <v>17.96</v>
      </c>
      <c r="C1804" s="15">
        <f>IF(A1804&lt;=Assumptions!$B$13,IF(OR(A1804=0,A1804=Assumptions!$B$13),0.5,1),0)*Assumptions!$B$12</f>
        <v>0.01</v>
      </c>
      <c r="D1804" s="12">
        <f>D1803*(1-Assumptions!$B$12*(Assumptions!$B$5+Assumptions!$B$6))</f>
        <v>0.58340080823179985</v>
      </c>
      <c r="E1804" s="12">
        <f>E1803+Assumptions!$B$12*(D1803*Assumptions!$B$5-E1803*Assumptions!$B$7)</f>
        <v>0.17610867333618041</v>
      </c>
      <c r="F1804" s="12">
        <f t="shared" si="84"/>
        <v>0.24049051843201974</v>
      </c>
      <c r="G1804" s="12">
        <f>EXP(-Assumptions!$B$8*B1804)</f>
        <v>0.40738361274176377</v>
      </c>
      <c r="H1804" s="12">
        <f t="shared" si="85"/>
        <v>0.23766792893393554</v>
      </c>
      <c r="I1804" s="12">
        <f t="shared" si="86"/>
        <v>7.1743787578852303E-2</v>
      </c>
      <c r="J1804" s="12">
        <f>G1804*(D1804*Assumptions!$B$6+E1804*Assumptions!$B$7)</f>
        <v>5.9638686682819712E-3</v>
      </c>
    </row>
    <row r="1805" spans="1:10" x14ac:dyDescent="0.2">
      <c r="A1805" s="2">
        <v>1797</v>
      </c>
      <c r="B1805" s="14">
        <f>A1805*Assumptions!$B$12</f>
        <v>17.97</v>
      </c>
      <c r="C1805" s="15">
        <f>IF(A1805&lt;=Assumptions!$B$13,IF(OR(A1805=0,A1805=Assumptions!$B$13),0.5,1),0)*Assumptions!$B$12</f>
        <v>0.01</v>
      </c>
      <c r="D1805" s="12">
        <f>D1804*(1-Assumptions!$B$12*(Assumptions!$B$5+Assumptions!$B$6))</f>
        <v>0.58322578798933034</v>
      </c>
      <c r="E1805" s="12">
        <f>E1804+Assumptions!$B$12*(D1804*Assumptions!$B$5-E1804*Assumptions!$B$7)</f>
        <v>0.17613729916115867</v>
      </c>
      <c r="F1805" s="12">
        <f t="shared" si="84"/>
        <v>0.240636912849511</v>
      </c>
      <c r="G1805" s="12">
        <f>EXP(-Assumptions!$B$8*B1805)</f>
        <v>0.40717997184985844</v>
      </c>
      <c r="H1805" s="12">
        <f t="shared" si="85"/>
        <v>0.23747785993560702</v>
      </c>
      <c r="I1805" s="12">
        <f t="shared" si="86"/>
        <v>7.1719580514150685E-2</v>
      </c>
      <c r="J1805" s="12">
        <f>G1805*(D1805*Assumptions!$B$6+E1805*Assumptions!$B$7)</f>
        <v>5.9607576250636047E-3</v>
      </c>
    </row>
    <row r="1806" spans="1:10" x14ac:dyDescent="0.2">
      <c r="A1806" s="2">
        <v>1798</v>
      </c>
      <c r="B1806" s="14">
        <f>A1806*Assumptions!$B$12</f>
        <v>17.98</v>
      </c>
      <c r="C1806" s="15">
        <f>IF(A1806&lt;=Assumptions!$B$13,IF(OR(A1806=0,A1806=Assumptions!$B$13),0.5,1),0)*Assumptions!$B$12</f>
        <v>0.01</v>
      </c>
      <c r="D1806" s="12">
        <f>D1805*(1-Assumptions!$B$12*(Assumptions!$B$5+Assumptions!$B$6))</f>
        <v>0.58305082025293353</v>
      </c>
      <c r="E1806" s="12">
        <f>E1805+Assumptions!$B$12*(D1805*Assumptions!$B$5-E1805*Assumptions!$B$7)</f>
        <v>0.17616587566917596</v>
      </c>
      <c r="F1806" s="12">
        <f t="shared" si="84"/>
        <v>0.2407833040778905</v>
      </c>
      <c r="G1806" s="12">
        <f>EXP(-Assumptions!$B$8*B1806)</f>
        <v>0.40697643275294815</v>
      </c>
      <c r="H1806" s="12">
        <f t="shared" si="85"/>
        <v>0.23728794294021927</v>
      </c>
      <c r="I1806" s="12">
        <f t="shared" si="86"/>
        <v>7.1695359652640622E-2</v>
      </c>
      <c r="J1806" s="12">
        <f>G1806*(D1806*Assumptions!$B$6+E1806*Assumptions!$B$7)</f>
        <v>5.9576474120342235E-3</v>
      </c>
    </row>
    <row r="1807" spans="1:10" x14ac:dyDescent="0.2">
      <c r="A1807" s="2">
        <v>1799</v>
      </c>
      <c r="B1807" s="14">
        <f>A1807*Assumptions!$B$12</f>
        <v>17.990000000000002</v>
      </c>
      <c r="C1807" s="15">
        <f>IF(A1807&lt;=Assumptions!$B$13,IF(OR(A1807=0,A1807=Assumptions!$B$13),0.5,1),0)*Assumptions!$B$12</f>
        <v>0.01</v>
      </c>
      <c r="D1807" s="12">
        <f>D1806*(1-Assumptions!$B$12*(Assumptions!$B$5+Assumptions!$B$6))</f>
        <v>0.58287590500685771</v>
      </c>
      <c r="E1807" s="12">
        <f>E1806+Assumptions!$B$12*(D1806*Assumptions!$B$5-E1806*Assumptions!$B$7)</f>
        <v>0.17619440289539195</v>
      </c>
      <c r="F1807" s="12">
        <f t="shared" si="84"/>
        <v>0.24092969209775034</v>
      </c>
      <c r="G1807" s="12">
        <f>EXP(-Assumptions!$B$8*B1807)</f>
        <v>0.40677299540014805</v>
      </c>
      <c r="H1807" s="12">
        <f t="shared" si="85"/>
        <v>0.23709817782621168</v>
      </c>
      <c r="I1807" s="12">
        <f t="shared" si="86"/>
        <v>7.1671125038499109E-2</v>
      </c>
      <c r="J1807" s="12">
        <f>G1807*(D1807*Assumptions!$B$6+E1807*Assumptions!$B$7)</f>
        <v>5.9545380301870721E-3</v>
      </c>
    </row>
    <row r="1808" spans="1:10" x14ac:dyDescent="0.2">
      <c r="A1808" s="2">
        <v>1800</v>
      </c>
      <c r="B1808" s="14">
        <f>A1808*Assumptions!$B$12</f>
        <v>18</v>
      </c>
      <c r="C1808" s="15">
        <f>IF(A1808&lt;=Assumptions!$B$13,IF(OR(A1808=0,A1808=Assumptions!$B$13),0.5,1),0)*Assumptions!$B$12</f>
        <v>0.01</v>
      </c>
      <c r="D1808" s="12">
        <f>D1807*(1-Assumptions!$B$12*(Assumptions!$B$5+Assumptions!$B$6))</f>
        <v>0.58270104223535568</v>
      </c>
      <c r="E1808" s="12">
        <f>E1807+Assumptions!$B$12*(D1807*Assumptions!$B$5-E1807*Assumptions!$B$7)</f>
        <v>0.17622288087494564</v>
      </c>
      <c r="F1808" s="12">
        <f t="shared" si="84"/>
        <v>0.24107607688969868</v>
      </c>
      <c r="G1808" s="12">
        <f>EXP(-Assumptions!$B$8*B1808)</f>
        <v>0.40656965974059911</v>
      </c>
      <c r="H1808" s="12">
        <f t="shared" si="85"/>
        <v>0.23690856447212102</v>
      </c>
      <c r="I1808" s="12">
        <f t="shared" si="86"/>
        <v>7.1646876715834779E-2</v>
      </c>
      <c r="J1808" s="12">
        <f>G1808*(D1808*Assumptions!$B$6+E1808*Assumptions!$B$7)</f>
        <v>5.9514294805129491E-3</v>
      </c>
    </row>
    <row r="1809" spans="1:10" x14ac:dyDescent="0.2">
      <c r="A1809" s="2">
        <v>1801</v>
      </c>
      <c r="B1809" s="14">
        <f>A1809*Assumptions!$B$12</f>
        <v>18.010000000000002</v>
      </c>
      <c r="C1809" s="15">
        <f>IF(A1809&lt;=Assumptions!$B$13,IF(OR(A1809=0,A1809=Assumptions!$B$13),0.5,1),0)*Assumptions!$B$12</f>
        <v>0.01</v>
      </c>
      <c r="D1809" s="12">
        <f>D1808*(1-Assumptions!$B$12*(Assumptions!$B$5+Assumptions!$B$6))</f>
        <v>0.58252623192268504</v>
      </c>
      <c r="E1809" s="12">
        <f>E1808+Assumptions!$B$12*(D1808*Assumptions!$B$5-E1808*Assumptions!$B$7)</f>
        <v>0.17625130964295524</v>
      </c>
      <c r="F1809" s="12">
        <f t="shared" si="84"/>
        <v>0.24122245843435972</v>
      </c>
      <c r="G1809" s="12">
        <f>EXP(-Assumptions!$B$8*B1809)</f>
        <v>0.4063664257234671</v>
      </c>
      <c r="H1809" s="12">
        <f t="shared" si="85"/>
        <v>0.23671910275658095</v>
      </c>
      <c r="I1809" s="12">
        <f t="shared" si="86"/>
        <v>7.1622614728687764E-2</v>
      </c>
      <c r="J1809" s="12">
        <f>G1809*(D1809*Assumptions!$B$6+E1809*Assumptions!$B$7)</f>
        <v>5.9483217640001976E-3</v>
      </c>
    </row>
    <row r="1810" spans="1:10" x14ac:dyDescent="0.2">
      <c r="A1810" s="2">
        <v>1802</v>
      </c>
      <c r="B1810" s="14">
        <f>A1810*Assumptions!$B$12</f>
        <v>18.02</v>
      </c>
      <c r="C1810" s="15">
        <f>IF(A1810&lt;=Assumptions!$B$13,IF(OR(A1810=0,A1810=Assumptions!$B$13),0.5,1),0)*Assumptions!$B$12</f>
        <v>0.01</v>
      </c>
      <c r="D1810" s="12">
        <f>D1809*(1-Assumptions!$B$12*(Assumptions!$B$5+Assumptions!$B$6))</f>
        <v>0.58235147405310828</v>
      </c>
      <c r="E1810" s="12">
        <f>E1809+Assumptions!$B$12*(D1809*Assumptions!$B$5-E1809*Assumptions!$B$7)</f>
        <v>0.17627968923451831</v>
      </c>
      <c r="F1810" s="12">
        <f t="shared" si="84"/>
        <v>0.24136883671237341</v>
      </c>
      <c r="G1810" s="12">
        <f>EXP(-Assumptions!$B$8*B1810)</f>
        <v>0.40616329329794371</v>
      </c>
      <c r="H1810" s="12">
        <f t="shared" si="85"/>
        <v>0.23652979255832246</v>
      </c>
      <c r="I1810" s="12">
        <f t="shared" si="86"/>
        <v>7.159833912103003E-2</v>
      </c>
      <c r="J1810" s="12">
        <f>G1810*(D1810*Assumptions!$B$6+E1810*Assumptions!$B$7)</f>
        <v>5.9452148816347269E-3</v>
      </c>
    </row>
    <row r="1811" spans="1:10" x14ac:dyDescent="0.2">
      <c r="A1811" s="2">
        <v>1803</v>
      </c>
      <c r="B1811" s="14">
        <f>A1811*Assumptions!$B$12</f>
        <v>18.03</v>
      </c>
      <c r="C1811" s="15">
        <f>IF(A1811&lt;=Assumptions!$B$13,IF(OR(A1811=0,A1811=Assumptions!$B$13),0.5,1),0)*Assumptions!$B$12</f>
        <v>0.01</v>
      </c>
      <c r="D1811" s="12">
        <f>D1810*(1-Assumptions!$B$12*(Assumptions!$B$5+Assumptions!$B$6))</f>
        <v>0.5821767686108924</v>
      </c>
      <c r="E1811" s="12">
        <f>E1810+Assumptions!$B$12*(D1810*Assumptions!$B$5-E1810*Assumptions!$B$7)</f>
        <v>0.17630801968471169</v>
      </c>
      <c r="F1811" s="12">
        <f t="shared" si="84"/>
        <v>0.24151521170439591</v>
      </c>
      <c r="G1811" s="12">
        <f>EXP(-Assumptions!$B$8*B1811)</f>
        <v>0.40596026241324568</v>
      </c>
      <c r="H1811" s="12">
        <f t="shared" si="85"/>
        <v>0.23634063375617329</v>
      </c>
      <c r="I1811" s="12">
        <f t="shared" si="86"/>
        <v>7.1574049936765236E-2</v>
      </c>
      <c r="J1811" s="12">
        <f>G1811*(D1811*Assumptions!$B$6+E1811*Assumptions!$B$7)</f>
        <v>5.942108834399995E-3</v>
      </c>
    </row>
    <row r="1812" spans="1:10" x14ac:dyDescent="0.2">
      <c r="A1812" s="2">
        <v>1804</v>
      </c>
      <c r="B1812" s="14">
        <f>A1812*Assumptions!$B$12</f>
        <v>18.04</v>
      </c>
      <c r="C1812" s="15">
        <f>IF(A1812&lt;=Assumptions!$B$13,IF(OR(A1812=0,A1812=Assumptions!$B$13),0.5,1),0)*Assumptions!$B$12</f>
        <v>0.01</v>
      </c>
      <c r="D1812" s="12">
        <f>D1811*(1-Assumptions!$B$12*(Assumptions!$B$5+Assumptions!$B$6))</f>
        <v>0.58200211558030912</v>
      </c>
      <c r="E1812" s="12">
        <f>E1811+Assumptions!$B$12*(D1811*Assumptions!$B$5-E1811*Assumptions!$B$7)</f>
        <v>0.17633630102859152</v>
      </c>
      <c r="F1812" s="12">
        <f t="shared" si="84"/>
        <v>0.24166158339109936</v>
      </c>
      <c r="G1812" s="12">
        <f>EXP(-Assumptions!$B$8*B1812)</f>
        <v>0.40575733301861544</v>
      </c>
      <c r="H1812" s="12">
        <f t="shared" si="85"/>
        <v>0.23615162622905819</v>
      </c>
      <c r="I1812" s="12">
        <f t="shared" si="86"/>
        <v>7.1549747219729024E-2</v>
      </c>
      <c r="J1812" s="12">
        <f>G1812*(D1812*Assumptions!$B$6+E1812*Assumptions!$B$7)</f>
        <v>5.9390036232770341E-3</v>
      </c>
    </row>
    <row r="1813" spans="1:10" x14ac:dyDescent="0.2">
      <c r="A1813" s="2">
        <v>1805</v>
      </c>
      <c r="B1813" s="14">
        <f>A1813*Assumptions!$B$12</f>
        <v>18.05</v>
      </c>
      <c r="C1813" s="15">
        <f>IF(A1813&lt;=Assumptions!$B$13,IF(OR(A1813=0,A1813=Assumptions!$B$13),0.5,1),0)*Assumptions!$B$12</f>
        <v>0.01</v>
      </c>
      <c r="D1813" s="12">
        <f>D1812*(1-Assumptions!$B$12*(Assumptions!$B$5+Assumptions!$B$6))</f>
        <v>0.581827514945635</v>
      </c>
      <c r="E1813" s="12">
        <f>E1812+Assumptions!$B$12*(D1812*Assumptions!$B$5-E1812*Assumptions!$B$7)</f>
        <v>0.17636453330119328</v>
      </c>
      <c r="F1813" s="12">
        <f t="shared" si="84"/>
        <v>0.24180795175317171</v>
      </c>
      <c r="G1813" s="12">
        <f>EXP(-Assumptions!$B$8*B1813)</f>
        <v>0.40555450506332053</v>
      </c>
      <c r="H1813" s="12">
        <f t="shared" si="85"/>
        <v>0.23596276985599873</v>
      </c>
      <c r="I1813" s="12">
        <f t="shared" si="86"/>
        <v>7.1525431013688953E-2</v>
      </c>
      <c r="J1813" s="12">
        <f>G1813*(D1813*Assumptions!$B$6+E1813*Assumptions!$B$7)</f>
        <v>5.9358992492444347E-3</v>
      </c>
    </row>
    <row r="1814" spans="1:10" x14ac:dyDescent="0.2">
      <c r="A1814" s="2">
        <v>1806</v>
      </c>
      <c r="B1814" s="14">
        <f>A1814*Assumptions!$B$12</f>
        <v>18.059999999999999</v>
      </c>
      <c r="C1814" s="15">
        <f>IF(A1814&lt;=Assumptions!$B$13,IF(OR(A1814=0,A1814=Assumptions!$B$13),0.5,1),0)*Assumptions!$B$12</f>
        <v>0.01</v>
      </c>
      <c r="D1814" s="12">
        <f>D1813*(1-Assumptions!$B$12*(Assumptions!$B$5+Assumptions!$B$6))</f>
        <v>0.5816529666911513</v>
      </c>
      <c r="E1814" s="12">
        <f>E1813+Assumptions!$B$12*(D1813*Assumptions!$B$5-E1813*Assumptions!$B$7)</f>
        <v>0.1763927165375318</v>
      </c>
      <c r="F1814" s="12">
        <f t="shared" si="84"/>
        <v>0.2419543167713169</v>
      </c>
      <c r="G1814" s="12">
        <f>EXP(-Assumptions!$B$8*B1814)</f>
        <v>0.40535177849665399</v>
      </c>
      <c r="H1814" s="12">
        <f t="shared" si="85"/>
        <v>0.23577406451611321</v>
      </c>
      <c r="I1814" s="12">
        <f t="shared" si="86"/>
        <v>7.1501101362344666E-2</v>
      </c>
      <c r="J1814" s="12">
        <f>G1814*(D1814*Assumptions!$B$6+E1814*Assumptions!$B$7)</f>
        <v>5.9327957132783654E-3</v>
      </c>
    </row>
    <row r="1815" spans="1:10" x14ac:dyDescent="0.2">
      <c r="A1815" s="2">
        <v>1807</v>
      </c>
      <c r="B1815" s="14">
        <f>A1815*Assumptions!$B$12</f>
        <v>18.07</v>
      </c>
      <c r="C1815" s="15">
        <f>IF(A1815&lt;=Assumptions!$B$13,IF(OR(A1815=0,A1815=Assumptions!$B$13),0.5,1),0)*Assumptions!$B$12</f>
        <v>0.01</v>
      </c>
      <c r="D1815" s="12">
        <f>D1814*(1-Assumptions!$B$12*(Assumptions!$B$5+Assumptions!$B$6))</f>
        <v>0.58147847080114401</v>
      </c>
      <c r="E1815" s="12">
        <f>E1814+Assumptions!$B$12*(D1814*Assumptions!$B$5-E1814*Assumptions!$B$7)</f>
        <v>0.17642085077260128</v>
      </c>
      <c r="F1815" s="12">
        <f t="shared" si="84"/>
        <v>0.24210067842625471</v>
      </c>
      <c r="G1815" s="12">
        <f>EXP(-Assumptions!$B$8*B1815)</f>
        <v>0.40514915326793421</v>
      </c>
      <c r="H1815" s="12">
        <f t="shared" si="85"/>
        <v>0.2355855100886167</v>
      </c>
      <c r="I1815" s="12">
        <f t="shared" si="86"/>
        <v>7.1476758309327981E-2</v>
      </c>
      <c r="J1815" s="12">
        <f>G1815*(D1815*Assumptions!$B$6+E1815*Assumptions!$B$7)</f>
        <v>5.9296930163525658E-3</v>
      </c>
    </row>
    <row r="1816" spans="1:10" x14ac:dyDescent="0.2">
      <c r="A1816" s="2">
        <v>1808</v>
      </c>
      <c r="B1816" s="14">
        <f>A1816*Assumptions!$B$12</f>
        <v>18.080000000000002</v>
      </c>
      <c r="C1816" s="15">
        <f>IF(A1816&lt;=Assumptions!$B$13,IF(OR(A1816=0,A1816=Assumptions!$B$13),0.5,1),0)*Assumptions!$B$12</f>
        <v>0.01</v>
      </c>
      <c r="D1816" s="12">
        <f>D1815*(1-Assumptions!$B$12*(Assumptions!$B$5+Assumptions!$B$6))</f>
        <v>0.58130402725990371</v>
      </c>
      <c r="E1816" s="12">
        <f>E1815+Assumptions!$B$12*(D1815*Assumptions!$B$5-E1815*Assumptions!$B$7)</f>
        <v>0.17644893604137521</v>
      </c>
      <c r="F1816" s="12">
        <f t="shared" si="84"/>
        <v>0.24224703669872108</v>
      </c>
      <c r="G1816" s="12">
        <f>EXP(-Assumptions!$B$8*B1816)</f>
        <v>0.40494662932650483</v>
      </c>
      <c r="H1816" s="12">
        <f t="shared" si="85"/>
        <v>0.23539710645282069</v>
      </c>
      <c r="I1816" s="12">
        <f t="shared" si="86"/>
        <v>7.1452401898202927E-2</v>
      </c>
      <c r="J1816" s="12">
        <f>G1816*(D1816*Assumptions!$B$6+E1816*Assumptions!$B$7)</f>
        <v>5.9265911594383533E-3</v>
      </c>
    </row>
    <row r="1817" spans="1:10" x14ac:dyDescent="0.2">
      <c r="A1817" s="2">
        <v>1809</v>
      </c>
      <c r="B1817" s="14">
        <f>A1817*Assumptions!$B$12</f>
        <v>18.09</v>
      </c>
      <c r="C1817" s="15">
        <f>IF(A1817&lt;=Assumptions!$B$13,IF(OR(A1817=0,A1817=Assumptions!$B$13),0.5,1),0)*Assumptions!$B$12</f>
        <v>0.01</v>
      </c>
      <c r="D1817" s="12">
        <f>D1816*(1-Assumptions!$B$12*(Assumptions!$B$5+Assumptions!$B$6))</f>
        <v>0.58112963605172574</v>
      </c>
      <c r="E1817" s="12">
        <f>E1816+Assumptions!$B$12*(D1816*Assumptions!$B$5-E1816*Assumptions!$B$7)</f>
        <v>0.1764769723788065</v>
      </c>
      <c r="F1817" s="12">
        <f t="shared" si="84"/>
        <v>0.24239339156946776</v>
      </c>
      <c r="G1817" s="12">
        <f>EXP(-Assumptions!$B$8*B1817)</f>
        <v>0.40474420662173494</v>
      </c>
      <c r="H1817" s="12">
        <f t="shared" si="85"/>
        <v>0.23520885348813331</v>
      </c>
      <c r="I1817" s="12">
        <f t="shared" si="86"/>
        <v>7.1428032172465863E-2</v>
      </c>
      <c r="J1817" s="12">
        <f>G1817*(D1817*Assumptions!$B$6+E1817*Assumptions!$B$7)</f>
        <v>5.9234901435046266E-3</v>
      </c>
    </row>
    <row r="1818" spans="1:10" x14ac:dyDescent="0.2">
      <c r="A1818" s="2">
        <v>1810</v>
      </c>
      <c r="B1818" s="14">
        <f>A1818*Assumptions!$B$12</f>
        <v>18.100000000000001</v>
      </c>
      <c r="C1818" s="15">
        <f>IF(A1818&lt;=Assumptions!$B$13,IF(OR(A1818=0,A1818=Assumptions!$B$13),0.5,1),0)*Assumptions!$B$12</f>
        <v>0.01</v>
      </c>
      <c r="D1818" s="12">
        <f>D1817*(1-Assumptions!$B$12*(Assumptions!$B$5+Assumptions!$B$6))</f>
        <v>0.58095529716091021</v>
      </c>
      <c r="E1818" s="12">
        <f>E1817+Assumptions!$B$12*(D1817*Assumptions!$B$5-E1817*Assumptions!$B$7)</f>
        <v>0.17650495981982744</v>
      </c>
      <c r="F1818" s="12">
        <f t="shared" si="84"/>
        <v>0.24253974301926234</v>
      </c>
      <c r="G1818" s="12">
        <f>EXP(-Assumptions!$B$8*B1818)</f>
        <v>0.40454188510301875</v>
      </c>
      <c r="H1818" s="12">
        <f t="shared" si="85"/>
        <v>0.23502075107405906</v>
      </c>
      <c r="I1818" s="12">
        <f t="shared" si="86"/>
        <v>7.1403649175545578E-2</v>
      </c>
      <c r="J1818" s="12">
        <f>G1818*(D1818*Assumptions!$B$6+E1818*Assumptions!$B$7)</f>
        <v>5.9203899695178695E-3</v>
      </c>
    </row>
    <row r="1819" spans="1:10" x14ac:dyDescent="0.2">
      <c r="A1819" s="2">
        <v>1811</v>
      </c>
      <c r="B1819" s="14">
        <f>A1819*Assumptions!$B$12</f>
        <v>18.11</v>
      </c>
      <c r="C1819" s="15">
        <f>IF(A1819&lt;=Assumptions!$B$13,IF(OR(A1819=0,A1819=Assumptions!$B$13),0.5,1),0)*Assumptions!$B$12</f>
        <v>0.01</v>
      </c>
      <c r="D1819" s="12">
        <f>D1818*(1-Assumptions!$B$12*(Assumptions!$B$5+Assumptions!$B$6))</f>
        <v>0.5807810105717619</v>
      </c>
      <c r="E1819" s="12">
        <f>E1818+Assumptions!$B$12*(D1818*Assumptions!$B$5-E1818*Assumptions!$B$7)</f>
        <v>0.17653289839934971</v>
      </c>
      <c r="F1819" s="12">
        <f t="shared" si="84"/>
        <v>0.24268609102888838</v>
      </c>
      <c r="G1819" s="12">
        <f>EXP(-Assumptions!$B$8*B1819)</f>
        <v>0.40433966471977606</v>
      </c>
      <c r="H1819" s="12">
        <f t="shared" si="85"/>
        <v>0.23483279909019891</v>
      </c>
      <c r="I1819" s="12">
        <f t="shared" si="86"/>
        <v>7.1379252950803357E-2</v>
      </c>
      <c r="J1819" s="12">
        <f>G1819*(D1819*Assumptions!$B$6+E1819*Assumptions!$B$7)</f>
        <v>5.9172906384421572E-3</v>
      </c>
    </row>
    <row r="1820" spans="1:10" x14ac:dyDescent="0.2">
      <c r="A1820" s="2">
        <v>1812</v>
      </c>
      <c r="B1820" s="14">
        <f>A1820*Assumptions!$B$12</f>
        <v>18.12</v>
      </c>
      <c r="C1820" s="15">
        <f>IF(A1820&lt;=Assumptions!$B$13,IF(OR(A1820=0,A1820=Assumptions!$B$13),0.5,1),0)*Assumptions!$B$12</f>
        <v>0.01</v>
      </c>
      <c r="D1820" s="12">
        <f>D1819*(1-Assumptions!$B$12*(Assumptions!$B$5+Assumptions!$B$6))</f>
        <v>0.58060677626859036</v>
      </c>
      <c r="E1820" s="12">
        <f>E1819+Assumptions!$B$12*(D1819*Assumptions!$B$5-E1819*Assumptions!$B$7)</f>
        <v>0.17656078815226439</v>
      </c>
      <c r="F1820" s="12">
        <f t="shared" si="84"/>
        <v>0.24283243557914524</v>
      </c>
      <c r="G1820" s="12">
        <f>EXP(-Assumptions!$B$8*B1820)</f>
        <v>0.40413754542145147</v>
      </c>
      <c r="H1820" s="12">
        <f t="shared" si="85"/>
        <v>0.23464499741624995</v>
      </c>
      <c r="I1820" s="12">
        <f t="shared" si="86"/>
        <v>7.1354843541533028E-2</v>
      </c>
      <c r="J1820" s="12">
        <f>G1820*(D1820*Assumptions!$B$6+E1820*Assumptions!$B$7)</f>
        <v>5.914192151239151E-3</v>
      </c>
    </row>
    <row r="1821" spans="1:10" x14ac:dyDescent="0.2">
      <c r="A1821" s="2">
        <v>1813</v>
      </c>
      <c r="B1821" s="14">
        <f>A1821*Assumptions!$B$12</f>
        <v>18.13</v>
      </c>
      <c r="C1821" s="15">
        <f>IF(A1821&lt;=Assumptions!$B$13,IF(OR(A1821=0,A1821=Assumptions!$B$13),0.5,1),0)*Assumptions!$B$12</f>
        <v>0.01</v>
      </c>
      <c r="D1821" s="12">
        <f>D1820*(1-Assumptions!$B$12*(Assumptions!$B$5+Assumptions!$B$6))</f>
        <v>0.58043259423570981</v>
      </c>
      <c r="E1821" s="12">
        <f>E1820+Assumptions!$B$12*(D1820*Assumptions!$B$5-E1820*Assumptions!$B$7)</f>
        <v>0.17658862911344197</v>
      </c>
      <c r="F1821" s="12">
        <f t="shared" si="84"/>
        <v>0.24297877665084822</v>
      </c>
      <c r="G1821" s="12">
        <f>EXP(-Assumptions!$B$8*B1821)</f>
        <v>0.40393552715751552</v>
      </c>
      <c r="H1821" s="12">
        <f t="shared" si="85"/>
        <v>0.23445734593200573</v>
      </c>
      <c r="I1821" s="12">
        <f t="shared" si="86"/>
        <v>7.133042099096118E-2</v>
      </c>
      <c r="J1821" s="12">
        <f>G1821*(D1821*Assumptions!$B$6+E1821*Assumptions!$B$7)</f>
        <v>5.9110945088681165E-3</v>
      </c>
    </row>
    <row r="1822" spans="1:10" x14ac:dyDescent="0.2">
      <c r="A1822" s="2">
        <v>1814</v>
      </c>
      <c r="B1822" s="14">
        <f>A1822*Assumptions!$B$12</f>
        <v>18.14</v>
      </c>
      <c r="C1822" s="15">
        <f>IF(A1822&lt;=Assumptions!$B$13,IF(OR(A1822=0,A1822=Assumptions!$B$13),0.5,1),0)*Assumptions!$B$12</f>
        <v>0.01</v>
      </c>
      <c r="D1822" s="12">
        <f>D1821*(1-Assumptions!$B$12*(Assumptions!$B$5+Assumptions!$B$6))</f>
        <v>0.58025846445743912</v>
      </c>
      <c r="E1822" s="12">
        <f>E1821+Assumptions!$B$12*(D1821*Assumptions!$B$5-E1821*Assumptions!$B$7)</f>
        <v>0.17661642131773239</v>
      </c>
      <c r="F1822" s="12">
        <f t="shared" si="84"/>
        <v>0.24312511422482849</v>
      </c>
      <c r="G1822" s="12">
        <f>EXP(-Assumptions!$B$8*B1822)</f>
        <v>0.40373360987746337</v>
      </c>
      <c r="H1822" s="12">
        <f t="shared" si="85"/>
        <v>0.23426984451735566</v>
      </c>
      <c r="I1822" s="12">
        <f t="shared" si="86"/>
        <v>7.130598534224708E-2</v>
      </c>
      <c r="J1822" s="12">
        <f>G1822*(D1822*Assumptions!$B$6+E1822*Assumptions!$B$7)</f>
        <v>5.9079977122859107E-3</v>
      </c>
    </row>
    <row r="1823" spans="1:10" x14ac:dyDescent="0.2">
      <c r="A1823" s="2">
        <v>1815</v>
      </c>
      <c r="B1823" s="14">
        <f>A1823*Assumptions!$B$12</f>
        <v>18.150000000000002</v>
      </c>
      <c r="C1823" s="15">
        <f>IF(A1823&lt;=Assumptions!$B$13,IF(OR(A1823=0,A1823=Assumptions!$B$13),0.5,1),0)*Assumptions!$B$12</f>
        <v>0.01</v>
      </c>
      <c r="D1823" s="12">
        <f>D1822*(1-Assumptions!$B$12*(Assumptions!$B$5+Assumptions!$B$6))</f>
        <v>0.58008438691810194</v>
      </c>
      <c r="E1823" s="12">
        <f>E1822+Assumptions!$B$12*(D1822*Assumptions!$B$5-E1822*Assumptions!$B$7)</f>
        <v>0.176644164799965</v>
      </c>
      <c r="F1823" s="12">
        <f t="shared" si="84"/>
        <v>0.24327144828193306</v>
      </c>
      <c r="G1823" s="12">
        <f>EXP(-Assumptions!$B$8*B1823)</f>
        <v>0.40353179353081575</v>
      </c>
      <c r="H1823" s="12">
        <f t="shared" si="85"/>
        <v>0.23408249305228535</v>
      </c>
      <c r="I1823" s="12">
        <f t="shared" si="86"/>
        <v>7.128153663848287E-2</v>
      </c>
      <c r="J1823" s="12">
        <f>G1823*(D1823*Assumptions!$B$6+E1823*Assumptions!$B$7)</f>
        <v>5.9049017624469976E-3</v>
      </c>
    </row>
    <row r="1824" spans="1:10" x14ac:dyDescent="0.2">
      <c r="A1824" s="2">
        <v>1816</v>
      </c>
      <c r="B1824" s="14">
        <f>A1824*Assumptions!$B$12</f>
        <v>18.16</v>
      </c>
      <c r="C1824" s="15">
        <f>IF(A1824&lt;=Assumptions!$B$13,IF(OR(A1824=0,A1824=Assumptions!$B$13),0.5,1),0)*Assumptions!$B$12</f>
        <v>0.01</v>
      </c>
      <c r="D1824" s="12">
        <f>D1823*(1-Assumptions!$B$12*(Assumptions!$B$5+Assumptions!$B$6))</f>
        <v>0.57991036160202647</v>
      </c>
      <c r="E1824" s="12">
        <f>E1823+Assumptions!$B$12*(D1823*Assumptions!$B$5-E1823*Assumptions!$B$7)</f>
        <v>0.17667185959494863</v>
      </c>
      <c r="F1824" s="12">
        <f t="shared" si="84"/>
        <v>0.2434177788030249</v>
      </c>
      <c r="G1824" s="12">
        <f>EXP(-Assumptions!$B$8*B1824)</f>
        <v>0.40333007806711874</v>
      </c>
      <c r="H1824" s="12">
        <f t="shared" si="85"/>
        <v>0.2338952914168764</v>
      </c>
      <c r="I1824" s="12">
        <f t="shared" si="86"/>
        <v>7.1257074922693675E-2</v>
      </c>
      <c r="J1824" s="12">
        <f>G1824*(D1824*Assumptions!$B$6+E1824*Assumptions!$B$7)</f>
        <v>5.9018066603034472E-3</v>
      </c>
    </row>
    <row r="1825" spans="1:10" x14ac:dyDescent="0.2">
      <c r="A1825" s="2">
        <v>1817</v>
      </c>
      <c r="B1825" s="14">
        <f>A1825*Assumptions!$B$12</f>
        <v>18.170000000000002</v>
      </c>
      <c r="C1825" s="15">
        <f>IF(A1825&lt;=Assumptions!$B$13,IF(OR(A1825=0,A1825=Assumptions!$B$13),0.5,1),0)*Assumptions!$B$12</f>
        <v>0.01</v>
      </c>
      <c r="D1825" s="12">
        <f>D1824*(1-Assumptions!$B$12*(Assumptions!$B$5+Assumptions!$B$6))</f>
        <v>0.57973638849354592</v>
      </c>
      <c r="E1825" s="12">
        <f>E1824+Assumptions!$B$12*(D1824*Assumptions!$B$5-E1824*Assumptions!$B$7)</f>
        <v>0.17669950573747156</v>
      </c>
      <c r="F1825" s="12">
        <f t="shared" si="84"/>
        <v>0.24356410576898252</v>
      </c>
      <c r="G1825" s="12">
        <f>EXP(-Assumptions!$B$8*B1825)</f>
        <v>0.40312846343594322</v>
      </c>
      <c r="H1825" s="12">
        <f t="shared" si="85"/>
        <v>0.2337082394913062</v>
      </c>
      <c r="I1825" s="12">
        <f t="shared" si="86"/>
        <v>7.1232600237837548E-2</v>
      </c>
      <c r="J1825" s="12">
        <f>G1825*(D1825*Assumptions!$B$6+E1825*Assumptions!$B$7)</f>
        <v>5.8987124068049391E-3</v>
      </c>
    </row>
    <row r="1826" spans="1:10" x14ac:dyDescent="0.2">
      <c r="A1826" s="2">
        <v>1818</v>
      </c>
      <c r="B1826" s="14">
        <f>A1826*Assumptions!$B$12</f>
        <v>18.18</v>
      </c>
      <c r="C1826" s="15">
        <f>IF(A1826&lt;=Assumptions!$B$13,IF(OR(A1826=0,A1826=Assumptions!$B$13),0.5,1),0)*Assumptions!$B$12</f>
        <v>0.01</v>
      </c>
      <c r="D1826" s="12">
        <f>D1825*(1-Assumptions!$B$12*(Assumptions!$B$5+Assumptions!$B$6))</f>
        <v>0.57956246757699792</v>
      </c>
      <c r="E1826" s="12">
        <f>E1825+Assumptions!$B$12*(D1825*Assumptions!$B$5-E1825*Assumptions!$B$7)</f>
        <v>0.17672710326230154</v>
      </c>
      <c r="F1826" s="12">
        <f t="shared" si="84"/>
        <v>0.24371042916070054</v>
      </c>
      <c r="G1826" s="12">
        <f>EXP(-Assumptions!$B$8*B1826)</f>
        <v>0.40292694958688574</v>
      </c>
      <c r="H1826" s="12">
        <f t="shared" si="85"/>
        <v>0.23352133715584814</v>
      </c>
      <c r="I1826" s="12">
        <f t="shared" si="86"/>
        <v>7.1208112626805722E-2</v>
      </c>
      <c r="J1826" s="12">
        <f>G1826*(D1826*Assumptions!$B$6+E1826*Assumptions!$B$7)</f>
        <v>5.8956190028987675E-3</v>
      </c>
    </row>
    <row r="1827" spans="1:10" x14ac:dyDescent="0.2">
      <c r="A1827" s="2">
        <v>1819</v>
      </c>
      <c r="B1827" s="14">
        <f>A1827*Assumptions!$B$12</f>
        <v>18.190000000000001</v>
      </c>
      <c r="C1827" s="15">
        <f>IF(A1827&lt;=Assumptions!$B$13,IF(OR(A1827=0,A1827=Assumptions!$B$13),0.5,1),0)*Assumptions!$B$12</f>
        <v>0.01</v>
      </c>
      <c r="D1827" s="12">
        <f>D1826*(1-Assumptions!$B$12*(Assumptions!$B$5+Assumptions!$B$6))</f>
        <v>0.57938859883672489</v>
      </c>
      <c r="E1827" s="12">
        <f>E1826+Assumptions!$B$12*(D1826*Assumptions!$B$5-E1826*Assumptions!$B$7)</f>
        <v>0.17675465220418579</v>
      </c>
      <c r="F1827" s="12">
        <f t="shared" si="84"/>
        <v>0.24385674895908932</v>
      </c>
      <c r="G1827" s="12">
        <f>EXP(-Assumptions!$B$8*B1827)</f>
        <v>0.40272553646956771</v>
      </c>
      <c r="H1827" s="12">
        <f t="shared" si="85"/>
        <v>0.2333345842908712</v>
      </c>
      <c r="I1827" s="12">
        <f t="shared" si="86"/>
        <v>7.118361213242258E-2</v>
      </c>
      <c r="J1827" s="12">
        <f>G1827*(D1827*Assumptions!$B$6+E1827*Assumptions!$B$7)</f>
        <v>5.8925264495298408E-3</v>
      </c>
    </row>
    <row r="1828" spans="1:10" x14ac:dyDescent="0.2">
      <c r="A1828" s="2">
        <v>1820</v>
      </c>
      <c r="B1828" s="14">
        <f>A1828*Assumptions!$B$12</f>
        <v>18.2</v>
      </c>
      <c r="C1828" s="15">
        <f>IF(A1828&lt;=Assumptions!$B$13,IF(OR(A1828=0,A1828=Assumptions!$B$13),0.5,1),0)*Assumptions!$B$12</f>
        <v>0.01</v>
      </c>
      <c r="D1828" s="12">
        <f>D1827*(1-Assumptions!$B$12*(Assumptions!$B$5+Assumptions!$B$6))</f>
        <v>0.5792147822570739</v>
      </c>
      <c r="E1828" s="12">
        <f>E1827+Assumptions!$B$12*(D1827*Assumptions!$B$5-E1827*Assumptions!$B$7)</f>
        <v>0.17678215259785104</v>
      </c>
      <c r="F1828" s="12">
        <f t="shared" si="84"/>
        <v>0.24400306514507505</v>
      </c>
      <c r="G1828" s="12">
        <f>EXP(-Assumptions!$B$8*B1828)</f>
        <v>0.40252422403363597</v>
      </c>
      <c r="H1828" s="12">
        <f t="shared" si="85"/>
        <v>0.2331479807768401</v>
      </c>
      <c r="I1828" s="12">
        <f t="shared" si="86"/>
        <v>7.1159098797445808E-2</v>
      </c>
      <c r="J1828" s="12">
        <f>G1828*(D1828*Assumptions!$B$6+E1828*Assumptions!$B$7)</f>
        <v>5.8894347476406922E-3</v>
      </c>
    </row>
    <row r="1829" spans="1:10" x14ac:dyDescent="0.2">
      <c r="A1829" s="2">
        <v>1821</v>
      </c>
      <c r="B1829" s="14">
        <f>A1829*Assumptions!$B$12</f>
        <v>18.21</v>
      </c>
      <c r="C1829" s="15">
        <f>IF(A1829&lt;=Assumptions!$B$13,IF(OR(A1829=0,A1829=Assumptions!$B$13),0.5,1),0)*Assumptions!$B$12</f>
        <v>0.01</v>
      </c>
      <c r="D1829" s="12">
        <f>D1828*(1-Assumptions!$B$12*(Assumptions!$B$5+Assumptions!$B$6))</f>
        <v>0.57904101782239681</v>
      </c>
      <c r="E1829" s="12">
        <f>E1828+Assumptions!$B$12*(D1828*Assumptions!$B$5-E1828*Assumptions!$B$7)</f>
        <v>0.17680960447800353</v>
      </c>
      <c r="F1829" s="12">
        <f t="shared" si="84"/>
        <v>0.24414937769959966</v>
      </c>
      <c r="G1829" s="12">
        <f>EXP(-Assumptions!$B$8*B1829)</f>
        <v>0.40232301222876227</v>
      </c>
      <c r="H1829" s="12">
        <f t="shared" si="85"/>
        <v>0.23296152649431509</v>
      </c>
      <c r="I1829" s="12">
        <f t="shared" si="86"/>
        <v>7.1134572664566437E-2</v>
      </c>
      <c r="J1829" s="12">
        <f>G1829*(D1829*Assumptions!$B$6+E1829*Assumptions!$B$7)</f>
        <v>5.8863438981714726E-3</v>
      </c>
    </row>
    <row r="1830" spans="1:10" x14ac:dyDescent="0.2">
      <c r="A1830" s="2">
        <v>1822</v>
      </c>
      <c r="B1830" s="14">
        <f>A1830*Assumptions!$B$12</f>
        <v>18.22</v>
      </c>
      <c r="C1830" s="15">
        <f>IF(A1830&lt;=Assumptions!$B$13,IF(OR(A1830=0,A1830=Assumptions!$B$13),0.5,1),0)*Assumptions!$B$12</f>
        <v>0.01</v>
      </c>
      <c r="D1830" s="12">
        <f>D1829*(1-Assumptions!$B$12*(Assumptions!$B$5+Assumptions!$B$6))</f>
        <v>0.57886730551705012</v>
      </c>
      <c r="E1830" s="12">
        <f>E1829+Assumptions!$B$12*(D1829*Assumptions!$B$5-E1829*Assumptions!$B$7)</f>
        <v>0.17683700787932902</v>
      </c>
      <c r="F1830" s="12">
        <f t="shared" si="84"/>
        <v>0.24429568660362086</v>
      </c>
      <c r="G1830" s="12">
        <f>EXP(-Assumptions!$B$8*B1830)</f>
        <v>0.40212190100464373</v>
      </c>
      <c r="H1830" s="12">
        <f t="shared" si="85"/>
        <v>0.23277522132395209</v>
      </c>
      <c r="I1830" s="12">
        <f t="shared" si="86"/>
        <v>7.111003377640894E-2</v>
      </c>
      <c r="J1830" s="12">
        <f>G1830*(D1830*Assumptions!$B$6+E1830*Assumptions!$B$7)</f>
        <v>5.8832539020599681E-3</v>
      </c>
    </row>
    <row r="1831" spans="1:10" x14ac:dyDescent="0.2">
      <c r="A1831" s="2">
        <v>1823</v>
      </c>
      <c r="B1831" s="14">
        <f>A1831*Assumptions!$B$12</f>
        <v>18.23</v>
      </c>
      <c r="C1831" s="15">
        <f>IF(A1831&lt;=Assumptions!$B$13,IF(OR(A1831=0,A1831=Assumptions!$B$13),0.5,1),0)*Assumptions!$B$12</f>
        <v>0.01</v>
      </c>
      <c r="D1831" s="12">
        <f>D1830*(1-Assumptions!$B$12*(Assumptions!$B$5+Assumptions!$B$6))</f>
        <v>0.57869364532539502</v>
      </c>
      <c r="E1831" s="12">
        <f>E1830+Assumptions!$B$12*(D1830*Assumptions!$B$5-E1830*Assumptions!$B$7)</f>
        <v>0.17686436283649276</v>
      </c>
      <c r="F1831" s="12">
        <f t="shared" si="84"/>
        <v>0.24444199183811222</v>
      </c>
      <c r="G1831" s="12">
        <f>EXP(-Assumptions!$B$8*B1831)</f>
        <v>0.40192089031100253</v>
      </c>
      <c r="H1831" s="12">
        <f t="shared" si="85"/>
        <v>0.23258906514650229</v>
      </c>
      <c r="I1831" s="12">
        <f t="shared" si="86"/>
        <v>7.1085482175531359E-2</v>
      </c>
      <c r="J1831" s="12">
        <f>G1831*(D1831*Assumptions!$B$6+E1831*Assumptions!$B$7)</f>
        <v>5.8801647602415913E-3</v>
      </c>
    </row>
    <row r="1832" spans="1:10" x14ac:dyDescent="0.2">
      <c r="A1832" s="2">
        <v>1824</v>
      </c>
      <c r="B1832" s="14">
        <f>A1832*Assumptions!$B$12</f>
        <v>18.240000000000002</v>
      </c>
      <c r="C1832" s="15">
        <f>IF(A1832&lt;=Assumptions!$B$13,IF(OR(A1832=0,A1832=Assumptions!$B$13),0.5,1),0)*Assumptions!$B$12</f>
        <v>0.01</v>
      </c>
      <c r="D1832" s="12">
        <f>D1831*(1-Assumptions!$B$12*(Assumptions!$B$5+Assumptions!$B$6))</f>
        <v>0.57852003723179746</v>
      </c>
      <c r="E1832" s="12">
        <f>E1831+Assumptions!$B$12*(D1831*Assumptions!$B$5-E1831*Assumptions!$B$7)</f>
        <v>0.17689166938413958</v>
      </c>
      <c r="F1832" s="12">
        <f t="shared" si="84"/>
        <v>0.24458829338406296</v>
      </c>
      <c r="G1832" s="12">
        <f>EXP(-Assumptions!$B$8*B1832)</f>
        <v>0.40171998009758597</v>
      </c>
      <c r="H1832" s="12">
        <f t="shared" si="85"/>
        <v>0.23240305784281237</v>
      </c>
      <c r="I1832" s="12">
        <f t="shared" si="86"/>
        <v>7.1060917904425314E-2</v>
      </c>
      <c r="J1832" s="12">
        <f>G1832*(D1832*Assumptions!$B$6+E1832*Assumptions!$B$7)</f>
        <v>5.8770764736493898E-3</v>
      </c>
    </row>
    <row r="1833" spans="1:10" x14ac:dyDescent="0.2">
      <c r="A1833" s="2">
        <v>1825</v>
      </c>
      <c r="B1833" s="14">
        <f>A1833*Assumptions!$B$12</f>
        <v>18.25</v>
      </c>
      <c r="C1833" s="15">
        <f>IF(A1833&lt;=Assumptions!$B$13,IF(OR(A1833=0,A1833=Assumptions!$B$13),0.5,1),0)*Assumptions!$B$12</f>
        <v>0.01</v>
      </c>
      <c r="D1833" s="12">
        <f>D1832*(1-Assumptions!$B$12*(Assumptions!$B$5+Assumptions!$B$6))</f>
        <v>0.57834648122062793</v>
      </c>
      <c r="E1833" s="12">
        <f>E1832+Assumptions!$B$12*(D1832*Assumptions!$B$5-E1832*Assumptions!$B$7)</f>
        <v>0.17691892755689387</v>
      </c>
      <c r="F1833" s="12">
        <f t="shared" si="84"/>
        <v>0.2447345912224782</v>
      </c>
      <c r="G1833" s="12">
        <f>EXP(-Assumptions!$B$8*B1833)</f>
        <v>0.40151917031416662</v>
      </c>
      <c r="H1833" s="12">
        <f t="shared" si="85"/>
        <v>0.23221719929382428</v>
      </c>
      <c r="I1833" s="12">
        <f t="shared" si="86"/>
        <v>7.1036341005516174E-2</v>
      </c>
      <c r="J1833" s="12">
        <f>G1833*(D1833*Assumptions!$B$6+E1833*Assumptions!$B$7)</f>
        <v>5.8739890432140517E-3</v>
      </c>
    </row>
    <row r="1834" spans="1:10" x14ac:dyDescent="0.2">
      <c r="A1834" s="2">
        <v>1826</v>
      </c>
      <c r="B1834" s="14">
        <f>A1834*Assumptions!$B$12</f>
        <v>18.260000000000002</v>
      </c>
      <c r="C1834" s="15">
        <f>IF(A1834&lt;=Assumptions!$B$13,IF(OR(A1834=0,A1834=Assumptions!$B$13),0.5,1),0)*Assumptions!$B$12</f>
        <v>0.01</v>
      </c>
      <c r="D1834" s="12">
        <f>D1833*(1-Assumptions!$B$12*(Assumptions!$B$5+Assumptions!$B$6))</f>
        <v>0.57817297727626171</v>
      </c>
      <c r="E1834" s="12">
        <f>E1833+Assumptions!$B$12*(D1833*Assumptions!$B$5-E1833*Assumptions!$B$7)</f>
        <v>0.17694613738935955</v>
      </c>
      <c r="F1834" s="12">
        <f t="shared" si="84"/>
        <v>0.24488088533437874</v>
      </c>
      <c r="G1834" s="12">
        <f>EXP(-Assumptions!$B$8*B1834)</f>
        <v>0.40131846091054185</v>
      </c>
      <c r="H1834" s="12">
        <f t="shared" si="85"/>
        <v>0.23203148938057505</v>
      </c>
      <c r="I1834" s="12">
        <f t="shared" si="86"/>
        <v>7.1011751521163055E-2</v>
      </c>
      <c r="J1834" s="12">
        <f>G1834*(D1834*Assumptions!$B$6+E1834*Assumptions!$B$7)</f>
        <v>5.8709024698639038E-3</v>
      </c>
    </row>
    <row r="1835" spans="1:10" x14ac:dyDescent="0.2">
      <c r="A1835" s="2">
        <v>1827</v>
      </c>
      <c r="B1835" s="14">
        <f>A1835*Assumptions!$B$12</f>
        <v>18.27</v>
      </c>
      <c r="C1835" s="15">
        <f>IF(A1835&lt;=Assumptions!$B$13,IF(OR(A1835=0,A1835=Assumptions!$B$13),0.5,1),0)*Assumptions!$B$12</f>
        <v>0.01</v>
      </c>
      <c r="D1835" s="12">
        <f>D1834*(1-Assumptions!$B$12*(Assumptions!$B$5+Assumptions!$B$6))</f>
        <v>0.57799952538307886</v>
      </c>
      <c r="E1835" s="12">
        <f>E1834+Assumptions!$B$12*(D1834*Assumptions!$B$5-E1834*Assumptions!$B$7)</f>
        <v>0.17697329891612013</v>
      </c>
      <c r="F1835" s="12">
        <f t="shared" si="84"/>
        <v>0.24502717570080101</v>
      </c>
      <c r="G1835" s="12">
        <f>EXP(-Assumptions!$B$8*B1835)</f>
        <v>0.40111785183653453</v>
      </c>
      <c r="H1835" s="12">
        <f t="shared" si="85"/>
        <v>0.23184592798419712</v>
      </c>
      <c r="I1835" s="12">
        <f t="shared" si="86"/>
        <v>7.0987149493659016E-2</v>
      </c>
      <c r="J1835" s="12">
        <f>G1835*(D1835*Assumptions!$B$6+E1835*Assumptions!$B$7)</f>
        <v>5.8678167545249214E-3</v>
      </c>
    </row>
    <row r="1836" spans="1:10" x14ac:dyDescent="0.2">
      <c r="A1836" s="2">
        <v>1828</v>
      </c>
      <c r="B1836" s="14">
        <f>A1836*Assumptions!$B$12</f>
        <v>18.28</v>
      </c>
      <c r="C1836" s="15">
        <f>IF(A1836&lt;=Assumptions!$B$13,IF(OR(A1836=0,A1836=Assumptions!$B$13),0.5,1),0)*Assumptions!$B$12</f>
        <v>0.01</v>
      </c>
      <c r="D1836" s="12">
        <f>D1835*(1-Assumptions!$B$12*(Assumptions!$B$5+Assumptions!$B$6))</f>
        <v>0.57782612552546397</v>
      </c>
      <c r="E1836" s="12">
        <f>E1835+Assumptions!$B$12*(D1835*Assumptions!$B$5-E1835*Assumptions!$B$7)</f>
        <v>0.17700041217173867</v>
      </c>
      <c r="F1836" s="12">
        <f t="shared" si="84"/>
        <v>0.24517346230279735</v>
      </c>
      <c r="G1836" s="12">
        <f>EXP(-Assumptions!$B$8*B1836)</f>
        <v>0.40091734304199206</v>
      </c>
      <c r="H1836" s="12">
        <f t="shared" si="85"/>
        <v>0.23166051498591761</v>
      </c>
      <c r="I1836" s="12">
        <f t="shared" si="86"/>
        <v>7.0962534965230945E-2</v>
      </c>
      <c r="J1836" s="12">
        <f>G1836*(D1836*Assumptions!$B$6+E1836*Assumptions!$B$7)</f>
        <v>5.8647318981207234E-3</v>
      </c>
    </row>
    <row r="1837" spans="1:10" x14ac:dyDescent="0.2">
      <c r="A1837" s="2">
        <v>1829</v>
      </c>
      <c r="B1837" s="14">
        <f>A1837*Assumptions!$B$12</f>
        <v>18.29</v>
      </c>
      <c r="C1837" s="15">
        <f>IF(A1837&lt;=Assumptions!$B$13,IF(OR(A1837=0,A1837=Assumptions!$B$13),0.5,1),0)*Assumptions!$B$12</f>
        <v>0.01</v>
      </c>
      <c r="D1837" s="12">
        <f>D1836*(1-Assumptions!$B$12*(Assumptions!$B$5+Assumptions!$B$6))</f>
        <v>0.57765277768780632</v>
      </c>
      <c r="E1837" s="12">
        <f>E1836+Assumptions!$B$12*(D1836*Assumptions!$B$5-E1836*Assumptions!$B$7)</f>
        <v>0.1770274771907579</v>
      </c>
      <c r="F1837" s="12">
        <f t="shared" si="84"/>
        <v>0.24531974512143578</v>
      </c>
      <c r="G1837" s="12">
        <f>EXP(-Assumptions!$B$8*B1837)</f>
        <v>0.40071693447678763</v>
      </c>
      <c r="H1837" s="12">
        <f t="shared" si="85"/>
        <v>0.23147525026705906</v>
      </c>
      <c r="I1837" s="12">
        <f t="shared" si="86"/>
        <v>7.0937907978039949E-2</v>
      </c>
      <c r="J1837" s="12">
        <f>G1837*(D1837*Assumptions!$B$6+E1837*Assumptions!$B$7)</f>
        <v>5.8616479015725885E-3</v>
      </c>
    </row>
    <row r="1838" spans="1:10" x14ac:dyDescent="0.2">
      <c r="A1838" s="2">
        <v>1830</v>
      </c>
      <c r="B1838" s="14">
        <f>A1838*Assumptions!$B$12</f>
        <v>18.3</v>
      </c>
      <c r="C1838" s="15">
        <f>IF(A1838&lt;=Assumptions!$B$13,IF(OR(A1838=0,A1838=Assumptions!$B$13),0.5,1),0)*Assumptions!$B$12</f>
        <v>0.01</v>
      </c>
      <c r="D1838" s="12">
        <f>D1837*(1-Assumptions!$B$12*(Assumptions!$B$5+Assumptions!$B$6))</f>
        <v>0.57747948185450004</v>
      </c>
      <c r="E1838" s="12">
        <f>E1837+Assumptions!$B$12*(D1837*Assumptions!$B$5-E1837*Assumptions!$B$7)</f>
        <v>0.17705449400770007</v>
      </c>
      <c r="F1838" s="12">
        <f t="shared" si="84"/>
        <v>0.24546602413779989</v>
      </c>
      <c r="G1838" s="12">
        <f>EXP(-Assumptions!$B$8*B1838)</f>
        <v>0.40051662609081878</v>
      </c>
      <c r="H1838" s="12">
        <f t="shared" si="85"/>
        <v>0.23129013370903856</v>
      </c>
      <c r="I1838" s="12">
        <f t="shared" si="86"/>
        <v>7.0913268574181121E-2</v>
      </c>
      <c r="J1838" s="12">
        <f>G1838*(D1838*Assumptions!$B$6+E1838*Assumptions!$B$7)</f>
        <v>5.8585647657994422E-3</v>
      </c>
    </row>
    <row r="1839" spans="1:10" x14ac:dyDescent="0.2">
      <c r="A1839" s="2">
        <v>1831</v>
      </c>
      <c r="B1839" s="14">
        <f>A1839*Assumptions!$B$12</f>
        <v>18.309999999999999</v>
      </c>
      <c r="C1839" s="15">
        <f>IF(A1839&lt;=Assumptions!$B$13,IF(OR(A1839=0,A1839=Assumptions!$B$13),0.5,1),0)*Assumptions!$B$12</f>
        <v>0.01</v>
      </c>
      <c r="D1839" s="12">
        <f>D1838*(1-Assumptions!$B$12*(Assumptions!$B$5+Assumptions!$B$6))</f>
        <v>0.57730623800994374</v>
      </c>
      <c r="E1839" s="12">
        <f>E1838+Assumptions!$B$12*(D1838*Assumptions!$B$5-E1838*Assumptions!$B$7)</f>
        <v>0.17708146265706712</v>
      </c>
      <c r="F1839" s="12">
        <f t="shared" si="84"/>
        <v>0.24561229933298914</v>
      </c>
      <c r="G1839" s="12">
        <f>EXP(-Assumptions!$B$8*B1839)</f>
        <v>0.40031641783400862</v>
      </c>
      <c r="H1839" s="12">
        <f t="shared" si="85"/>
        <v>0.23110516519336827</v>
      </c>
      <c r="I1839" s="12">
        <f t="shared" si="86"/>
        <v>7.0888616795683881E-2</v>
      </c>
      <c r="J1839" s="12">
        <f>G1839*(D1839*Assumptions!$B$6+E1839*Assumptions!$B$7)</f>
        <v>5.8554824917178769E-3</v>
      </c>
    </row>
    <row r="1840" spans="1:10" x14ac:dyDescent="0.2">
      <c r="A1840" s="2">
        <v>1832</v>
      </c>
      <c r="B1840" s="14">
        <f>A1840*Assumptions!$B$12</f>
        <v>18.32</v>
      </c>
      <c r="C1840" s="15">
        <f>IF(A1840&lt;=Assumptions!$B$13,IF(OR(A1840=0,A1840=Assumptions!$B$13),0.5,1),0)*Assumptions!$B$12</f>
        <v>0.01</v>
      </c>
      <c r="D1840" s="12">
        <f>D1839*(1-Assumptions!$B$12*(Assumptions!$B$5+Assumptions!$B$6))</f>
        <v>0.57713304613854077</v>
      </c>
      <c r="E1840" s="12">
        <f>E1839+Assumptions!$B$12*(D1839*Assumptions!$B$5-E1839*Assumptions!$B$7)</f>
        <v>0.17710838317334057</v>
      </c>
      <c r="F1840" s="12">
        <f t="shared" si="84"/>
        <v>0.24575857068811865</v>
      </c>
      <c r="G1840" s="12">
        <f>EXP(-Assumptions!$B$8*B1840)</f>
        <v>0.40011630965630496</v>
      </c>
      <c r="H1840" s="12">
        <f t="shared" si="85"/>
        <v>0.23092034460165492</v>
      </c>
      <c r="I1840" s="12">
        <f t="shared" si="86"/>
        <v>7.0863952684511844E-2</v>
      </c>
      <c r="J1840" s="12">
        <f>G1840*(D1840*Assumptions!$B$6+E1840*Assumptions!$B$7)</f>
        <v>5.8524010802421421E-3</v>
      </c>
    </row>
    <row r="1841" spans="1:10" x14ac:dyDescent="0.2">
      <c r="A1841" s="2">
        <v>1833</v>
      </c>
      <c r="B1841" s="14">
        <f>A1841*Assumptions!$B$12</f>
        <v>18.330000000000002</v>
      </c>
      <c r="C1841" s="15">
        <f>IF(A1841&lt;=Assumptions!$B$13,IF(OR(A1841=0,A1841=Assumptions!$B$13),0.5,1),0)*Assumptions!$B$12</f>
        <v>0.01</v>
      </c>
      <c r="D1841" s="12">
        <f>D1840*(1-Assumptions!$B$12*(Assumptions!$B$5+Assumptions!$B$6))</f>
        <v>0.57695990622469928</v>
      </c>
      <c r="E1841" s="12">
        <f>E1840+Assumptions!$B$12*(D1840*Assumptions!$B$5-E1840*Assumptions!$B$7)</f>
        <v>0.17713525559098162</v>
      </c>
      <c r="F1841" s="12">
        <f t="shared" si="84"/>
        <v>0.2459048381843191</v>
      </c>
      <c r="G1841" s="12">
        <f>EXP(-Assumptions!$B$8*B1841)</f>
        <v>0.39991630150768076</v>
      </c>
      <c r="H1841" s="12">
        <f t="shared" si="85"/>
        <v>0.23073567181560006</v>
      </c>
      <c r="I1841" s="12">
        <f t="shared" si="86"/>
        <v>7.0839276282563104E-2</v>
      </c>
      <c r="J1841" s="12">
        <f>G1841*(D1841*Assumptions!$B$6+E1841*Assumptions!$B$7)</f>
        <v>5.849320532284155E-3</v>
      </c>
    </row>
    <row r="1842" spans="1:10" x14ac:dyDescent="0.2">
      <c r="A1842" s="2">
        <v>1834</v>
      </c>
      <c r="B1842" s="14">
        <f>A1842*Assumptions!$B$12</f>
        <v>18.34</v>
      </c>
      <c r="C1842" s="15">
        <f>IF(A1842&lt;=Assumptions!$B$13,IF(OR(A1842=0,A1842=Assumptions!$B$13),0.5,1),0)*Assumptions!$B$12</f>
        <v>0.01</v>
      </c>
      <c r="D1842" s="12">
        <f>D1841*(1-Assumptions!$B$12*(Assumptions!$B$5+Assumptions!$B$6))</f>
        <v>0.57678681825283185</v>
      </c>
      <c r="E1842" s="12">
        <f>E1841+Assumptions!$B$12*(D1841*Assumptions!$B$5-E1841*Assumptions!$B$7)</f>
        <v>0.17716207994443106</v>
      </c>
      <c r="F1842" s="12">
        <f t="shared" si="84"/>
        <v>0.24605110180273709</v>
      </c>
      <c r="G1842" s="12">
        <f>EXP(-Assumptions!$B$8*B1842)</f>
        <v>0.39971639333813408</v>
      </c>
      <c r="H1842" s="12">
        <f t="shared" si="85"/>
        <v>0.23055114671699978</v>
      </c>
      <c r="I1842" s="12">
        <f t="shared" si="86"/>
        <v>7.0814587631670159E-2</v>
      </c>
      <c r="J1842" s="12">
        <f>G1842*(D1842*Assumptions!$B$6+E1842*Assumptions!$B$7)</f>
        <v>5.8462408487535058E-3</v>
      </c>
    </row>
    <row r="1843" spans="1:10" x14ac:dyDescent="0.2">
      <c r="A1843" s="2">
        <v>1835</v>
      </c>
      <c r="B1843" s="14">
        <f>A1843*Assumptions!$B$12</f>
        <v>18.350000000000001</v>
      </c>
      <c r="C1843" s="15">
        <f>IF(A1843&lt;=Assumptions!$B$13,IF(OR(A1843=0,A1843=Assumptions!$B$13),0.5,1),0)*Assumptions!$B$12</f>
        <v>0.01</v>
      </c>
      <c r="D1843" s="12">
        <f>D1842*(1-Assumptions!$B$12*(Assumptions!$B$5+Assumptions!$B$6))</f>
        <v>0.57661378220735604</v>
      </c>
      <c r="E1843" s="12">
        <f>E1842+Assumptions!$B$12*(D1842*Assumptions!$B$5-E1842*Assumptions!$B$7)</f>
        <v>0.1771888562681094</v>
      </c>
      <c r="F1843" s="12">
        <f t="shared" si="84"/>
        <v>0.24619736152453456</v>
      </c>
      <c r="G1843" s="12">
        <f>EXP(-Assumptions!$B$8*B1843)</f>
        <v>0.39951658509768778</v>
      </c>
      <c r="H1843" s="12">
        <f t="shared" si="85"/>
        <v>0.23036676918774476</v>
      </c>
      <c r="I1843" s="12">
        <f t="shared" si="86"/>
        <v>7.0789886773600097E-2</v>
      </c>
      <c r="J1843" s="12">
        <f>G1843*(D1843*Assumptions!$B$6+E1843*Assumptions!$B$7)</f>
        <v>5.8431620305574522E-3</v>
      </c>
    </row>
    <row r="1844" spans="1:10" x14ac:dyDescent="0.2">
      <c r="A1844" s="2">
        <v>1836</v>
      </c>
      <c r="B1844" s="14">
        <f>A1844*Assumptions!$B$12</f>
        <v>18.36</v>
      </c>
      <c r="C1844" s="15">
        <f>IF(A1844&lt;=Assumptions!$B$13,IF(OR(A1844=0,A1844=Assumptions!$B$13),0.5,1),0)*Assumptions!$B$12</f>
        <v>0.01</v>
      </c>
      <c r="D1844" s="12">
        <f>D1843*(1-Assumptions!$B$12*(Assumptions!$B$5+Assumptions!$B$6))</f>
        <v>0.57644079807269388</v>
      </c>
      <c r="E1844" s="12">
        <f>E1843+Assumptions!$B$12*(D1843*Assumptions!$B$5-E1843*Assumptions!$B$7)</f>
        <v>0.17721558459641681</v>
      </c>
      <c r="F1844" s="12">
        <f t="shared" si="84"/>
        <v>0.2463436173308893</v>
      </c>
      <c r="G1844" s="12">
        <f>EXP(-Assumptions!$B$8*B1844)</f>
        <v>0.39931687673638988</v>
      </c>
      <c r="H1844" s="12">
        <f t="shared" si="85"/>
        <v>0.23018253910982012</v>
      </c>
      <c r="I1844" s="12">
        <f t="shared" si="86"/>
        <v>7.0765173750054644E-2</v>
      </c>
      <c r="J1844" s="12">
        <f>G1844*(D1844*Assumptions!$B$6+E1844*Assumptions!$B$7)</f>
        <v>5.8400840786009328E-3</v>
      </c>
    </row>
    <row r="1845" spans="1:10" x14ac:dyDescent="0.2">
      <c r="A1845" s="2">
        <v>1837</v>
      </c>
      <c r="B1845" s="14">
        <f>A1845*Assumptions!$B$12</f>
        <v>18.37</v>
      </c>
      <c r="C1845" s="15">
        <f>IF(A1845&lt;=Assumptions!$B$13,IF(OR(A1845=0,A1845=Assumptions!$B$13),0.5,1),0)*Assumptions!$B$12</f>
        <v>0.01</v>
      </c>
      <c r="D1845" s="12">
        <f>D1844*(1-Assumptions!$B$12*(Assumptions!$B$5+Assumptions!$B$6))</f>
        <v>0.57626786583327205</v>
      </c>
      <c r="E1845" s="12">
        <f>E1844+Assumptions!$B$12*(D1844*Assumptions!$B$5-E1844*Assumptions!$B$7)</f>
        <v>0.17724226496373313</v>
      </c>
      <c r="F1845" s="12">
        <f t="shared" si="84"/>
        <v>0.24648986920299482</v>
      </c>
      <c r="G1845" s="12">
        <f>EXP(-Assumptions!$B$8*B1845)</f>
        <v>0.3991172682043132</v>
      </c>
      <c r="H1845" s="12">
        <f t="shared" si="85"/>
        <v>0.22999845636530522</v>
      </c>
      <c r="I1845" s="12">
        <f t="shared" si="86"/>
        <v>7.0740448602670217E-2</v>
      </c>
      <c r="J1845" s="12">
        <f>G1845*(D1845*Assumptions!$B$6+E1845*Assumptions!$B$7)</f>
        <v>5.8370069937865639E-3</v>
      </c>
    </row>
    <row r="1846" spans="1:10" x14ac:dyDescent="0.2">
      <c r="A1846" s="2">
        <v>1838</v>
      </c>
      <c r="B1846" s="14">
        <f>A1846*Assumptions!$B$12</f>
        <v>18.38</v>
      </c>
      <c r="C1846" s="15">
        <f>IF(A1846&lt;=Assumptions!$B$13,IF(OR(A1846=0,A1846=Assumptions!$B$13),0.5,1),0)*Assumptions!$B$12</f>
        <v>0.01</v>
      </c>
      <c r="D1846" s="12">
        <f>D1845*(1-Assumptions!$B$12*(Assumptions!$B$5+Assumptions!$B$6))</f>
        <v>0.57609498547352211</v>
      </c>
      <c r="E1846" s="12">
        <f>E1845+Assumptions!$B$12*(D1845*Assumptions!$B$5-E1845*Assumptions!$B$7)</f>
        <v>0.17726889740441792</v>
      </c>
      <c r="F1846" s="12">
        <f t="shared" si="84"/>
        <v>0.24663611712205996</v>
      </c>
      <c r="G1846" s="12">
        <f>EXP(-Assumptions!$B$8*B1846)</f>
        <v>0.39891775945155566</v>
      </c>
      <c r="H1846" s="12">
        <f t="shared" si="85"/>
        <v>0.22981452083637394</v>
      </c>
      <c r="I1846" s="12">
        <f t="shared" si="86"/>
        <v>7.0715711373018089E-2</v>
      </c>
      <c r="J1846" s="12">
        <f>G1846*(D1846*Assumptions!$B$6+E1846*Assumptions!$B$7)</f>
        <v>5.8339307770146447E-3</v>
      </c>
    </row>
    <row r="1847" spans="1:10" x14ac:dyDescent="0.2">
      <c r="A1847" s="2">
        <v>1839</v>
      </c>
      <c r="B1847" s="14">
        <f>A1847*Assumptions!$B$12</f>
        <v>18.39</v>
      </c>
      <c r="C1847" s="15">
        <f>IF(A1847&lt;=Assumptions!$B$13,IF(OR(A1847=0,A1847=Assumptions!$B$13),0.5,1),0)*Assumptions!$B$12</f>
        <v>0.01</v>
      </c>
      <c r="D1847" s="12">
        <f>D1846*(1-Assumptions!$B$12*(Assumptions!$B$5+Assumptions!$B$6))</f>
        <v>0.57592215697788007</v>
      </c>
      <c r="E1847" s="12">
        <f>E1846+Assumptions!$B$12*(D1846*Assumptions!$B$5-E1846*Assumptions!$B$7)</f>
        <v>0.17729548195281042</v>
      </c>
      <c r="F1847" s="12">
        <f t="shared" si="84"/>
        <v>0.24678236106930951</v>
      </c>
      <c r="G1847" s="12">
        <f>EXP(-Assumptions!$B$8*B1847)</f>
        <v>0.39871835042824005</v>
      </c>
      <c r="H1847" s="12">
        <f t="shared" si="85"/>
        <v>0.22963073240529427</v>
      </c>
      <c r="I1847" s="12">
        <f t="shared" si="86"/>
        <v>7.0690962102604379E-2</v>
      </c>
      <c r="J1847" s="12">
        <f>G1847*(D1847*Assumptions!$B$6+E1847*Assumptions!$B$7)</f>
        <v>5.8308554291831615E-3</v>
      </c>
    </row>
    <row r="1848" spans="1:10" x14ac:dyDescent="0.2">
      <c r="A1848" s="2">
        <v>1840</v>
      </c>
      <c r="B1848" s="14">
        <f>A1848*Assumptions!$B$12</f>
        <v>18.400000000000002</v>
      </c>
      <c r="C1848" s="15">
        <f>IF(A1848&lt;=Assumptions!$B$13,IF(OR(A1848=0,A1848=Assumptions!$B$13),0.5,1),0)*Assumptions!$B$12</f>
        <v>0.01</v>
      </c>
      <c r="D1848" s="12">
        <f>D1847*(1-Assumptions!$B$12*(Assumptions!$B$5+Assumptions!$B$6))</f>
        <v>0.57574938033078671</v>
      </c>
      <c r="E1848" s="12">
        <f>E1847+Assumptions!$B$12*(D1847*Assumptions!$B$5-E1847*Assumptions!$B$7)</f>
        <v>0.17732201864322958</v>
      </c>
      <c r="F1848" s="12">
        <f t="shared" si="84"/>
        <v>0.24692860102598371</v>
      </c>
      <c r="G1848" s="12">
        <f>EXP(-Assumptions!$B$8*B1848)</f>
        <v>0.39851904108451414</v>
      </c>
      <c r="H1848" s="12">
        <f t="shared" si="85"/>
        <v>0.22944709095442833</v>
      </c>
      <c r="I1848" s="12">
        <f t="shared" si="86"/>
        <v>7.0666200832870188E-2</v>
      </c>
      <c r="J1848" s="12">
        <f>G1848*(D1848*Assumptions!$B$6+E1848*Assumptions!$B$7)</f>
        <v>5.8277809511877937E-3</v>
      </c>
    </row>
    <row r="1849" spans="1:10" x14ac:dyDescent="0.2">
      <c r="A1849" s="2">
        <v>1841</v>
      </c>
      <c r="B1849" s="14">
        <f>A1849*Assumptions!$B$12</f>
        <v>18.41</v>
      </c>
      <c r="C1849" s="15">
        <f>IF(A1849&lt;=Assumptions!$B$13,IF(OR(A1849=0,A1849=Assumptions!$B$13),0.5,1),0)*Assumptions!$B$12</f>
        <v>0.01</v>
      </c>
      <c r="D1849" s="12">
        <f>D1848*(1-Assumptions!$B$12*(Assumptions!$B$5+Assumptions!$B$6))</f>
        <v>0.57557665551668746</v>
      </c>
      <c r="E1849" s="12">
        <f>E1848+Assumptions!$B$12*(D1848*Assumptions!$B$5-E1848*Assumptions!$B$7)</f>
        <v>0.17734850750997413</v>
      </c>
      <c r="F1849" s="12">
        <f t="shared" si="84"/>
        <v>0.2470748369733384</v>
      </c>
      <c r="G1849" s="12">
        <f>EXP(-Assumptions!$B$8*B1849)</f>
        <v>0.39831983137055055</v>
      </c>
      <c r="H1849" s="12">
        <f t="shared" si="85"/>
        <v>0.22926359636623242</v>
      </c>
      <c r="I1849" s="12">
        <f t="shared" si="86"/>
        <v>7.0641427605191709E-2</v>
      </c>
      <c r="J1849" s="12">
        <f>G1849*(D1849*Assumptions!$B$6+E1849*Assumptions!$B$7)</f>
        <v>5.8247073439219102E-3</v>
      </c>
    </row>
    <row r="1850" spans="1:10" x14ac:dyDescent="0.2">
      <c r="A1850" s="2">
        <v>1842</v>
      </c>
      <c r="B1850" s="14">
        <f>A1850*Assumptions!$B$12</f>
        <v>18.420000000000002</v>
      </c>
      <c r="C1850" s="15">
        <f>IF(A1850&lt;=Assumptions!$B$13,IF(OR(A1850=0,A1850=Assumptions!$B$13),0.5,1),0)*Assumptions!$B$12</f>
        <v>0.01</v>
      </c>
      <c r="D1850" s="12">
        <f>D1849*(1-Assumptions!$B$12*(Assumptions!$B$5+Assumptions!$B$6))</f>
        <v>0.57540398252003244</v>
      </c>
      <c r="E1850" s="12">
        <f>E1849+Assumptions!$B$12*(D1849*Assumptions!$B$5-E1849*Assumptions!$B$7)</f>
        <v>0.17737494858732247</v>
      </c>
      <c r="F1850" s="12">
        <f t="shared" si="84"/>
        <v>0.24722106889264509</v>
      </c>
      <c r="G1850" s="12">
        <f>EXP(-Assumptions!$B$8*B1850)</f>
        <v>0.3981207212365469</v>
      </c>
      <c r="H1850" s="12">
        <f t="shared" si="85"/>
        <v>0.22908024852325673</v>
      </c>
      <c r="I1850" s="12">
        <f t="shared" si="86"/>
        <v>7.0616642460880244E-2</v>
      </c>
      <c r="J1850" s="12">
        <f>G1850*(D1850*Assumptions!$B$6+E1850*Assumptions!$B$7)</f>
        <v>5.8216346082765802E-3</v>
      </c>
    </row>
    <row r="1851" spans="1:10" x14ac:dyDescent="0.2">
      <c r="A1851" s="2">
        <v>1843</v>
      </c>
      <c r="B1851" s="14">
        <f>A1851*Assumptions!$B$12</f>
        <v>18.43</v>
      </c>
      <c r="C1851" s="15">
        <f>IF(A1851&lt;=Assumptions!$B$13,IF(OR(A1851=0,A1851=Assumptions!$B$13),0.5,1),0)*Assumptions!$B$12</f>
        <v>0.01</v>
      </c>
      <c r="D1851" s="12">
        <f>D1850*(1-Assumptions!$B$12*(Assumptions!$B$5+Assumptions!$B$6))</f>
        <v>0.57523136132527641</v>
      </c>
      <c r="E1851" s="12">
        <f>E1850+Assumptions!$B$12*(D1850*Assumptions!$B$5-E1850*Assumptions!$B$7)</f>
        <v>0.17740134190953283</v>
      </c>
      <c r="F1851" s="12">
        <f t="shared" si="84"/>
        <v>0.24736729676519076</v>
      </c>
      <c r="G1851" s="12">
        <f>EXP(-Assumptions!$B$8*B1851)</f>
        <v>0.39792171063272569</v>
      </c>
      <c r="H1851" s="12">
        <f t="shared" si="85"/>
        <v>0.22889704730814553</v>
      </c>
      <c r="I1851" s="12">
        <f t="shared" si="86"/>
        <v>7.0591845441182355E-2</v>
      </c>
      <c r="J1851" s="12">
        <f>G1851*(D1851*Assumptions!$B$6+E1851*Assumptions!$B$7)</f>
        <v>5.8185627451405727E-3</v>
      </c>
    </row>
    <row r="1852" spans="1:10" x14ac:dyDescent="0.2">
      <c r="A1852" s="2">
        <v>1844</v>
      </c>
      <c r="B1852" s="14">
        <f>A1852*Assumptions!$B$12</f>
        <v>18.440000000000001</v>
      </c>
      <c r="C1852" s="15">
        <f>IF(A1852&lt;=Assumptions!$B$13,IF(OR(A1852=0,A1852=Assumptions!$B$13),0.5,1),0)*Assumptions!$B$12</f>
        <v>0.01</v>
      </c>
      <c r="D1852" s="12">
        <f>D1851*(1-Assumptions!$B$12*(Assumptions!$B$5+Assumptions!$B$6))</f>
        <v>0.57505879191687881</v>
      </c>
      <c r="E1852" s="12">
        <f>E1851+Assumptions!$B$12*(D1851*Assumptions!$B$5-E1851*Assumptions!$B$7)</f>
        <v>0.17742768751084312</v>
      </c>
      <c r="F1852" s="12">
        <f t="shared" si="84"/>
        <v>0.24751352057227807</v>
      </c>
      <c r="G1852" s="12">
        <f>EXP(-Assumptions!$B$8*B1852)</f>
        <v>0.39772279950933409</v>
      </c>
      <c r="H1852" s="12">
        <f t="shared" si="85"/>
        <v>0.22871399260363667</v>
      </c>
      <c r="I1852" s="12">
        <f t="shared" si="86"/>
        <v>7.0567036587279836E-2</v>
      </c>
      <c r="J1852" s="12">
        <f>G1852*(D1852*Assumptions!$B$6+E1852*Assumptions!$B$7)</f>
        <v>5.8154917554003585E-3</v>
      </c>
    </row>
    <row r="1853" spans="1:10" x14ac:dyDescent="0.2">
      <c r="A1853" s="2">
        <v>1845</v>
      </c>
      <c r="B1853" s="14">
        <f>A1853*Assumptions!$B$12</f>
        <v>18.45</v>
      </c>
      <c r="C1853" s="15">
        <f>IF(A1853&lt;=Assumptions!$B$13,IF(OR(A1853=0,A1853=Assumptions!$B$13),0.5,1),0)*Assumptions!$B$12</f>
        <v>0.01</v>
      </c>
      <c r="D1853" s="12">
        <f>D1852*(1-Assumptions!$B$12*(Assumptions!$B$5+Assumptions!$B$6))</f>
        <v>0.57488627427930372</v>
      </c>
      <c r="E1853" s="12">
        <f>E1852+Assumptions!$B$12*(D1852*Assumptions!$B$5-E1852*Assumptions!$B$7)</f>
        <v>0.17745398542547108</v>
      </c>
      <c r="F1853" s="12">
        <f t="shared" si="84"/>
        <v>0.24765974029522519</v>
      </c>
      <c r="G1853" s="12">
        <f>EXP(-Assumptions!$B$8*B1853)</f>
        <v>0.39752398781664461</v>
      </c>
      <c r="H1853" s="12">
        <f t="shared" si="85"/>
        <v>0.22853108429256214</v>
      </c>
      <c r="I1853" s="12">
        <f t="shared" si="86"/>
        <v>7.054221594028999E-2</v>
      </c>
      <c r="J1853" s="12">
        <f>G1853*(D1853*Assumptions!$B$6+E1853*Assumptions!$B$7)</f>
        <v>5.8124216399401216E-3</v>
      </c>
    </row>
    <row r="1854" spans="1:10" x14ac:dyDescent="0.2">
      <c r="A1854" s="2">
        <v>1846</v>
      </c>
      <c r="B1854" s="14">
        <f>A1854*Assumptions!$B$12</f>
        <v>18.46</v>
      </c>
      <c r="C1854" s="15">
        <f>IF(A1854&lt;=Assumptions!$B$13,IF(OR(A1854=0,A1854=Assumptions!$B$13),0.5,1),0)*Assumptions!$B$12</f>
        <v>0.01</v>
      </c>
      <c r="D1854" s="12">
        <f>D1853*(1-Assumptions!$B$12*(Assumptions!$B$5+Assumptions!$B$6))</f>
        <v>0.57471380839701991</v>
      </c>
      <c r="E1854" s="12">
        <f>E1853+Assumptions!$B$12*(D1853*Assumptions!$B$5-E1853*Assumptions!$B$7)</f>
        <v>0.1774802356876142</v>
      </c>
      <c r="F1854" s="12">
        <f t="shared" si="84"/>
        <v>0.24780595591536589</v>
      </c>
      <c r="G1854" s="12">
        <f>EXP(-Assumptions!$B$8*B1854)</f>
        <v>0.397325275504954</v>
      </c>
      <c r="H1854" s="12">
        <f t="shared" si="85"/>
        <v>0.22834832225784729</v>
      </c>
      <c r="I1854" s="12">
        <f t="shared" si="86"/>
        <v>7.051738354126548E-2</v>
      </c>
      <c r="J1854" s="12">
        <f>G1854*(D1854*Assumptions!$B$6+E1854*Assumptions!$B$7)</f>
        <v>5.809352399641747E-3</v>
      </c>
    </row>
    <row r="1855" spans="1:10" x14ac:dyDescent="0.2">
      <c r="A1855" s="2">
        <v>1847</v>
      </c>
      <c r="B1855" s="14">
        <f>A1855*Assumptions!$B$12</f>
        <v>18.47</v>
      </c>
      <c r="C1855" s="15">
        <f>IF(A1855&lt;=Assumptions!$B$13,IF(OR(A1855=0,A1855=Assumptions!$B$13),0.5,1),0)*Assumptions!$B$12</f>
        <v>0.01</v>
      </c>
      <c r="D1855" s="12">
        <f>D1854*(1-Assumptions!$B$12*(Assumptions!$B$5+Assumptions!$B$6))</f>
        <v>0.57454139425450079</v>
      </c>
      <c r="E1855" s="12">
        <f>E1854+Assumptions!$B$12*(D1854*Assumptions!$B$5-E1854*Assumptions!$B$7)</f>
        <v>0.1775064383314498</v>
      </c>
      <c r="F1855" s="12">
        <f t="shared" si="84"/>
        <v>0.24795216741404941</v>
      </c>
      <c r="G1855" s="12">
        <f>EXP(-Assumptions!$B$8*B1855)</f>
        <v>0.3971266625245844</v>
      </c>
      <c r="H1855" s="12">
        <f t="shared" si="85"/>
        <v>0.22816570638251132</v>
      </c>
      <c r="I1855" s="12">
        <f t="shared" si="86"/>
        <v>7.0492539431194615E-2</v>
      </c>
      <c r="J1855" s="12">
        <f>G1855*(D1855*Assumptions!$B$6+E1855*Assumptions!$B$7)</f>
        <v>5.8062840353848445E-3</v>
      </c>
    </row>
    <row r="1856" spans="1:10" x14ac:dyDescent="0.2">
      <c r="A1856" s="2">
        <v>1848</v>
      </c>
      <c r="B1856" s="14">
        <f>A1856*Assumptions!$B$12</f>
        <v>18.48</v>
      </c>
      <c r="C1856" s="15">
        <f>IF(A1856&lt;=Assumptions!$B$13,IF(OR(A1856=0,A1856=Assumptions!$B$13),0.5,1),0)*Assumptions!$B$12</f>
        <v>0.01</v>
      </c>
      <c r="D1856" s="12">
        <f>D1855*(1-Assumptions!$B$12*(Assumptions!$B$5+Assumptions!$B$6))</f>
        <v>0.57436903183622445</v>
      </c>
      <c r="E1856" s="12">
        <f>E1855+Assumptions!$B$12*(D1855*Assumptions!$B$5-E1855*Assumptions!$B$7)</f>
        <v>0.17753259339113497</v>
      </c>
      <c r="F1856" s="12">
        <f t="shared" si="84"/>
        <v>0.24809837477264057</v>
      </c>
      <c r="G1856" s="12">
        <f>EXP(-Assumptions!$B$8*B1856)</f>
        <v>0.39692814882588245</v>
      </c>
      <c r="H1856" s="12">
        <f t="shared" si="85"/>
        <v>0.22798323654966693</v>
      </c>
      <c r="I1856" s="12">
        <f t="shared" si="86"/>
        <v>7.0467683651001298E-2</v>
      </c>
      <c r="J1856" s="12">
        <f>G1856*(D1856*Assumptions!$B$6+E1856*Assumptions!$B$7)</f>
        <v>5.8032165480467338E-3</v>
      </c>
    </row>
    <row r="1857" spans="1:10" x14ac:dyDescent="0.2">
      <c r="A1857" s="2">
        <v>1849</v>
      </c>
      <c r="B1857" s="14">
        <f>A1857*Assumptions!$B$12</f>
        <v>18.490000000000002</v>
      </c>
      <c r="C1857" s="15">
        <f>IF(A1857&lt;=Assumptions!$B$13,IF(OR(A1857=0,A1857=Assumptions!$B$13),0.5,1),0)*Assumptions!$B$12</f>
        <v>0.01</v>
      </c>
      <c r="D1857" s="12">
        <f>D1856*(1-Assumptions!$B$12*(Assumptions!$B$5+Assumptions!$B$6))</f>
        <v>0.57419672112667364</v>
      </c>
      <c r="E1857" s="12">
        <f>E1856+Assumptions!$B$12*(D1856*Assumptions!$B$5-E1856*Assumptions!$B$7)</f>
        <v>0.17755870090080667</v>
      </c>
      <c r="F1857" s="12">
        <f t="shared" si="84"/>
        <v>0.2482445779725197</v>
      </c>
      <c r="G1857" s="12">
        <f>EXP(-Assumptions!$B$8*B1857)</f>
        <v>0.39672973435921982</v>
      </c>
      <c r="H1857" s="12">
        <f t="shared" si="85"/>
        <v>0.22780091264252025</v>
      </c>
      <c r="I1857" s="12">
        <f t="shared" si="86"/>
        <v>7.0442816241545192E-2</v>
      </c>
      <c r="J1857" s="12">
        <f>G1857*(D1857*Assumptions!$B$6+E1857*Assumptions!$B$7)</f>
        <v>5.8001499385024625E-3</v>
      </c>
    </row>
    <row r="1858" spans="1:10" x14ac:dyDescent="0.2">
      <c r="A1858" s="2">
        <v>1850</v>
      </c>
      <c r="B1858" s="14">
        <f>A1858*Assumptions!$B$12</f>
        <v>18.5</v>
      </c>
      <c r="C1858" s="15">
        <f>IF(A1858&lt;=Assumptions!$B$13,IF(OR(A1858=0,A1858=Assumptions!$B$13),0.5,1),0)*Assumptions!$B$12</f>
        <v>0.01</v>
      </c>
      <c r="D1858" s="12">
        <f>D1857*(1-Assumptions!$B$12*(Assumptions!$B$5+Assumptions!$B$6))</f>
        <v>0.57402446211033564</v>
      </c>
      <c r="E1858" s="12">
        <f>E1857+Assumptions!$B$12*(D1857*Assumptions!$B$5-E1857*Assumptions!$B$7)</f>
        <v>0.17758476089458158</v>
      </c>
      <c r="F1858" s="12">
        <f t="shared" si="84"/>
        <v>0.24839077699508277</v>
      </c>
      <c r="G1858" s="12">
        <f>EXP(-Assumptions!$B$8*B1858)</f>
        <v>0.39653141907499284</v>
      </c>
      <c r="H1858" s="12">
        <f t="shared" si="85"/>
        <v>0.22761873454437084</v>
      </c>
      <c r="I1858" s="12">
        <f t="shared" si="86"/>
        <v>7.0417937243621734E-2</v>
      </c>
      <c r="J1858" s="12">
        <f>G1858*(D1858*Assumptions!$B$6+E1858*Assumptions!$B$7)</f>
        <v>5.7970842076247951E-3</v>
      </c>
    </row>
    <row r="1859" spans="1:10" x14ac:dyDescent="0.2">
      <c r="A1859" s="2">
        <v>1851</v>
      </c>
      <c r="B1859" s="14">
        <f>A1859*Assumptions!$B$12</f>
        <v>18.510000000000002</v>
      </c>
      <c r="C1859" s="15">
        <f>IF(A1859&lt;=Assumptions!$B$13,IF(OR(A1859=0,A1859=Assumptions!$B$13),0.5,1),0)*Assumptions!$B$12</f>
        <v>0.01</v>
      </c>
      <c r="D1859" s="12">
        <f>D1858*(1-Assumptions!$B$12*(Assumptions!$B$5+Assumptions!$B$6))</f>
        <v>0.57385225477170254</v>
      </c>
      <c r="E1859" s="12">
        <f>E1858+Assumptions!$B$12*(D1858*Assumptions!$B$5-E1858*Assumptions!$B$7)</f>
        <v>0.17761077340655637</v>
      </c>
      <c r="F1859" s="12">
        <f t="shared" si="84"/>
        <v>0.24853697182174109</v>
      </c>
      <c r="G1859" s="12">
        <f>EXP(-Assumptions!$B$8*B1859)</f>
        <v>0.39633320292362267</v>
      </c>
      <c r="H1859" s="12">
        <f t="shared" si="85"/>
        <v>0.22743670213861161</v>
      </c>
      <c r="I1859" s="12">
        <f t="shared" si="86"/>
        <v>7.0393046697962272E-2</v>
      </c>
      <c r="J1859" s="12">
        <f>G1859*(D1859*Assumptions!$B$6+E1859*Assumptions!$B$7)</f>
        <v>5.7940193562842305E-3</v>
      </c>
    </row>
    <row r="1860" spans="1:10" x14ac:dyDescent="0.2">
      <c r="A1860" s="2">
        <v>1852</v>
      </c>
      <c r="B1860" s="14">
        <f>A1860*Assumptions!$B$12</f>
        <v>18.52</v>
      </c>
      <c r="C1860" s="15">
        <f>IF(A1860&lt;=Assumptions!$B$13,IF(OR(A1860=0,A1860=Assumptions!$B$13),0.5,1),0)*Assumptions!$B$12</f>
        <v>0.01</v>
      </c>
      <c r="D1860" s="12">
        <f>D1859*(1-Assumptions!$B$12*(Assumptions!$B$5+Assumptions!$B$6))</f>
        <v>0.57368009909527107</v>
      </c>
      <c r="E1860" s="12">
        <f>E1859+Assumptions!$B$12*(D1859*Assumptions!$B$5-E1859*Assumptions!$B$7)</f>
        <v>0.17763673847080744</v>
      </c>
      <c r="F1860" s="12">
        <f t="shared" si="84"/>
        <v>0.2486831624339215</v>
      </c>
      <c r="G1860" s="12">
        <f>EXP(-Assumptions!$B$8*B1860)</f>
        <v>0.39613508585555535</v>
      </c>
      <c r="H1860" s="12">
        <f t="shared" si="85"/>
        <v>0.22725481530872871</v>
      </c>
      <c r="I1860" s="12">
        <f t="shared" si="86"/>
        <v>7.0368144645234137E-2</v>
      </c>
      <c r="J1860" s="12">
        <f>G1860*(D1860*Assumptions!$B$6+E1860*Assumptions!$B$7)</f>
        <v>5.7909553853489936E-3</v>
      </c>
    </row>
    <row r="1861" spans="1:10" x14ac:dyDescent="0.2">
      <c r="A1861" s="2">
        <v>1853</v>
      </c>
      <c r="B1861" s="14">
        <f>A1861*Assumptions!$B$12</f>
        <v>18.53</v>
      </c>
      <c r="C1861" s="15">
        <f>IF(A1861&lt;=Assumptions!$B$13,IF(OR(A1861=0,A1861=Assumptions!$B$13),0.5,1),0)*Assumptions!$B$12</f>
        <v>0.01</v>
      </c>
      <c r="D1861" s="12">
        <f>D1860*(1-Assumptions!$B$12*(Assumptions!$B$5+Assumptions!$B$6))</f>
        <v>0.57350799506554251</v>
      </c>
      <c r="E1861" s="12">
        <f>E1860+Assumptions!$B$12*(D1860*Assumptions!$B$5-E1860*Assumptions!$B$7)</f>
        <v>0.17766265612139109</v>
      </c>
      <c r="F1861" s="12">
        <f t="shared" si="84"/>
        <v>0.2488293488130664</v>
      </c>
      <c r="G1861" s="12">
        <f>EXP(-Assumptions!$B$8*B1861)</f>
        <v>0.39593706782126148</v>
      </c>
      <c r="H1861" s="12">
        <f t="shared" si="85"/>
        <v>0.2270730739383014</v>
      </c>
      <c r="I1861" s="12">
        <f t="shared" si="86"/>
        <v>7.0343231126040684E-2</v>
      </c>
      <c r="J1861" s="12">
        <f>G1861*(D1861*Assumptions!$B$6+E1861*Assumptions!$B$7)</f>
        <v>5.7878922956850478E-3</v>
      </c>
    </row>
    <row r="1862" spans="1:10" x14ac:dyDescent="0.2">
      <c r="A1862" s="2">
        <v>1854</v>
      </c>
      <c r="B1862" s="14">
        <f>A1862*Assumptions!$B$12</f>
        <v>18.54</v>
      </c>
      <c r="C1862" s="15">
        <f>IF(A1862&lt;=Assumptions!$B$13,IF(OR(A1862=0,A1862=Assumptions!$B$13),0.5,1),0)*Assumptions!$B$12</f>
        <v>0.01</v>
      </c>
      <c r="D1862" s="12">
        <f>D1861*(1-Assumptions!$B$12*(Assumptions!$B$5+Assumptions!$B$6))</f>
        <v>0.57333594266702281</v>
      </c>
      <c r="E1862" s="12">
        <f>E1861+Assumptions!$B$12*(D1861*Assumptions!$B$5-E1861*Assumptions!$B$7)</f>
        <v>0.1776885263923435</v>
      </c>
      <c r="F1862" s="12">
        <f t="shared" si="84"/>
        <v>0.24897553094063368</v>
      </c>
      <c r="G1862" s="12">
        <f>EXP(-Assumptions!$B$8*B1862)</f>
        <v>0.39573914877123673</v>
      </c>
      <c r="H1862" s="12">
        <f t="shared" si="85"/>
        <v>0.2268914779110022</v>
      </c>
      <c r="I1862" s="12">
        <f t="shared" si="86"/>
        <v>7.0318306180921455E-2</v>
      </c>
      <c r="J1862" s="12">
        <f>G1862*(D1862*Assumptions!$B$6+E1862*Assumptions!$B$7)</f>
        <v>5.7848300881560948E-3</v>
      </c>
    </row>
    <row r="1863" spans="1:10" x14ac:dyDescent="0.2">
      <c r="A1863" s="2">
        <v>1855</v>
      </c>
      <c r="B1863" s="14">
        <f>A1863*Assumptions!$B$12</f>
        <v>18.55</v>
      </c>
      <c r="C1863" s="15">
        <f>IF(A1863&lt;=Assumptions!$B$13,IF(OR(A1863=0,A1863=Assumptions!$B$13),0.5,1),0)*Assumptions!$B$12</f>
        <v>0.01</v>
      </c>
      <c r="D1863" s="12">
        <f>D1862*(1-Assumptions!$B$12*(Assumptions!$B$5+Assumptions!$B$6))</f>
        <v>0.57316394188422271</v>
      </c>
      <c r="E1863" s="12">
        <f>E1862+Assumptions!$B$12*(D1862*Assumptions!$B$5-E1862*Assumptions!$B$7)</f>
        <v>0.17771434931768074</v>
      </c>
      <c r="F1863" s="12">
        <f t="shared" si="84"/>
        <v>0.24912170879809656</v>
      </c>
      <c r="G1863" s="12">
        <f>EXP(-Assumptions!$B$8*B1863)</f>
        <v>0.39554132865600111</v>
      </c>
      <c r="H1863" s="12">
        <f t="shared" si="85"/>
        <v>0.22671002711059646</v>
      </c>
      <c r="I1863" s="12">
        <f t="shared" si="86"/>
        <v>7.0293369850352144E-2</v>
      </c>
      <c r="J1863" s="12">
        <f>G1863*(D1863*Assumptions!$B$6+E1863*Assumptions!$B$7)</f>
        <v>5.7817687636235729E-3</v>
      </c>
    </row>
    <row r="1864" spans="1:10" x14ac:dyDescent="0.2">
      <c r="A1864" s="2">
        <v>1856</v>
      </c>
      <c r="B1864" s="14">
        <f>A1864*Assumptions!$B$12</f>
        <v>18.559999999999999</v>
      </c>
      <c r="C1864" s="15">
        <f>IF(A1864&lt;=Assumptions!$B$13,IF(OR(A1864=0,A1864=Assumptions!$B$13),0.5,1),0)*Assumptions!$B$12</f>
        <v>0.01</v>
      </c>
      <c r="D1864" s="12">
        <f>D1863*(1-Assumptions!$B$12*(Assumptions!$B$5+Assumptions!$B$6))</f>
        <v>0.57299199270165746</v>
      </c>
      <c r="E1864" s="12">
        <f>E1863+Assumptions!$B$12*(D1863*Assumptions!$B$5-E1863*Assumptions!$B$7)</f>
        <v>0.17774012493139874</v>
      </c>
      <c r="F1864" s="12">
        <f t="shared" ref="F1864:F1927" si="87">1-D1864-E1864</f>
        <v>0.2492678823669438</v>
      </c>
      <c r="G1864" s="12">
        <f>EXP(-Assumptions!$B$8*B1864)</f>
        <v>0.39534360742609986</v>
      </c>
      <c r="H1864" s="12">
        <f t="shared" ref="H1864:H1927" si="88">G1864*D1864</f>
        <v>0.22652872142094274</v>
      </c>
      <c r="I1864" s="12">
        <f t="shared" ref="I1864:I1927" si="89">G1864*E1864</f>
        <v>7.0268422174744841E-2</v>
      </c>
      <c r="J1864" s="12">
        <f>G1864*(D1864*Assumptions!$B$6+E1864*Assumptions!$B$7)</f>
        <v>5.7787083229466699E-3</v>
      </c>
    </row>
    <row r="1865" spans="1:10" x14ac:dyDescent="0.2">
      <c r="A1865" s="2">
        <v>1857</v>
      </c>
      <c r="B1865" s="14">
        <f>A1865*Assumptions!$B$12</f>
        <v>18.57</v>
      </c>
      <c r="C1865" s="15">
        <f>IF(A1865&lt;=Assumptions!$B$13,IF(OR(A1865=0,A1865=Assumptions!$B$13),0.5,1),0)*Assumptions!$B$12</f>
        <v>0.01</v>
      </c>
      <c r="D1865" s="12">
        <f>D1864*(1-Assumptions!$B$12*(Assumptions!$B$5+Assumptions!$B$6))</f>
        <v>0.57282009510384702</v>
      </c>
      <c r="E1865" s="12">
        <f>E1864+Assumptions!$B$12*(D1864*Assumptions!$B$5-E1864*Assumptions!$B$7)</f>
        <v>0.17776585326747338</v>
      </c>
      <c r="F1865" s="12">
        <f t="shared" si="87"/>
        <v>0.24941405162867961</v>
      </c>
      <c r="G1865" s="12">
        <f>EXP(-Assumptions!$B$8*B1865)</f>
        <v>0.39514598503210235</v>
      </c>
      <c r="H1865" s="12">
        <f t="shared" si="88"/>
        <v>0.22634756072599219</v>
      </c>
      <c r="I1865" s="12">
        <f t="shared" si="89"/>
        <v>7.0243463194447936E-2</v>
      </c>
      <c r="J1865" s="12">
        <f>G1865*(D1865*Assumptions!$B$6+E1865*Assumptions!$B$7)</f>
        <v>5.7756487669823192E-3</v>
      </c>
    </row>
    <row r="1866" spans="1:10" x14ac:dyDescent="0.2">
      <c r="A1866" s="2">
        <v>1858</v>
      </c>
      <c r="B1866" s="14">
        <f>A1866*Assumptions!$B$12</f>
        <v>18.580000000000002</v>
      </c>
      <c r="C1866" s="15">
        <f>IF(A1866&lt;=Assumptions!$B$13,IF(OR(A1866=0,A1866=Assumptions!$B$13),0.5,1),0)*Assumptions!$B$12</f>
        <v>0.01</v>
      </c>
      <c r="D1866" s="12">
        <f>D1865*(1-Assumptions!$B$12*(Assumptions!$B$5+Assumptions!$B$6))</f>
        <v>0.57264824907531586</v>
      </c>
      <c r="E1866" s="12">
        <f>E1865+Assumptions!$B$12*(D1865*Assumptions!$B$5-E1865*Assumptions!$B$7)</f>
        <v>0.17779153435986042</v>
      </c>
      <c r="F1866" s="12">
        <f t="shared" si="87"/>
        <v>0.24956021656482372</v>
      </c>
      <c r="G1866" s="12">
        <f>EXP(-Assumptions!$B$8*B1866)</f>
        <v>0.39494846142460327</v>
      </c>
      <c r="H1866" s="12">
        <f t="shared" si="88"/>
        <v>0.22616654490978899</v>
      </c>
      <c r="I1866" s="12">
        <f t="shared" si="89"/>
        <v>7.0218492949746358E-2</v>
      </c>
      <c r="J1866" s="12">
        <f>G1866*(D1866*Assumptions!$B$6+E1866*Assumptions!$B$7)</f>
        <v>5.7725900965852079E-3</v>
      </c>
    </row>
    <row r="1867" spans="1:10" x14ac:dyDescent="0.2">
      <c r="A1867" s="2">
        <v>1859</v>
      </c>
      <c r="B1867" s="14">
        <f>A1867*Assumptions!$B$12</f>
        <v>18.59</v>
      </c>
      <c r="C1867" s="15">
        <f>IF(A1867&lt;=Assumptions!$B$13,IF(OR(A1867=0,A1867=Assumptions!$B$13),0.5,1),0)*Assumptions!$B$12</f>
        <v>0.01</v>
      </c>
      <c r="D1867" s="12">
        <f>D1866*(1-Assumptions!$B$12*(Assumptions!$B$5+Assumptions!$B$6))</f>
        <v>0.57247645460059327</v>
      </c>
      <c r="E1867" s="12">
        <f>E1866+Assumptions!$B$12*(D1866*Assumptions!$B$5-E1866*Assumptions!$B$7)</f>
        <v>0.17781716824249555</v>
      </c>
      <c r="F1867" s="12">
        <f t="shared" si="87"/>
        <v>0.24970637715691119</v>
      </c>
      <c r="G1867" s="12">
        <f>EXP(-Assumptions!$B$8*B1867)</f>
        <v>0.39475103655422161</v>
      </c>
      <c r="H1867" s="12">
        <f t="shared" si="88"/>
        <v>0.22598567385646998</v>
      </c>
      <c r="I1867" s="12">
        <f t="shared" si="89"/>
        <v>7.0193511480861531E-2</v>
      </c>
      <c r="J1867" s="12">
        <f>G1867*(D1867*Assumptions!$B$6+E1867*Assumptions!$B$7)</f>
        <v>5.7695323126077773E-3</v>
      </c>
    </row>
    <row r="1868" spans="1:10" x14ac:dyDescent="0.2">
      <c r="A1868" s="2">
        <v>1860</v>
      </c>
      <c r="B1868" s="14">
        <f>A1868*Assumptions!$B$12</f>
        <v>18.600000000000001</v>
      </c>
      <c r="C1868" s="15">
        <f>IF(A1868&lt;=Assumptions!$B$13,IF(OR(A1868=0,A1868=Assumptions!$B$13),0.5,1),0)*Assumptions!$B$12</f>
        <v>0.01</v>
      </c>
      <c r="D1868" s="12">
        <f>D1867*(1-Assumptions!$B$12*(Assumptions!$B$5+Assumptions!$B$6))</f>
        <v>0.57230471166421315</v>
      </c>
      <c r="E1868" s="12">
        <f>E1867+Assumptions!$B$12*(D1867*Assumptions!$B$5-E1867*Assumptions!$B$7)</f>
        <v>0.17784275494929441</v>
      </c>
      <c r="F1868" s="12">
        <f t="shared" si="87"/>
        <v>0.24985253338649244</v>
      </c>
      <c r="G1868" s="12">
        <f>EXP(-Assumptions!$B$8*B1868)</f>
        <v>0.39455371037160109</v>
      </c>
      <c r="H1868" s="12">
        <f t="shared" si="88"/>
        <v>0.22580494745026464</v>
      </c>
      <c r="I1868" s="12">
        <f t="shared" si="89"/>
        <v>7.016851882795154E-2</v>
      </c>
      <c r="J1868" s="12">
        <f>G1868*(D1868*Assumptions!$B$6+E1868*Assumptions!$B$7)</f>
        <v>5.7664754159002232E-3</v>
      </c>
    </row>
    <row r="1869" spans="1:10" x14ac:dyDescent="0.2">
      <c r="A1869" s="2">
        <v>1861</v>
      </c>
      <c r="B1869" s="14">
        <f>A1869*Assumptions!$B$12</f>
        <v>18.61</v>
      </c>
      <c r="C1869" s="15">
        <f>IF(A1869&lt;=Assumptions!$B$13,IF(OR(A1869=0,A1869=Assumptions!$B$13),0.5,1),0)*Assumptions!$B$12</f>
        <v>0.01</v>
      </c>
      <c r="D1869" s="12">
        <f>D1868*(1-Assumptions!$B$12*(Assumptions!$B$5+Assumptions!$B$6))</f>
        <v>0.57213302025071389</v>
      </c>
      <c r="E1869" s="12">
        <f>E1868+Assumptions!$B$12*(D1868*Assumptions!$B$5-E1868*Assumptions!$B$7)</f>
        <v>0.17786829451415262</v>
      </c>
      <c r="F1869" s="12">
        <f t="shared" si="87"/>
        <v>0.24999868523513349</v>
      </c>
      <c r="G1869" s="12">
        <f>EXP(-Assumptions!$B$8*B1869)</f>
        <v>0.39435648282741026</v>
      </c>
      <c r="H1869" s="12">
        <f t="shared" si="88"/>
        <v>0.22562436557549501</v>
      </c>
      <c r="I1869" s="12">
        <f t="shared" si="89"/>
        <v>7.0143515031111173E-2</v>
      </c>
      <c r="J1869" s="12">
        <f>G1869*(D1869*Assumptions!$B$6+E1869*Assumptions!$B$7)</f>
        <v>5.7634194073105096E-3</v>
      </c>
    </row>
    <row r="1870" spans="1:10" x14ac:dyDescent="0.2">
      <c r="A1870" s="2">
        <v>1862</v>
      </c>
      <c r="B1870" s="14">
        <f>A1870*Assumptions!$B$12</f>
        <v>18.62</v>
      </c>
      <c r="C1870" s="15">
        <f>IF(A1870&lt;=Assumptions!$B$13,IF(OR(A1870=0,A1870=Assumptions!$B$13),0.5,1),0)*Assumptions!$B$12</f>
        <v>0.01</v>
      </c>
      <c r="D1870" s="12">
        <f>D1869*(1-Assumptions!$B$12*(Assumptions!$B$5+Assumptions!$B$6))</f>
        <v>0.57196138034463873</v>
      </c>
      <c r="E1870" s="12">
        <f>E1869+Assumptions!$B$12*(D1869*Assumptions!$B$5-E1869*Assumptions!$B$7)</f>
        <v>0.17789378697094568</v>
      </c>
      <c r="F1870" s="12">
        <f t="shared" si="87"/>
        <v>0.25014483268441556</v>
      </c>
      <c r="G1870" s="12">
        <f>EXP(-Assumptions!$B$8*B1870)</f>
        <v>0.39415935387234219</v>
      </c>
      <c r="H1870" s="12">
        <f t="shared" si="88"/>
        <v>0.22544392811657576</v>
      </c>
      <c r="I1870" s="12">
        <f t="shared" si="89"/>
        <v>7.0118500130372033E-2</v>
      </c>
      <c r="J1870" s="12">
        <f>G1870*(D1870*Assumptions!$B$6+E1870*Assumptions!$B$7)</f>
        <v>5.7603642876843594E-3</v>
      </c>
    </row>
    <row r="1871" spans="1:10" x14ac:dyDescent="0.2">
      <c r="A1871" s="2">
        <v>1863</v>
      </c>
      <c r="B1871" s="14">
        <f>A1871*Assumptions!$B$12</f>
        <v>18.63</v>
      </c>
      <c r="C1871" s="15">
        <f>IF(A1871&lt;=Assumptions!$B$13,IF(OR(A1871=0,A1871=Assumptions!$B$13),0.5,1),0)*Assumptions!$B$12</f>
        <v>0.01</v>
      </c>
      <c r="D1871" s="12">
        <f>D1870*(1-Assumptions!$B$12*(Assumptions!$B$5+Assumptions!$B$6))</f>
        <v>0.57178979193053536</v>
      </c>
      <c r="E1871" s="12">
        <f>E1870+Assumptions!$B$12*(D1870*Assumptions!$B$5-E1870*Assumptions!$B$7)</f>
        <v>0.17791923235352913</v>
      </c>
      <c r="F1871" s="12">
        <f t="shared" si="87"/>
        <v>0.2502909757159355</v>
      </c>
      <c r="G1871" s="12">
        <f>EXP(-Assumptions!$B$8*B1871)</f>
        <v>0.39396232345711463</v>
      </c>
      <c r="H1871" s="12">
        <f t="shared" si="88"/>
        <v>0.22526363495801385</v>
      </c>
      <c r="I1871" s="12">
        <f t="shared" si="89"/>
        <v>7.0093474165702579E-2</v>
      </c>
      <c r="J1871" s="12">
        <f>G1871*(D1871*Assumptions!$B$6+E1871*Assumptions!$B$7)</f>
        <v>5.757310057865268E-3</v>
      </c>
    </row>
    <row r="1872" spans="1:10" x14ac:dyDescent="0.2">
      <c r="A1872" s="2">
        <v>1864</v>
      </c>
      <c r="B1872" s="14">
        <f>A1872*Assumptions!$B$12</f>
        <v>18.64</v>
      </c>
      <c r="C1872" s="15">
        <f>IF(A1872&lt;=Assumptions!$B$13,IF(OR(A1872=0,A1872=Assumptions!$B$13),0.5,1),0)*Assumptions!$B$12</f>
        <v>0.01</v>
      </c>
      <c r="D1872" s="12">
        <f>D1871*(1-Assumptions!$B$12*(Assumptions!$B$5+Assumptions!$B$6))</f>
        <v>0.57161825499295627</v>
      </c>
      <c r="E1872" s="12">
        <f>E1871+Assumptions!$B$12*(D1871*Assumptions!$B$5-E1871*Assumptions!$B$7)</f>
        <v>0.17794463069573849</v>
      </c>
      <c r="F1872" s="12">
        <f t="shared" si="87"/>
        <v>0.25043711431130522</v>
      </c>
      <c r="G1872" s="12">
        <f>EXP(-Assumptions!$B$8*B1872)</f>
        <v>0.39376539153246998</v>
      </c>
      <c r="H1872" s="12">
        <f t="shared" si="88"/>
        <v>0.22508348598440869</v>
      </c>
      <c r="I1872" s="12">
        <f t="shared" si="89"/>
        <v>7.0068437177008239E-2</v>
      </c>
      <c r="J1872" s="12">
        <f>G1872*(D1872*Assumptions!$B$6+E1872*Assumptions!$B$7)</f>
        <v>5.7542567186944999E-3</v>
      </c>
    </row>
    <row r="1873" spans="1:10" x14ac:dyDescent="0.2">
      <c r="A1873" s="2">
        <v>1865</v>
      </c>
      <c r="B1873" s="14">
        <f>A1873*Assumptions!$B$12</f>
        <v>18.650000000000002</v>
      </c>
      <c r="C1873" s="15">
        <f>IF(A1873&lt;=Assumptions!$B$13,IF(OR(A1873=0,A1873=Assumptions!$B$13),0.5,1),0)*Assumptions!$B$12</f>
        <v>0.01</v>
      </c>
      <c r="D1873" s="12">
        <f>D1872*(1-Assumptions!$B$12*(Assumptions!$B$5+Assumptions!$B$6))</f>
        <v>0.57144676951645834</v>
      </c>
      <c r="E1873" s="12">
        <f>E1872+Assumptions!$B$12*(D1872*Assumptions!$B$5-E1872*Assumptions!$B$7)</f>
        <v>0.1779699820313892</v>
      </c>
      <c r="F1873" s="12">
        <f t="shared" si="87"/>
        <v>0.25058324845215246</v>
      </c>
      <c r="G1873" s="12">
        <f>EXP(-Assumptions!$B$8*B1873)</f>
        <v>0.39356855804917523</v>
      </c>
      <c r="H1873" s="12">
        <f t="shared" si="88"/>
        <v>0.22490348108045188</v>
      </c>
      <c r="I1873" s="12">
        <f t="shared" si="89"/>
        <v>7.0043389204131473E-2</v>
      </c>
      <c r="J1873" s="12">
        <f>G1873*(D1873*Assumptions!$B$6+E1873*Assumptions!$B$7)</f>
        <v>5.7512042710110931E-3</v>
      </c>
    </row>
    <row r="1874" spans="1:10" x14ac:dyDescent="0.2">
      <c r="A1874" s="2">
        <v>1866</v>
      </c>
      <c r="B1874" s="14">
        <f>A1874*Assumptions!$B$12</f>
        <v>18.66</v>
      </c>
      <c r="C1874" s="15">
        <f>IF(A1874&lt;=Assumptions!$B$13,IF(OR(A1874=0,A1874=Assumptions!$B$13),0.5,1),0)*Assumptions!$B$12</f>
        <v>0.01</v>
      </c>
      <c r="D1874" s="12">
        <f>D1873*(1-Assumptions!$B$12*(Assumptions!$B$5+Assumptions!$B$6))</f>
        <v>0.57127533548560339</v>
      </c>
      <c r="E1874" s="12">
        <f>E1873+Assumptions!$B$12*(D1873*Assumptions!$B$5-E1873*Assumptions!$B$7)</f>
        <v>0.17799528639427678</v>
      </c>
      <c r="F1874" s="12">
        <f t="shared" si="87"/>
        <v>0.25072937812011986</v>
      </c>
      <c r="G1874" s="12">
        <f>EXP(-Assumptions!$B$8*B1874)</f>
        <v>0.39337182295802209</v>
      </c>
      <c r="H1874" s="12">
        <f t="shared" si="88"/>
        <v>0.22472362013092745</v>
      </c>
      <c r="I1874" s="12">
        <f t="shared" si="89"/>
        <v>7.0018330286851879E-2</v>
      </c>
      <c r="J1874" s="12">
        <f>G1874*(D1874*Assumptions!$B$6+E1874*Assumptions!$B$7)</f>
        <v>5.7481527156518688E-3</v>
      </c>
    </row>
    <row r="1875" spans="1:10" x14ac:dyDescent="0.2">
      <c r="A1875" s="2">
        <v>1867</v>
      </c>
      <c r="B1875" s="14">
        <f>A1875*Assumptions!$B$12</f>
        <v>18.670000000000002</v>
      </c>
      <c r="C1875" s="15">
        <f>IF(A1875&lt;=Assumptions!$B$13,IF(OR(A1875=0,A1875=Assumptions!$B$13),0.5,1),0)*Assumptions!$B$12</f>
        <v>0.01</v>
      </c>
      <c r="D1875" s="12">
        <f>D1874*(1-Assumptions!$B$12*(Assumptions!$B$5+Assumptions!$B$6))</f>
        <v>0.57110395288495774</v>
      </c>
      <c r="E1875" s="12">
        <f>E1874+Assumptions!$B$12*(D1874*Assumptions!$B$5-E1874*Assumptions!$B$7)</f>
        <v>0.17802054381817675</v>
      </c>
      <c r="F1875" s="12">
        <f t="shared" si="87"/>
        <v>0.25087550329686548</v>
      </c>
      <c r="G1875" s="12">
        <f>EXP(-Assumptions!$B$8*B1875)</f>
        <v>0.39317518620982672</v>
      </c>
      <c r="H1875" s="12">
        <f t="shared" si="88"/>
        <v>0.22454390302071137</v>
      </c>
      <c r="I1875" s="12">
        <f t="shared" si="89"/>
        <v>6.9993260464886256E-2</v>
      </c>
      <c r="J1875" s="12">
        <f>G1875*(D1875*Assumptions!$B$6+E1875*Assumptions!$B$7)</f>
        <v>5.7451020534514275E-3</v>
      </c>
    </row>
    <row r="1876" spans="1:10" x14ac:dyDescent="0.2">
      <c r="A1876" s="2">
        <v>1868</v>
      </c>
      <c r="B1876" s="14">
        <f>A1876*Assumptions!$B$12</f>
        <v>18.68</v>
      </c>
      <c r="C1876" s="15">
        <f>IF(A1876&lt;=Assumptions!$B$13,IF(OR(A1876=0,A1876=Assumptions!$B$13),0.5,1),0)*Assumptions!$B$12</f>
        <v>0.01</v>
      </c>
      <c r="D1876" s="12">
        <f>D1875*(1-Assumptions!$B$12*(Assumptions!$B$5+Assumptions!$B$6))</f>
        <v>0.57093262169909231</v>
      </c>
      <c r="E1876" s="12">
        <f>E1875+Assumptions!$B$12*(D1875*Assumptions!$B$5-E1875*Assumptions!$B$7)</f>
        <v>0.17804575433684466</v>
      </c>
      <c r="F1876" s="12">
        <f t="shared" si="87"/>
        <v>0.25102162396406302</v>
      </c>
      <c r="G1876" s="12">
        <f>EXP(-Assumptions!$B$8*B1876)</f>
        <v>0.39297864775542996</v>
      </c>
      <c r="H1876" s="12">
        <f t="shared" si="88"/>
        <v>0.22436432963477174</v>
      </c>
      <c r="I1876" s="12">
        <f t="shared" si="89"/>
        <v>6.9968179777888689E-2</v>
      </c>
      <c r="J1876" s="12">
        <f>G1876*(D1876*Assumptions!$B$6+E1876*Assumptions!$B$7)</f>
        <v>5.742052285242152E-3</v>
      </c>
    </row>
    <row r="1877" spans="1:10" x14ac:dyDescent="0.2">
      <c r="A1877" s="2">
        <v>1869</v>
      </c>
      <c r="B1877" s="14">
        <f>A1877*Assumptions!$B$12</f>
        <v>18.690000000000001</v>
      </c>
      <c r="C1877" s="15">
        <f>IF(A1877&lt;=Assumptions!$B$13,IF(OR(A1877=0,A1877=Assumptions!$B$13),0.5,1),0)*Assumptions!$B$12</f>
        <v>0.01</v>
      </c>
      <c r="D1877" s="12">
        <f>D1876*(1-Assumptions!$B$12*(Assumptions!$B$5+Assumptions!$B$6))</f>
        <v>0.57076134191258265</v>
      </c>
      <c r="E1877" s="12">
        <f>E1876+Assumptions!$B$12*(D1876*Assumptions!$B$5-E1876*Assumptions!$B$7)</f>
        <v>0.17807091798401606</v>
      </c>
      <c r="F1877" s="12">
        <f t="shared" si="87"/>
        <v>0.25116774010340126</v>
      </c>
      <c r="G1877" s="12">
        <f>EXP(-Assumptions!$B$8*B1877)</f>
        <v>0.39278220754569715</v>
      </c>
      <c r="H1877" s="12">
        <f t="shared" si="88"/>
        <v>0.22418489985816864</v>
      </c>
      <c r="I1877" s="12">
        <f t="shared" si="89"/>
        <v>6.9943088265450606E-2</v>
      </c>
      <c r="J1877" s="12">
        <f>G1877*(D1877*Assumptions!$B$6+E1877*Assumptions!$B$7)</f>
        <v>5.7390034118542169E-3</v>
      </c>
    </row>
    <row r="1878" spans="1:10" x14ac:dyDescent="0.2">
      <c r="A1878" s="2">
        <v>1870</v>
      </c>
      <c r="B1878" s="14">
        <f>A1878*Assumptions!$B$12</f>
        <v>18.7</v>
      </c>
      <c r="C1878" s="15">
        <f>IF(A1878&lt;=Assumptions!$B$13,IF(OR(A1878=0,A1878=Assumptions!$B$13),0.5,1),0)*Assumptions!$B$12</f>
        <v>0.01</v>
      </c>
      <c r="D1878" s="12">
        <f>D1877*(1-Assumptions!$B$12*(Assumptions!$B$5+Assumptions!$B$6))</f>
        <v>0.57059011351000888</v>
      </c>
      <c r="E1878" s="12">
        <f>E1877+Assumptions!$B$12*(D1877*Assumptions!$B$5-E1877*Assumptions!$B$7)</f>
        <v>0.17809603479340658</v>
      </c>
      <c r="F1878" s="12">
        <f t="shared" si="87"/>
        <v>0.25131385169658454</v>
      </c>
      <c r="G1878" s="12">
        <f>EXP(-Assumptions!$B$8*B1878)</f>
        <v>0.39258586553151836</v>
      </c>
      <c r="H1878" s="12">
        <f t="shared" si="88"/>
        <v>0.22400561357605414</v>
      </c>
      <c r="I1878" s="12">
        <f t="shared" si="89"/>
        <v>6.9917985967100929E-2</v>
      </c>
      <c r="J1878" s="12">
        <f>G1878*(D1878*Assumptions!$B$6+E1878*Assumptions!$B$7)</f>
        <v>5.7359554341155881E-3</v>
      </c>
    </row>
    <row r="1879" spans="1:10" x14ac:dyDescent="0.2">
      <c r="A1879" s="2">
        <v>1871</v>
      </c>
      <c r="B1879" s="14">
        <f>A1879*Assumptions!$B$12</f>
        <v>18.71</v>
      </c>
      <c r="C1879" s="15">
        <f>IF(A1879&lt;=Assumptions!$B$13,IF(OR(A1879=0,A1879=Assumptions!$B$13),0.5,1),0)*Assumptions!$B$12</f>
        <v>0.01</v>
      </c>
      <c r="D1879" s="12">
        <f>D1878*(1-Assumptions!$B$12*(Assumptions!$B$5+Assumptions!$B$6))</f>
        <v>0.57041893647595587</v>
      </c>
      <c r="E1879" s="12">
        <f>E1878+Assumptions!$B$12*(D1878*Assumptions!$B$5-E1878*Assumptions!$B$7)</f>
        <v>0.17812110479871188</v>
      </c>
      <c r="F1879" s="12">
        <f t="shared" si="87"/>
        <v>0.25145995872533222</v>
      </c>
      <c r="G1879" s="12">
        <f>EXP(-Assumptions!$B$8*B1879)</f>
        <v>0.39238962166380792</v>
      </c>
      <c r="H1879" s="12">
        <f t="shared" si="88"/>
        <v>0.22382647067367201</v>
      </c>
      <c r="I1879" s="12">
        <f t="shared" si="89"/>
        <v>6.9892872922306032E-2</v>
      </c>
      <c r="J1879" s="12">
        <f>G1879*(D1879*Assumptions!$B$6+E1879*Assumptions!$B$7)</f>
        <v>5.732908352852022E-3</v>
      </c>
    </row>
    <row r="1880" spans="1:10" x14ac:dyDescent="0.2">
      <c r="A1880" s="2">
        <v>1872</v>
      </c>
      <c r="B1880" s="14">
        <f>A1880*Assumptions!$B$12</f>
        <v>18.72</v>
      </c>
      <c r="C1880" s="15">
        <f>IF(A1880&lt;=Assumptions!$B$13,IF(OR(A1880=0,A1880=Assumptions!$B$13),0.5,1),0)*Assumptions!$B$12</f>
        <v>0.01</v>
      </c>
      <c r="D1880" s="12">
        <f>D1879*(1-Assumptions!$B$12*(Assumptions!$B$5+Assumptions!$B$6))</f>
        <v>0.57024781079501308</v>
      </c>
      <c r="E1880" s="12">
        <f>E1879+Assumptions!$B$12*(D1879*Assumptions!$B$5-E1879*Assumptions!$B$7)</f>
        <v>0.17814612803360771</v>
      </c>
      <c r="F1880" s="12">
        <f t="shared" si="87"/>
        <v>0.25160606117137918</v>
      </c>
      <c r="G1880" s="12">
        <f>EXP(-Assumptions!$B$8*B1880)</f>
        <v>0.39219347589350501</v>
      </c>
      <c r="H1880" s="12">
        <f t="shared" si="88"/>
        <v>0.22364747103635796</v>
      </c>
      <c r="I1880" s="12">
        <f t="shared" si="89"/>
        <v>6.9867749170469978E-2</v>
      </c>
      <c r="J1880" s="12">
        <f>G1880*(D1880*Assumptions!$B$6+E1880*Assumptions!$B$7)</f>
        <v>5.7298621688870784E-3</v>
      </c>
    </row>
    <row r="1881" spans="1:10" x14ac:dyDescent="0.2">
      <c r="A1881" s="2">
        <v>1873</v>
      </c>
      <c r="B1881" s="14">
        <f>A1881*Assumptions!$B$12</f>
        <v>18.73</v>
      </c>
      <c r="C1881" s="15">
        <f>IF(A1881&lt;=Assumptions!$B$13,IF(OR(A1881=0,A1881=Assumptions!$B$13),0.5,1),0)*Assumptions!$B$12</f>
        <v>0.01</v>
      </c>
      <c r="D1881" s="12">
        <f>D1880*(1-Assumptions!$B$12*(Assumptions!$B$5+Assumptions!$B$6))</f>
        <v>0.57007673645177459</v>
      </c>
      <c r="E1881" s="12">
        <f>E1880+Assumptions!$B$12*(D1880*Assumptions!$B$5-E1880*Assumptions!$B$7)</f>
        <v>0.17817110453174992</v>
      </c>
      <c r="F1881" s="12">
        <f t="shared" si="87"/>
        <v>0.25175215901647552</v>
      </c>
      <c r="G1881" s="12">
        <f>EXP(-Assumptions!$B$8*B1881)</f>
        <v>0.39199742817157301</v>
      </c>
      <c r="H1881" s="12">
        <f t="shared" si="88"/>
        <v>0.22346861454953926</v>
      </c>
      <c r="I1881" s="12">
        <f t="shared" si="89"/>
        <v>6.9842614750934465E-2</v>
      </c>
      <c r="J1881" s="12">
        <f>G1881*(D1881*Assumptions!$B$6+E1881*Assumptions!$B$7)</f>
        <v>5.726816883042116E-3</v>
      </c>
    </row>
    <row r="1882" spans="1:10" x14ac:dyDescent="0.2">
      <c r="A1882" s="2">
        <v>1874</v>
      </c>
      <c r="B1882" s="14">
        <f>A1882*Assumptions!$B$12</f>
        <v>18.740000000000002</v>
      </c>
      <c r="C1882" s="15">
        <f>IF(A1882&lt;=Assumptions!$B$13,IF(OR(A1882=0,A1882=Assumptions!$B$13),0.5,1),0)*Assumptions!$B$12</f>
        <v>0.01</v>
      </c>
      <c r="D1882" s="12">
        <f>D1881*(1-Assumptions!$B$12*(Assumptions!$B$5+Assumptions!$B$6))</f>
        <v>0.56990571343083907</v>
      </c>
      <c r="E1882" s="12">
        <f>E1881+Assumptions!$B$12*(D1881*Assumptions!$B$5-E1881*Assumptions!$B$7)</f>
        <v>0.17819603432677439</v>
      </c>
      <c r="F1882" s="12">
        <f t="shared" si="87"/>
        <v>0.25189825224238654</v>
      </c>
      <c r="G1882" s="12">
        <f>EXP(-Assumptions!$B$8*B1882)</f>
        <v>0.39180147844900015</v>
      </c>
      <c r="H1882" s="12">
        <f t="shared" si="88"/>
        <v>0.22328990109873495</v>
      </c>
      <c r="I1882" s="12">
        <f t="shared" si="89"/>
        <v>6.9817469702978988E-2</v>
      </c>
      <c r="J1882" s="12">
        <f>G1882*(D1882*Assumptions!$B$6+E1882*Assumptions!$B$7)</f>
        <v>5.7237724961362989E-3</v>
      </c>
    </row>
    <row r="1883" spans="1:10" x14ac:dyDescent="0.2">
      <c r="A1883" s="2">
        <v>1875</v>
      </c>
      <c r="B1883" s="14">
        <f>A1883*Assumptions!$B$12</f>
        <v>18.75</v>
      </c>
      <c r="C1883" s="15">
        <f>IF(A1883&lt;=Assumptions!$B$13,IF(OR(A1883=0,A1883=Assumptions!$B$13),0.5,1),0)*Assumptions!$B$12</f>
        <v>0.01</v>
      </c>
      <c r="D1883" s="12">
        <f>D1882*(1-Assumptions!$B$12*(Assumptions!$B$5+Assumptions!$B$6))</f>
        <v>0.56973474171680982</v>
      </c>
      <c r="E1883" s="12">
        <f>E1882+Assumptions!$B$12*(D1882*Assumptions!$B$5-E1882*Assumptions!$B$7)</f>
        <v>0.17822091745229718</v>
      </c>
      <c r="F1883" s="12">
        <f t="shared" si="87"/>
        <v>0.252044340830893</v>
      </c>
      <c r="G1883" s="12">
        <f>EXP(-Assumptions!$B$8*B1883)</f>
        <v>0.39160562667679899</v>
      </c>
      <c r="H1883" s="12">
        <f t="shared" si="88"/>
        <v>0.22311133056955551</v>
      </c>
      <c r="I1883" s="12">
        <f t="shared" si="89"/>
        <v>6.9792314065820898E-2</v>
      </c>
      <c r="J1883" s="12">
        <f>G1883*(D1883*Assumptions!$B$6+E1883*Assumptions!$B$7)</f>
        <v>5.7207290089866004E-3</v>
      </c>
    </row>
    <row r="1884" spans="1:10" x14ac:dyDescent="0.2">
      <c r="A1884" s="2">
        <v>1876</v>
      </c>
      <c r="B1884" s="14">
        <f>A1884*Assumptions!$B$12</f>
        <v>18.760000000000002</v>
      </c>
      <c r="C1884" s="15">
        <f>IF(A1884&lt;=Assumptions!$B$13,IF(OR(A1884=0,A1884=Assumptions!$B$13),0.5,1),0)*Assumptions!$B$12</f>
        <v>0.01</v>
      </c>
      <c r="D1884" s="12">
        <f>D1883*(1-Assumptions!$B$12*(Assumptions!$B$5+Assumptions!$B$6))</f>
        <v>0.56956382129429484</v>
      </c>
      <c r="E1884" s="12">
        <f>E1883+Assumptions!$B$12*(D1883*Assumptions!$B$5-E1883*Assumptions!$B$7)</f>
        <v>0.17824575394191439</v>
      </c>
      <c r="F1884" s="12">
        <f t="shared" si="87"/>
        <v>0.25219042476379078</v>
      </c>
      <c r="G1884" s="12">
        <f>EXP(-Assumptions!$B$8*B1884)</f>
        <v>0.39140987280600642</v>
      </c>
      <c r="H1884" s="12">
        <f t="shared" si="88"/>
        <v>0.22293290284770292</v>
      </c>
      <c r="I1884" s="12">
        <f t="shared" si="89"/>
        <v>6.9767147878615432E-2</v>
      </c>
      <c r="J1884" s="12">
        <f>G1884*(D1884*Assumptions!$B$6+E1884*Assumptions!$B$7)</f>
        <v>5.7176864224078002E-3</v>
      </c>
    </row>
    <row r="1885" spans="1:10" x14ac:dyDescent="0.2">
      <c r="A1885" s="2">
        <v>1877</v>
      </c>
      <c r="B1885" s="14">
        <f>A1885*Assumptions!$B$12</f>
        <v>18.77</v>
      </c>
      <c r="C1885" s="15">
        <f>IF(A1885&lt;=Assumptions!$B$13,IF(OR(A1885=0,A1885=Assumptions!$B$13),0.5,1),0)*Assumptions!$B$12</f>
        <v>0.01</v>
      </c>
      <c r="D1885" s="12">
        <f>D1884*(1-Assumptions!$B$12*(Assumptions!$B$5+Assumptions!$B$6))</f>
        <v>0.56939295214790653</v>
      </c>
      <c r="E1885" s="12">
        <f>E1884+Assumptions!$B$12*(D1884*Assumptions!$B$5-E1884*Assumptions!$B$7)</f>
        <v>0.17827054382920229</v>
      </c>
      <c r="F1885" s="12">
        <f t="shared" si="87"/>
        <v>0.25233650402289121</v>
      </c>
      <c r="G1885" s="12">
        <f>EXP(-Assumptions!$B$8*B1885)</f>
        <v>0.39121421678768425</v>
      </c>
      <c r="H1885" s="12">
        <f t="shared" si="88"/>
        <v>0.22275461781897063</v>
      </c>
      <c r="I1885" s="12">
        <f t="shared" si="89"/>
        <v>6.9741971180455914E-2</v>
      </c>
      <c r="J1885" s="12">
        <f>G1885*(D1885*Assumptions!$B$6+E1885*Assumptions!$B$7)</f>
        <v>5.7146447372125016E-3</v>
      </c>
    </row>
    <row r="1886" spans="1:10" x14ac:dyDescent="0.2">
      <c r="A1886" s="2">
        <v>1878</v>
      </c>
      <c r="B1886" s="14">
        <f>A1886*Assumptions!$B$12</f>
        <v>18.78</v>
      </c>
      <c r="C1886" s="15">
        <f>IF(A1886&lt;=Assumptions!$B$13,IF(OR(A1886=0,A1886=Assumptions!$B$13),0.5,1),0)*Assumptions!$B$12</f>
        <v>0.01</v>
      </c>
      <c r="D1886" s="12">
        <f>D1885*(1-Assumptions!$B$12*(Assumptions!$B$5+Assumptions!$B$6))</f>
        <v>0.5692221342622622</v>
      </c>
      <c r="E1886" s="12">
        <f>E1885+Assumptions!$B$12*(D1885*Assumptions!$B$5-E1885*Assumptions!$B$7)</f>
        <v>0.17829528714771728</v>
      </c>
      <c r="F1886" s="12">
        <f t="shared" si="87"/>
        <v>0.25248257859002055</v>
      </c>
      <c r="G1886" s="12">
        <f>EXP(-Assumptions!$B$8*B1886)</f>
        <v>0.39101865857291818</v>
      </c>
      <c r="H1886" s="12">
        <f t="shared" si="88"/>
        <v>0.2225764753692433</v>
      </c>
      <c r="I1886" s="12">
        <f t="shared" si="89"/>
        <v>6.9716784010373664E-2</v>
      </c>
      <c r="J1886" s="12">
        <f>G1886*(D1886*Assumptions!$B$6+E1886*Assumptions!$B$7)</f>
        <v>5.7116039542111164E-3</v>
      </c>
    </row>
    <row r="1887" spans="1:10" x14ac:dyDescent="0.2">
      <c r="A1887" s="2">
        <v>1879</v>
      </c>
      <c r="B1887" s="14">
        <f>A1887*Assumptions!$B$12</f>
        <v>18.79</v>
      </c>
      <c r="C1887" s="15">
        <f>IF(A1887&lt;=Assumptions!$B$13,IF(OR(A1887=0,A1887=Assumptions!$B$13),0.5,1),0)*Assumptions!$B$12</f>
        <v>0.01</v>
      </c>
      <c r="D1887" s="12">
        <f>D1886*(1-Assumptions!$B$12*(Assumptions!$B$5+Assumptions!$B$6))</f>
        <v>0.56905136762198349</v>
      </c>
      <c r="E1887" s="12">
        <f>E1886+Assumptions!$B$12*(D1886*Assumptions!$B$5-E1886*Assumptions!$B$7)</f>
        <v>0.17831998393099588</v>
      </c>
      <c r="F1887" s="12">
        <f t="shared" si="87"/>
        <v>0.2526286484470206</v>
      </c>
      <c r="G1887" s="12">
        <f>EXP(-Assumptions!$B$8*B1887)</f>
        <v>0.3908231981128189</v>
      </c>
      <c r="H1887" s="12">
        <f t="shared" si="88"/>
        <v>0.222398475384497</v>
      </c>
      <c r="I1887" s="12">
        <f t="shared" si="89"/>
        <v>6.9691586407338288E-2</v>
      </c>
      <c r="J1887" s="12">
        <f>G1887*(D1887*Assumptions!$B$6+E1887*Assumptions!$B$7)</f>
        <v>5.7085640742118842E-3</v>
      </c>
    </row>
    <row r="1888" spans="1:10" x14ac:dyDescent="0.2">
      <c r="A1888" s="2">
        <v>1880</v>
      </c>
      <c r="B1888" s="14">
        <f>A1888*Assumptions!$B$12</f>
        <v>18.8</v>
      </c>
      <c r="C1888" s="15">
        <f>IF(A1888&lt;=Assumptions!$B$13,IF(OR(A1888=0,A1888=Assumptions!$B$13),0.5,1),0)*Assumptions!$B$12</f>
        <v>0.01</v>
      </c>
      <c r="D1888" s="12">
        <f>D1887*(1-Assumptions!$B$12*(Assumptions!$B$5+Assumptions!$B$6))</f>
        <v>0.56888065221169692</v>
      </c>
      <c r="E1888" s="12">
        <f>E1887+Assumptions!$B$12*(D1887*Assumptions!$B$5-E1887*Assumptions!$B$7)</f>
        <v>0.17834463421255478</v>
      </c>
      <c r="F1888" s="12">
        <f t="shared" si="87"/>
        <v>0.25277471357574832</v>
      </c>
      <c r="G1888" s="12">
        <f>EXP(-Assumptions!$B$8*B1888)</f>
        <v>0.39062783535852108</v>
      </c>
      <c r="H1888" s="12">
        <f t="shared" si="88"/>
        <v>0.22222061775079885</v>
      </c>
      <c r="I1888" s="12">
        <f t="shared" si="89"/>
        <v>6.966637841025751E-2</v>
      </c>
      <c r="J1888" s="12">
        <f>G1888*(D1888*Assumptions!$B$6+E1888*Assumptions!$B$7)</f>
        <v>5.7055250980208652E-3</v>
      </c>
    </row>
    <row r="1889" spans="1:10" x14ac:dyDescent="0.2">
      <c r="A1889" s="2">
        <v>1881</v>
      </c>
      <c r="B1889" s="14">
        <f>A1889*Assumptions!$B$12</f>
        <v>18.809999999999999</v>
      </c>
      <c r="C1889" s="15">
        <f>IF(A1889&lt;=Assumptions!$B$13,IF(OR(A1889=0,A1889=Assumptions!$B$13),0.5,1),0)*Assumptions!$B$12</f>
        <v>0.01</v>
      </c>
      <c r="D1889" s="12">
        <f>D1888*(1-Assumptions!$B$12*(Assumptions!$B$5+Assumptions!$B$6))</f>
        <v>0.56870998801603345</v>
      </c>
      <c r="E1889" s="12">
        <f>E1888+Assumptions!$B$12*(D1888*Assumptions!$B$5-E1888*Assumptions!$B$7)</f>
        <v>0.17836923802589083</v>
      </c>
      <c r="F1889" s="12">
        <f t="shared" si="87"/>
        <v>0.25292077395807572</v>
      </c>
      <c r="G1889" s="12">
        <f>EXP(-Assumptions!$B$8*B1889)</f>
        <v>0.39043257026118422</v>
      </c>
      <c r="H1889" s="12">
        <f t="shared" si="88"/>
        <v>0.22204290235430721</v>
      </c>
      <c r="I1889" s="12">
        <f t="shared" si="89"/>
        <v>6.9641160057977519E-2</v>
      </c>
      <c r="J1889" s="12">
        <f>G1889*(D1889*Assumptions!$B$6+E1889*Assumptions!$B$7)</f>
        <v>5.7024870264419476E-3</v>
      </c>
    </row>
    <row r="1890" spans="1:10" x14ac:dyDescent="0.2">
      <c r="A1890" s="2">
        <v>1882</v>
      </c>
      <c r="B1890" s="14">
        <f>A1890*Assumptions!$B$12</f>
        <v>18.82</v>
      </c>
      <c r="C1890" s="15">
        <f>IF(A1890&lt;=Assumptions!$B$13,IF(OR(A1890=0,A1890=Assumptions!$B$13),0.5,1),0)*Assumptions!$B$12</f>
        <v>0.01</v>
      </c>
      <c r="D1890" s="12">
        <f>D1889*(1-Assumptions!$B$12*(Assumptions!$B$5+Assumptions!$B$6))</f>
        <v>0.5685393750196287</v>
      </c>
      <c r="E1890" s="12">
        <f>E1889+Assumptions!$B$12*(D1889*Assumptions!$B$5-E1889*Assumptions!$B$7)</f>
        <v>0.17839379540448108</v>
      </c>
      <c r="F1890" s="12">
        <f t="shared" si="87"/>
        <v>0.25306682957589022</v>
      </c>
      <c r="G1890" s="12">
        <f>EXP(-Assumptions!$B$8*B1890)</f>
        <v>0.39023740277199187</v>
      </c>
      <c r="H1890" s="12">
        <f t="shared" si="88"/>
        <v>0.22186532908127138</v>
      </c>
      <c r="I1890" s="12">
        <f t="shared" si="89"/>
        <v>6.9615931389282792E-2</v>
      </c>
      <c r="J1890" s="12">
        <f>G1890*(D1890*Assumptions!$B$6+E1890*Assumptions!$B$7)</f>
        <v>5.6994498602768538E-3</v>
      </c>
    </row>
    <row r="1891" spans="1:10" x14ac:dyDescent="0.2">
      <c r="A1891" s="2">
        <v>1883</v>
      </c>
      <c r="B1891" s="14">
        <f>A1891*Assumptions!$B$12</f>
        <v>18.830000000000002</v>
      </c>
      <c r="C1891" s="15">
        <f>IF(A1891&lt;=Assumptions!$B$13,IF(OR(A1891=0,A1891=Assumptions!$B$13),0.5,1),0)*Assumptions!$B$12</f>
        <v>0.01</v>
      </c>
      <c r="D1891" s="12">
        <f>D1890*(1-Assumptions!$B$12*(Assumptions!$B$5+Assumptions!$B$6))</f>
        <v>0.56836881320712285</v>
      </c>
      <c r="E1891" s="12">
        <f>E1890+Assumptions!$B$12*(D1890*Assumptions!$B$5-E1890*Assumptions!$B$7)</f>
        <v>0.17841830638178277</v>
      </c>
      <c r="F1891" s="12">
        <f t="shared" si="87"/>
        <v>0.25321288041109435</v>
      </c>
      <c r="G1891" s="12">
        <f>EXP(-Assumptions!$B$8*B1891)</f>
        <v>0.39004233284215228</v>
      </c>
      <c r="H1891" s="12">
        <f t="shared" si="88"/>
        <v>0.22168789781803169</v>
      </c>
      <c r="I1891" s="12">
        <f t="shared" si="89"/>
        <v>6.9590692442896424E-2</v>
      </c>
      <c r="J1891" s="12">
        <f>G1891*(D1891*Assumptions!$B$6+E1891*Assumptions!$B$7)</f>
        <v>5.6964136003251377E-3</v>
      </c>
    </row>
    <row r="1892" spans="1:10" x14ac:dyDescent="0.2">
      <c r="A1892" s="2">
        <v>1884</v>
      </c>
      <c r="B1892" s="14">
        <f>A1892*Assumptions!$B$12</f>
        <v>18.84</v>
      </c>
      <c r="C1892" s="15">
        <f>IF(A1892&lt;=Assumptions!$B$13,IF(OR(A1892=0,A1892=Assumptions!$B$13),0.5,1),0)*Assumptions!$B$12</f>
        <v>0.01</v>
      </c>
      <c r="D1892" s="12">
        <f>D1891*(1-Assumptions!$B$12*(Assumptions!$B$5+Assumptions!$B$6))</f>
        <v>0.56819830256316073</v>
      </c>
      <c r="E1892" s="12">
        <f>E1891+Assumptions!$B$12*(D1891*Assumptions!$B$5-E1891*Assumptions!$B$7)</f>
        <v>0.17844277099123329</v>
      </c>
      <c r="F1892" s="12">
        <f t="shared" si="87"/>
        <v>0.25335892644560598</v>
      </c>
      <c r="G1892" s="12">
        <f>EXP(-Assumptions!$B$8*B1892)</f>
        <v>0.38984736042289797</v>
      </c>
      <c r="H1892" s="12">
        <f t="shared" si="88"/>
        <v>0.22151060845101936</v>
      </c>
      <c r="I1892" s="12">
        <f t="shared" si="89"/>
        <v>6.9565443257479972E-2</v>
      </c>
      <c r="J1892" s="12">
        <f>G1892*(D1892*Assumptions!$B$6+E1892*Assumptions!$B$7)</f>
        <v>5.6933782473841919E-3</v>
      </c>
    </row>
    <row r="1893" spans="1:10" x14ac:dyDescent="0.2">
      <c r="A1893" s="2">
        <v>1885</v>
      </c>
      <c r="B1893" s="14">
        <f>A1893*Assumptions!$B$12</f>
        <v>18.850000000000001</v>
      </c>
      <c r="C1893" s="15">
        <f>IF(A1893&lt;=Assumptions!$B$13,IF(OR(A1893=0,A1893=Assumptions!$B$13),0.5,1),0)*Assumptions!$B$12</f>
        <v>0.01</v>
      </c>
      <c r="D1893" s="12">
        <f>D1892*(1-Assumptions!$B$12*(Assumptions!$B$5+Assumptions!$B$6))</f>
        <v>0.56802784307239185</v>
      </c>
      <c r="E1893" s="12">
        <f>E1892+Assumptions!$B$12*(D1892*Assumptions!$B$5-E1892*Assumptions!$B$7)</f>
        <v>0.1784671892662503</v>
      </c>
      <c r="F1893" s="12">
        <f t="shared" si="87"/>
        <v>0.25350496766135788</v>
      </c>
      <c r="G1893" s="12">
        <f>EXP(-Assumptions!$B$8*B1893)</f>
        <v>0.38965248546548575</v>
      </c>
      <c r="H1893" s="12">
        <f t="shared" si="88"/>
        <v>0.2213334608667564</v>
      </c>
      <c r="I1893" s="12">
        <f t="shared" si="89"/>
        <v>6.9540183871633687E-2</v>
      </c>
      <c r="J1893" s="12">
        <f>G1893*(D1893*Assumptions!$B$6+E1893*Assumptions!$B$7)</f>
        <v>5.6903438022492484E-3</v>
      </c>
    </row>
    <row r="1894" spans="1:10" x14ac:dyDescent="0.2">
      <c r="A1894" s="2">
        <v>1886</v>
      </c>
      <c r="B1894" s="14">
        <f>A1894*Assumptions!$B$12</f>
        <v>18.86</v>
      </c>
      <c r="C1894" s="15">
        <f>IF(A1894&lt;=Assumptions!$B$13,IF(OR(A1894=0,A1894=Assumptions!$B$13),0.5,1),0)*Assumptions!$B$12</f>
        <v>0.01</v>
      </c>
      <c r="D1894" s="12">
        <f>D1893*(1-Assumptions!$B$12*(Assumptions!$B$5+Assumptions!$B$6))</f>
        <v>0.56785743471947014</v>
      </c>
      <c r="E1894" s="12">
        <f>E1893+Assumptions!$B$12*(D1893*Assumptions!$B$5-E1893*Assumptions!$B$7)</f>
        <v>0.17849156124023166</v>
      </c>
      <c r="F1894" s="12">
        <f t="shared" si="87"/>
        <v>0.25365100404029817</v>
      </c>
      <c r="G1894" s="12">
        <f>EXP(-Assumptions!$B$8*B1894)</f>
        <v>0.38945770792119694</v>
      </c>
      <c r="H1894" s="12">
        <f t="shared" si="88"/>
        <v>0.22115645495185557</v>
      </c>
      <c r="I1894" s="12">
        <f t="shared" si="89"/>
        <v>6.9514914323896573E-2</v>
      </c>
      <c r="J1894" s="12">
        <f>G1894*(D1894*Assumptions!$B$6+E1894*Assumptions!$B$7)</f>
        <v>5.6873102657133846E-3</v>
      </c>
    </row>
    <row r="1895" spans="1:10" x14ac:dyDescent="0.2">
      <c r="A1895" s="2">
        <v>1887</v>
      </c>
      <c r="B1895" s="14">
        <f>A1895*Assumptions!$B$12</f>
        <v>18.87</v>
      </c>
      <c r="C1895" s="15">
        <f>IF(A1895&lt;=Assumptions!$B$13,IF(OR(A1895=0,A1895=Assumptions!$B$13),0.5,1),0)*Assumptions!$B$12</f>
        <v>0.01</v>
      </c>
      <c r="D1895" s="12">
        <f>D1894*(1-Assumptions!$B$12*(Assumptions!$B$5+Assumptions!$B$6))</f>
        <v>0.56768707748905434</v>
      </c>
      <c r="E1895" s="12">
        <f>E1894+Assumptions!$B$12*(D1894*Assumptions!$B$5-E1894*Assumptions!$B$7)</f>
        <v>0.17851588694655543</v>
      </c>
      <c r="F1895" s="12">
        <f t="shared" si="87"/>
        <v>0.25379703556439026</v>
      </c>
      <c r="G1895" s="12">
        <f>EXP(-Assumptions!$B$8*B1895)</f>
        <v>0.38926302774133714</v>
      </c>
      <c r="H1895" s="12">
        <f t="shared" si="88"/>
        <v>0.22097959059302036</v>
      </c>
      <c r="I1895" s="12">
        <f t="shared" si="89"/>
        <v>6.9489634652746407E-2</v>
      </c>
      <c r="J1895" s="12">
        <f>G1895*(D1895*Assumptions!$B$6+E1895*Assumptions!$B$7)</f>
        <v>5.684277638567525E-3</v>
      </c>
    </row>
    <row r="1896" spans="1:10" x14ac:dyDescent="0.2">
      <c r="A1896" s="2">
        <v>1888</v>
      </c>
      <c r="B1896" s="14">
        <f>A1896*Assumptions!$B$12</f>
        <v>18.88</v>
      </c>
      <c r="C1896" s="15">
        <f>IF(A1896&lt;=Assumptions!$B$13,IF(OR(A1896=0,A1896=Assumptions!$B$13),0.5,1),0)*Assumptions!$B$12</f>
        <v>0.01</v>
      </c>
      <c r="D1896" s="12">
        <f>D1895*(1-Assumptions!$B$12*(Assumptions!$B$5+Assumptions!$B$6))</f>
        <v>0.56751677136580769</v>
      </c>
      <c r="E1896" s="12">
        <f>E1895+Assumptions!$B$12*(D1895*Assumptions!$B$5-E1895*Assumptions!$B$7)</f>
        <v>0.17854016641857998</v>
      </c>
      <c r="F1896" s="12">
        <f t="shared" si="87"/>
        <v>0.25394306221561236</v>
      </c>
      <c r="G1896" s="12">
        <f>EXP(-Assumptions!$B$8*B1896)</f>
        <v>0.38906844487723635</v>
      </c>
      <c r="H1896" s="12">
        <f t="shared" si="88"/>
        <v>0.22080286767704491</v>
      </c>
      <c r="I1896" s="12">
        <f t="shared" si="89"/>
        <v>6.9464344896599889E-2</v>
      </c>
      <c r="J1896" s="12">
        <f>G1896*(D1896*Assumptions!$B$6+E1896*Assumptions!$B$7)</f>
        <v>5.6812459216004432E-3</v>
      </c>
    </row>
    <row r="1897" spans="1:10" x14ac:dyDescent="0.2">
      <c r="A1897" s="2">
        <v>1889</v>
      </c>
      <c r="B1897" s="14">
        <f>A1897*Assumptions!$B$12</f>
        <v>18.89</v>
      </c>
      <c r="C1897" s="15">
        <f>IF(A1897&lt;=Assumptions!$B$13,IF(OR(A1897=0,A1897=Assumptions!$B$13),0.5,1),0)*Assumptions!$B$12</f>
        <v>0.01</v>
      </c>
      <c r="D1897" s="12">
        <f>D1896*(1-Assumptions!$B$12*(Assumptions!$B$5+Assumptions!$B$6))</f>
        <v>0.56734651633439792</v>
      </c>
      <c r="E1897" s="12">
        <f>E1896+Assumptions!$B$12*(D1896*Assumptions!$B$5-E1896*Assumptions!$B$7)</f>
        <v>0.17856439968964385</v>
      </c>
      <c r="F1897" s="12">
        <f t="shared" si="87"/>
        <v>0.2540890839759582</v>
      </c>
      <c r="G1897" s="12">
        <f>EXP(-Assumptions!$B$8*B1897)</f>
        <v>0.3888739592802487</v>
      </c>
      <c r="H1897" s="12">
        <f t="shared" si="88"/>
        <v>0.22062628609081361</v>
      </c>
      <c r="I1897" s="12">
        <f t="shared" si="89"/>
        <v>6.9439045093812615E-2</v>
      </c>
      <c r="J1897" s="12">
        <f>G1897*(D1897*Assumptions!$B$6+E1897*Assumptions!$B$7)</f>
        <v>5.678215115598767E-3</v>
      </c>
    </row>
    <row r="1898" spans="1:10" x14ac:dyDescent="0.2">
      <c r="A1898" s="2">
        <v>1890</v>
      </c>
      <c r="B1898" s="14">
        <f>A1898*Assumptions!$B$12</f>
        <v>18.900000000000002</v>
      </c>
      <c r="C1898" s="15">
        <f>IF(A1898&lt;=Assumptions!$B$13,IF(OR(A1898=0,A1898=Assumptions!$B$13),0.5,1),0)*Assumptions!$B$12</f>
        <v>0.01</v>
      </c>
      <c r="D1898" s="12">
        <f>D1897*(1-Assumptions!$B$12*(Assumptions!$B$5+Assumptions!$B$6))</f>
        <v>0.56717631237949762</v>
      </c>
      <c r="E1898" s="12">
        <f>E1897+Assumptions!$B$12*(D1897*Assumptions!$B$5-E1897*Assumptions!$B$7)</f>
        <v>0.17858858679306591</v>
      </c>
      <c r="F1898" s="12">
        <f t="shared" si="87"/>
        <v>0.2542351008274365</v>
      </c>
      <c r="G1898" s="12">
        <f>EXP(-Assumptions!$B$8*B1898)</f>
        <v>0.38867957090175292</v>
      </c>
      <c r="H1898" s="12">
        <f t="shared" si="88"/>
        <v>0.22044984572130172</v>
      </c>
      <c r="I1898" s="12">
        <f t="shared" si="89"/>
        <v>6.9413735282679315E-2</v>
      </c>
      <c r="J1898" s="12">
        <f>G1898*(D1898*Assumptions!$B$6+E1898*Assumptions!$B$7)</f>
        <v>5.6751852213469834E-3</v>
      </c>
    </row>
    <row r="1899" spans="1:10" x14ac:dyDescent="0.2">
      <c r="A1899" s="2">
        <v>1891</v>
      </c>
      <c r="B1899" s="14">
        <f>A1899*Assumptions!$B$12</f>
        <v>18.91</v>
      </c>
      <c r="C1899" s="15">
        <f>IF(A1899&lt;=Assumptions!$B$13,IF(OR(A1899=0,A1899=Assumptions!$B$13),0.5,1),0)*Assumptions!$B$12</f>
        <v>0.01</v>
      </c>
      <c r="D1899" s="12">
        <f>D1898*(1-Assumptions!$B$12*(Assumptions!$B$5+Assumptions!$B$6))</f>
        <v>0.56700615948578381</v>
      </c>
      <c r="E1899" s="12">
        <f>E1898+Assumptions!$B$12*(D1898*Assumptions!$B$5-E1898*Assumptions!$B$7)</f>
        <v>0.17861272776214529</v>
      </c>
      <c r="F1899" s="12">
        <f t="shared" si="87"/>
        <v>0.25438111275207087</v>
      </c>
      <c r="G1899" s="12">
        <f>EXP(-Assumptions!$B$8*B1899)</f>
        <v>0.388485279693152</v>
      </c>
      <c r="H1899" s="12">
        <f t="shared" si="88"/>
        <v>0.22027354645557468</v>
      </c>
      <c r="I1899" s="12">
        <f t="shared" si="89"/>
        <v>6.9388415501433834E-2</v>
      </c>
      <c r="J1899" s="12">
        <f>G1899*(D1899*Assumptions!$B$6+E1899*Assumptions!$B$7)</f>
        <v>5.6721562396274388E-3</v>
      </c>
    </row>
    <row r="1900" spans="1:10" x14ac:dyDescent="0.2">
      <c r="A1900" s="2">
        <v>1892</v>
      </c>
      <c r="B1900" s="14">
        <f>A1900*Assumptions!$B$12</f>
        <v>18.920000000000002</v>
      </c>
      <c r="C1900" s="15">
        <f>IF(A1900&lt;=Assumptions!$B$13,IF(OR(A1900=0,A1900=Assumptions!$B$13),0.5,1),0)*Assumptions!$B$12</f>
        <v>0.01</v>
      </c>
      <c r="D1900" s="12">
        <f>D1899*(1-Assumptions!$B$12*(Assumptions!$B$5+Assumptions!$B$6))</f>
        <v>0.5668360576379381</v>
      </c>
      <c r="E1900" s="12">
        <f>E1899+Assumptions!$B$12*(D1899*Assumptions!$B$5-E1899*Assumptions!$B$7)</f>
        <v>0.17863682263016137</v>
      </c>
      <c r="F1900" s="12">
        <f t="shared" si="87"/>
        <v>0.25452711973190056</v>
      </c>
      <c r="G1900" s="12">
        <f>EXP(-Assumptions!$B$8*B1900)</f>
        <v>0.38829108560587289</v>
      </c>
      <c r="H1900" s="12">
        <f t="shared" si="88"/>
        <v>0.22009738818078811</v>
      </c>
      <c r="I1900" s="12">
        <f t="shared" si="89"/>
        <v>6.9363085788249124E-2</v>
      </c>
      <c r="J1900" s="12">
        <f>G1900*(D1900*Assumptions!$B$6+E1900*Assumptions!$B$7)</f>
        <v>5.6691281712203372E-3</v>
      </c>
    </row>
    <row r="1901" spans="1:10" x14ac:dyDescent="0.2">
      <c r="A1901" s="2">
        <v>1893</v>
      </c>
      <c r="B1901" s="14">
        <f>A1901*Assumptions!$B$12</f>
        <v>18.93</v>
      </c>
      <c r="C1901" s="15">
        <f>IF(A1901&lt;=Assumptions!$B$13,IF(OR(A1901=0,A1901=Assumptions!$B$13),0.5,1),0)*Assumptions!$B$12</f>
        <v>0.01</v>
      </c>
      <c r="D1901" s="12">
        <f>D1900*(1-Assumptions!$B$12*(Assumptions!$B$5+Assumptions!$B$6))</f>
        <v>0.56666600682064672</v>
      </c>
      <c r="E1901" s="12">
        <f>E1900+Assumptions!$B$12*(D1900*Assumptions!$B$5-E1900*Assumptions!$B$7)</f>
        <v>0.17866087143037387</v>
      </c>
      <c r="F1901" s="12">
        <f t="shared" si="87"/>
        <v>0.25467312174897938</v>
      </c>
      <c r="G1901" s="12">
        <f>EXP(-Assumptions!$B$8*B1901)</f>
        <v>0.38809698859136732</v>
      </c>
      <c r="H1901" s="12">
        <f t="shared" si="88"/>
        <v>0.21992137078418819</v>
      </c>
      <c r="I1901" s="12">
        <f t="shared" si="89"/>
        <v>6.9337746181237558E-2</v>
      </c>
      <c r="J1901" s="12">
        <f>G1901*(D1901*Assumptions!$B$6+E1901*Assumptions!$B$7)</f>
        <v>5.6661010169037594E-3</v>
      </c>
    </row>
    <row r="1902" spans="1:10" x14ac:dyDescent="0.2">
      <c r="A1902" s="2">
        <v>1894</v>
      </c>
      <c r="B1902" s="14">
        <f>A1902*Assumptions!$B$12</f>
        <v>18.940000000000001</v>
      </c>
      <c r="C1902" s="15">
        <f>IF(A1902&lt;=Assumptions!$B$13,IF(OR(A1902=0,A1902=Assumptions!$B$13),0.5,1),0)*Assumptions!$B$12</f>
        <v>0.01</v>
      </c>
      <c r="D1902" s="12">
        <f>D1901*(1-Assumptions!$B$12*(Assumptions!$B$5+Assumptions!$B$6))</f>
        <v>0.56649600701860059</v>
      </c>
      <c r="E1902" s="12">
        <f>E1901+Assumptions!$B$12*(D1901*Assumptions!$B$5-E1901*Assumptions!$B$7)</f>
        <v>0.17868487419602283</v>
      </c>
      <c r="F1902" s="12">
        <f t="shared" si="87"/>
        <v>0.25481911878537655</v>
      </c>
      <c r="G1902" s="12">
        <f>EXP(-Assumptions!$B$8*B1902)</f>
        <v>0.38790298860111089</v>
      </c>
      <c r="H1902" s="12">
        <f t="shared" si="88"/>
        <v>0.21974549415311107</v>
      </c>
      <c r="I1902" s="12">
        <f t="shared" si="89"/>
        <v>6.9312396718450783E-2</v>
      </c>
      <c r="J1902" s="12">
        <f>G1902*(D1902*Assumptions!$B$6+E1902*Assumptions!$B$7)</f>
        <v>5.6630747774536489E-3</v>
      </c>
    </row>
    <row r="1903" spans="1:10" x14ac:dyDescent="0.2">
      <c r="A1903" s="2">
        <v>1895</v>
      </c>
      <c r="B1903" s="14">
        <f>A1903*Assumptions!$B$12</f>
        <v>18.95</v>
      </c>
      <c r="C1903" s="15">
        <f>IF(A1903&lt;=Assumptions!$B$13,IF(OR(A1903=0,A1903=Assumptions!$B$13),0.5,1),0)*Assumptions!$B$12</f>
        <v>0.01</v>
      </c>
      <c r="D1903" s="12">
        <f>D1902*(1-Assumptions!$B$12*(Assumptions!$B$5+Assumptions!$B$6))</f>
        <v>0.56632605821649507</v>
      </c>
      <c r="E1903" s="12">
        <f>E1902+Assumptions!$B$12*(D1902*Assumptions!$B$5-E1902*Assumptions!$B$7)</f>
        <v>0.17870883096032855</v>
      </c>
      <c r="F1903" s="12">
        <f t="shared" si="87"/>
        <v>0.25496511082317641</v>
      </c>
      <c r="G1903" s="12">
        <f>EXP(-Assumptions!$B$8*B1903)</f>
        <v>0.38770908558660361</v>
      </c>
      <c r="H1903" s="12">
        <f t="shared" si="88"/>
        <v>0.21956975817498295</v>
      </c>
      <c r="I1903" s="12">
        <f t="shared" si="89"/>
        <v>6.9287037437879895E-2</v>
      </c>
      <c r="J1903" s="12">
        <f>G1903*(D1903*Assumptions!$B$6+E1903*Assumptions!$B$7)</f>
        <v>5.6600494536438242E-3</v>
      </c>
    </row>
    <row r="1904" spans="1:10" x14ac:dyDescent="0.2">
      <c r="A1904" s="2">
        <v>1896</v>
      </c>
      <c r="B1904" s="14">
        <f>A1904*Assumptions!$B$12</f>
        <v>18.96</v>
      </c>
      <c r="C1904" s="15">
        <f>IF(A1904&lt;=Assumptions!$B$13,IF(OR(A1904=0,A1904=Assumptions!$B$13),0.5,1),0)*Assumptions!$B$12</f>
        <v>0.01</v>
      </c>
      <c r="D1904" s="12">
        <f>D1903*(1-Assumptions!$B$12*(Assumptions!$B$5+Assumptions!$B$6))</f>
        <v>0.56615616039903016</v>
      </c>
      <c r="E1904" s="12">
        <f>E1903+Assumptions!$B$12*(D1903*Assumptions!$B$5-E1903*Assumptions!$B$7)</f>
        <v>0.17873274175649168</v>
      </c>
      <c r="F1904" s="12">
        <f t="shared" si="87"/>
        <v>0.25511109784447816</v>
      </c>
      <c r="G1904" s="12">
        <f>EXP(-Assumptions!$B$8*B1904)</f>
        <v>0.3875152794993697</v>
      </c>
      <c r="H1904" s="12">
        <f t="shared" si="88"/>
        <v>0.21939416273732015</v>
      </c>
      <c r="I1904" s="12">
        <f t="shared" si="89"/>
        <v>6.9261668377455538E-2</v>
      </c>
      <c r="J1904" s="12">
        <f>G1904*(D1904*Assumptions!$B$6+E1904*Assumptions!$B$7)</f>
        <v>5.6570250462459788E-3</v>
      </c>
    </row>
    <row r="1905" spans="1:10" x14ac:dyDescent="0.2">
      <c r="A1905" s="2">
        <v>1897</v>
      </c>
      <c r="B1905" s="14">
        <f>A1905*Assumptions!$B$12</f>
        <v>18.97</v>
      </c>
      <c r="C1905" s="15">
        <f>IF(A1905&lt;=Assumptions!$B$13,IF(OR(A1905=0,A1905=Assumptions!$B$13),0.5,1),0)*Assumptions!$B$12</f>
        <v>0.01</v>
      </c>
      <c r="D1905" s="12">
        <f>D1904*(1-Assumptions!$B$12*(Assumptions!$B$5+Assumptions!$B$6))</f>
        <v>0.56598631355091045</v>
      </c>
      <c r="E1905" s="12">
        <f>E1904+Assumptions!$B$12*(D1904*Assumptions!$B$5-E1904*Assumptions!$B$7)</f>
        <v>0.17875660661769324</v>
      </c>
      <c r="F1905" s="12">
        <f t="shared" si="87"/>
        <v>0.25525707983139634</v>
      </c>
      <c r="G1905" s="12">
        <f>EXP(-Assumptions!$B$8*B1905)</f>
        <v>0.38732157029095776</v>
      </c>
      <c r="H1905" s="12">
        <f t="shared" si="88"/>
        <v>0.21921870772772903</v>
      </c>
      <c r="I1905" s="12">
        <f t="shared" si="89"/>
        <v>6.923628957504796E-2</v>
      </c>
      <c r="J1905" s="12">
        <f>G1905*(D1905*Assumptions!$B$6+E1905*Assumptions!$B$7)</f>
        <v>5.6540015560296881E-3</v>
      </c>
    </row>
    <row r="1906" spans="1:10" x14ac:dyDescent="0.2">
      <c r="A1906" s="2">
        <v>1898</v>
      </c>
      <c r="B1906" s="14">
        <f>A1906*Assumptions!$B$12</f>
        <v>18.98</v>
      </c>
      <c r="C1906" s="15">
        <f>IF(A1906&lt;=Assumptions!$B$13,IF(OR(A1906=0,A1906=Assumptions!$B$13),0.5,1),0)*Assumptions!$B$12</f>
        <v>0.01</v>
      </c>
      <c r="D1906" s="12">
        <f>D1905*(1-Assumptions!$B$12*(Assumptions!$B$5+Assumptions!$B$6))</f>
        <v>0.56581651765684515</v>
      </c>
      <c r="E1906" s="12">
        <f>E1905+Assumptions!$B$12*(D1905*Assumptions!$B$5-E1905*Assumptions!$B$7)</f>
        <v>0.17878042557709459</v>
      </c>
      <c r="F1906" s="12">
        <f t="shared" si="87"/>
        <v>0.25540305676606023</v>
      </c>
      <c r="G1906" s="12">
        <f>EXP(-Assumptions!$B$8*B1906)</f>
        <v>0.38712795791294036</v>
      </c>
      <c r="H1906" s="12">
        <f t="shared" si="88"/>
        <v>0.21904339303390563</v>
      </c>
      <c r="I1906" s="12">
        <f t="shared" si="89"/>
        <v>6.9210901068467043E-2</v>
      </c>
      <c r="J1906" s="12">
        <f>G1906*(D1906*Assumptions!$B$6+E1906*Assumptions!$B$7)</f>
        <v>5.6509789837624076E-3</v>
      </c>
    </row>
    <row r="1907" spans="1:10" x14ac:dyDescent="0.2">
      <c r="A1907" s="2">
        <v>1899</v>
      </c>
      <c r="B1907" s="14">
        <f>A1907*Assumptions!$B$12</f>
        <v>18.990000000000002</v>
      </c>
      <c r="C1907" s="15">
        <f>IF(A1907&lt;=Assumptions!$B$13,IF(OR(A1907=0,A1907=Assumptions!$B$13),0.5,1),0)*Assumptions!$B$12</f>
        <v>0.01</v>
      </c>
      <c r="D1907" s="12">
        <f>D1906*(1-Assumptions!$B$12*(Assumptions!$B$5+Assumptions!$B$6))</f>
        <v>0.56564677270154817</v>
      </c>
      <c r="E1907" s="12">
        <f>E1906+Assumptions!$B$12*(D1906*Assumptions!$B$5-E1906*Assumptions!$B$7)</f>
        <v>0.17880419866783742</v>
      </c>
      <c r="F1907" s="12">
        <f t="shared" si="87"/>
        <v>0.25554902863061441</v>
      </c>
      <c r="G1907" s="12">
        <f>EXP(-Assumptions!$B$8*B1907)</f>
        <v>0.38693444231691443</v>
      </c>
      <c r="H1907" s="12">
        <f t="shared" si="88"/>
        <v>0.218868218543636</v>
      </c>
      <c r="I1907" s="12">
        <f t="shared" si="89"/>
        <v>6.918550289546245E-2</v>
      </c>
      <c r="J1907" s="12">
        <f>G1907*(D1907*Assumptions!$B$6+E1907*Assumptions!$B$7)</f>
        <v>5.6479573302094825E-3</v>
      </c>
    </row>
    <row r="1908" spans="1:10" x14ac:dyDescent="0.2">
      <c r="A1908" s="2">
        <v>1900</v>
      </c>
      <c r="B1908" s="14">
        <f>A1908*Assumptions!$B$12</f>
        <v>19</v>
      </c>
      <c r="C1908" s="15">
        <f>IF(A1908&lt;=Assumptions!$B$13,IF(OR(A1908=0,A1908=Assumptions!$B$13),0.5,1),0)*Assumptions!$B$12</f>
        <v>0.01</v>
      </c>
      <c r="D1908" s="12">
        <f>D1907*(1-Assumptions!$B$12*(Assumptions!$B$5+Assumptions!$B$6))</f>
        <v>0.56547707866973773</v>
      </c>
      <c r="E1908" s="12">
        <f>E1907+Assumptions!$B$12*(D1907*Assumptions!$B$5-E1907*Assumptions!$B$7)</f>
        <v>0.17882792592304381</v>
      </c>
      <c r="F1908" s="12">
        <f t="shared" si="87"/>
        <v>0.25569499540721846</v>
      </c>
      <c r="G1908" s="12">
        <f>EXP(-Assumptions!$B$8*B1908)</f>
        <v>0.38674102345450118</v>
      </c>
      <c r="H1908" s="12">
        <f t="shared" si="88"/>
        <v>0.21869318414479585</v>
      </c>
      <c r="I1908" s="12">
        <f t="shared" si="89"/>
        <v>6.9160095093723686E-2</v>
      </c>
      <c r="J1908" s="12">
        <f>G1908*(D1908*Assumptions!$B$6+E1908*Assumptions!$B$7)</f>
        <v>5.6449365961341426E-3</v>
      </c>
    </row>
    <row r="1909" spans="1:10" x14ac:dyDescent="0.2">
      <c r="A1909" s="2">
        <v>1901</v>
      </c>
      <c r="B1909" s="14">
        <f>A1909*Assumptions!$B$12</f>
        <v>19.010000000000002</v>
      </c>
      <c r="C1909" s="15">
        <f>IF(A1909&lt;=Assumptions!$B$13,IF(OR(A1909=0,A1909=Assumptions!$B$13),0.5,1),0)*Assumptions!$B$12</f>
        <v>0.01</v>
      </c>
      <c r="D1909" s="12">
        <f>D1908*(1-Assumptions!$B$12*(Assumptions!$B$5+Assumptions!$B$6))</f>
        <v>0.56530743554613683</v>
      </c>
      <c r="E1909" s="12">
        <f>E1908+Assumptions!$B$12*(D1908*Assumptions!$B$5-E1908*Assumptions!$B$7)</f>
        <v>0.17885160737581624</v>
      </c>
      <c r="F1909" s="12">
        <f t="shared" si="87"/>
        <v>0.25584095707804694</v>
      </c>
      <c r="G1909" s="12">
        <f>EXP(-Assumptions!$B$8*B1909)</f>
        <v>0.38654770127734572</v>
      </c>
      <c r="H1909" s="12">
        <f t="shared" si="88"/>
        <v>0.21851828972535048</v>
      </c>
      <c r="I1909" s="12">
        <f t="shared" si="89"/>
        <v>6.9134677700880137E-2</v>
      </c>
      <c r="J1909" s="12">
        <f>G1909*(D1909*Assumptions!$B$6+E1909*Assumptions!$B$7)</f>
        <v>5.6419167822975127E-3</v>
      </c>
    </row>
    <row r="1910" spans="1:10" x14ac:dyDescent="0.2">
      <c r="A1910" s="2">
        <v>1902</v>
      </c>
      <c r="B1910" s="14">
        <f>A1910*Assumptions!$B$12</f>
        <v>19.02</v>
      </c>
      <c r="C1910" s="15">
        <f>IF(A1910&lt;=Assumptions!$B$13,IF(OR(A1910=0,A1910=Assumptions!$B$13),0.5,1),0)*Assumptions!$B$12</f>
        <v>0.01</v>
      </c>
      <c r="D1910" s="12">
        <f>D1909*(1-Assumptions!$B$12*(Assumptions!$B$5+Assumptions!$B$6))</f>
        <v>0.56513784331547301</v>
      </c>
      <c r="E1910" s="12">
        <f>E1909+Assumptions!$B$12*(D1909*Assumptions!$B$5-E1909*Assumptions!$B$7)</f>
        <v>0.17887524305923755</v>
      </c>
      <c r="F1910" s="12">
        <f t="shared" si="87"/>
        <v>0.25598691362528947</v>
      </c>
      <c r="G1910" s="12">
        <f>EXP(-Assumptions!$B$8*B1910)</f>
        <v>0.38635447573711768</v>
      </c>
      <c r="H1910" s="12">
        <f t="shared" si="88"/>
        <v>0.21834353517335492</v>
      </c>
      <c r="I1910" s="12">
        <f t="shared" si="89"/>
        <v>6.9109250754501222E-2</v>
      </c>
      <c r="J1910" s="12">
        <f>G1910*(D1910*Assumptions!$B$6+E1910*Assumptions!$B$7)</f>
        <v>5.6388978894586113E-3</v>
      </c>
    </row>
    <row r="1911" spans="1:10" x14ac:dyDescent="0.2">
      <c r="A1911" s="2">
        <v>1903</v>
      </c>
      <c r="B1911" s="14">
        <f>A1911*Assumptions!$B$12</f>
        <v>19.03</v>
      </c>
      <c r="C1911" s="15">
        <f>IF(A1911&lt;=Assumptions!$B$13,IF(OR(A1911=0,A1911=Assumptions!$B$13),0.5,1),0)*Assumptions!$B$12</f>
        <v>0.01</v>
      </c>
      <c r="D1911" s="12">
        <f>D1910*(1-Assumptions!$B$12*(Assumptions!$B$5+Assumptions!$B$6))</f>
        <v>0.56496830196247838</v>
      </c>
      <c r="E1911" s="12">
        <f>E1910+Assumptions!$B$12*(D1910*Assumptions!$B$5-E1910*Assumptions!$B$7)</f>
        <v>0.17889883300637102</v>
      </c>
      <c r="F1911" s="12">
        <f t="shared" si="87"/>
        <v>0.25613286503115062</v>
      </c>
      <c r="G1911" s="12">
        <f>EXP(-Assumptions!$B$8*B1911)</f>
        <v>0.38616134678551051</v>
      </c>
      <c r="H1911" s="12">
        <f t="shared" si="88"/>
        <v>0.21816892037695362</v>
      </c>
      <c r="I1911" s="12">
        <f t="shared" si="89"/>
        <v>6.9083814292096368E-2</v>
      </c>
      <c r="J1911" s="12">
        <f>G1911*(D1911*Assumptions!$B$6+E1911*Assumptions!$B$7)</f>
        <v>5.6358799183743556E-3</v>
      </c>
    </row>
    <row r="1912" spans="1:10" x14ac:dyDescent="0.2">
      <c r="A1912" s="2">
        <v>1904</v>
      </c>
      <c r="B1912" s="14">
        <f>A1912*Assumptions!$B$12</f>
        <v>19.04</v>
      </c>
      <c r="C1912" s="15">
        <f>IF(A1912&lt;=Assumptions!$B$13,IF(OR(A1912=0,A1912=Assumptions!$B$13),0.5,1),0)*Assumptions!$B$12</f>
        <v>0.01</v>
      </c>
      <c r="D1912" s="12">
        <f>D1911*(1-Assumptions!$B$12*(Assumptions!$B$5+Assumptions!$B$6))</f>
        <v>0.56479881147188971</v>
      </c>
      <c r="E1912" s="12">
        <f>E1911+Assumptions!$B$12*(D1911*Assumptions!$B$5-E1911*Assumptions!$B$7)</f>
        <v>0.17892237725026033</v>
      </c>
      <c r="F1912" s="12">
        <f t="shared" si="87"/>
        <v>0.25627881127784996</v>
      </c>
      <c r="G1912" s="12">
        <f>EXP(-Assumptions!$B$8*B1912)</f>
        <v>0.38596831437424217</v>
      </c>
      <c r="H1912" s="12">
        <f t="shared" si="88"/>
        <v>0.21799444522438066</v>
      </c>
      <c r="I1912" s="12">
        <f t="shared" si="89"/>
        <v>6.9058368351115243E-2</v>
      </c>
      <c r="J1912" s="12">
        <f>G1912*(D1912*Assumptions!$B$6+E1912*Assumptions!$B$7)</f>
        <v>5.6328628697995689E-3</v>
      </c>
    </row>
    <row r="1913" spans="1:10" x14ac:dyDescent="0.2">
      <c r="A1913" s="2">
        <v>1905</v>
      </c>
      <c r="B1913" s="14">
        <f>A1913*Assumptions!$B$12</f>
        <v>19.05</v>
      </c>
      <c r="C1913" s="15">
        <f>IF(A1913&lt;=Assumptions!$B$13,IF(OR(A1913=0,A1913=Assumptions!$B$13),0.5,1),0)*Assumptions!$B$12</f>
        <v>0.01</v>
      </c>
      <c r="D1913" s="12">
        <f>D1912*(1-Assumptions!$B$12*(Assumptions!$B$5+Assumptions!$B$6))</f>
        <v>0.56462937182844819</v>
      </c>
      <c r="E1913" s="12">
        <f>E1912+Assumptions!$B$12*(D1912*Assumptions!$B$5-E1912*Assumptions!$B$7)</f>
        <v>0.17894587582392957</v>
      </c>
      <c r="F1913" s="12">
        <f t="shared" si="87"/>
        <v>0.25642475234762224</v>
      </c>
      <c r="G1913" s="12">
        <f>EXP(-Assumptions!$B$8*B1913)</f>
        <v>0.38577537845505427</v>
      </c>
      <c r="H1913" s="12">
        <f t="shared" si="88"/>
        <v>0.21782010960395917</v>
      </c>
      <c r="I1913" s="12">
        <f t="shared" si="89"/>
        <v>6.9032912968947577E-2</v>
      </c>
      <c r="J1913" s="12">
        <f>G1913*(D1913*Assumptions!$B$6+E1913*Assumptions!$B$7)</f>
        <v>5.6298467444869703E-3</v>
      </c>
    </row>
    <row r="1914" spans="1:10" x14ac:dyDescent="0.2">
      <c r="A1914" s="2">
        <v>1906</v>
      </c>
      <c r="B1914" s="14">
        <f>A1914*Assumptions!$B$12</f>
        <v>19.059999999999999</v>
      </c>
      <c r="C1914" s="15">
        <f>IF(A1914&lt;=Assumptions!$B$13,IF(OR(A1914=0,A1914=Assumptions!$B$13),0.5,1),0)*Assumptions!$B$12</f>
        <v>0.01</v>
      </c>
      <c r="D1914" s="12">
        <f>D1913*(1-Assumptions!$B$12*(Assumptions!$B$5+Assumptions!$B$6))</f>
        <v>0.5644599830168997</v>
      </c>
      <c r="E1914" s="12">
        <f>E1913+Assumptions!$B$12*(D1913*Assumptions!$B$5-E1913*Assumptions!$B$7)</f>
        <v>0.17896932876038329</v>
      </c>
      <c r="F1914" s="12">
        <f t="shared" si="87"/>
        <v>0.256570688222717</v>
      </c>
      <c r="G1914" s="12">
        <f>EXP(-Assumptions!$B$8*B1914)</f>
        <v>0.38558253897971312</v>
      </c>
      <c r="H1914" s="12">
        <f t="shared" si="88"/>
        <v>0.21764591340410194</v>
      </c>
      <c r="I1914" s="12">
        <f t="shared" si="89"/>
        <v>6.9007448182923578E-2</v>
      </c>
      <c r="J1914" s="12">
        <f>G1914*(D1914*Assumptions!$B$6+E1914*Assumptions!$B$7)</f>
        <v>5.626831543187198E-3</v>
      </c>
    </row>
    <row r="1915" spans="1:10" x14ac:dyDescent="0.2">
      <c r="A1915" s="2">
        <v>1907</v>
      </c>
      <c r="B1915" s="14">
        <f>A1915*Assumptions!$B$12</f>
        <v>19.07</v>
      </c>
      <c r="C1915" s="15">
        <f>IF(A1915&lt;=Assumptions!$B$13,IF(OR(A1915=0,A1915=Assumptions!$B$13),0.5,1),0)*Assumptions!$B$12</f>
        <v>0.01</v>
      </c>
      <c r="D1915" s="12">
        <f>D1914*(1-Assumptions!$B$12*(Assumptions!$B$5+Assumptions!$B$6))</f>
        <v>0.56429064502199466</v>
      </c>
      <c r="E1915" s="12">
        <f>E1914+Assumptions!$B$12*(D1914*Assumptions!$B$5-E1914*Assumptions!$B$7)</f>
        <v>0.17899273609260649</v>
      </c>
      <c r="F1915" s="12">
        <f t="shared" si="87"/>
        <v>0.25671661888539887</v>
      </c>
      <c r="G1915" s="12">
        <f>EXP(-Assumptions!$B$8*B1915)</f>
        <v>0.38538979590000866</v>
      </c>
      <c r="H1915" s="12">
        <f t="shared" si="88"/>
        <v>0.21747185651331077</v>
      </c>
      <c r="I1915" s="12">
        <f t="shared" si="89"/>
        <v>6.8981974030313725E-2</v>
      </c>
      <c r="J1915" s="12">
        <f>G1915*(D1915*Assumptions!$B$6+E1915*Assumptions!$B$7)</f>
        <v>5.6238172666487948E-3</v>
      </c>
    </row>
    <row r="1916" spans="1:10" x14ac:dyDescent="0.2">
      <c r="A1916" s="2">
        <v>1908</v>
      </c>
      <c r="B1916" s="14">
        <f>A1916*Assumptions!$B$12</f>
        <v>19.080000000000002</v>
      </c>
      <c r="C1916" s="15">
        <f>IF(A1916&lt;=Assumptions!$B$13,IF(OR(A1916=0,A1916=Assumptions!$B$13),0.5,1),0)*Assumptions!$B$12</f>
        <v>0.01</v>
      </c>
      <c r="D1916" s="12">
        <f>D1915*(1-Assumptions!$B$12*(Assumptions!$B$5+Assumptions!$B$6))</f>
        <v>0.56412135782848805</v>
      </c>
      <c r="E1916" s="12">
        <f>E1915+Assumptions!$B$12*(D1915*Assumptions!$B$5-E1915*Assumptions!$B$7)</f>
        <v>0.17901609785356459</v>
      </c>
      <c r="F1916" s="12">
        <f t="shared" si="87"/>
        <v>0.25686254431794736</v>
      </c>
      <c r="G1916" s="12">
        <f>EXP(-Assumptions!$B$8*B1916)</f>
        <v>0.3851971491677551</v>
      </c>
      <c r="H1916" s="12">
        <f t="shared" si="88"/>
        <v>0.21729793882017667</v>
      </c>
      <c r="I1916" s="12">
        <f t="shared" si="89"/>
        <v>6.8956490548328961E-2</v>
      </c>
      <c r="J1916" s="12">
        <f>G1916*(D1916*Assumptions!$B$6+E1916*Assumptions!$B$7)</f>
        <v>5.6208039156182147E-3</v>
      </c>
    </row>
    <row r="1917" spans="1:10" x14ac:dyDescent="0.2">
      <c r="A1917" s="2">
        <v>1909</v>
      </c>
      <c r="B1917" s="14">
        <f>A1917*Assumptions!$B$12</f>
        <v>19.09</v>
      </c>
      <c r="C1917" s="15">
        <f>IF(A1917&lt;=Assumptions!$B$13,IF(OR(A1917=0,A1917=Assumptions!$B$13),0.5,1),0)*Assumptions!$B$12</f>
        <v>0.01</v>
      </c>
      <c r="D1917" s="12">
        <f>D1916*(1-Assumptions!$B$12*(Assumptions!$B$5+Assumptions!$B$6))</f>
        <v>0.56395212142113949</v>
      </c>
      <c r="E1917" s="12">
        <f>E1916+Assumptions!$B$12*(D1916*Assumptions!$B$5-E1916*Assumptions!$B$7)</f>
        <v>0.1790394140762035</v>
      </c>
      <c r="F1917" s="12">
        <f t="shared" si="87"/>
        <v>0.25700846450265702</v>
      </c>
      <c r="G1917" s="12">
        <f>EXP(-Assumptions!$B$8*B1917)</f>
        <v>0.38500459873479104</v>
      </c>
      <c r="H1917" s="12">
        <f t="shared" si="88"/>
        <v>0.21712416021337996</v>
      </c>
      <c r="I1917" s="12">
        <f t="shared" si="89"/>
        <v>6.8930997774120831E-2</v>
      </c>
      <c r="J1917" s="12">
        <f>G1917*(D1917*Assumptions!$B$6+E1917*Assumptions!$B$7)</f>
        <v>5.6177914908398414E-3</v>
      </c>
    </row>
    <row r="1918" spans="1:10" x14ac:dyDescent="0.2">
      <c r="A1918" s="2">
        <v>1910</v>
      </c>
      <c r="B1918" s="14">
        <f>A1918*Assumptions!$B$12</f>
        <v>19.100000000000001</v>
      </c>
      <c r="C1918" s="15">
        <f>IF(A1918&lt;=Assumptions!$B$13,IF(OR(A1918=0,A1918=Assumptions!$B$13),0.5,1),0)*Assumptions!$B$12</f>
        <v>0.01</v>
      </c>
      <c r="D1918" s="12">
        <f>D1917*(1-Assumptions!$B$12*(Assumptions!$B$5+Assumptions!$B$6))</f>
        <v>0.56378293578471317</v>
      </c>
      <c r="E1918" s="12">
        <f>E1917+Assumptions!$B$12*(D1917*Assumptions!$B$5-E1917*Assumptions!$B$7)</f>
        <v>0.17906268479344961</v>
      </c>
      <c r="F1918" s="12">
        <f t="shared" si="87"/>
        <v>0.25715437942183722</v>
      </c>
      <c r="G1918" s="12">
        <f>EXP(-Assumptions!$B$8*B1918)</f>
        <v>0.38481214455297852</v>
      </c>
      <c r="H1918" s="12">
        <f t="shared" si="88"/>
        <v>0.21695052058168965</v>
      </c>
      <c r="I1918" s="12">
        <f t="shared" si="89"/>
        <v>6.8905495744781359E-2</v>
      </c>
      <c r="J1918" s="12">
        <f>G1918*(D1918*Assumptions!$B$6+E1918*Assumptions!$B$7)</f>
        <v>5.6147799930559641E-3</v>
      </c>
    </row>
    <row r="1919" spans="1:10" x14ac:dyDescent="0.2">
      <c r="A1919" s="2">
        <v>1911</v>
      </c>
      <c r="B1919" s="14">
        <f>A1919*Assumptions!$B$12</f>
        <v>19.11</v>
      </c>
      <c r="C1919" s="15">
        <f>IF(A1919&lt;=Assumptions!$B$13,IF(OR(A1919=0,A1919=Assumptions!$B$13),0.5,1),0)*Assumptions!$B$12</f>
        <v>0.01</v>
      </c>
      <c r="D1919" s="12">
        <f>D1918*(1-Assumptions!$B$12*(Assumptions!$B$5+Assumptions!$B$6))</f>
        <v>0.56361380090397772</v>
      </c>
      <c r="E1919" s="12">
        <f>E1918+Assumptions!$B$12*(D1918*Assumptions!$B$5-E1918*Assumptions!$B$7)</f>
        <v>0.17908591003820984</v>
      </c>
      <c r="F1919" s="12">
        <f t="shared" si="87"/>
        <v>0.25730028905781244</v>
      </c>
      <c r="G1919" s="12">
        <f>EXP(-Assumptions!$B$8*B1919)</f>
        <v>0.3846197865742042</v>
      </c>
      <c r="H1919" s="12">
        <f t="shared" si="88"/>
        <v>0.21677701981396394</v>
      </c>
      <c r="I1919" s="12">
        <f t="shared" si="89"/>
        <v>6.8879984497343408E-2</v>
      </c>
      <c r="J1919" s="12">
        <f>G1919*(D1919*Assumptions!$B$6+E1919*Assumptions!$B$7)</f>
        <v>5.6117694230068092E-3</v>
      </c>
    </row>
    <row r="1920" spans="1:10" x14ac:dyDescent="0.2">
      <c r="A1920" s="2">
        <v>1912</v>
      </c>
      <c r="B1920" s="14">
        <f>A1920*Assumptions!$B$12</f>
        <v>19.12</v>
      </c>
      <c r="C1920" s="15">
        <f>IF(A1920&lt;=Assumptions!$B$13,IF(OR(A1920=0,A1920=Assumptions!$B$13),0.5,1),0)*Assumptions!$B$12</f>
        <v>0.01</v>
      </c>
      <c r="D1920" s="12">
        <f>D1919*(1-Assumptions!$B$12*(Assumptions!$B$5+Assumptions!$B$6))</f>
        <v>0.56344471676370655</v>
      </c>
      <c r="E1920" s="12">
        <f>E1919+Assumptions!$B$12*(D1919*Assumptions!$B$5-E1919*Assumptions!$B$7)</f>
        <v>0.17910908984337154</v>
      </c>
      <c r="F1920" s="12">
        <f t="shared" si="87"/>
        <v>0.25744619339292191</v>
      </c>
      <c r="G1920" s="12">
        <f>EXP(-Assumptions!$B$8*B1920)</f>
        <v>0.3844275247503785</v>
      </c>
      <c r="H1920" s="12">
        <f t="shared" si="88"/>
        <v>0.21660365779914981</v>
      </c>
      <c r="I1920" s="12">
        <f t="shared" si="89"/>
        <v>6.8854464068780485E-2</v>
      </c>
      <c r="J1920" s="12">
        <f>G1920*(D1920*Assumptions!$B$6+E1920*Assumptions!$B$7)</f>
        <v>5.6087597814305223E-3</v>
      </c>
    </row>
    <row r="1921" spans="1:10" x14ac:dyDescent="0.2">
      <c r="A1921" s="2">
        <v>1913</v>
      </c>
      <c r="B1921" s="14">
        <f>A1921*Assumptions!$B$12</f>
        <v>19.13</v>
      </c>
      <c r="C1921" s="15">
        <f>IF(A1921&lt;=Assumptions!$B$13,IF(OR(A1921=0,A1921=Assumptions!$B$13),0.5,1),0)*Assumptions!$B$12</f>
        <v>0.01</v>
      </c>
      <c r="D1921" s="12">
        <f>D1920*(1-Assumptions!$B$12*(Assumptions!$B$5+Assumptions!$B$6))</f>
        <v>0.5632756833486775</v>
      </c>
      <c r="E1921" s="12">
        <f>E1920+Assumptions!$B$12*(D1920*Assumptions!$B$5-E1920*Assumptions!$B$7)</f>
        <v>0.17913222424180258</v>
      </c>
      <c r="F1921" s="12">
        <f t="shared" si="87"/>
        <v>0.25759209240951991</v>
      </c>
      <c r="G1921" s="12">
        <f>EXP(-Assumptions!$B$8*B1921)</f>
        <v>0.38423535903343603</v>
      </c>
      <c r="H1921" s="12">
        <f t="shared" si="88"/>
        <v>0.21643043442628312</v>
      </c>
      <c r="I1921" s="12">
        <f t="shared" si="89"/>
        <v>6.8828934496006994E-2</v>
      </c>
      <c r="J1921" s="12">
        <f>G1921*(D1921*Assumptions!$B$6+E1921*Assumptions!$B$7)</f>
        <v>5.6057510690631814E-3</v>
      </c>
    </row>
    <row r="1922" spans="1:10" x14ac:dyDescent="0.2">
      <c r="A1922" s="2">
        <v>1914</v>
      </c>
      <c r="B1922" s="14">
        <f>A1922*Assumptions!$B$12</f>
        <v>19.14</v>
      </c>
      <c r="C1922" s="15">
        <f>IF(A1922&lt;=Assumptions!$B$13,IF(OR(A1922=0,A1922=Assumptions!$B$13),0.5,1),0)*Assumptions!$B$12</f>
        <v>0.01</v>
      </c>
      <c r="D1922" s="12">
        <f>D1921*(1-Assumptions!$B$12*(Assumptions!$B$5+Assumptions!$B$6))</f>
        <v>0.56310670064367296</v>
      </c>
      <c r="E1922" s="12">
        <f>E1921+Assumptions!$B$12*(D1921*Assumptions!$B$5-E1921*Assumptions!$B$7)</f>
        <v>0.17915531326635142</v>
      </c>
      <c r="F1922" s="12">
        <f t="shared" si="87"/>
        <v>0.25773798608997561</v>
      </c>
      <c r="G1922" s="12">
        <f>EXP(-Assumptions!$B$8*B1922)</f>
        <v>0.38404328937533522</v>
      </c>
      <c r="H1922" s="12">
        <f t="shared" si="88"/>
        <v>0.21625734958448836</v>
      </c>
      <c r="I1922" s="12">
        <f t="shared" si="89"/>
        <v>6.8803395815878229E-2</v>
      </c>
      <c r="J1922" s="12">
        <f>G1922*(D1922*Assumptions!$B$6+E1922*Assumptions!$B$7)</f>
        <v>5.6027432866387955E-3</v>
      </c>
    </row>
    <row r="1923" spans="1:10" x14ac:dyDescent="0.2">
      <c r="A1923" s="2">
        <v>1915</v>
      </c>
      <c r="B1923" s="14">
        <f>A1923*Assumptions!$B$12</f>
        <v>19.150000000000002</v>
      </c>
      <c r="C1923" s="15">
        <f>IF(A1923&lt;=Assumptions!$B$13,IF(OR(A1923=0,A1923=Assumptions!$B$13),0.5,1),0)*Assumptions!$B$12</f>
        <v>0.01</v>
      </c>
      <c r="D1923" s="12">
        <f>D1922*(1-Assumptions!$B$12*(Assumptions!$B$5+Assumptions!$B$6))</f>
        <v>0.56293776863347988</v>
      </c>
      <c r="E1923" s="12">
        <f>E1922+Assumptions!$B$12*(D1922*Assumptions!$B$5-E1922*Assumptions!$B$7)</f>
        <v>0.17917835694984699</v>
      </c>
      <c r="F1923" s="12">
        <f t="shared" si="87"/>
        <v>0.25788387441667315</v>
      </c>
      <c r="G1923" s="12">
        <f>EXP(-Assumptions!$B$8*B1923)</f>
        <v>0.38385131572805881</v>
      </c>
      <c r="H1923" s="12">
        <f t="shared" si="88"/>
        <v>0.21608440316297881</v>
      </c>
      <c r="I1923" s="12">
        <f t="shared" si="89"/>
        <v>6.8777848065190536E-2</v>
      </c>
      <c r="J1923" s="12">
        <f>G1923*(D1923*Assumptions!$B$6+E1923*Assumptions!$B$7)</f>
        <v>5.5997364348893139E-3</v>
      </c>
    </row>
    <row r="1924" spans="1:10" x14ac:dyDescent="0.2">
      <c r="A1924" s="2">
        <v>1916</v>
      </c>
      <c r="B1924" s="14">
        <f>A1924*Assumptions!$B$12</f>
        <v>19.16</v>
      </c>
      <c r="C1924" s="15">
        <f>IF(A1924&lt;=Assumptions!$B$13,IF(OR(A1924=0,A1924=Assumptions!$B$13),0.5,1),0)*Assumptions!$B$12</f>
        <v>0.01</v>
      </c>
      <c r="D1924" s="12">
        <f>D1923*(1-Assumptions!$B$12*(Assumptions!$B$5+Assumptions!$B$6))</f>
        <v>0.56276888730288988</v>
      </c>
      <c r="E1924" s="12">
        <f>E1923+Assumptions!$B$12*(D1923*Assumptions!$B$5-E1923*Assumptions!$B$7)</f>
        <v>0.17920135532509876</v>
      </c>
      <c r="F1924" s="12">
        <f t="shared" si="87"/>
        <v>0.25802975737201139</v>
      </c>
      <c r="G1924" s="12">
        <f>EXP(-Assumptions!$B$8*B1924)</f>
        <v>0.38365943804361335</v>
      </c>
      <c r="H1924" s="12">
        <f t="shared" si="88"/>
        <v>0.21591159505105631</v>
      </c>
      <c r="I1924" s="12">
        <f t="shared" si="89"/>
        <v>6.8752291280681263E-2</v>
      </c>
      <c r="J1924" s="12">
        <f>G1924*(D1924*Assumptions!$B$6+E1924*Assumptions!$B$7)</f>
        <v>5.5967305145446268E-3</v>
      </c>
    </row>
    <row r="1925" spans="1:10" x14ac:dyDescent="0.2">
      <c r="A1925" s="2">
        <v>1917</v>
      </c>
      <c r="B1925" s="14">
        <f>A1925*Assumptions!$B$12</f>
        <v>19.170000000000002</v>
      </c>
      <c r="C1925" s="15">
        <f>IF(A1925&lt;=Assumptions!$B$13,IF(OR(A1925=0,A1925=Assumptions!$B$13),0.5,1),0)*Assumptions!$B$12</f>
        <v>0.01</v>
      </c>
      <c r="D1925" s="12">
        <f>D1924*(1-Assumptions!$B$12*(Assumptions!$B$5+Assumptions!$B$6))</f>
        <v>0.56260005663669899</v>
      </c>
      <c r="E1925" s="12">
        <f>E1924+Assumptions!$B$12*(D1924*Assumptions!$B$5-E1924*Assumptions!$B$7)</f>
        <v>0.17922430842489678</v>
      </c>
      <c r="F1925" s="12">
        <f t="shared" si="87"/>
        <v>0.25817563493840423</v>
      </c>
      <c r="G1925" s="12">
        <f>EXP(-Assumptions!$B$8*B1925)</f>
        <v>0.3834676562740294</v>
      </c>
      <c r="H1925" s="12">
        <f t="shared" si="88"/>
        <v>0.21573892513811116</v>
      </c>
      <c r="I1925" s="12">
        <f t="shared" si="89"/>
        <v>6.8726725499028946E-2</v>
      </c>
      <c r="J1925" s="12">
        <f>G1925*(D1925*Assumptions!$B$6+E1925*Assumptions!$B$7)</f>
        <v>5.593725526332559E-3</v>
      </c>
    </row>
    <row r="1926" spans="1:10" x14ac:dyDescent="0.2">
      <c r="A1926" s="2">
        <v>1918</v>
      </c>
      <c r="B1926" s="14">
        <f>A1926*Assumptions!$B$12</f>
        <v>19.18</v>
      </c>
      <c r="C1926" s="15">
        <f>IF(A1926&lt;=Assumptions!$B$13,IF(OR(A1926=0,A1926=Assumptions!$B$13),0.5,1),0)*Assumptions!$B$12</f>
        <v>0.01</v>
      </c>
      <c r="D1926" s="12">
        <f>D1925*(1-Assumptions!$B$12*(Assumptions!$B$5+Assumptions!$B$6))</f>
        <v>0.56243127661970804</v>
      </c>
      <c r="E1926" s="12">
        <f>E1925+Assumptions!$B$12*(D1925*Assumptions!$B$5-E1925*Assumptions!$B$7)</f>
        <v>0.17924721628201168</v>
      </c>
      <c r="F1926" s="12">
        <f t="shared" si="87"/>
        <v>0.25832150709828028</v>
      </c>
      <c r="G1926" s="12">
        <f>EXP(-Assumptions!$B$8*B1926)</f>
        <v>0.38327597037136152</v>
      </c>
      <c r="H1926" s="12">
        <f t="shared" si="88"/>
        <v>0.21556639331362226</v>
      </c>
      <c r="I1926" s="12">
        <f t="shared" si="89"/>
        <v>6.8701150756853333E-2</v>
      </c>
      <c r="J1926" s="12">
        <f>G1926*(D1926*Assumptions!$B$6+E1926*Assumptions!$B$7)</f>
        <v>5.5907214709788895E-3</v>
      </c>
    </row>
    <row r="1927" spans="1:10" x14ac:dyDescent="0.2">
      <c r="A1927" s="2">
        <v>1919</v>
      </c>
      <c r="B1927" s="14">
        <f>A1927*Assumptions!$B$12</f>
        <v>19.190000000000001</v>
      </c>
      <c r="C1927" s="15">
        <f>IF(A1927&lt;=Assumptions!$B$13,IF(OR(A1927=0,A1927=Assumptions!$B$13),0.5,1),0)*Assumptions!$B$12</f>
        <v>0.01</v>
      </c>
      <c r="D1927" s="12">
        <f>D1926*(1-Assumptions!$B$12*(Assumptions!$B$5+Assumptions!$B$6))</f>
        <v>0.5622625472367222</v>
      </c>
      <c r="E1927" s="12">
        <f>E1926+Assumptions!$B$12*(D1926*Assumptions!$B$5-E1926*Assumptions!$B$7)</f>
        <v>0.17927007892919461</v>
      </c>
      <c r="F1927" s="12">
        <f t="shared" si="87"/>
        <v>0.25846737383408319</v>
      </c>
      <c r="G1927" s="12">
        <f>EXP(-Assumptions!$B$8*B1927)</f>
        <v>0.38308438028768821</v>
      </c>
      <c r="H1927" s="12">
        <f t="shared" si="88"/>
        <v>0.21539399946715673</v>
      </c>
      <c r="I1927" s="12">
        <f t="shared" si="89"/>
        <v>6.867556709071547E-2</v>
      </c>
      <c r="J1927" s="12">
        <f>G1927*(D1927*Assumptions!$B$6+E1927*Assumptions!$B$7)</f>
        <v>5.5877183492073403E-3</v>
      </c>
    </row>
    <row r="1928" spans="1:10" x14ac:dyDescent="0.2">
      <c r="A1928" s="2">
        <v>1920</v>
      </c>
      <c r="B1928" s="14">
        <f>A1928*Assumptions!$B$12</f>
        <v>19.2</v>
      </c>
      <c r="C1928" s="15">
        <f>IF(A1928&lt;=Assumptions!$B$13,IF(OR(A1928=0,A1928=Assumptions!$B$13),0.5,1),0)*Assumptions!$B$12</f>
        <v>0.01</v>
      </c>
      <c r="D1928" s="12">
        <f>D1927*(1-Assumptions!$B$12*(Assumptions!$B$5+Assumptions!$B$6))</f>
        <v>0.56209386847255116</v>
      </c>
      <c r="E1928" s="12">
        <f>E1927+Assumptions!$B$12*(D1927*Assumptions!$B$5-E1927*Assumptions!$B$7)</f>
        <v>0.17929289639917736</v>
      </c>
      <c r="F1928" s="12">
        <f t="shared" ref="F1928:F1991" si="90">1-D1928-E1928</f>
        <v>0.2586132351282715</v>
      </c>
      <c r="G1928" s="12">
        <f>EXP(-Assumptions!$B$8*B1928)</f>
        <v>0.38289288597511206</v>
      </c>
      <c r="H1928" s="12">
        <f t="shared" ref="H1928:H1991" si="91">G1928*D1928</f>
        <v>0.21522174348837017</v>
      </c>
      <c r="I1928" s="12">
        <f t="shared" ref="I1928:I1991" si="92">G1928*E1928</f>
        <v>6.8649974537117797E-2</v>
      </c>
      <c r="J1928" s="12">
        <f>G1928*(D1928*Assumptions!$B$6+E1928*Assumptions!$B$7)</f>
        <v>5.5847161617395922E-3</v>
      </c>
    </row>
    <row r="1929" spans="1:10" x14ac:dyDescent="0.2">
      <c r="A1929" s="2">
        <v>1921</v>
      </c>
      <c r="B1929" s="14">
        <f>A1929*Assumptions!$B$12</f>
        <v>19.21</v>
      </c>
      <c r="C1929" s="15">
        <f>IF(A1929&lt;=Assumptions!$B$13,IF(OR(A1929=0,A1929=Assumptions!$B$13),0.5,1),0)*Assumptions!$B$12</f>
        <v>0.01</v>
      </c>
      <c r="D1929" s="12">
        <f>D1928*(1-Assumptions!$B$12*(Assumptions!$B$5+Assumptions!$B$6))</f>
        <v>0.56192524031200941</v>
      </c>
      <c r="E1929" s="12">
        <f>E1928+Assumptions!$B$12*(D1928*Assumptions!$B$5-E1928*Assumptions!$B$7)</f>
        <v>0.17931566872467228</v>
      </c>
      <c r="F1929" s="12">
        <f t="shared" si="90"/>
        <v>0.25875909096331828</v>
      </c>
      <c r="G1929" s="12">
        <f>EXP(-Assumptions!$B$8*B1929)</f>
        <v>0.38270148738575921</v>
      </c>
      <c r="H1929" s="12">
        <f t="shared" si="91"/>
        <v>0.21504962526700619</v>
      </c>
      <c r="I1929" s="12">
        <f t="shared" si="92"/>
        <v>6.8624373132504149E-2</v>
      </c>
      <c r="J1929" s="12">
        <f>G1929*(D1929*Assumptions!$B$6+E1929*Assumptions!$B$7)</f>
        <v>5.5817149092952699E-3</v>
      </c>
    </row>
    <row r="1930" spans="1:10" x14ac:dyDescent="0.2">
      <c r="A1930" s="2">
        <v>1922</v>
      </c>
      <c r="B1930" s="14">
        <f>A1930*Assumptions!$B$12</f>
        <v>19.22</v>
      </c>
      <c r="C1930" s="15">
        <f>IF(A1930&lt;=Assumptions!$B$13,IF(OR(A1930=0,A1930=Assumptions!$B$13),0.5,1),0)*Assumptions!$B$12</f>
        <v>0.01</v>
      </c>
      <c r="D1930" s="12">
        <f>D1929*(1-Assumptions!$B$12*(Assumptions!$B$5+Assumptions!$B$6))</f>
        <v>0.56175666273991587</v>
      </c>
      <c r="E1930" s="12">
        <f>E1929+Assumptions!$B$12*(D1929*Assumptions!$B$5-E1929*Assumptions!$B$7)</f>
        <v>0.17933839593837234</v>
      </c>
      <c r="F1930" s="12">
        <f t="shared" si="90"/>
        <v>0.25890494132171182</v>
      </c>
      <c r="G1930" s="12">
        <f>EXP(-Assumptions!$B$8*B1930)</f>
        <v>0.38251018447178037</v>
      </c>
      <c r="H1930" s="12">
        <f t="shared" si="91"/>
        <v>0.21487764469289694</v>
      </c>
      <c r="I1930" s="12">
        <f t="shared" si="92"/>
        <v>6.8598762913259989E-2</v>
      </c>
      <c r="J1930" s="12">
        <f>G1930*(D1930*Assumptions!$B$6+E1930*Assumptions!$B$7)</f>
        <v>5.5787145925919688E-3</v>
      </c>
    </row>
    <row r="1931" spans="1:10" x14ac:dyDescent="0.2">
      <c r="A1931" s="2">
        <v>1923</v>
      </c>
      <c r="B1931" s="14">
        <f>A1931*Assumptions!$B$12</f>
        <v>19.23</v>
      </c>
      <c r="C1931" s="15">
        <f>IF(A1931&lt;=Assumptions!$B$13,IF(OR(A1931=0,A1931=Assumptions!$B$13),0.5,1),0)*Assumptions!$B$12</f>
        <v>0.01</v>
      </c>
      <c r="D1931" s="12">
        <f>D1930*(1-Assumptions!$B$12*(Assumptions!$B$5+Assumptions!$B$6))</f>
        <v>0.5615881357410939</v>
      </c>
      <c r="E1931" s="12">
        <f>E1930+Assumptions!$B$12*(D1930*Assumptions!$B$5-E1930*Assumptions!$B$7)</f>
        <v>0.17936107807295112</v>
      </c>
      <c r="F1931" s="12">
        <f t="shared" si="90"/>
        <v>0.25905078618595501</v>
      </c>
      <c r="G1931" s="12">
        <f>EXP(-Assumptions!$B$8*B1931)</f>
        <v>0.38231897718534957</v>
      </c>
      <c r="H1931" s="12">
        <f t="shared" si="91"/>
        <v>0.21470580165596229</v>
      </c>
      <c r="I1931" s="12">
        <f t="shared" si="92"/>
        <v>6.8573143915712301E-2</v>
      </c>
      <c r="J1931" s="12">
        <f>G1931*(D1931*Assumptions!$B$6+E1931*Assumptions!$B$7)</f>
        <v>5.5757152123452379E-3</v>
      </c>
    </row>
    <row r="1932" spans="1:10" x14ac:dyDescent="0.2">
      <c r="A1932" s="2">
        <v>1924</v>
      </c>
      <c r="B1932" s="14">
        <f>A1932*Assumptions!$B$12</f>
        <v>19.240000000000002</v>
      </c>
      <c r="C1932" s="15">
        <f>IF(A1932&lt;=Assumptions!$B$13,IF(OR(A1932=0,A1932=Assumptions!$B$13),0.5,1),0)*Assumptions!$B$12</f>
        <v>0.01</v>
      </c>
      <c r="D1932" s="12">
        <f>D1931*(1-Assumptions!$B$12*(Assumptions!$B$5+Assumptions!$B$6))</f>
        <v>0.56141965930037163</v>
      </c>
      <c r="E1932" s="12">
        <f>E1931+Assumptions!$B$12*(D1931*Assumptions!$B$5-E1931*Assumptions!$B$7)</f>
        <v>0.17938371516106286</v>
      </c>
      <c r="F1932" s="12">
        <f t="shared" si="90"/>
        <v>0.25919662553856548</v>
      </c>
      <c r="G1932" s="12">
        <f>EXP(-Assumptions!$B$8*B1932)</f>
        <v>0.38212786547866501</v>
      </c>
      <c r="H1932" s="12">
        <f t="shared" si="91"/>
        <v>0.21453409604621035</v>
      </c>
      <c r="I1932" s="12">
        <f t="shared" si="92"/>
        <v>6.8547516176129794E-2</v>
      </c>
      <c r="J1932" s="12">
        <f>G1932*(D1932*Assumptions!$B$6+E1932*Assumptions!$B$7)</f>
        <v>5.5727167692685934E-3</v>
      </c>
    </row>
    <row r="1933" spans="1:10" x14ac:dyDescent="0.2">
      <c r="A1933" s="2">
        <v>1925</v>
      </c>
      <c r="B1933" s="14">
        <f>A1933*Assumptions!$B$12</f>
        <v>19.25</v>
      </c>
      <c r="C1933" s="15">
        <f>IF(A1933&lt;=Assumptions!$B$13,IF(OR(A1933=0,A1933=Assumptions!$B$13),0.5,1),0)*Assumptions!$B$12</f>
        <v>0.01</v>
      </c>
      <c r="D1933" s="12">
        <f>D1932*(1-Assumptions!$B$12*(Assumptions!$B$5+Assumptions!$B$6))</f>
        <v>0.56125123340258154</v>
      </c>
      <c r="E1933" s="12">
        <f>E1932+Assumptions!$B$12*(D1932*Assumptions!$B$5-E1932*Assumptions!$B$7)</f>
        <v>0.1794063072353424</v>
      </c>
      <c r="F1933" s="12">
        <f t="shared" si="90"/>
        <v>0.25934245936207606</v>
      </c>
      <c r="G1933" s="12">
        <f>EXP(-Assumptions!$B$8*B1933)</f>
        <v>0.38193684930394889</v>
      </c>
      <c r="H1933" s="12">
        <f t="shared" si="91"/>
        <v>0.21436252775373724</v>
      </c>
      <c r="I1933" s="12">
        <f t="shared" si="92"/>
        <v>6.852187973072292E-2</v>
      </c>
      <c r="J1933" s="12">
        <f>G1933*(D1933*Assumptions!$B$6+E1933*Assumptions!$B$7)</f>
        <v>5.569719264073519E-3</v>
      </c>
    </row>
    <row r="1934" spans="1:10" x14ac:dyDescent="0.2">
      <c r="A1934" s="2">
        <v>1926</v>
      </c>
      <c r="B1934" s="14">
        <f>A1934*Assumptions!$B$12</f>
        <v>19.260000000000002</v>
      </c>
      <c r="C1934" s="15">
        <f>IF(A1934&lt;=Assumptions!$B$13,IF(OR(A1934=0,A1934=Assumptions!$B$13),0.5,1),0)*Assumptions!$B$12</f>
        <v>0.01</v>
      </c>
      <c r="D1934" s="12">
        <f>D1933*(1-Assumptions!$B$12*(Assumptions!$B$5+Assumptions!$B$6))</f>
        <v>0.56108285803256075</v>
      </c>
      <c r="E1934" s="12">
        <f>E1933+Assumptions!$B$12*(D1933*Assumptions!$B$5-E1933*Assumptions!$B$7)</f>
        <v>0.17942885432840525</v>
      </c>
      <c r="F1934" s="12">
        <f t="shared" si="90"/>
        <v>0.25948828763903398</v>
      </c>
      <c r="G1934" s="12">
        <f>EXP(-Assumptions!$B$8*B1934)</f>
        <v>0.38174592861344703</v>
      </c>
      <c r="H1934" s="12">
        <f t="shared" si="91"/>
        <v>0.21419109666872677</v>
      </c>
      <c r="I1934" s="12">
        <f t="shared" si="92"/>
        <v>6.8496234615643969E-2</v>
      </c>
      <c r="J1934" s="12">
        <f>G1934*(D1934*Assumptions!$B$6+E1934*Assumptions!$B$7)</f>
        <v>5.5667226974694672E-3</v>
      </c>
    </row>
    <row r="1935" spans="1:10" x14ac:dyDescent="0.2">
      <c r="A1935" s="2">
        <v>1927</v>
      </c>
      <c r="B1935" s="14">
        <f>A1935*Assumptions!$B$12</f>
        <v>19.27</v>
      </c>
      <c r="C1935" s="15">
        <f>IF(A1935&lt;=Assumptions!$B$13,IF(OR(A1935=0,A1935=Assumptions!$B$13),0.5,1),0)*Assumptions!$B$12</f>
        <v>0.01</v>
      </c>
      <c r="D1935" s="12">
        <f>D1934*(1-Assumptions!$B$12*(Assumptions!$B$5+Assumptions!$B$6))</f>
        <v>0.56091453317515105</v>
      </c>
      <c r="E1935" s="12">
        <f>E1934+Assumptions!$B$12*(D1934*Assumptions!$B$5-E1934*Assumptions!$B$7)</f>
        <v>0.17945135647284755</v>
      </c>
      <c r="F1935" s="12">
        <f t="shared" si="90"/>
        <v>0.2596341103520014</v>
      </c>
      <c r="G1935" s="12">
        <f>EXP(-Assumptions!$B$8*B1935)</f>
        <v>0.38155510335942938</v>
      </c>
      <c r="H1935" s="12">
        <f t="shared" si="91"/>
        <v>0.21401980268145085</v>
      </c>
      <c r="I1935" s="12">
        <f t="shared" si="92"/>
        <v>6.8470580866987152E-2</v>
      </c>
      <c r="J1935" s="12">
        <f>G1935*(D1935*Assumptions!$B$6+E1935*Assumptions!$B$7)</f>
        <v>5.5637270701638661E-3</v>
      </c>
    </row>
    <row r="1936" spans="1:10" x14ac:dyDescent="0.2">
      <c r="A1936" s="2">
        <v>1928</v>
      </c>
      <c r="B1936" s="14">
        <f>A1936*Assumptions!$B$12</f>
        <v>19.28</v>
      </c>
      <c r="C1936" s="15">
        <f>IF(A1936&lt;=Assumptions!$B$13,IF(OR(A1936=0,A1936=Assumptions!$B$13),0.5,1),0)*Assumptions!$B$12</f>
        <v>0.01</v>
      </c>
      <c r="D1936" s="12">
        <f>D1935*(1-Assumptions!$B$12*(Assumptions!$B$5+Assumptions!$B$6))</f>
        <v>0.56074625881519857</v>
      </c>
      <c r="E1936" s="12">
        <f>E1935+Assumptions!$B$12*(D1935*Assumptions!$B$5-E1935*Assumptions!$B$7)</f>
        <v>0.17947381370124615</v>
      </c>
      <c r="F1936" s="12">
        <f t="shared" si="90"/>
        <v>0.25977992748355527</v>
      </c>
      <c r="G1936" s="12">
        <f>EXP(-Assumptions!$B$8*B1936)</f>
        <v>0.3813643734941895</v>
      </c>
      <c r="H1936" s="12">
        <f t="shared" si="91"/>
        <v>0.21384864568226883</v>
      </c>
      <c r="I1936" s="12">
        <f t="shared" si="92"/>
        <v>6.8444918520788628E-2</v>
      </c>
      <c r="J1936" s="12">
        <f>G1936*(D1936*Assumptions!$B$6+E1936*Assumptions!$B$7)</f>
        <v>5.5607323828621201E-3</v>
      </c>
    </row>
    <row r="1937" spans="1:10" x14ac:dyDescent="0.2">
      <c r="A1937" s="2">
        <v>1929</v>
      </c>
      <c r="B1937" s="14">
        <f>A1937*Assumptions!$B$12</f>
        <v>19.29</v>
      </c>
      <c r="C1937" s="15">
        <f>IF(A1937&lt;=Assumptions!$B$13,IF(OR(A1937=0,A1937=Assumptions!$B$13),0.5,1),0)*Assumptions!$B$12</f>
        <v>0.01</v>
      </c>
      <c r="D1937" s="12">
        <f>D1936*(1-Assumptions!$B$12*(Assumptions!$B$5+Assumptions!$B$6))</f>
        <v>0.56057803493755398</v>
      </c>
      <c r="E1937" s="12">
        <f>E1936+Assumptions!$B$12*(D1936*Assumptions!$B$5-E1936*Assumptions!$B$7)</f>
        <v>0.17949622604615856</v>
      </c>
      <c r="F1937" s="12">
        <f t="shared" si="90"/>
        <v>0.25992573901628746</v>
      </c>
      <c r="G1937" s="12">
        <f>EXP(-Assumptions!$B$8*B1937)</f>
        <v>0.38117373897004503</v>
      </c>
      <c r="H1937" s="12">
        <f t="shared" si="91"/>
        <v>0.21367762556162798</v>
      </c>
      <c r="I1937" s="12">
        <f t="shared" si="92"/>
        <v>6.8419247613026646E-2</v>
      </c>
      <c r="J1937" s="12">
        <f>G1937*(D1937*Assumptions!$B$6+E1937*Assumptions!$B$7)</f>
        <v>5.5577386362676119E-3</v>
      </c>
    </row>
    <row r="1938" spans="1:10" x14ac:dyDescent="0.2">
      <c r="A1938" s="2">
        <v>1930</v>
      </c>
      <c r="B1938" s="14">
        <f>A1938*Assumptions!$B$12</f>
        <v>19.3</v>
      </c>
      <c r="C1938" s="15">
        <f>IF(A1938&lt;=Assumptions!$B$13,IF(OR(A1938=0,A1938=Assumptions!$B$13),0.5,1),0)*Assumptions!$B$12</f>
        <v>0.01</v>
      </c>
      <c r="D1938" s="12">
        <f>D1937*(1-Assumptions!$B$12*(Assumptions!$B$5+Assumptions!$B$6))</f>
        <v>0.56040986152707273</v>
      </c>
      <c r="E1938" s="12">
        <f>E1937+Assumptions!$B$12*(D1937*Assumptions!$B$5-E1937*Assumptions!$B$7)</f>
        <v>0.17951859354012298</v>
      </c>
      <c r="F1938" s="12">
        <f t="shared" si="90"/>
        <v>0.26007154493280427</v>
      </c>
      <c r="G1938" s="12">
        <f>EXP(-Assumptions!$B$8*B1938)</f>
        <v>0.3809831997393372</v>
      </c>
      <c r="H1938" s="12">
        <f t="shared" si="91"/>
        <v>0.21350674221006305</v>
      </c>
      <c r="I1938" s="12">
        <f t="shared" si="92"/>
        <v>6.8393568179621556E-2</v>
      </c>
      <c r="J1938" s="12">
        <f>G1938*(D1938*Assumptions!$B$6+E1938*Assumptions!$B$7)</f>
        <v>5.5547458310817093E-3</v>
      </c>
    </row>
    <row r="1939" spans="1:10" x14ac:dyDescent="0.2">
      <c r="A1939" s="2">
        <v>1931</v>
      </c>
      <c r="B1939" s="14">
        <f>A1939*Assumptions!$B$12</f>
        <v>19.309999999999999</v>
      </c>
      <c r="C1939" s="15">
        <f>IF(A1939&lt;=Assumptions!$B$13,IF(OR(A1939=0,A1939=Assumptions!$B$13),0.5,1),0)*Assumptions!$B$12</f>
        <v>0.01</v>
      </c>
      <c r="D1939" s="12">
        <f>D1938*(1-Assumptions!$B$12*(Assumptions!$B$5+Assumptions!$B$6))</f>
        <v>0.56024173856861459</v>
      </c>
      <c r="E1939" s="12">
        <f>E1938+Assumptions!$B$12*(D1938*Assumptions!$B$5-E1938*Assumptions!$B$7)</f>
        <v>0.17954091621565832</v>
      </c>
      <c r="F1939" s="12">
        <f t="shared" si="90"/>
        <v>0.26021734521572709</v>
      </c>
      <c r="G1939" s="12">
        <f>EXP(-Assumptions!$B$8*B1939)</f>
        <v>0.38079275575443139</v>
      </c>
      <c r="H1939" s="12">
        <f t="shared" si="91"/>
        <v>0.21333599551819646</v>
      </c>
      <c r="I1939" s="12">
        <f t="shared" si="92"/>
        <v>6.8367880256436003E-2</v>
      </c>
      <c r="J1939" s="12">
        <f>G1939*(D1939*Assumptions!$B$6+E1939*Assumptions!$B$7)</f>
        <v>5.5517539680037652E-3</v>
      </c>
    </row>
    <row r="1940" spans="1:10" x14ac:dyDescent="0.2">
      <c r="A1940" s="2">
        <v>1932</v>
      </c>
      <c r="B1940" s="14">
        <f>A1940*Assumptions!$B$12</f>
        <v>19.32</v>
      </c>
      <c r="C1940" s="15">
        <f>IF(A1940&lt;=Assumptions!$B$13,IF(OR(A1940=0,A1940=Assumptions!$B$13),0.5,1),0)*Assumptions!$B$12</f>
        <v>0.01</v>
      </c>
      <c r="D1940" s="12">
        <f>D1939*(1-Assumptions!$B$12*(Assumptions!$B$5+Assumptions!$B$6))</f>
        <v>0.56007366604704401</v>
      </c>
      <c r="E1940" s="12">
        <f>E1939+Assumptions!$B$12*(D1939*Assumptions!$B$5-E1939*Assumptions!$B$7)</f>
        <v>0.17956319410526422</v>
      </c>
      <c r="F1940" s="12">
        <f t="shared" si="90"/>
        <v>0.26036313984769177</v>
      </c>
      <c r="G1940" s="12">
        <f>EXP(-Assumptions!$B$8*B1940)</f>
        <v>0.38060240696771641</v>
      </c>
      <c r="H1940" s="12">
        <f t="shared" si="91"/>
        <v>0.21316538537673793</v>
      </c>
      <c r="I1940" s="12">
        <f t="shared" si="92"/>
        <v>6.8342183879274834E-2</v>
      </c>
      <c r="J1940" s="12">
        <f>G1940*(D1940*Assumptions!$B$6+E1940*Assumptions!$B$7)</f>
        <v>5.5487630477311211E-3</v>
      </c>
    </row>
    <row r="1941" spans="1:10" x14ac:dyDescent="0.2">
      <c r="A1941" s="2">
        <v>1933</v>
      </c>
      <c r="B1941" s="14">
        <f>A1941*Assumptions!$B$12</f>
        <v>19.330000000000002</v>
      </c>
      <c r="C1941" s="15">
        <f>IF(A1941&lt;=Assumptions!$B$13,IF(OR(A1941=0,A1941=Assumptions!$B$13),0.5,1),0)*Assumptions!$B$12</f>
        <v>0.01</v>
      </c>
      <c r="D1941" s="12">
        <f>D1940*(1-Assumptions!$B$12*(Assumptions!$B$5+Assumptions!$B$6))</f>
        <v>0.55990564394722986</v>
      </c>
      <c r="E1941" s="12">
        <f>E1940+Assumptions!$B$12*(D1940*Assumptions!$B$5-E1940*Assumptions!$B$7)</f>
        <v>0.17958542724142099</v>
      </c>
      <c r="F1941" s="12">
        <f t="shared" si="90"/>
        <v>0.26050892881134913</v>
      </c>
      <c r="G1941" s="12">
        <f>EXP(-Assumptions!$B$8*B1941)</f>
        <v>0.38041215333160516</v>
      </c>
      <c r="H1941" s="12">
        <f t="shared" si="91"/>
        <v>0.21299491167648474</v>
      </c>
      <c r="I1941" s="12">
        <f t="shared" si="92"/>
        <v>6.8316479083885259E-2</v>
      </c>
      <c r="J1941" s="12">
        <f>G1941*(D1941*Assumptions!$B$6+E1941*Assumptions!$B$7)</f>
        <v>5.5457730709591105E-3</v>
      </c>
    </row>
    <row r="1942" spans="1:10" x14ac:dyDescent="0.2">
      <c r="A1942" s="2">
        <v>1934</v>
      </c>
      <c r="B1942" s="14">
        <f>A1942*Assumptions!$B$12</f>
        <v>19.34</v>
      </c>
      <c r="C1942" s="15">
        <f>IF(A1942&lt;=Assumptions!$B$13,IF(OR(A1942=0,A1942=Assumptions!$B$13),0.5,1),0)*Assumptions!$B$12</f>
        <v>0.01</v>
      </c>
      <c r="D1942" s="12">
        <f>D1941*(1-Assumptions!$B$12*(Assumptions!$B$5+Assumptions!$B$6))</f>
        <v>0.55973767225404569</v>
      </c>
      <c r="E1942" s="12">
        <f>E1941+Assumptions!$B$12*(D1941*Assumptions!$B$5-E1941*Assumptions!$B$7)</f>
        <v>0.17960761565658973</v>
      </c>
      <c r="F1942" s="12">
        <f t="shared" si="90"/>
        <v>0.26065471208936458</v>
      </c>
      <c r="G1942" s="12">
        <f>EXP(-Assumptions!$B$8*B1942)</f>
        <v>0.3802219947985343</v>
      </c>
      <c r="H1942" s="12">
        <f t="shared" si="91"/>
        <v>0.21282457430832147</v>
      </c>
      <c r="I1942" s="12">
        <f t="shared" si="92"/>
        <v>6.8290765905957007E-2</v>
      </c>
      <c r="J1942" s="12">
        <f>G1942*(D1942*Assumptions!$B$6+E1942*Assumptions!$B$7)</f>
        <v>5.5427840383810651E-3</v>
      </c>
    </row>
    <row r="1943" spans="1:10" x14ac:dyDescent="0.2">
      <c r="A1943" s="2">
        <v>1935</v>
      </c>
      <c r="B1943" s="14">
        <f>A1943*Assumptions!$B$12</f>
        <v>19.350000000000001</v>
      </c>
      <c r="C1943" s="15">
        <f>IF(A1943&lt;=Assumptions!$B$13,IF(OR(A1943=0,A1943=Assumptions!$B$13),0.5,1),0)*Assumptions!$B$12</f>
        <v>0.01</v>
      </c>
      <c r="D1943" s="12">
        <f>D1942*(1-Assumptions!$B$12*(Assumptions!$B$5+Assumptions!$B$6))</f>
        <v>0.55956975095236949</v>
      </c>
      <c r="E1943" s="12">
        <f>E1942+Assumptions!$B$12*(D1942*Assumptions!$B$5-E1942*Assumptions!$B$7)</f>
        <v>0.17962975938321224</v>
      </c>
      <c r="F1943" s="12">
        <f t="shared" si="90"/>
        <v>0.26080048966441827</v>
      </c>
      <c r="G1943" s="12">
        <f>EXP(-Assumptions!$B$8*B1943)</f>
        <v>0.38003193132096408</v>
      </c>
      <c r="H1943" s="12">
        <f t="shared" si="91"/>
        <v>0.21265437316321986</v>
      </c>
      <c r="I1943" s="12">
        <f t="shared" si="92"/>
        <v>6.8265044381122214E-2</v>
      </c>
      <c r="J1943" s="12">
        <f>G1943*(D1943*Assumptions!$B$6+E1943*Assumptions!$B$7)</f>
        <v>5.5397959506883095E-3</v>
      </c>
    </row>
    <row r="1944" spans="1:10" x14ac:dyDescent="0.2">
      <c r="A1944" s="2">
        <v>1936</v>
      </c>
      <c r="B1944" s="14">
        <f>A1944*Assumptions!$B$12</f>
        <v>19.36</v>
      </c>
      <c r="C1944" s="15">
        <f>IF(A1944&lt;=Assumptions!$B$13,IF(OR(A1944=0,A1944=Assumptions!$B$13),0.5,1),0)*Assumptions!$B$12</f>
        <v>0.01</v>
      </c>
      <c r="D1944" s="12">
        <f>D1943*(1-Assumptions!$B$12*(Assumptions!$B$5+Assumptions!$B$6))</f>
        <v>0.5594018800270838</v>
      </c>
      <c r="E1944" s="12">
        <f>E1943+Assumptions!$B$12*(D1943*Assumptions!$B$5-E1943*Assumptions!$B$7)</f>
        <v>0.17965185845371109</v>
      </c>
      <c r="F1944" s="12">
        <f t="shared" si="90"/>
        <v>0.26094626151920508</v>
      </c>
      <c r="G1944" s="12">
        <f>EXP(-Assumptions!$B$8*B1944)</f>
        <v>0.37984196285137872</v>
      </c>
      <c r="H1944" s="12">
        <f t="shared" si="91"/>
        <v>0.21248430813223898</v>
      </c>
      <c r="I1944" s="12">
        <f t="shared" si="92"/>
        <v>6.8239314544955673E-2</v>
      </c>
      <c r="J1944" s="12">
        <f>G1944*(D1944*Assumptions!$B$6+E1944*Assumptions!$B$7)</f>
        <v>5.5368088085701742E-3</v>
      </c>
    </row>
    <row r="1945" spans="1:10" x14ac:dyDescent="0.2">
      <c r="A1945" s="2">
        <v>1937</v>
      </c>
      <c r="B1945" s="14">
        <f>A1945*Assumptions!$B$12</f>
        <v>19.37</v>
      </c>
      <c r="C1945" s="15">
        <f>IF(A1945&lt;=Assumptions!$B$13,IF(OR(A1945=0,A1945=Assumptions!$B$13),0.5,1),0)*Assumptions!$B$12</f>
        <v>0.01</v>
      </c>
      <c r="D1945" s="12">
        <f>D1944*(1-Assumptions!$B$12*(Assumptions!$B$5+Assumptions!$B$6))</f>
        <v>0.55923405946307569</v>
      </c>
      <c r="E1945" s="12">
        <f>E1944+Assumptions!$B$12*(D1944*Assumptions!$B$5-E1944*Assumptions!$B$7)</f>
        <v>0.17967391290048965</v>
      </c>
      <c r="F1945" s="12">
        <f t="shared" si="90"/>
        <v>0.26109202763643469</v>
      </c>
      <c r="G1945" s="12">
        <f>EXP(-Assumptions!$B$8*B1945)</f>
        <v>0.37965208934228595</v>
      </c>
      <c r="H1945" s="12">
        <f t="shared" si="91"/>
        <v>0.21231437910652487</v>
      </c>
      <c r="I1945" s="12">
        <f t="shared" si="92"/>
        <v>6.8213576432974793E-2</v>
      </c>
      <c r="J1945" s="12">
        <f>G1945*(D1945*Assumptions!$B$6+E1945*Assumptions!$B$7)</f>
        <v>5.5338226127139888E-3</v>
      </c>
    </row>
    <row r="1946" spans="1:10" x14ac:dyDescent="0.2">
      <c r="A1946" s="2">
        <v>1938</v>
      </c>
      <c r="B1946" s="14">
        <f>A1946*Assumptions!$B$12</f>
        <v>19.38</v>
      </c>
      <c r="C1946" s="15">
        <f>IF(A1946&lt;=Assumptions!$B$13,IF(OR(A1946=0,A1946=Assumptions!$B$13),0.5,1),0)*Assumptions!$B$12</f>
        <v>0.01</v>
      </c>
      <c r="D1946" s="12">
        <f>D1945*(1-Assumptions!$B$12*(Assumptions!$B$5+Assumptions!$B$6))</f>
        <v>0.55906628924523682</v>
      </c>
      <c r="E1946" s="12">
        <f>E1945+Assumptions!$B$12*(D1945*Assumptions!$B$5-E1945*Assumptions!$B$7)</f>
        <v>0.17969592275593202</v>
      </c>
      <c r="F1946" s="12">
        <f t="shared" si="90"/>
        <v>0.26123778799883113</v>
      </c>
      <c r="G1946" s="12">
        <f>EXP(-Assumptions!$B$8*B1946)</f>
        <v>0.37946231074621756</v>
      </c>
      <c r="H1946" s="12">
        <f t="shared" si="91"/>
        <v>0.21214458597731081</v>
      </c>
      <c r="I1946" s="12">
        <f t="shared" si="92"/>
        <v>6.8187830080639777E-2</v>
      </c>
      <c r="J1946" s="12">
        <f>G1946*(D1946*Assumptions!$B$6+E1946*Assumptions!$B$7)</f>
        <v>5.5308373638050974E-3</v>
      </c>
    </row>
    <row r="1947" spans="1:10" x14ac:dyDescent="0.2">
      <c r="A1947" s="2">
        <v>1939</v>
      </c>
      <c r="B1947" s="14">
        <f>A1947*Assumptions!$B$12</f>
        <v>19.39</v>
      </c>
      <c r="C1947" s="15">
        <f>IF(A1947&lt;=Assumptions!$B$13,IF(OR(A1947=0,A1947=Assumptions!$B$13),0.5,1),0)*Assumptions!$B$12</f>
        <v>0.01</v>
      </c>
      <c r="D1947" s="12">
        <f>D1946*(1-Assumptions!$B$12*(Assumptions!$B$5+Assumptions!$B$6))</f>
        <v>0.55889856935846327</v>
      </c>
      <c r="E1947" s="12">
        <f>E1946+Assumptions!$B$12*(D1946*Assumptions!$B$5-E1946*Assumptions!$B$7)</f>
        <v>0.1797178880524031</v>
      </c>
      <c r="F1947" s="12">
        <f t="shared" si="90"/>
        <v>0.26138354258913366</v>
      </c>
      <c r="G1947" s="12">
        <f>EXP(-Assumptions!$B$8*B1947)</f>
        <v>0.37927262701572884</v>
      </c>
      <c r="H1947" s="12">
        <f t="shared" si="91"/>
        <v>0.21197492863591688</v>
      </c>
      <c r="I1947" s="12">
        <f t="shared" si="92"/>
        <v>6.8162075523353585E-2</v>
      </c>
      <c r="J1947" s="12">
        <f>G1947*(D1947*Assumptions!$B$6+E1947*Assumptions!$B$7)</f>
        <v>5.5278530625268493E-3</v>
      </c>
    </row>
    <row r="1948" spans="1:10" x14ac:dyDescent="0.2">
      <c r="A1948" s="2">
        <v>1940</v>
      </c>
      <c r="B1948" s="14">
        <f>A1948*Assumptions!$B$12</f>
        <v>19.400000000000002</v>
      </c>
      <c r="C1948" s="15">
        <f>IF(A1948&lt;=Assumptions!$B$13,IF(OR(A1948=0,A1948=Assumptions!$B$13),0.5,1),0)*Assumptions!$B$12</f>
        <v>0.01</v>
      </c>
      <c r="D1948" s="12">
        <f>D1947*(1-Assumptions!$B$12*(Assumptions!$B$5+Assumptions!$B$6))</f>
        <v>0.55873089978765578</v>
      </c>
      <c r="E1948" s="12">
        <f>E1947+Assumptions!$B$12*(D1947*Assumptions!$B$5-E1947*Assumptions!$B$7)</f>
        <v>0.1797398088222486</v>
      </c>
      <c r="F1948" s="12">
        <f t="shared" si="90"/>
        <v>0.26152929139009562</v>
      </c>
      <c r="G1948" s="12">
        <f>EXP(-Assumptions!$B$8*B1948)</f>
        <v>0.37908303810339872</v>
      </c>
      <c r="H1948" s="12">
        <f t="shared" si="91"/>
        <v>0.21180540697375017</v>
      </c>
      <c r="I1948" s="12">
        <f t="shared" si="92"/>
        <v>6.8136312796462067E-2</v>
      </c>
      <c r="J1948" s="12">
        <f>G1948*(D1948*Assumptions!$B$6+E1948*Assumptions!$B$7)</f>
        <v>5.5248697095606047E-3</v>
      </c>
    </row>
    <row r="1949" spans="1:10" x14ac:dyDescent="0.2">
      <c r="A1949" s="2">
        <v>1941</v>
      </c>
      <c r="B1949" s="14">
        <f>A1949*Assumptions!$B$12</f>
        <v>19.41</v>
      </c>
      <c r="C1949" s="15">
        <f>IF(A1949&lt;=Assumptions!$B$13,IF(OR(A1949=0,A1949=Assumptions!$B$13),0.5,1),0)*Assumptions!$B$12</f>
        <v>0.01</v>
      </c>
      <c r="D1949" s="12">
        <f>D1948*(1-Assumptions!$B$12*(Assumptions!$B$5+Assumptions!$B$6))</f>
        <v>0.55856328051771953</v>
      </c>
      <c r="E1949" s="12">
        <f>E1948+Assumptions!$B$12*(D1948*Assumptions!$B$5-E1948*Assumptions!$B$7)</f>
        <v>0.179761685097795</v>
      </c>
      <c r="F1949" s="12">
        <f t="shared" si="90"/>
        <v>0.26167503438448547</v>
      </c>
      <c r="G1949" s="12">
        <f>EXP(-Assumptions!$B$8*B1949)</f>
        <v>0.37889354396183028</v>
      </c>
      <c r="H1949" s="12">
        <f t="shared" si="91"/>
        <v>0.21163602088230471</v>
      </c>
      <c r="I1949" s="12">
        <f t="shared" si="92"/>
        <v>6.8110541935254079E-2</v>
      </c>
      <c r="J1949" s="12">
        <f>G1949*(D1949*Assumptions!$B$6+E1949*Assumptions!$B$7)</f>
        <v>5.5218873055857508E-3</v>
      </c>
    </row>
    <row r="1950" spans="1:10" x14ac:dyDescent="0.2">
      <c r="A1950" s="2">
        <v>1942</v>
      </c>
      <c r="B1950" s="14">
        <f>A1950*Assumptions!$B$12</f>
        <v>19.420000000000002</v>
      </c>
      <c r="C1950" s="15">
        <f>IF(A1950&lt;=Assumptions!$B$13,IF(OR(A1950=0,A1950=Assumptions!$B$13),0.5,1),0)*Assumptions!$B$12</f>
        <v>0.01</v>
      </c>
      <c r="D1950" s="12">
        <f>D1949*(1-Assumptions!$B$12*(Assumptions!$B$5+Assumptions!$B$6))</f>
        <v>0.55839571153356427</v>
      </c>
      <c r="E1950" s="12">
        <f>E1949+Assumptions!$B$12*(D1949*Assumptions!$B$5-E1949*Assumptions!$B$7)</f>
        <v>0.17978351691134964</v>
      </c>
      <c r="F1950" s="12">
        <f t="shared" si="90"/>
        <v>0.2618207715550861</v>
      </c>
      <c r="G1950" s="12">
        <f>EXP(-Assumptions!$B$8*B1950)</f>
        <v>0.3787041445436497</v>
      </c>
      <c r="H1950" s="12">
        <f t="shared" si="91"/>
        <v>0.21146677025316105</v>
      </c>
      <c r="I1950" s="12">
        <f t="shared" si="92"/>
        <v>6.8084762974961438E-2</v>
      </c>
      <c r="J1950" s="12">
        <f>G1950*(D1950*Assumptions!$B$6+E1950*Assumptions!$B$7)</f>
        <v>5.5189058512796832E-3</v>
      </c>
    </row>
    <row r="1951" spans="1:10" x14ac:dyDescent="0.2">
      <c r="A1951" s="2">
        <v>1943</v>
      </c>
      <c r="B1951" s="14">
        <f>A1951*Assumptions!$B$12</f>
        <v>19.43</v>
      </c>
      <c r="C1951" s="15">
        <f>IF(A1951&lt;=Assumptions!$B$13,IF(OR(A1951=0,A1951=Assumptions!$B$13),0.5,1),0)*Assumptions!$B$12</f>
        <v>0.01</v>
      </c>
      <c r="D1951" s="12">
        <f>D1950*(1-Assumptions!$B$12*(Assumptions!$B$5+Assumptions!$B$6))</f>
        <v>0.55822819282010416</v>
      </c>
      <c r="E1951" s="12">
        <f>E1950+Assumptions!$B$12*(D1950*Assumptions!$B$5-E1950*Assumptions!$B$7)</f>
        <v>0.17980530429520067</v>
      </c>
      <c r="F1951" s="12">
        <f t="shared" si="90"/>
        <v>0.26196650288469514</v>
      </c>
      <c r="G1951" s="12">
        <f>EXP(-Assumptions!$B$8*B1951)</f>
        <v>0.3785148398015073</v>
      </c>
      <c r="H1951" s="12">
        <f t="shared" si="91"/>
        <v>0.21129765497798667</v>
      </c>
      <c r="I1951" s="12">
        <f t="shared" si="92"/>
        <v>6.805897595075916E-2</v>
      </c>
      <c r="J1951" s="12">
        <f>G1951*(D1951*Assumptions!$B$6+E1951*Assumptions!$B$7)</f>
        <v>5.5159253473178243E-3</v>
      </c>
    </row>
    <row r="1952" spans="1:10" x14ac:dyDescent="0.2">
      <c r="A1952" s="2">
        <v>1944</v>
      </c>
      <c r="B1952" s="14">
        <f>A1952*Assumptions!$B$12</f>
        <v>19.440000000000001</v>
      </c>
      <c r="C1952" s="15">
        <f>IF(A1952&lt;=Assumptions!$B$13,IF(OR(A1952=0,A1952=Assumptions!$B$13),0.5,1),0)*Assumptions!$B$12</f>
        <v>0.01</v>
      </c>
      <c r="D1952" s="12">
        <f>D1951*(1-Assumptions!$B$12*(Assumptions!$B$5+Assumptions!$B$6))</f>
        <v>0.55806072436225818</v>
      </c>
      <c r="E1952" s="12">
        <f>E1951+Assumptions!$B$12*(D1951*Assumptions!$B$5-E1951*Assumptions!$B$7)</f>
        <v>0.17982704728161708</v>
      </c>
      <c r="F1952" s="12">
        <f t="shared" si="90"/>
        <v>0.26211222835612474</v>
      </c>
      <c r="G1952" s="12">
        <f>EXP(-Assumptions!$B$8*B1952)</f>
        <v>0.37832562968807676</v>
      </c>
      <c r="H1952" s="12">
        <f t="shared" si="91"/>
        <v>0.21112867494853557</v>
      </c>
      <c r="I1952" s="12">
        <f t="shared" si="92"/>
        <v>6.8033180897765333E-2</v>
      </c>
      <c r="J1952" s="12">
        <f>G1952*(D1952*Assumptions!$B$6+E1952*Assumptions!$B$7)</f>
        <v>5.5129457943736224E-3</v>
      </c>
    </row>
    <row r="1953" spans="1:10" x14ac:dyDescent="0.2">
      <c r="A1953" s="2">
        <v>1945</v>
      </c>
      <c r="B1953" s="14">
        <f>A1953*Assumptions!$B$12</f>
        <v>19.45</v>
      </c>
      <c r="C1953" s="15">
        <f>IF(A1953&lt;=Assumptions!$B$13,IF(OR(A1953=0,A1953=Assumptions!$B$13),0.5,1),0)*Assumptions!$B$12</f>
        <v>0.01</v>
      </c>
      <c r="D1953" s="12">
        <f>D1952*(1-Assumptions!$B$12*(Assumptions!$B$5+Assumptions!$B$6))</f>
        <v>0.55789330614494947</v>
      </c>
      <c r="E1953" s="12">
        <f>E1952+Assumptions!$B$12*(D1952*Assumptions!$B$5-E1952*Assumptions!$B$7)</f>
        <v>0.17984874590284872</v>
      </c>
      <c r="F1953" s="12">
        <f t="shared" si="90"/>
        <v>0.26225794795220181</v>
      </c>
      <c r="G1953" s="12">
        <f>EXP(-Assumptions!$B$8*B1953)</f>
        <v>0.37813651415605565</v>
      </c>
      <c r="H1953" s="12">
        <f t="shared" si="91"/>
        <v>0.21095983005664837</v>
      </c>
      <c r="I1953" s="12">
        <f t="shared" si="92"/>
        <v>6.8007377851041412E-2</v>
      </c>
      <c r="J1953" s="12">
        <f>G1953*(D1953*Assumptions!$B$6+E1953*Assumptions!$B$7)</f>
        <v>5.5099671931185543E-3</v>
      </c>
    </row>
    <row r="1954" spans="1:10" x14ac:dyDescent="0.2">
      <c r="A1954" s="2">
        <v>1946</v>
      </c>
      <c r="B1954" s="14">
        <f>A1954*Assumptions!$B$12</f>
        <v>19.46</v>
      </c>
      <c r="C1954" s="15">
        <f>IF(A1954&lt;=Assumptions!$B$13,IF(OR(A1954=0,A1954=Assumptions!$B$13),0.5,1),0)*Assumptions!$B$12</f>
        <v>0.01</v>
      </c>
      <c r="D1954" s="12">
        <f>D1953*(1-Assumptions!$B$12*(Assumptions!$B$5+Assumptions!$B$6))</f>
        <v>0.557725938153106</v>
      </c>
      <c r="E1954" s="12">
        <f>E1953+Assumptions!$B$12*(D1953*Assumptions!$B$5-E1953*Assumptions!$B$7)</f>
        <v>0.1798704001911263</v>
      </c>
      <c r="F1954" s="12">
        <f t="shared" si="90"/>
        <v>0.26240366165576767</v>
      </c>
      <c r="G1954" s="12">
        <f>EXP(-Assumptions!$B$8*B1954)</f>
        <v>0.377947493158165</v>
      </c>
      <c r="H1954" s="12">
        <f t="shared" si="91"/>
        <v>0.2107911201942522</v>
      </c>
      <c r="I1954" s="12">
        <f t="shared" si="92"/>
        <v>6.7981566845592103E-2</v>
      </c>
      <c r="J1954" s="12">
        <f>G1954*(D1954*Assumptions!$B$6+E1954*Assumptions!$B$7)</f>
        <v>5.5069895442221278E-3</v>
      </c>
    </row>
    <row r="1955" spans="1:10" x14ac:dyDescent="0.2">
      <c r="A1955" s="2">
        <v>1947</v>
      </c>
      <c r="B1955" s="14">
        <f>A1955*Assumptions!$B$12</f>
        <v>19.47</v>
      </c>
      <c r="C1955" s="15">
        <f>IF(A1955&lt;=Assumptions!$B$13,IF(OR(A1955=0,A1955=Assumptions!$B$13),0.5,1),0)*Assumptions!$B$12</f>
        <v>0.01</v>
      </c>
      <c r="D1955" s="12">
        <f>D1954*(1-Assumptions!$B$12*(Assumptions!$B$5+Assumptions!$B$6))</f>
        <v>0.55755862037166004</v>
      </c>
      <c r="E1955" s="12">
        <f>E1954+Assumptions!$B$12*(D1954*Assumptions!$B$5-E1954*Assumptions!$B$7)</f>
        <v>0.17989201017866135</v>
      </c>
      <c r="F1955" s="12">
        <f t="shared" si="90"/>
        <v>0.2625493694496786</v>
      </c>
      <c r="G1955" s="12">
        <f>EXP(-Assumptions!$B$8*B1955)</f>
        <v>0.37775856664714969</v>
      </c>
      <c r="H1955" s="12">
        <f t="shared" si="91"/>
        <v>0.21062254525336058</v>
      </c>
      <c r="I1955" s="12">
        <f t="shared" si="92"/>
        <v>6.7955747916365578E-2</v>
      </c>
      <c r="J1955" s="12">
        <f>G1955*(D1955*Assumptions!$B$6+E1955*Assumptions!$B$7)</f>
        <v>5.5040128483518844E-3</v>
      </c>
    </row>
    <row r="1956" spans="1:10" x14ac:dyDescent="0.2">
      <c r="A1956" s="2">
        <v>1948</v>
      </c>
      <c r="B1956" s="14">
        <f>A1956*Assumptions!$B$12</f>
        <v>19.48</v>
      </c>
      <c r="C1956" s="15">
        <f>IF(A1956&lt;=Assumptions!$B$13,IF(OR(A1956=0,A1956=Assumptions!$B$13),0.5,1),0)*Assumptions!$B$12</f>
        <v>0.01</v>
      </c>
      <c r="D1956" s="12">
        <f>D1955*(1-Assumptions!$B$12*(Assumptions!$B$5+Assumptions!$B$6))</f>
        <v>0.55739135278554852</v>
      </c>
      <c r="E1956" s="12">
        <f>E1955+Assumptions!$B$12*(D1955*Assumptions!$B$5-E1955*Assumptions!$B$7)</f>
        <v>0.17991357589764637</v>
      </c>
      <c r="F1956" s="12">
        <f t="shared" si="90"/>
        <v>0.26269507131680514</v>
      </c>
      <c r="G1956" s="12">
        <f>EXP(-Assumptions!$B$8*B1956)</f>
        <v>0.37756973457577792</v>
      </c>
      <c r="H1956" s="12">
        <f t="shared" si="91"/>
        <v>0.21045410512607335</v>
      </c>
      <c r="I1956" s="12">
        <f t="shared" si="92"/>
        <v>6.792992109825341E-2</v>
      </c>
      <c r="J1956" s="12">
        <f>G1956*(D1956*Assumptions!$B$6+E1956*Assumptions!$B$7)</f>
        <v>5.5010371061734046E-3</v>
      </c>
    </row>
    <row r="1957" spans="1:10" x14ac:dyDescent="0.2">
      <c r="A1957" s="2">
        <v>1949</v>
      </c>
      <c r="B1957" s="14">
        <f>A1957*Assumptions!$B$12</f>
        <v>19.490000000000002</v>
      </c>
      <c r="C1957" s="15">
        <f>IF(A1957&lt;=Assumptions!$B$13,IF(OR(A1957=0,A1957=Assumptions!$B$13),0.5,1),0)*Assumptions!$B$12</f>
        <v>0.01</v>
      </c>
      <c r="D1957" s="12">
        <f>D1956*(1-Assumptions!$B$12*(Assumptions!$B$5+Assumptions!$B$6))</f>
        <v>0.55722413537971283</v>
      </c>
      <c r="E1957" s="12">
        <f>E1956+Assumptions!$B$12*(D1956*Assumptions!$B$5-E1956*Assumptions!$B$7)</f>
        <v>0.17993509738025465</v>
      </c>
      <c r="F1957" s="12">
        <f t="shared" si="90"/>
        <v>0.26284076724003252</v>
      </c>
      <c r="G1957" s="12">
        <f>EXP(-Assumptions!$B$8*B1957)</f>
        <v>0.37738099689684179</v>
      </c>
      <c r="H1957" s="12">
        <f t="shared" si="91"/>
        <v>0.21028579970457675</v>
      </c>
      <c r="I1957" s="12">
        <f t="shared" si="92"/>
        <v>6.7904086426090804E-2</v>
      </c>
      <c r="J1957" s="12">
        <f>G1957*(D1957*Assumptions!$B$6+E1957*Assumptions!$B$7)</f>
        <v>5.4980623183503085E-3</v>
      </c>
    </row>
    <row r="1958" spans="1:10" x14ac:dyDescent="0.2">
      <c r="A1958" s="2">
        <v>1950</v>
      </c>
      <c r="B1958" s="14">
        <f>A1958*Assumptions!$B$12</f>
        <v>19.5</v>
      </c>
      <c r="C1958" s="15">
        <f>IF(A1958&lt;=Assumptions!$B$13,IF(OR(A1958=0,A1958=Assumptions!$B$13),0.5,1),0)*Assumptions!$B$12</f>
        <v>0.01</v>
      </c>
      <c r="D1958" s="12">
        <f>D1957*(1-Assumptions!$B$12*(Assumptions!$B$5+Assumptions!$B$6))</f>
        <v>0.55705696813909888</v>
      </c>
      <c r="E1958" s="12">
        <f>E1957+Assumptions!$B$12*(D1957*Assumptions!$B$5-E1957*Assumptions!$B$7)</f>
        <v>0.17995657465864046</v>
      </c>
      <c r="F1958" s="12">
        <f t="shared" si="90"/>
        <v>0.26298645720226066</v>
      </c>
      <c r="G1958" s="12">
        <f>EXP(-Assumptions!$B$8*B1958)</f>
        <v>0.37719235356315689</v>
      </c>
      <c r="H1958" s="12">
        <f t="shared" si="91"/>
        <v>0.21011762888114321</v>
      </c>
      <c r="I1958" s="12">
        <f t="shared" si="92"/>
        <v>6.7878243934656551E-2</v>
      </c>
      <c r="J1958" s="12">
        <f>G1958*(D1958*Assumptions!$B$6+E1958*Assumptions!$B$7)</f>
        <v>5.4950884855442606E-3</v>
      </c>
    </row>
    <row r="1959" spans="1:10" x14ac:dyDescent="0.2">
      <c r="A1959" s="2">
        <v>1951</v>
      </c>
      <c r="B1959" s="14">
        <f>A1959*Assumptions!$B$12</f>
        <v>19.510000000000002</v>
      </c>
      <c r="C1959" s="15">
        <f>IF(A1959&lt;=Assumptions!$B$13,IF(OR(A1959=0,A1959=Assumptions!$B$13),0.5,1),0)*Assumptions!$B$12</f>
        <v>0.01</v>
      </c>
      <c r="D1959" s="12">
        <f>D1958*(1-Assumptions!$B$12*(Assumptions!$B$5+Assumptions!$B$6))</f>
        <v>0.55688985104865718</v>
      </c>
      <c r="E1959" s="12">
        <f>E1958+Assumptions!$B$12*(D1958*Assumptions!$B$5-E1958*Assumptions!$B$7)</f>
        <v>0.17997800776493897</v>
      </c>
      <c r="F1959" s="12">
        <f t="shared" si="90"/>
        <v>0.26313214118640382</v>
      </c>
      <c r="G1959" s="12">
        <f>EXP(-Assumptions!$B$8*B1959)</f>
        <v>0.37700380452756227</v>
      </c>
      <c r="H1959" s="12">
        <f t="shared" si="91"/>
        <v>0.20994959254813123</v>
      </c>
      <c r="I1959" s="12">
        <f t="shared" si="92"/>
        <v>6.7852393658673141E-2</v>
      </c>
      <c r="J1959" s="12">
        <f>G1959*(D1959*Assumptions!$B$6+E1959*Assumptions!$B$7)</f>
        <v>5.4921156084149691E-3</v>
      </c>
    </row>
    <row r="1960" spans="1:10" x14ac:dyDescent="0.2">
      <c r="A1960" s="2">
        <v>1952</v>
      </c>
      <c r="B1960" s="14">
        <f>A1960*Assumptions!$B$12</f>
        <v>19.52</v>
      </c>
      <c r="C1960" s="15">
        <f>IF(A1960&lt;=Assumptions!$B$13,IF(OR(A1960=0,A1960=Assumptions!$B$13),0.5,1),0)*Assumptions!$B$12</f>
        <v>0.01</v>
      </c>
      <c r="D1960" s="12">
        <f>D1959*(1-Assumptions!$B$12*(Assumptions!$B$5+Assumptions!$B$6))</f>
        <v>0.55672278409334264</v>
      </c>
      <c r="E1960" s="12">
        <f>E1959+Assumptions!$B$12*(D1959*Assumptions!$B$5-E1959*Assumptions!$B$7)</f>
        <v>0.17999939673126622</v>
      </c>
      <c r="F1960" s="12">
        <f t="shared" si="90"/>
        <v>0.26327781917539117</v>
      </c>
      <c r="G1960" s="12">
        <f>EXP(-Assumptions!$B$8*B1960)</f>
        <v>0.37681534974292086</v>
      </c>
      <c r="H1960" s="12">
        <f t="shared" si="91"/>
        <v>0.20978169059798552</v>
      </c>
      <c r="I1960" s="12">
        <f t="shared" si="92"/>
        <v>6.7826535632806842E-2</v>
      </c>
      <c r="J1960" s="12">
        <f>G1960*(D1960*Assumptions!$B$6+E1960*Assumptions!$B$7)</f>
        <v>5.4891436876201979E-3</v>
      </c>
    </row>
    <row r="1961" spans="1:10" x14ac:dyDescent="0.2">
      <c r="A1961" s="2">
        <v>1953</v>
      </c>
      <c r="B1961" s="14">
        <f>A1961*Assumptions!$B$12</f>
        <v>19.53</v>
      </c>
      <c r="C1961" s="15">
        <f>IF(A1961&lt;=Assumptions!$B$13,IF(OR(A1961=0,A1961=Assumptions!$B$13),0.5,1),0)*Assumptions!$B$12</f>
        <v>0.01</v>
      </c>
      <c r="D1961" s="12">
        <f>D1960*(1-Assumptions!$B$12*(Assumptions!$B$5+Assumptions!$B$6))</f>
        <v>0.55655576725811462</v>
      </c>
      <c r="E1961" s="12">
        <f>E1960+Assumptions!$B$12*(D1960*Assumptions!$B$5-E1960*Assumptions!$B$7)</f>
        <v>0.18002074158971926</v>
      </c>
      <c r="F1961" s="12">
        <f t="shared" si="90"/>
        <v>0.26342349115216612</v>
      </c>
      <c r="G1961" s="12">
        <f>EXP(-Assumptions!$B$8*B1961)</f>
        <v>0.37662698916211873</v>
      </c>
      <c r="H1961" s="12">
        <f t="shared" si="91"/>
        <v>0.20961392292323661</v>
      </c>
      <c r="I1961" s="12">
        <f t="shared" si="92"/>
        <v>6.7800669891667775E-2</v>
      </c>
      <c r="J1961" s="12">
        <f>G1961*(D1961*Assumptions!$B$6+E1961*Assumptions!$B$7)</f>
        <v>5.4861727238157548E-3</v>
      </c>
    </row>
    <row r="1962" spans="1:10" x14ac:dyDescent="0.2">
      <c r="A1962" s="2">
        <v>1954</v>
      </c>
      <c r="B1962" s="14">
        <f>A1962*Assumptions!$B$12</f>
        <v>19.54</v>
      </c>
      <c r="C1962" s="15">
        <f>IF(A1962&lt;=Assumptions!$B$13,IF(OR(A1962=0,A1962=Assumptions!$B$13),0.5,1),0)*Assumptions!$B$12</f>
        <v>0.01</v>
      </c>
      <c r="D1962" s="12">
        <f>D1961*(1-Assumptions!$B$12*(Assumptions!$B$5+Assumptions!$B$6))</f>
        <v>0.55638880052793716</v>
      </c>
      <c r="E1962" s="12">
        <f>E1961+Assumptions!$B$12*(D1961*Assumptions!$B$5-E1961*Assumptions!$B$7)</f>
        <v>0.18004204237237603</v>
      </c>
      <c r="F1962" s="12">
        <f t="shared" si="90"/>
        <v>0.26356915709968681</v>
      </c>
      <c r="G1962" s="12">
        <f>EXP(-Assumptions!$B$8*B1962)</f>
        <v>0.37643872273806595</v>
      </c>
      <c r="H1962" s="12">
        <f t="shared" si="91"/>
        <v>0.2094462894165012</v>
      </c>
      <c r="I1962" s="12">
        <f t="shared" si="92"/>
        <v>6.7774796469809981E-2</v>
      </c>
      <c r="J1962" s="12">
        <f>G1962*(D1962*Assumptions!$B$6+E1962*Assumptions!$B$7)</f>
        <v>5.4832027176555118E-3</v>
      </c>
    </row>
    <row r="1963" spans="1:10" x14ac:dyDescent="0.2">
      <c r="A1963" s="2">
        <v>1955</v>
      </c>
      <c r="B1963" s="14">
        <f>A1963*Assumptions!$B$12</f>
        <v>19.55</v>
      </c>
      <c r="C1963" s="15">
        <f>IF(A1963&lt;=Assumptions!$B$13,IF(OR(A1963=0,A1963=Assumptions!$B$13),0.5,1),0)*Assumptions!$B$12</f>
        <v>0.01</v>
      </c>
      <c r="D1963" s="12">
        <f>D1962*(1-Assumptions!$B$12*(Assumptions!$B$5+Assumptions!$B$6))</f>
        <v>0.55622188388777882</v>
      </c>
      <c r="E1963" s="12">
        <f>E1962+Assumptions!$B$12*(D1962*Assumptions!$B$5-E1962*Assumptions!$B$7)</f>
        <v>0.18006329911129543</v>
      </c>
      <c r="F1963" s="12">
        <f t="shared" si="90"/>
        <v>0.26371481700092575</v>
      </c>
      <c r="G1963" s="12">
        <f>EXP(-Assumptions!$B$8*B1963)</f>
        <v>0.37625055042369576</v>
      </c>
      <c r="H1963" s="12">
        <f t="shared" si="91"/>
        <v>0.20927878997048177</v>
      </c>
      <c r="I1963" s="12">
        <f t="shared" si="92"/>
        <v>6.7748915401731474E-2</v>
      </c>
      <c r="J1963" s="12">
        <f>G1963*(D1963*Assumptions!$B$6+E1963*Assumptions!$B$7)</f>
        <v>5.4802336697913918E-3</v>
      </c>
    </row>
    <row r="1964" spans="1:10" x14ac:dyDescent="0.2">
      <c r="A1964" s="2">
        <v>1956</v>
      </c>
      <c r="B1964" s="14">
        <f>A1964*Assumptions!$B$12</f>
        <v>19.559999999999999</v>
      </c>
      <c r="C1964" s="15">
        <f>IF(A1964&lt;=Assumptions!$B$13,IF(OR(A1964=0,A1964=Assumptions!$B$13),0.5,1),0)*Assumptions!$B$12</f>
        <v>0.01</v>
      </c>
      <c r="D1964" s="12">
        <f>D1963*(1-Assumptions!$B$12*(Assumptions!$B$5+Assumptions!$B$6))</f>
        <v>0.55605501732261253</v>
      </c>
      <c r="E1964" s="12">
        <f>E1963+Assumptions!$B$12*(D1963*Assumptions!$B$5-E1963*Assumptions!$B$7)</f>
        <v>0.18008451183851734</v>
      </c>
      <c r="F1964" s="12">
        <f t="shared" si="90"/>
        <v>0.2638604708388701</v>
      </c>
      <c r="G1964" s="12">
        <f>EXP(-Assumptions!$B$8*B1964)</f>
        <v>0.37606247217196515</v>
      </c>
      <c r="H1964" s="12">
        <f t="shared" si="91"/>
        <v>0.20911142447796657</v>
      </c>
      <c r="I1964" s="12">
        <f t="shared" si="92"/>
        <v>6.7723026721874358E-2</v>
      </c>
      <c r="J1964" s="12">
        <f>G1964*(D1964*Assumptions!$B$6+E1964*Assumptions!$B$7)</f>
        <v>5.4772655808733835E-3</v>
      </c>
    </row>
    <row r="1965" spans="1:10" x14ac:dyDescent="0.2">
      <c r="A1965" s="2">
        <v>1957</v>
      </c>
      <c r="B1965" s="14">
        <f>A1965*Assumptions!$B$12</f>
        <v>19.57</v>
      </c>
      <c r="C1965" s="15">
        <f>IF(A1965&lt;=Assumptions!$B$13,IF(OR(A1965=0,A1965=Assumptions!$B$13),0.5,1),0)*Assumptions!$B$12</f>
        <v>0.01</v>
      </c>
      <c r="D1965" s="12">
        <f>D1964*(1-Assumptions!$B$12*(Assumptions!$B$5+Assumptions!$B$6))</f>
        <v>0.55588820081741575</v>
      </c>
      <c r="E1965" s="12">
        <f>E1964+Assumptions!$B$12*(D1964*Assumptions!$B$5-E1964*Assumptions!$B$7)</f>
        <v>0.18010568058606261</v>
      </c>
      <c r="F1965" s="12">
        <f t="shared" si="90"/>
        <v>0.26400611859652168</v>
      </c>
      <c r="G1965" s="12">
        <f>EXP(-Assumptions!$B$8*B1965)</f>
        <v>0.37587448793585454</v>
      </c>
      <c r="H1965" s="12">
        <f t="shared" si="91"/>
        <v>0.20894419283182963</v>
      </c>
      <c r="I1965" s="12">
        <f t="shared" si="92"/>
        <v>6.7697130464624861E-2</v>
      </c>
      <c r="J1965" s="12">
        <f>G1965*(D1965*Assumptions!$B$6+E1965*Assumptions!$B$7)</f>
        <v>5.4742984515495398E-3</v>
      </c>
    </row>
    <row r="1966" spans="1:10" x14ac:dyDescent="0.2">
      <c r="A1966" s="2">
        <v>1958</v>
      </c>
      <c r="B1966" s="14">
        <f>A1966*Assumptions!$B$12</f>
        <v>19.580000000000002</v>
      </c>
      <c r="C1966" s="15">
        <f>IF(A1966&lt;=Assumptions!$B$13,IF(OR(A1966=0,A1966=Assumptions!$B$13),0.5,1),0)*Assumptions!$B$12</f>
        <v>0.01</v>
      </c>
      <c r="D1966" s="12">
        <f>D1965*(1-Assumptions!$B$12*(Assumptions!$B$5+Assumptions!$B$6))</f>
        <v>0.55572143435717059</v>
      </c>
      <c r="E1966" s="12">
        <f>E1965+Assumptions!$B$12*(D1965*Assumptions!$B$5-E1965*Assumptions!$B$7)</f>
        <v>0.18012680538593306</v>
      </c>
      <c r="F1966" s="12">
        <f t="shared" si="90"/>
        <v>0.26415176025689635</v>
      </c>
      <c r="G1966" s="12">
        <f>EXP(-Assumptions!$B$8*B1966)</f>
        <v>0.37568659766836782</v>
      </c>
      <c r="H1966" s="12">
        <f t="shared" si="91"/>
        <v>0.20877709492503063</v>
      </c>
      <c r="I1966" s="12">
        <f t="shared" si="92"/>
        <v>6.7671226664313425E-2</v>
      </c>
      <c r="J1966" s="12">
        <f>G1966*(D1966*Assumptions!$B$6+E1966*Assumptions!$B$7)</f>
        <v>5.4713322824659774E-3</v>
      </c>
    </row>
    <row r="1967" spans="1:10" x14ac:dyDescent="0.2">
      <c r="A1967" s="2">
        <v>1959</v>
      </c>
      <c r="B1967" s="14">
        <f>A1967*Assumptions!$B$12</f>
        <v>19.59</v>
      </c>
      <c r="C1967" s="15">
        <f>IF(A1967&lt;=Assumptions!$B$13,IF(OR(A1967=0,A1967=Assumptions!$B$13),0.5,1),0)*Assumptions!$B$12</f>
        <v>0.01</v>
      </c>
      <c r="D1967" s="12">
        <f>D1966*(1-Assumptions!$B$12*(Assumptions!$B$5+Assumptions!$B$6))</f>
        <v>0.55555471792686351</v>
      </c>
      <c r="E1967" s="12">
        <f>E1966+Assumptions!$B$12*(D1966*Assumptions!$B$5-E1966*Assumptions!$B$7)</f>
        <v>0.18014788627011152</v>
      </c>
      <c r="F1967" s="12">
        <f t="shared" si="90"/>
        <v>0.26429739580302497</v>
      </c>
      <c r="G1967" s="12">
        <f>EXP(-Assumptions!$B$8*B1967)</f>
        <v>0.37549880132253255</v>
      </c>
      <c r="H1967" s="12">
        <f t="shared" si="91"/>
        <v>0.20861013065061493</v>
      </c>
      <c r="I1967" s="12">
        <f t="shared" si="92"/>
        <v>6.76453153552148E-2</v>
      </c>
      <c r="J1967" s="12">
        <f>G1967*(D1967*Assumptions!$B$6+E1967*Assumptions!$B$7)</f>
        <v>5.4683670742668887E-3</v>
      </c>
    </row>
    <row r="1968" spans="1:10" x14ac:dyDescent="0.2">
      <c r="A1968" s="2">
        <v>1960</v>
      </c>
      <c r="B1968" s="14">
        <f>A1968*Assumptions!$B$12</f>
        <v>19.600000000000001</v>
      </c>
      <c r="C1968" s="15">
        <f>IF(A1968&lt;=Assumptions!$B$13,IF(OR(A1968=0,A1968=Assumptions!$B$13),0.5,1),0)*Assumptions!$B$12</f>
        <v>0.01</v>
      </c>
      <c r="D1968" s="12">
        <f>D1967*(1-Assumptions!$B$12*(Assumptions!$B$5+Assumptions!$B$6))</f>
        <v>0.55538805151148551</v>
      </c>
      <c r="E1968" s="12">
        <f>E1967+Assumptions!$B$12*(D1967*Assumptions!$B$5-E1967*Assumptions!$B$7)</f>
        <v>0.18016892327056183</v>
      </c>
      <c r="F1968" s="12">
        <f t="shared" si="90"/>
        <v>0.26444302521795265</v>
      </c>
      <c r="G1968" s="12">
        <f>EXP(-Assumptions!$B$8*B1968)</f>
        <v>0.37531109885139952</v>
      </c>
      <c r="H1968" s="12">
        <f t="shared" si="91"/>
        <v>0.20844329990171331</v>
      </c>
      <c r="I1968" s="12">
        <f t="shared" si="92"/>
        <v>6.7619396571548043E-2</v>
      </c>
      <c r="J1968" s="12">
        <f>G1968*(D1968*Assumptions!$B$6+E1968*Assumptions!$B$7)</f>
        <v>5.4654028275945357E-3</v>
      </c>
    </row>
    <row r="1969" spans="1:10" x14ac:dyDescent="0.2">
      <c r="A1969" s="2">
        <v>1961</v>
      </c>
      <c r="B1969" s="14">
        <f>A1969*Assumptions!$B$12</f>
        <v>19.61</v>
      </c>
      <c r="C1969" s="15">
        <f>IF(A1969&lt;=Assumptions!$B$13,IF(OR(A1969=0,A1969=Assumptions!$B$13),0.5,1),0)*Assumptions!$B$12</f>
        <v>0.01</v>
      </c>
      <c r="D1969" s="12">
        <f>D1968*(1-Assumptions!$B$12*(Assumptions!$B$5+Assumptions!$B$6))</f>
        <v>0.55522143509603206</v>
      </c>
      <c r="E1969" s="12">
        <f>E1968+Assumptions!$B$12*(D1968*Assumptions!$B$5-E1968*Assumptions!$B$7)</f>
        <v>0.18018991641922885</v>
      </c>
      <c r="F1969" s="12">
        <f t="shared" si="90"/>
        <v>0.26458864848473906</v>
      </c>
      <c r="G1969" s="12">
        <f>EXP(-Assumptions!$B$8*B1969)</f>
        <v>0.3751234902080432</v>
      </c>
      <c r="H1969" s="12">
        <f t="shared" si="91"/>
        <v>0.20827660257154207</v>
      </c>
      <c r="I1969" s="12">
        <f t="shared" si="92"/>
        <v>6.7593470347476717E-2</v>
      </c>
      <c r="J1969" s="12">
        <f>G1969*(D1969*Assumptions!$B$6+E1969*Assumptions!$B$7)</f>
        <v>5.4624395430892571E-3</v>
      </c>
    </row>
    <row r="1970" spans="1:10" x14ac:dyDescent="0.2">
      <c r="A1970" s="2">
        <v>1962</v>
      </c>
      <c r="B1970" s="14">
        <f>A1970*Assumptions!$B$12</f>
        <v>19.62</v>
      </c>
      <c r="C1970" s="15">
        <f>IF(A1970&lt;=Assumptions!$B$13,IF(OR(A1970=0,A1970=Assumptions!$B$13),0.5,1),0)*Assumptions!$B$12</f>
        <v>0.01</v>
      </c>
      <c r="D1970" s="12">
        <f>D1969*(1-Assumptions!$B$12*(Assumptions!$B$5+Assumptions!$B$6))</f>
        <v>0.55505486866550324</v>
      </c>
      <c r="E1970" s="12">
        <f>E1969+Assumptions!$B$12*(D1969*Assumptions!$B$5-E1969*Assumptions!$B$7)</f>
        <v>0.18021086574803843</v>
      </c>
      <c r="F1970" s="12">
        <f t="shared" si="90"/>
        <v>0.26473426558645829</v>
      </c>
      <c r="G1970" s="12">
        <f>EXP(-Assumptions!$B$8*B1970)</f>
        <v>0.37493597534556133</v>
      </c>
      <c r="H1970" s="12">
        <f t="shared" si="91"/>
        <v>0.2081100385534029</v>
      </c>
      <c r="I1970" s="12">
        <f t="shared" si="92"/>
        <v>6.75675367171088E-2</v>
      </c>
      <c r="J1970" s="12">
        <f>G1970*(D1970*Assumptions!$B$6+E1970*Assumptions!$B$7)</f>
        <v>5.4594772213894692E-3</v>
      </c>
    </row>
    <row r="1971" spans="1:10" x14ac:dyDescent="0.2">
      <c r="A1971" s="2">
        <v>1963</v>
      </c>
      <c r="B1971" s="14">
        <f>A1971*Assumptions!$B$12</f>
        <v>19.63</v>
      </c>
      <c r="C1971" s="15">
        <f>IF(A1971&lt;=Assumptions!$B$13,IF(OR(A1971=0,A1971=Assumptions!$B$13),0.5,1),0)*Assumptions!$B$12</f>
        <v>0.01</v>
      </c>
      <c r="D1971" s="12">
        <f>D1970*(1-Assumptions!$B$12*(Assumptions!$B$5+Assumptions!$B$6))</f>
        <v>0.55488835220490362</v>
      </c>
      <c r="E1971" s="12">
        <f>E1970+Assumptions!$B$12*(D1970*Assumptions!$B$5-E1970*Assumptions!$B$7)</f>
        <v>0.18023177128889753</v>
      </c>
      <c r="F1971" s="12">
        <f t="shared" si="90"/>
        <v>0.26487987650619882</v>
      </c>
      <c r="G1971" s="12">
        <f>EXP(-Assumptions!$B$8*B1971)</f>
        <v>0.37474855421707526</v>
      </c>
      <c r="H1971" s="12">
        <f t="shared" si="91"/>
        <v>0.20794360774068288</v>
      </c>
      <c r="I1971" s="12">
        <f t="shared" si="92"/>
        <v>6.754159571449693E-2</v>
      </c>
      <c r="J1971" s="12">
        <f>G1971*(D1971*Assumptions!$B$6+E1971*Assumptions!$B$7)</f>
        <v>5.4565158631316758E-3</v>
      </c>
    </row>
    <row r="1972" spans="1:10" x14ac:dyDescent="0.2">
      <c r="A1972" s="2">
        <v>1964</v>
      </c>
      <c r="B1972" s="14">
        <f>A1972*Assumptions!$B$12</f>
        <v>19.64</v>
      </c>
      <c r="C1972" s="15">
        <f>IF(A1972&lt;=Assumptions!$B$13,IF(OR(A1972=0,A1972=Assumptions!$B$13),0.5,1),0)*Assumptions!$B$12</f>
        <v>0.01</v>
      </c>
      <c r="D1972" s="12">
        <f>D1971*(1-Assumptions!$B$12*(Assumptions!$B$5+Assumptions!$B$6))</f>
        <v>0.55472188569924219</v>
      </c>
      <c r="E1972" s="12">
        <f>E1971+Assumptions!$B$12*(D1971*Assumptions!$B$5-E1971*Assumptions!$B$7)</f>
        <v>0.18025263307369407</v>
      </c>
      <c r="F1972" s="12">
        <f t="shared" si="90"/>
        <v>0.26502548122706371</v>
      </c>
      <c r="G1972" s="12">
        <f>EXP(-Assumptions!$B$8*B1972)</f>
        <v>0.37456122677572973</v>
      </c>
      <c r="H1972" s="12">
        <f t="shared" si="91"/>
        <v>0.20777731002685429</v>
      </c>
      <c r="I1972" s="12">
        <f t="shared" si="92"/>
        <v>6.7515647373638327E-2</v>
      </c>
      <c r="J1972" s="12">
        <f>G1972*(D1972*Assumptions!$B$6+E1972*Assumptions!$B$7)</f>
        <v>5.4535554689504589E-3</v>
      </c>
    </row>
    <row r="1973" spans="1:10" x14ac:dyDescent="0.2">
      <c r="A1973" s="2">
        <v>1965</v>
      </c>
      <c r="B1973" s="14">
        <f>A1973*Assumptions!$B$12</f>
        <v>19.650000000000002</v>
      </c>
      <c r="C1973" s="15">
        <f>IF(A1973&lt;=Assumptions!$B$13,IF(OR(A1973=0,A1973=Assumptions!$B$13),0.5,1),0)*Assumptions!$B$12</f>
        <v>0.01</v>
      </c>
      <c r="D1973" s="12">
        <f>D1972*(1-Assumptions!$B$12*(Assumptions!$B$5+Assumptions!$B$6))</f>
        <v>0.55455546913353249</v>
      </c>
      <c r="E1973" s="12">
        <f>E1972+Assumptions!$B$12*(D1972*Assumptions!$B$5-E1972*Assumptions!$B$7)</f>
        <v>0.18027345113429707</v>
      </c>
      <c r="F1973" s="12">
        <f t="shared" si="90"/>
        <v>0.26517107973217047</v>
      </c>
      <c r="G1973" s="12">
        <f>EXP(-Assumptions!$B$8*B1973)</f>
        <v>0.37437399297469282</v>
      </c>
      <c r="H1973" s="12">
        <f t="shared" si="91"/>
        <v>0.20761114530547456</v>
      </c>
      <c r="I1973" s="12">
        <f t="shared" si="92"/>
        <v>6.7489691728474965E-2</v>
      </c>
      <c r="J1973" s="12">
        <f>G1973*(D1973*Assumptions!$B$6+E1973*Assumptions!$B$7)</f>
        <v>5.4505960394784937E-3</v>
      </c>
    </row>
    <row r="1974" spans="1:10" x14ac:dyDescent="0.2">
      <c r="A1974" s="2">
        <v>1966</v>
      </c>
      <c r="B1974" s="14">
        <f>A1974*Assumptions!$B$12</f>
        <v>19.66</v>
      </c>
      <c r="C1974" s="15">
        <f>IF(A1974&lt;=Assumptions!$B$13,IF(OR(A1974=0,A1974=Assumptions!$B$13),0.5,1),0)*Assumptions!$B$12</f>
        <v>0.01</v>
      </c>
      <c r="D1974" s="12">
        <f>D1973*(1-Assumptions!$B$12*(Assumptions!$B$5+Assumptions!$B$6))</f>
        <v>0.5543891024927925</v>
      </c>
      <c r="E1974" s="12">
        <f>E1973+Assumptions!$B$12*(D1973*Assumptions!$B$5-E1973*Assumptions!$B$7)</f>
        <v>0.18029422550255664</v>
      </c>
      <c r="F1974" s="12">
        <f t="shared" si="90"/>
        <v>0.26531667200465087</v>
      </c>
      <c r="G1974" s="12">
        <f>EXP(-Assumptions!$B$8*B1974)</f>
        <v>0.37418685276715613</v>
      </c>
      <c r="H1974" s="12">
        <f t="shared" si="91"/>
        <v>0.20744511347018638</v>
      </c>
      <c r="I1974" s="12">
        <f t="shared" si="92"/>
        <v>6.74637288128936E-2</v>
      </c>
      <c r="J1974" s="12">
        <f>G1974*(D1974*Assumptions!$B$6+E1974*Assumptions!$B$7)</f>
        <v>5.4476375753465438E-3</v>
      </c>
    </row>
    <row r="1975" spans="1:10" x14ac:dyDescent="0.2">
      <c r="A1975" s="2">
        <v>1967</v>
      </c>
      <c r="B1975" s="14">
        <f>A1975*Assumptions!$B$12</f>
        <v>19.670000000000002</v>
      </c>
      <c r="C1975" s="15">
        <f>IF(A1975&lt;=Assumptions!$B$13,IF(OR(A1975=0,A1975=Assumptions!$B$13),0.5,1),0)*Assumptions!$B$12</f>
        <v>0.01</v>
      </c>
      <c r="D1975" s="12">
        <f>D1974*(1-Assumptions!$B$12*(Assumptions!$B$5+Assumptions!$B$6))</f>
        <v>0.55422278576204465</v>
      </c>
      <c r="E1975" s="12">
        <f>E1974+Assumptions!$B$12*(D1974*Assumptions!$B$5-E1974*Assumptions!$B$7)</f>
        <v>0.18031495621030391</v>
      </c>
      <c r="F1975" s="12">
        <f t="shared" si="90"/>
        <v>0.26546225802765144</v>
      </c>
      <c r="G1975" s="12">
        <f>EXP(-Assumptions!$B$8*B1975)</f>
        <v>0.37399980610633454</v>
      </c>
      <c r="H1975" s="12">
        <f t="shared" si="91"/>
        <v>0.20727921441471728</v>
      </c>
      <c r="I1975" s="12">
        <f t="shared" si="92"/>
        <v>6.7437758660725863E-2</v>
      </c>
      <c r="J1975" s="12">
        <f>G1975*(D1975*Assumptions!$B$6+E1975*Assumptions!$B$7)</f>
        <v>5.4446800771834657E-3</v>
      </c>
    </row>
    <row r="1976" spans="1:10" x14ac:dyDescent="0.2">
      <c r="A1976" s="2">
        <v>1968</v>
      </c>
      <c r="B1976" s="14">
        <f>A1976*Assumptions!$B$12</f>
        <v>19.68</v>
      </c>
      <c r="C1976" s="15">
        <f>IF(A1976&lt;=Assumptions!$B$13,IF(OR(A1976=0,A1976=Assumptions!$B$13),0.5,1),0)*Assumptions!$B$12</f>
        <v>0.01</v>
      </c>
      <c r="D1976" s="12">
        <f>D1975*(1-Assumptions!$B$12*(Assumptions!$B$5+Assumptions!$B$6))</f>
        <v>0.55405651892631602</v>
      </c>
      <c r="E1976" s="12">
        <f>E1975+Assumptions!$B$12*(D1975*Assumptions!$B$5-E1975*Assumptions!$B$7)</f>
        <v>0.18033564328935117</v>
      </c>
      <c r="F1976" s="12">
        <f t="shared" si="90"/>
        <v>0.26560783778433283</v>
      </c>
      <c r="G1976" s="12">
        <f>EXP(-Assumptions!$B$8*B1976)</f>
        <v>0.37381285294546651</v>
      </c>
      <c r="H1976" s="12">
        <f t="shared" si="91"/>
        <v>0.20711344803288007</v>
      </c>
      <c r="I1976" s="12">
        <f t="shared" si="92"/>
        <v>6.7411781305748333E-2</v>
      </c>
      <c r="J1976" s="12">
        <f>G1976*(D1976*Assumptions!$B$6+E1976*Assumptions!$B$7)</f>
        <v>5.4417235456162179E-3</v>
      </c>
    </row>
    <row r="1977" spans="1:10" x14ac:dyDescent="0.2">
      <c r="A1977" s="2">
        <v>1969</v>
      </c>
      <c r="B1977" s="14">
        <f>A1977*Assumptions!$B$12</f>
        <v>19.690000000000001</v>
      </c>
      <c r="C1977" s="15">
        <f>IF(A1977&lt;=Assumptions!$B$13,IF(OR(A1977=0,A1977=Assumptions!$B$13),0.5,1),0)*Assumptions!$B$12</f>
        <v>0.01</v>
      </c>
      <c r="D1977" s="12">
        <f>D1976*(1-Assumptions!$B$12*(Assumptions!$B$5+Assumptions!$B$6))</f>
        <v>0.55389030197063815</v>
      </c>
      <c r="E1977" s="12">
        <f>E1976+Assumptions!$B$12*(D1976*Assumptions!$B$5-E1976*Assumptions!$B$7)</f>
        <v>0.18035628677149176</v>
      </c>
      <c r="F1977" s="12">
        <f t="shared" si="90"/>
        <v>0.26575341125787011</v>
      </c>
      <c r="G1977" s="12">
        <f>EXP(-Assumptions!$B$8*B1977)</f>
        <v>0.37362599323781354</v>
      </c>
      <c r="H1977" s="12">
        <f t="shared" si="91"/>
        <v>0.20694781421857214</v>
      </c>
      <c r="I1977" s="12">
        <f t="shared" si="92"/>
        <v>6.7385796781682536E-2</v>
      </c>
      <c r="J1977" s="12">
        <f>G1977*(D1977*Assumptions!$B$6+E1977*Assumptions!$B$7)</f>
        <v>5.438767981269849E-3</v>
      </c>
    </row>
    <row r="1978" spans="1:10" x14ac:dyDescent="0.2">
      <c r="A1978" s="2">
        <v>1970</v>
      </c>
      <c r="B1978" s="14">
        <f>A1978*Assumptions!$B$12</f>
        <v>19.7</v>
      </c>
      <c r="C1978" s="15">
        <f>IF(A1978&lt;=Assumptions!$B$13,IF(OR(A1978=0,A1978=Assumptions!$B$13),0.5,1),0)*Assumptions!$B$12</f>
        <v>0.01</v>
      </c>
      <c r="D1978" s="12">
        <f>D1977*(1-Assumptions!$B$12*(Assumptions!$B$5+Assumptions!$B$6))</f>
        <v>0.55372413488004701</v>
      </c>
      <c r="E1978" s="12">
        <f>E1977+Assumptions!$B$12*(D1977*Assumptions!$B$5-E1977*Assumptions!$B$7)</f>
        <v>0.18037688668850013</v>
      </c>
      <c r="F1978" s="12">
        <f t="shared" si="90"/>
        <v>0.26589897843145283</v>
      </c>
      <c r="G1978" s="12">
        <f>EXP(-Assumptions!$B$8*B1978)</f>
        <v>0.37343922693666093</v>
      </c>
      <c r="H1978" s="12">
        <f t="shared" si="91"/>
        <v>0.20678231286577611</v>
      </c>
      <c r="I1978" s="12">
        <f t="shared" si="92"/>
        <v>6.7359805122195179E-2</v>
      </c>
      <c r="J1978" s="12">
        <f>G1978*(D1978*Assumptions!$B$6+E1978*Assumptions!$B$7)</f>
        <v>5.4358133847675193E-3</v>
      </c>
    </row>
    <row r="1979" spans="1:10" x14ac:dyDescent="0.2">
      <c r="A1979" s="2">
        <v>1971</v>
      </c>
      <c r="B1979" s="14">
        <f>A1979*Assumptions!$B$12</f>
        <v>19.71</v>
      </c>
      <c r="C1979" s="15">
        <f>IF(A1979&lt;=Assumptions!$B$13,IF(OR(A1979=0,A1979=Assumptions!$B$13),0.5,1),0)*Assumptions!$B$12</f>
        <v>0.01</v>
      </c>
      <c r="D1979" s="12">
        <f>D1978*(1-Assumptions!$B$12*(Assumptions!$B$5+Assumptions!$B$6))</f>
        <v>0.55355801763958301</v>
      </c>
      <c r="E1979" s="12">
        <f>E1978+Assumptions!$B$12*(D1978*Assumptions!$B$5-E1978*Assumptions!$B$7)</f>
        <v>0.1803974430721319</v>
      </c>
      <c r="F1979" s="12">
        <f t="shared" si="90"/>
        <v>0.26604453928828509</v>
      </c>
      <c r="G1979" s="12">
        <f>EXP(-Assumptions!$B$8*B1979)</f>
        <v>0.37325255399531693</v>
      </c>
      <c r="H1979" s="12">
        <f t="shared" si="91"/>
        <v>0.20661694386855906</v>
      </c>
      <c r="I1979" s="12">
        <f t="shared" si="92"/>
        <v>6.733380636089803E-2</v>
      </c>
      <c r="J1979" s="12">
        <f>G1979*(D1979*Assumptions!$B$6+E1979*Assumptions!$B$7)</f>
        <v>5.4328597567304925E-3</v>
      </c>
    </row>
    <row r="1980" spans="1:10" x14ac:dyDescent="0.2">
      <c r="A1980" s="2">
        <v>1972</v>
      </c>
      <c r="B1980" s="14">
        <f>A1980*Assumptions!$B$12</f>
        <v>19.72</v>
      </c>
      <c r="C1980" s="15">
        <f>IF(A1980&lt;=Assumptions!$B$13,IF(OR(A1980=0,A1980=Assumptions!$B$13),0.5,1),0)*Assumptions!$B$12</f>
        <v>0.01</v>
      </c>
      <c r="D1980" s="12">
        <f>D1979*(1-Assumptions!$B$12*(Assumptions!$B$5+Assumptions!$B$6))</f>
        <v>0.55339195023429111</v>
      </c>
      <c r="E1980" s="12">
        <f>E1979+Assumptions!$B$12*(D1979*Assumptions!$B$5-E1979*Assumptions!$B$7)</f>
        <v>0.18041795595412374</v>
      </c>
      <c r="F1980" s="12">
        <f t="shared" si="90"/>
        <v>0.26619009381158515</v>
      </c>
      <c r="G1980" s="12">
        <f>EXP(-Assumptions!$B$8*B1980)</f>
        <v>0.37306597436711342</v>
      </c>
      <c r="H1980" s="12">
        <f t="shared" si="91"/>
        <v>0.20645170712107294</v>
      </c>
      <c r="I1980" s="12">
        <f t="shared" si="92"/>
        <v>6.7307800531348119E-2</v>
      </c>
      <c r="J1980" s="12">
        <f>G1980*(D1980*Assumptions!$B$6+E1980*Assumptions!$B$7)</f>
        <v>5.4299070977781357E-3</v>
      </c>
    </row>
    <row r="1981" spans="1:10" x14ac:dyDescent="0.2">
      <c r="A1981" s="2">
        <v>1973</v>
      </c>
      <c r="B1981" s="14">
        <f>A1981*Assumptions!$B$12</f>
        <v>19.73</v>
      </c>
      <c r="C1981" s="15">
        <f>IF(A1981&lt;=Assumptions!$B$13,IF(OR(A1981=0,A1981=Assumptions!$B$13),0.5,1),0)*Assumptions!$B$12</f>
        <v>0.01</v>
      </c>
      <c r="D1981" s="12">
        <f>D1980*(1-Assumptions!$B$12*(Assumptions!$B$5+Assumptions!$B$6))</f>
        <v>0.55322593264922082</v>
      </c>
      <c r="E1981" s="12">
        <f>E1980+Assumptions!$B$12*(D1980*Assumptions!$B$5-E1980*Assumptions!$B$7)</f>
        <v>0.18043842536619353</v>
      </c>
      <c r="F1981" s="12">
        <f t="shared" si="90"/>
        <v>0.26633564198458565</v>
      </c>
      <c r="G1981" s="12">
        <f>EXP(-Assumptions!$B$8*B1981)</f>
        <v>0.37287948800540538</v>
      </c>
      <c r="H1981" s="12">
        <f t="shared" si="91"/>
        <v>0.20628660251755435</v>
      </c>
      <c r="I1981" s="12">
        <f t="shared" si="92"/>
        <v>6.7281787667047802E-2</v>
      </c>
      <c r="J1981" s="12">
        <f>G1981*(D1981*Assumptions!$B$6+E1981*Assumptions!$B$7)</f>
        <v>5.4269554085279335E-3</v>
      </c>
    </row>
    <row r="1982" spans="1:10" x14ac:dyDescent="0.2">
      <c r="A1982" s="2">
        <v>1974</v>
      </c>
      <c r="B1982" s="14">
        <f>A1982*Assumptions!$B$12</f>
        <v>19.740000000000002</v>
      </c>
      <c r="C1982" s="15">
        <f>IF(A1982&lt;=Assumptions!$B$13,IF(OR(A1982=0,A1982=Assumptions!$B$13),0.5,1),0)*Assumptions!$B$12</f>
        <v>0.01</v>
      </c>
      <c r="D1982" s="12">
        <f>D1981*(1-Assumptions!$B$12*(Assumptions!$B$5+Assumptions!$B$6))</f>
        <v>0.5530599648694261</v>
      </c>
      <c r="E1982" s="12">
        <f>E1981+Assumptions!$B$12*(D1981*Assumptions!$B$5-E1981*Assumptions!$B$7)</f>
        <v>0.18045885134004028</v>
      </c>
      <c r="F1982" s="12">
        <f t="shared" si="90"/>
        <v>0.26648118379053365</v>
      </c>
      <c r="G1982" s="12">
        <f>EXP(-Assumptions!$B$8*B1982)</f>
        <v>0.37269309486357133</v>
      </c>
      <c r="H1982" s="12">
        <f t="shared" si="91"/>
        <v>0.20612162995232444</v>
      </c>
      <c r="I1982" s="12">
        <f t="shared" si="92"/>
        <v>6.7255767801444752E-2</v>
      </c>
      <c r="J1982" s="12">
        <f>G1982*(D1982*Assumptions!$B$6+E1982*Assumptions!$B$7)</f>
        <v>5.4240046895954819E-3</v>
      </c>
    </row>
    <row r="1983" spans="1:10" x14ac:dyDescent="0.2">
      <c r="A1983" s="2">
        <v>1975</v>
      </c>
      <c r="B1983" s="14">
        <f>A1983*Assumptions!$B$12</f>
        <v>19.75</v>
      </c>
      <c r="C1983" s="15">
        <f>IF(A1983&lt;=Assumptions!$B$13,IF(OR(A1983=0,A1983=Assumptions!$B$13),0.5,1),0)*Assumptions!$B$12</f>
        <v>0.01</v>
      </c>
      <c r="D1983" s="12">
        <f>D1982*(1-Assumptions!$B$12*(Assumptions!$B$5+Assumptions!$B$6))</f>
        <v>0.55289404687996524</v>
      </c>
      <c r="E1983" s="12">
        <f>E1982+Assumptions!$B$12*(D1982*Assumptions!$B$5-E1982*Assumptions!$B$7)</f>
        <v>0.18047923390734413</v>
      </c>
      <c r="F1983" s="12">
        <f t="shared" si="90"/>
        <v>0.26662671921269065</v>
      </c>
      <c r="G1983" s="12">
        <f>EXP(-Assumptions!$B$8*B1983)</f>
        <v>0.37250679489501293</v>
      </c>
      <c r="H1983" s="12">
        <f t="shared" si="91"/>
        <v>0.20595678931978886</v>
      </c>
      <c r="I1983" s="12">
        <f t="shared" si="92"/>
        <v>6.7229740967932106E-2</v>
      </c>
      <c r="J1983" s="12">
        <f>G1983*(D1983*Assumptions!$B$6+E1983*Assumptions!$B$7)</f>
        <v>5.421054941594494E-3</v>
      </c>
    </row>
    <row r="1984" spans="1:10" x14ac:dyDescent="0.2">
      <c r="A1984" s="2">
        <v>1976</v>
      </c>
      <c r="B1984" s="14">
        <f>A1984*Assumptions!$B$12</f>
        <v>19.760000000000002</v>
      </c>
      <c r="C1984" s="15">
        <f>IF(A1984&lt;=Assumptions!$B$13,IF(OR(A1984=0,A1984=Assumptions!$B$13),0.5,1),0)*Assumptions!$B$12</f>
        <v>0.01</v>
      </c>
      <c r="D1984" s="12">
        <f>D1983*(1-Assumptions!$B$12*(Assumptions!$B$5+Assumptions!$B$6))</f>
        <v>0.55272817866590129</v>
      </c>
      <c r="E1984" s="12">
        <f>E1983+Assumptions!$B$12*(D1983*Assumptions!$B$5-E1983*Assumptions!$B$7)</f>
        <v>0.18049957309976644</v>
      </c>
      <c r="F1984" s="12">
        <f t="shared" si="90"/>
        <v>0.26677224823433227</v>
      </c>
      <c r="G1984" s="12">
        <f>EXP(-Assumptions!$B$8*B1984)</f>
        <v>0.37232058805315521</v>
      </c>
      <c r="H1984" s="12">
        <f t="shared" si="91"/>
        <v>0.20579208051443781</v>
      </c>
      <c r="I1984" s="12">
        <f t="shared" si="92"/>
        <v>6.7203707199848514E-2</v>
      </c>
      <c r="J1984" s="12">
        <f>G1984*(D1984*Assumptions!$B$6+E1984*Assumptions!$B$7)</f>
        <v>5.4181061651368033E-3</v>
      </c>
    </row>
    <row r="1985" spans="1:10" x14ac:dyDescent="0.2">
      <c r="A1985" s="2">
        <v>1977</v>
      </c>
      <c r="B1985" s="14">
        <f>A1985*Assumptions!$B$12</f>
        <v>19.77</v>
      </c>
      <c r="C1985" s="15">
        <f>IF(A1985&lt;=Assumptions!$B$13,IF(OR(A1985=0,A1985=Assumptions!$B$13),0.5,1),0)*Assumptions!$B$12</f>
        <v>0.01</v>
      </c>
      <c r="D1985" s="12">
        <f>D1984*(1-Assumptions!$B$12*(Assumptions!$B$5+Assumptions!$B$6))</f>
        <v>0.55256236021230154</v>
      </c>
      <c r="E1985" s="12">
        <f>E1984+Assumptions!$B$12*(D1984*Assumptions!$B$5-E1984*Assumptions!$B$7)</f>
        <v>0.18051986894894975</v>
      </c>
      <c r="F1985" s="12">
        <f t="shared" si="90"/>
        <v>0.26691777083874868</v>
      </c>
      <c r="G1985" s="12">
        <f>EXP(-Assumptions!$B$8*B1985)</f>
        <v>0.37213447429144642</v>
      </c>
      <c r="H1985" s="12">
        <f t="shared" si="91"/>
        <v>0.20562750343084568</v>
      </c>
      <c r="I1985" s="12">
        <f t="shared" si="92"/>
        <v>6.7177666530478214E-2</v>
      </c>
      <c r="J1985" s="12">
        <f>G1985*(D1985*Assumptions!$B$6+E1985*Assumptions!$B$7)</f>
        <v>5.4151583608323681E-3</v>
      </c>
    </row>
    <row r="1986" spans="1:10" x14ac:dyDescent="0.2">
      <c r="A1986" s="2">
        <v>1978</v>
      </c>
      <c r="B1986" s="14">
        <f>A1986*Assumptions!$B$12</f>
        <v>19.78</v>
      </c>
      <c r="C1986" s="15">
        <f>IF(A1986&lt;=Assumptions!$B$13,IF(OR(A1986=0,A1986=Assumptions!$B$13),0.5,1),0)*Assumptions!$B$12</f>
        <v>0.01</v>
      </c>
      <c r="D1986" s="12">
        <f>D1985*(1-Assumptions!$B$12*(Assumptions!$B$5+Assumptions!$B$6))</f>
        <v>0.55239659150423792</v>
      </c>
      <c r="E1986" s="12">
        <f>E1985+Assumptions!$B$12*(D1985*Assumptions!$B$5-E1985*Assumptions!$B$7)</f>
        <v>0.18054012148651774</v>
      </c>
      <c r="F1986" s="12">
        <f t="shared" si="90"/>
        <v>0.26706328700924431</v>
      </c>
      <c r="G1986" s="12">
        <f>EXP(-Assumptions!$B$8*B1986)</f>
        <v>0.37194845356335815</v>
      </c>
      <c r="H1986" s="12">
        <f t="shared" si="91"/>
        <v>0.20546305796367137</v>
      </c>
      <c r="I1986" s="12">
        <f t="shared" si="92"/>
        <v>6.7151618993051082E-2</v>
      </c>
      <c r="J1986" s="12">
        <f>G1986*(D1986*Assumptions!$B$6+E1986*Assumptions!$B$7)</f>
        <v>5.4122115292892679E-3</v>
      </c>
    </row>
    <row r="1987" spans="1:10" x14ac:dyDescent="0.2">
      <c r="A1987" s="2">
        <v>1979</v>
      </c>
      <c r="B1987" s="14">
        <f>A1987*Assumptions!$B$12</f>
        <v>19.79</v>
      </c>
      <c r="C1987" s="15">
        <f>IF(A1987&lt;=Assumptions!$B$13,IF(OR(A1987=0,A1987=Assumptions!$B$13),0.5,1),0)*Assumptions!$B$12</f>
        <v>0.01</v>
      </c>
      <c r="D1987" s="12">
        <f>D1986*(1-Assumptions!$B$12*(Assumptions!$B$5+Assumptions!$B$6))</f>
        <v>0.55223087252678671</v>
      </c>
      <c r="E1987" s="12">
        <f>E1986+Assumptions!$B$12*(D1986*Assumptions!$B$5-E1986*Assumptions!$B$7)</f>
        <v>0.18056033074407532</v>
      </c>
      <c r="F1987" s="12">
        <f t="shared" si="90"/>
        <v>0.267208796729138</v>
      </c>
      <c r="G1987" s="12">
        <f>EXP(-Assumptions!$B$8*B1987)</f>
        <v>0.37176252582238523</v>
      </c>
      <c r="H1987" s="12">
        <f t="shared" si="91"/>
        <v>0.20529874400765788</v>
      </c>
      <c r="I1987" s="12">
        <f t="shared" si="92"/>
        <v>6.712556462074272E-2</v>
      </c>
      <c r="J1987" s="12">
        <f>G1987*(D1987*Assumptions!$B$6+E1987*Assumptions!$B$7)</f>
        <v>5.4092656711137149E-3</v>
      </c>
    </row>
    <row r="1988" spans="1:10" x14ac:dyDescent="0.2">
      <c r="A1988" s="2">
        <v>1980</v>
      </c>
      <c r="B1988" s="14">
        <f>A1988*Assumptions!$B$12</f>
        <v>19.8</v>
      </c>
      <c r="C1988" s="15">
        <f>IF(A1988&lt;=Assumptions!$B$13,IF(OR(A1988=0,A1988=Assumptions!$B$13),0.5,1),0)*Assumptions!$B$12</f>
        <v>0.01</v>
      </c>
      <c r="D1988" s="12">
        <f>D1987*(1-Assumptions!$B$12*(Assumptions!$B$5+Assumptions!$B$6))</f>
        <v>0.55206520326502873</v>
      </c>
      <c r="E1988" s="12">
        <f>E1987+Assumptions!$B$12*(D1987*Assumptions!$B$5-E1987*Assumptions!$B$7)</f>
        <v>0.18058049675320864</v>
      </c>
      <c r="F1988" s="12">
        <f t="shared" si="90"/>
        <v>0.26735429998176263</v>
      </c>
      <c r="G1988" s="12">
        <f>EXP(-Assumptions!$B$8*B1988)</f>
        <v>0.37157669102204566</v>
      </c>
      <c r="H1988" s="12">
        <f t="shared" si="91"/>
        <v>0.2051345614576324</v>
      </c>
      <c r="I1988" s="12">
        <f t="shared" si="92"/>
        <v>6.7099503446674522E-2</v>
      </c>
      <c r="J1988" s="12">
        <f>G1988*(D1988*Assumptions!$B$6+E1988*Assumptions!$B$7)</f>
        <v>5.4063207869100511E-3</v>
      </c>
    </row>
    <row r="1989" spans="1:10" x14ac:dyDescent="0.2">
      <c r="A1989" s="2">
        <v>1981</v>
      </c>
      <c r="B1989" s="14">
        <f>A1989*Assumptions!$B$12</f>
        <v>19.809999999999999</v>
      </c>
      <c r="C1989" s="15">
        <f>IF(A1989&lt;=Assumptions!$B$13,IF(OR(A1989=0,A1989=Assumptions!$B$13),0.5,1),0)*Assumptions!$B$12</f>
        <v>0.01</v>
      </c>
      <c r="D1989" s="12">
        <f>D1988*(1-Assumptions!$B$12*(Assumptions!$B$5+Assumptions!$B$6))</f>
        <v>0.55189958370404923</v>
      </c>
      <c r="E1989" s="12">
        <f>E1988+Assumptions!$B$12*(D1988*Assumptions!$B$5-E1988*Assumptions!$B$7)</f>
        <v>0.18060061954548504</v>
      </c>
      <c r="F1989" s="12">
        <f t="shared" si="90"/>
        <v>0.26749979675046576</v>
      </c>
      <c r="G1989" s="12">
        <f>EXP(-Assumptions!$B$8*B1989)</f>
        <v>0.37139094911588083</v>
      </c>
      <c r="H1989" s="12">
        <f t="shared" si="91"/>
        <v>0.20497051020850637</v>
      </c>
      <c r="I1989" s="12">
        <f t="shared" si="92"/>
        <v>6.7073435503913786E-2</v>
      </c>
      <c r="J1989" s="12">
        <f>G1989*(D1989*Assumptions!$B$6+E1989*Assumptions!$B$7)</f>
        <v>5.4033768772807529E-3</v>
      </c>
    </row>
    <row r="1990" spans="1:10" x14ac:dyDescent="0.2">
      <c r="A1990" s="2">
        <v>1982</v>
      </c>
      <c r="B1990" s="14">
        <f>A1990*Assumptions!$B$12</f>
        <v>19.82</v>
      </c>
      <c r="C1990" s="15">
        <f>IF(A1990&lt;=Assumptions!$B$13,IF(OR(A1990=0,A1990=Assumptions!$B$13),0.5,1),0)*Assumptions!$B$12</f>
        <v>0.01</v>
      </c>
      <c r="D1990" s="12">
        <f>D1989*(1-Assumptions!$B$12*(Assumptions!$B$5+Assumptions!$B$6))</f>
        <v>0.55173401382893805</v>
      </c>
      <c r="E1990" s="12">
        <f>E1989+Assumptions!$B$12*(D1989*Assumptions!$B$5-E1989*Assumptions!$B$7)</f>
        <v>0.1806206991524531</v>
      </c>
      <c r="F1990" s="12">
        <f t="shared" si="90"/>
        <v>0.26764528701860885</v>
      </c>
      <c r="G1990" s="12">
        <f>EXP(-Assumptions!$B$8*B1990)</f>
        <v>0.37120530005745517</v>
      </c>
      <c r="H1990" s="12">
        <f t="shared" si="91"/>
        <v>0.20480659015527508</v>
      </c>
      <c r="I1990" s="12">
        <f t="shared" si="92"/>
        <v>6.704736082547369E-2</v>
      </c>
      <c r="J1990" s="12">
        <f>G1990*(D1990*Assumptions!$B$6+E1990*Assumptions!$B$7)</f>
        <v>5.4004339428264355E-3</v>
      </c>
    </row>
    <row r="1991" spans="1:10" x14ac:dyDescent="0.2">
      <c r="A1991" s="2">
        <v>1983</v>
      </c>
      <c r="B1991" s="14">
        <f>A1991*Assumptions!$B$12</f>
        <v>19.830000000000002</v>
      </c>
      <c r="C1991" s="15">
        <f>IF(A1991&lt;=Assumptions!$B$13,IF(OR(A1991=0,A1991=Assumptions!$B$13),0.5,1),0)*Assumptions!$B$12</f>
        <v>0.01</v>
      </c>
      <c r="D1991" s="12">
        <f>D1990*(1-Assumptions!$B$12*(Assumptions!$B$5+Assumptions!$B$6))</f>
        <v>0.55156849362478944</v>
      </c>
      <c r="E1991" s="12">
        <f>E1990+Assumptions!$B$12*(D1990*Assumptions!$B$5-E1990*Assumptions!$B$7)</f>
        <v>0.18064073560564267</v>
      </c>
      <c r="F1991" s="12">
        <f t="shared" si="90"/>
        <v>0.26779077076956792</v>
      </c>
      <c r="G1991" s="12">
        <f>EXP(-Assumptions!$B$8*B1991)</f>
        <v>0.37101974380035641</v>
      </c>
      <c r="H1991" s="12">
        <f t="shared" si="91"/>
        <v>0.20464280119301789</v>
      </c>
      <c r="I1991" s="12">
        <f t="shared" si="92"/>
        <v>6.7021279444313464E-2</v>
      </c>
      <c r="J1991" s="12">
        <f>G1991*(D1991*Assumptions!$B$6+E1991*Assumptions!$B$7)</f>
        <v>5.3974919841458524E-3</v>
      </c>
    </row>
    <row r="1992" spans="1:10" x14ac:dyDescent="0.2">
      <c r="A1992" s="2">
        <v>1984</v>
      </c>
      <c r="B1992" s="14">
        <f>A1992*Assumptions!$B$12</f>
        <v>19.84</v>
      </c>
      <c r="C1992" s="15">
        <f>IF(A1992&lt;=Assumptions!$B$13,IF(OR(A1992=0,A1992=Assumptions!$B$13),0.5,1),0)*Assumptions!$B$12</f>
        <v>0.01</v>
      </c>
      <c r="D1992" s="12">
        <f>D1991*(1-Assumptions!$B$12*(Assumptions!$B$5+Assumptions!$B$6))</f>
        <v>0.55140302307670197</v>
      </c>
      <c r="E1992" s="12">
        <f>E1991+Assumptions!$B$12*(D1991*Assumptions!$B$5-E1991*Assumptions!$B$7)</f>
        <v>0.18066072893656482</v>
      </c>
      <c r="F1992" s="12">
        <f t="shared" ref="F1992:F2055" si="93">1-D1992-E1992</f>
        <v>0.26793624798673321</v>
      </c>
      <c r="G1992" s="12">
        <f>EXP(-Assumptions!$B$8*B1992)</f>
        <v>0.37083428029819565</v>
      </c>
      <c r="H1992" s="12">
        <f t="shared" ref="H1992:H2055" si="94">G1992*D1992</f>
        <v>0.20447914321689814</v>
      </c>
      <c r="I1992" s="12">
        <f t="shared" ref="I1992:I2055" si="95">G1992*E1992</f>
        <v>6.6995191393338427E-2</v>
      </c>
      <c r="J1992" s="12">
        <f>G1992*(D1992*Assumptions!$B$6+E1992*Assumptions!$B$7)</f>
        <v>5.3945510018359021E-3</v>
      </c>
    </row>
    <row r="1993" spans="1:10" x14ac:dyDescent="0.2">
      <c r="A1993" s="2">
        <v>1985</v>
      </c>
      <c r="B1993" s="14">
        <f>A1993*Assumptions!$B$12</f>
        <v>19.850000000000001</v>
      </c>
      <c r="C1993" s="15">
        <f>IF(A1993&lt;=Assumptions!$B$13,IF(OR(A1993=0,A1993=Assumptions!$B$13),0.5,1),0)*Assumptions!$B$12</f>
        <v>0.01</v>
      </c>
      <c r="D1993" s="12">
        <f>D1992*(1-Assumptions!$B$12*(Assumptions!$B$5+Assumptions!$B$6))</f>
        <v>0.55123760216977902</v>
      </c>
      <c r="E1993" s="12">
        <f>E1992+Assumptions!$B$12*(D1992*Assumptions!$B$5-E1992*Assumptions!$B$7)</f>
        <v>0.18068067917671188</v>
      </c>
      <c r="F1993" s="12">
        <f t="shared" si="93"/>
        <v>0.2680817186535091</v>
      </c>
      <c r="G1993" s="12">
        <f>EXP(-Assumptions!$B$8*B1993)</f>
        <v>0.37064890950460683</v>
      </c>
      <c r="H1993" s="12">
        <f t="shared" si="94"/>
        <v>0.2043156161221629</v>
      </c>
      <c r="I1993" s="12">
        <f t="shared" si="95"/>
        <v>6.696909670539998E-2</v>
      </c>
      <c r="J1993" s="12">
        <f>G1993*(D1993*Assumptions!$B$6+E1993*Assumptions!$B$7)</f>
        <v>5.3916109964916286E-3</v>
      </c>
    </row>
    <row r="1994" spans="1:10" x14ac:dyDescent="0.2">
      <c r="A1994" s="2">
        <v>1986</v>
      </c>
      <c r="B1994" s="14">
        <f>A1994*Assumptions!$B$12</f>
        <v>19.86</v>
      </c>
      <c r="C1994" s="15">
        <f>IF(A1994&lt;=Assumptions!$B$13,IF(OR(A1994=0,A1994=Assumptions!$B$13),0.5,1),0)*Assumptions!$B$12</f>
        <v>0.01</v>
      </c>
      <c r="D1994" s="12">
        <f>D1993*(1-Assumptions!$B$12*(Assumptions!$B$5+Assumptions!$B$6))</f>
        <v>0.55107223088912816</v>
      </c>
      <c r="E1994" s="12">
        <f>E1993+Assumptions!$B$12*(D1993*Assumptions!$B$5-E1993*Assumptions!$B$7)</f>
        <v>0.18070058635755748</v>
      </c>
      <c r="F1994" s="12">
        <f t="shared" si="93"/>
        <v>0.26822718275331436</v>
      </c>
      <c r="G1994" s="12">
        <f>EXP(-Assumptions!$B$8*B1994)</f>
        <v>0.37046363137324734</v>
      </c>
      <c r="H1994" s="12">
        <f t="shared" si="94"/>
        <v>0.20415221980414303</v>
      </c>
      <c r="I1994" s="12">
        <f t="shared" si="95"/>
        <v>6.6942995413295819E-2</v>
      </c>
      <c r="J1994" s="12">
        <f>G1994*(D1994*Assumptions!$B$6+E1994*Assumptions!$B$7)</f>
        <v>5.3886719687062214E-3</v>
      </c>
    </row>
    <row r="1995" spans="1:10" x14ac:dyDescent="0.2">
      <c r="A1995" s="2">
        <v>1987</v>
      </c>
      <c r="B1995" s="14">
        <f>A1995*Assumptions!$B$12</f>
        <v>19.87</v>
      </c>
      <c r="C1995" s="15">
        <f>IF(A1995&lt;=Assumptions!$B$13,IF(OR(A1995=0,A1995=Assumptions!$B$13),0.5,1),0)*Assumptions!$B$12</f>
        <v>0.01</v>
      </c>
      <c r="D1995" s="12">
        <f>D1994*(1-Assumptions!$B$12*(Assumptions!$B$5+Assumptions!$B$6))</f>
        <v>0.55090690921986141</v>
      </c>
      <c r="E1995" s="12">
        <f>E1994+Assumptions!$B$12*(D1994*Assumptions!$B$5-E1994*Assumptions!$B$7)</f>
        <v>0.18072045051055652</v>
      </c>
      <c r="F1995" s="12">
        <f t="shared" si="93"/>
        <v>0.26837264026958207</v>
      </c>
      <c r="G1995" s="12">
        <f>EXP(-Assumptions!$B$8*B1995)</f>
        <v>0.37027844585779762</v>
      </c>
      <c r="H1995" s="12">
        <f t="shared" si="94"/>
        <v>0.20398895415825308</v>
      </c>
      <c r="I1995" s="12">
        <f t="shared" si="95"/>
        <v>6.6916887549769891E-2</v>
      </c>
      <c r="J1995" s="12">
        <f>G1995*(D1995*Assumptions!$B$6+E1995*Assumptions!$B$7)</f>
        <v>5.3857339190710252E-3</v>
      </c>
    </row>
    <row r="1996" spans="1:10" x14ac:dyDescent="0.2">
      <c r="A1996" s="2">
        <v>1988</v>
      </c>
      <c r="B1996" s="14">
        <f>A1996*Assumptions!$B$12</f>
        <v>19.88</v>
      </c>
      <c r="C1996" s="15">
        <f>IF(A1996&lt;=Assumptions!$B$13,IF(OR(A1996=0,A1996=Assumptions!$B$13),0.5,1),0)*Assumptions!$B$12</f>
        <v>0.01</v>
      </c>
      <c r="D1996" s="12">
        <f>D1995*(1-Assumptions!$B$12*(Assumptions!$B$5+Assumptions!$B$6))</f>
        <v>0.55074163714709545</v>
      </c>
      <c r="E1996" s="12">
        <f>E1995+Assumptions!$B$12*(D1995*Assumptions!$B$5-E1995*Assumptions!$B$7)</f>
        <v>0.18074027166714521</v>
      </c>
      <c r="F1996" s="12">
        <f t="shared" si="93"/>
        <v>0.26851809118575931</v>
      </c>
      <c r="G1996" s="12">
        <f>EXP(-Assumptions!$B$8*B1996)</f>
        <v>0.37009335291196127</v>
      </c>
      <c r="H1996" s="12">
        <f t="shared" si="94"/>
        <v>0.20382581907999131</v>
      </c>
      <c r="I1996" s="12">
        <f t="shared" si="95"/>
        <v>6.6890773147512531E-2</v>
      </c>
      <c r="J1996" s="12">
        <f>G1996*(D1996*Assumptions!$B$6+E1996*Assumptions!$B$7)</f>
        <v>5.3827968481755389E-3</v>
      </c>
    </row>
    <row r="1997" spans="1:10" x14ac:dyDescent="0.2">
      <c r="A1997" s="2">
        <v>1989</v>
      </c>
      <c r="B1997" s="14">
        <f>A1997*Assumptions!$B$12</f>
        <v>19.89</v>
      </c>
      <c r="C1997" s="15">
        <f>IF(A1997&lt;=Assumptions!$B$13,IF(OR(A1997=0,A1997=Assumptions!$B$13),0.5,1),0)*Assumptions!$B$12</f>
        <v>0.01</v>
      </c>
      <c r="D1997" s="12">
        <f>D1996*(1-Assumptions!$B$12*(Assumptions!$B$5+Assumptions!$B$6))</f>
        <v>0.55057641465595131</v>
      </c>
      <c r="E1997" s="12">
        <f>E1996+Assumptions!$B$12*(D1996*Assumptions!$B$5-E1996*Assumptions!$B$7)</f>
        <v>0.18076004985874106</v>
      </c>
      <c r="F1997" s="12">
        <f t="shared" si="93"/>
        <v>0.26866353548530764</v>
      </c>
      <c r="G1997" s="12">
        <f>EXP(-Assumptions!$B$8*B1997)</f>
        <v>0.36990835248946508</v>
      </c>
      <c r="H1997" s="12">
        <f t="shared" si="94"/>
        <v>0.20366281446493953</v>
      </c>
      <c r="I1997" s="12">
        <f t="shared" si="95"/>
        <v>6.6864652239160466E-2</v>
      </c>
      <c r="J1997" s="12">
        <f>G1997*(D1997*Assumptions!$B$6+E1997*Assumptions!$B$7)</f>
        <v>5.3798607566074184E-3</v>
      </c>
    </row>
    <row r="1998" spans="1:10" x14ac:dyDescent="0.2">
      <c r="A1998" s="2">
        <v>1990</v>
      </c>
      <c r="B1998" s="14">
        <f>A1998*Assumptions!$B$12</f>
        <v>19.900000000000002</v>
      </c>
      <c r="C1998" s="15">
        <f>IF(A1998&lt;=Assumptions!$B$13,IF(OR(A1998=0,A1998=Assumptions!$B$13),0.5,1),0)*Assumptions!$B$12</f>
        <v>0.01</v>
      </c>
      <c r="D1998" s="12">
        <f>D1997*(1-Assumptions!$B$12*(Assumptions!$B$5+Assumptions!$B$6))</f>
        <v>0.55041124173155453</v>
      </c>
      <c r="E1998" s="12">
        <f>E1997+Assumptions!$B$12*(D1997*Assumptions!$B$5-E1997*Assumptions!$B$7)</f>
        <v>0.18077978511674286</v>
      </c>
      <c r="F1998" s="12">
        <f t="shared" si="93"/>
        <v>0.2688089731517026</v>
      </c>
      <c r="G1998" s="12">
        <f>EXP(-Assumptions!$B$8*B1998)</f>
        <v>0.36972344454405892</v>
      </c>
      <c r="H1998" s="12">
        <f t="shared" si="94"/>
        <v>0.20349994020876302</v>
      </c>
      <c r="I1998" s="12">
        <f t="shared" si="95"/>
        <v>6.6838524857296966E-2</v>
      </c>
      <c r="J1998" s="12">
        <f>G1998*(D1998*Assumptions!$B$6+E1998*Assumptions!$B$7)</f>
        <v>5.3769256449524789E-3</v>
      </c>
    </row>
    <row r="1999" spans="1:10" x14ac:dyDescent="0.2">
      <c r="A1999" s="2">
        <v>1991</v>
      </c>
      <c r="B1999" s="14">
        <f>A1999*Assumptions!$B$12</f>
        <v>19.91</v>
      </c>
      <c r="C1999" s="15">
        <f>IF(A1999&lt;=Assumptions!$B$13,IF(OR(A1999=0,A1999=Assumptions!$B$13),0.5,1),0)*Assumptions!$B$12</f>
        <v>0.01</v>
      </c>
      <c r="D1999" s="12">
        <f>D1998*(1-Assumptions!$B$12*(Assumptions!$B$5+Assumptions!$B$6))</f>
        <v>0.55024611835903514</v>
      </c>
      <c r="E1999" s="12">
        <f>E1998+Assumptions!$B$12*(D1998*Assumptions!$B$5-E1998*Assumptions!$B$7)</f>
        <v>0.18079947747253081</v>
      </c>
      <c r="F1999" s="12">
        <f t="shared" si="93"/>
        <v>0.26895440416843408</v>
      </c>
      <c r="G1999" s="12">
        <f>EXP(-Assumptions!$B$8*B1999)</f>
        <v>0.3695386290295159</v>
      </c>
      <c r="H1999" s="12">
        <f t="shared" si="94"/>
        <v>0.20333719620721058</v>
      </c>
      <c r="I1999" s="12">
        <f t="shared" si="95"/>
        <v>6.6812391034451885E-2</v>
      </c>
      <c r="J1999" s="12">
        <f>G1999*(D1999*Assumptions!$B$6+E1999*Assumptions!$B$7)</f>
        <v>5.3739915137947002E-3</v>
      </c>
    </row>
    <row r="2000" spans="1:10" x14ac:dyDescent="0.2">
      <c r="A2000" s="2">
        <v>1992</v>
      </c>
      <c r="B2000" s="14">
        <f>A2000*Assumptions!$B$12</f>
        <v>19.920000000000002</v>
      </c>
      <c r="C2000" s="15">
        <f>IF(A2000&lt;=Assumptions!$B$13,IF(OR(A2000=0,A2000=Assumptions!$B$13),0.5,1),0)*Assumptions!$B$12</f>
        <v>0.01</v>
      </c>
      <c r="D2000" s="12">
        <f>D1999*(1-Assumptions!$B$12*(Assumptions!$B$5+Assumptions!$B$6))</f>
        <v>0.55008104452352746</v>
      </c>
      <c r="E2000" s="12">
        <f>E1999+Assumptions!$B$12*(D1999*Assumptions!$B$5-E1999*Assumptions!$B$7)</f>
        <v>0.18081912695746635</v>
      </c>
      <c r="F2000" s="12">
        <f t="shared" si="93"/>
        <v>0.26909982851900616</v>
      </c>
      <c r="G2000" s="12">
        <f>EXP(-Assumptions!$B$8*B2000)</f>
        <v>0.36935390589963196</v>
      </c>
      <c r="H2000" s="12">
        <f t="shared" si="94"/>
        <v>0.20317458235611421</v>
      </c>
      <c r="I2000" s="12">
        <f t="shared" si="95"/>
        <v>6.6786250803101632E-2</v>
      </c>
      <c r="J2000" s="12">
        <f>G2000*(D2000*Assumptions!$B$6+E2000*Assumptions!$B$7)</f>
        <v>5.3710583637162244E-3</v>
      </c>
    </row>
    <row r="2001" spans="1:10" x14ac:dyDescent="0.2">
      <c r="A2001" s="2">
        <v>1993</v>
      </c>
      <c r="B2001" s="14">
        <f>A2001*Assumptions!$B$12</f>
        <v>19.93</v>
      </c>
      <c r="C2001" s="15">
        <f>IF(A2001&lt;=Assumptions!$B$13,IF(OR(A2001=0,A2001=Assumptions!$B$13),0.5,1),0)*Assumptions!$B$12</f>
        <v>0.01</v>
      </c>
      <c r="D2001" s="12">
        <f>D2000*(1-Assumptions!$B$12*(Assumptions!$B$5+Assumptions!$B$6))</f>
        <v>0.54991602021017039</v>
      </c>
      <c r="E2001" s="12">
        <f>E2000+Assumptions!$B$12*(D2000*Assumptions!$B$5-E2000*Assumptions!$B$7)</f>
        <v>0.18083873360289232</v>
      </c>
      <c r="F2001" s="12">
        <f t="shared" si="93"/>
        <v>0.26924524618693729</v>
      </c>
      <c r="G2001" s="12">
        <f>EXP(-Assumptions!$B$8*B2001)</f>
        <v>0.3691692751082265</v>
      </c>
      <c r="H2001" s="12">
        <f t="shared" si="94"/>
        <v>0.20301209855138944</v>
      </c>
      <c r="I2001" s="12">
        <f t="shared" si="95"/>
        <v>6.676010419566944E-2</v>
      </c>
      <c r="J2001" s="12">
        <f>G2001*(D2001*Assumptions!$B$6+E2001*Assumptions!$B$7)</f>
        <v>5.3681261952973668E-3</v>
      </c>
    </row>
    <row r="2002" spans="1:10" x14ac:dyDescent="0.2">
      <c r="A2002" s="2">
        <v>1994</v>
      </c>
      <c r="B2002" s="14">
        <f>A2002*Assumptions!$B$12</f>
        <v>19.940000000000001</v>
      </c>
      <c r="C2002" s="15">
        <f>IF(A2002&lt;=Assumptions!$B$13,IF(OR(A2002=0,A2002=Assumptions!$B$13),0.5,1),0)*Assumptions!$B$12</f>
        <v>0.01</v>
      </c>
      <c r="D2002" s="12">
        <f>D2001*(1-Assumptions!$B$12*(Assumptions!$B$5+Assumptions!$B$6))</f>
        <v>0.54975104540410735</v>
      </c>
      <c r="E2002" s="12">
        <f>E2001+Assumptions!$B$12*(D2001*Assumptions!$B$5-E2001*Assumptions!$B$7)</f>
        <v>0.1808582974401329</v>
      </c>
      <c r="F2002" s="12">
        <f t="shared" si="93"/>
        <v>0.26939065715575972</v>
      </c>
      <c r="G2002" s="12">
        <f>EXP(-Assumptions!$B$8*B2002)</f>
        <v>0.36898473660914172</v>
      </c>
      <c r="H2002" s="12">
        <f t="shared" si="94"/>
        <v>0.20284974468903486</v>
      </c>
      <c r="I2002" s="12">
        <f t="shared" si="95"/>
        <v>6.6733951244525247E-2</v>
      </c>
      <c r="J2002" s="12">
        <f>G2002*(D2002*Assumptions!$B$6+E2002*Assumptions!$B$7)</f>
        <v>5.3651950091166117E-3</v>
      </c>
    </row>
    <row r="2003" spans="1:10" x14ac:dyDescent="0.2">
      <c r="A2003" s="2">
        <v>1995</v>
      </c>
      <c r="B2003" s="14">
        <f>A2003*Assumptions!$B$12</f>
        <v>19.95</v>
      </c>
      <c r="C2003" s="15">
        <f>IF(A2003&lt;=Assumptions!$B$13,IF(OR(A2003=0,A2003=Assumptions!$B$13),0.5,1),0)*Assumptions!$B$12</f>
        <v>0.01</v>
      </c>
      <c r="D2003" s="12">
        <f>D2002*(1-Assumptions!$B$12*(Assumptions!$B$5+Assumptions!$B$6))</f>
        <v>0.54958612009048613</v>
      </c>
      <c r="E2003" s="12">
        <f>E2002+Assumptions!$B$12*(D2002*Assumptions!$B$5-E2002*Assumptions!$B$7)</f>
        <v>0.18087781850049367</v>
      </c>
      <c r="F2003" s="12">
        <f t="shared" si="93"/>
        <v>0.2695360614090202</v>
      </c>
      <c r="G2003" s="12">
        <f>EXP(-Assumptions!$B$8*B2003)</f>
        <v>0.36880029035624301</v>
      </c>
      <c r="H2003" s="12">
        <f t="shared" si="94"/>
        <v>0.20268752066513232</v>
      </c>
      <c r="I2003" s="12">
        <f t="shared" si="95"/>
        <v>6.6707791981985884E-2</v>
      </c>
      <c r="J2003" s="12">
        <f>G2003*(D2003*Assumptions!$B$6+E2003*Assumptions!$B$7)</f>
        <v>5.3622648057506184E-3</v>
      </c>
    </row>
    <row r="2004" spans="1:10" x14ac:dyDescent="0.2">
      <c r="A2004" s="2">
        <v>1996</v>
      </c>
      <c r="B2004" s="14">
        <f>A2004*Assumptions!$B$12</f>
        <v>19.96</v>
      </c>
      <c r="C2004" s="15">
        <f>IF(A2004&lt;=Assumptions!$B$13,IF(OR(A2004=0,A2004=Assumptions!$B$13),0.5,1),0)*Assumptions!$B$12</f>
        <v>0.01</v>
      </c>
      <c r="D2004" s="12">
        <f>D2003*(1-Assumptions!$B$12*(Assumptions!$B$5+Assumptions!$B$6))</f>
        <v>0.54942124425445904</v>
      </c>
      <c r="E2004" s="12">
        <f>E2003+Assumptions!$B$12*(D2003*Assumptions!$B$5-E2003*Assumptions!$B$7)</f>
        <v>0.18089729681526151</v>
      </c>
      <c r="F2004" s="12">
        <f t="shared" si="93"/>
        <v>0.26968145893027945</v>
      </c>
      <c r="G2004" s="12">
        <f>EXP(-Assumptions!$B$8*B2004)</f>
        <v>0.36861593630341877</v>
      </c>
      <c r="H2004" s="12">
        <f t="shared" si="94"/>
        <v>0.20252542637584675</v>
      </c>
      <c r="I2004" s="12">
        <f t="shared" si="95"/>
        <v>6.668162644031507E-2</v>
      </c>
      <c r="J2004" s="12">
        <f>G2004*(D2004*Assumptions!$B$6+E2004*Assumptions!$B$7)</f>
        <v>5.3593355857742215E-3</v>
      </c>
    </row>
    <row r="2005" spans="1:10" x14ac:dyDescent="0.2">
      <c r="A2005" s="2">
        <v>1997</v>
      </c>
      <c r="B2005" s="14">
        <f>A2005*Assumptions!$B$12</f>
        <v>19.97</v>
      </c>
      <c r="C2005" s="15">
        <f>IF(A2005&lt;=Assumptions!$B$13,IF(OR(A2005=0,A2005=Assumptions!$B$13),0.5,1),0)*Assumptions!$B$12</f>
        <v>0.01</v>
      </c>
      <c r="D2005" s="12">
        <f>D2004*(1-Assumptions!$B$12*(Assumptions!$B$5+Assumptions!$B$6))</f>
        <v>0.54925641788118273</v>
      </c>
      <c r="E2005" s="12">
        <f>E2004+Assumptions!$B$12*(D2004*Assumptions!$B$5-E2004*Assumptions!$B$7)</f>
        <v>0.18091673241570477</v>
      </c>
      <c r="F2005" s="12">
        <f t="shared" si="93"/>
        <v>0.26982684970311249</v>
      </c>
      <c r="G2005" s="12">
        <f>EXP(-Assumptions!$B$8*B2005)</f>
        <v>0.36843167440458063</v>
      </c>
      <c r="H2005" s="12">
        <f t="shared" si="94"/>
        <v>0.2023634617174262</v>
      </c>
      <c r="I2005" s="12">
        <f t="shared" si="95"/>
        <v>6.6655454651723581E-2</v>
      </c>
      <c r="J2005" s="12">
        <f>G2005*(D2005*Assumptions!$B$6+E2005*Assumptions!$B$7)</f>
        <v>5.3564073497604408E-3</v>
      </c>
    </row>
    <row r="2006" spans="1:10" x14ac:dyDescent="0.2">
      <c r="A2006" s="2">
        <v>1998</v>
      </c>
      <c r="B2006" s="14">
        <f>A2006*Assumptions!$B$12</f>
        <v>19.98</v>
      </c>
      <c r="C2006" s="15">
        <f>IF(A2006&lt;=Assumptions!$B$13,IF(OR(A2006=0,A2006=Assumptions!$B$13),0.5,1),0)*Assumptions!$B$12</f>
        <v>0.01</v>
      </c>
      <c r="D2006" s="12">
        <f>D2005*(1-Assumptions!$B$12*(Assumptions!$B$5+Assumptions!$B$6))</f>
        <v>0.54909164095581842</v>
      </c>
      <c r="E2006" s="12">
        <f>E2005+Assumptions!$B$12*(D2005*Assumptions!$B$5-E2005*Assumptions!$B$7)</f>
        <v>0.18093612533307316</v>
      </c>
      <c r="F2006" s="12">
        <f t="shared" si="93"/>
        <v>0.26997223371110846</v>
      </c>
      <c r="G2006" s="12">
        <f>EXP(-Assumptions!$B$8*B2006)</f>
        <v>0.3682475046136629</v>
      </c>
      <c r="H2006" s="12">
        <f t="shared" si="94"/>
        <v>0.20220162658620147</v>
      </c>
      <c r="I2006" s="12">
        <f t="shared" si="95"/>
        <v>6.6629276648369151E-2</v>
      </c>
      <c r="J2006" s="12">
        <f>G2006*(D2006*Assumptions!$B$6+E2006*Assumptions!$B$7)</f>
        <v>5.3534800982804722E-3</v>
      </c>
    </row>
    <row r="2007" spans="1:10" x14ac:dyDescent="0.2">
      <c r="A2007" s="2">
        <v>1999</v>
      </c>
      <c r="B2007" s="14">
        <f>A2007*Assumptions!$B$12</f>
        <v>19.990000000000002</v>
      </c>
      <c r="C2007" s="15">
        <f>IF(A2007&lt;=Assumptions!$B$13,IF(OR(A2007=0,A2007=Assumptions!$B$13),0.5,1),0)*Assumptions!$B$12</f>
        <v>0.01</v>
      </c>
      <c r="D2007" s="12">
        <f>D2006*(1-Assumptions!$B$12*(Assumptions!$B$5+Assumptions!$B$6))</f>
        <v>0.54892691346353173</v>
      </c>
      <c r="E2007" s="12">
        <f>E2006+Assumptions!$B$12*(D2006*Assumptions!$B$5-E2006*Assumptions!$B$7)</f>
        <v>0.18095547559859779</v>
      </c>
      <c r="F2007" s="12">
        <f t="shared" si="93"/>
        <v>0.27011761093787046</v>
      </c>
      <c r="G2007" s="12">
        <f>EXP(-Assumptions!$B$8*B2007)</f>
        <v>0.36806342688462323</v>
      </c>
      <c r="H2007" s="12">
        <f t="shared" si="94"/>
        <v>0.20203992087858652</v>
      </c>
      <c r="I2007" s="12">
        <f t="shared" si="95"/>
        <v>6.6603092462356725E-2</v>
      </c>
      <c r="J2007" s="12">
        <f>G2007*(D2007*Assumptions!$B$6+E2007*Assumptions!$B$7)</f>
        <v>5.3505538319037014E-3</v>
      </c>
    </row>
    <row r="2008" spans="1:10" x14ac:dyDescent="0.2">
      <c r="A2008" s="2">
        <v>2000</v>
      </c>
      <c r="B2008" s="14">
        <f>A2008*Assumptions!$B$12</f>
        <v>20</v>
      </c>
      <c r="C2008" s="15">
        <f>IF(A2008&lt;=Assumptions!$B$13,IF(OR(A2008=0,A2008=Assumptions!$B$13),0.5,1),0)*Assumptions!$B$12</f>
        <v>5.0000000000000001E-3</v>
      </c>
      <c r="D2008" s="12">
        <f>D2007*(1-Assumptions!$B$12*(Assumptions!$B$5+Assumptions!$B$6))</f>
        <v>0.54876223538949265</v>
      </c>
      <c r="E2008" s="12">
        <f>E2007+Assumptions!$B$12*(D2007*Assumptions!$B$5-E2007*Assumptions!$B$7)</f>
        <v>0.1809747832434912</v>
      </c>
      <c r="F2008" s="12">
        <f t="shared" si="93"/>
        <v>0.27026298136701615</v>
      </c>
      <c r="G2008" s="12">
        <f>EXP(-Assumptions!$B$8*B2008)</f>
        <v>0.36787944117144233</v>
      </c>
      <c r="H2008" s="12">
        <f t="shared" si="94"/>
        <v>0.20187834449107805</v>
      </c>
      <c r="I2008" s="12">
        <f t="shared" si="95"/>
        <v>6.6576902125738455E-2</v>
      </c>
      <c r="J2008" s="12">
        <f>G2008*(D2008*Assumptions!$B$6+E2008*Assumptions!$B$7)</f>
        <v>5.347628551197703E-3</v>
      </c>
    </row>
    <row r="2009" spans="1:10" x14ac:dyDescent="0.2">
      <c r="A2009" s="2">
        <v>2001</v>
      </c>
      <c r="B2009" s="14">
        <f>A2009*Assumptions!$B$12</f>
        <v>20.010000000000002</v>
      </c>
      <c r="C2009" s="15">
        <f>IF(A2009&lt;=Assumptions!$B$13,IF(OR(A2009=0,A2009=Assumptions!$B$13),0.5,1),0)*Assumptions!$B$12</f>
        <v>0</v>
      </c>
      <c r="D2009" s="12">
        <f>D2008*(1-Assumptions!$B$12*(Assumptions!$B$5+Assumptions!$B$6))</f>
        <v>0.54859760671887581</v>
      </c>
      <c r="E2009" s="12">
        <f>E2008+Assumptions!$B$12*(D2008*Assumptions!$B$5-E2008*Assumptions!$B$7)</f>
        <v>0.18099404829894736</v>
      </c>
      <c r="F2009" s="12">
        <f t="shared" si="93"/>
        <v>0.27040834498217681</v>
      </c>
      <c r="G2009" s="12">
        <f>EXP(-Assumptions!$B$8*B2009)</f>
        <v>0.36769554742812349</v>
      </c>
      <c r="H2009" s="12">
        <f t="shared" si="94"/>
        <v>0.20171689732025544</v>
      </c>
      <c r="I2009" s="12">
        <f t="shared" si="95"/>
        <v>6.6550705670513674E-2</v>
      </c>
      <c r="J2009" s="12">
        <f>G2009*(D2009*Assumptions!$B$6+E2009*Assumptions!$B$7)</f>
        <v>5.3447042567282381E-3</v>
      </c>
    </row>
    <row r="2010" spans="1:10" x14ac:dyDescent="0.2">
      <c r="A2010" s="2">
        <v>2002</v>
      </c>
      <c r="B2010" s="14">
        <f>A2010*Assumptions!$B$12</f>
        <v>20.02</v>
      </c>
      <c r="C2010" s="15">
        <f>IF(A2010&lt;=Assumptions!$B$13,IF(OR(A2010=0,A2010=Assumptions!$B$13),0.5,1),0)*Assumptions!$B$12</f>
        <v>0</v>
      </c>
      <c r="D2010" s="12">
        <f>D2009*(1-Assumptions!$B$12*(Assumptions!$B$5+Assumptions!$B$6))</f>
        <v>0.54843302743686018</v>
      </c>
      <c r="E2010" s="12">
        <f>E2009+Assumptions!$B$12*(D2009*Assumptions!$B$5-E2009*Assumptions!$B$7)</f>
        <v>0.18101327079614166</v>
      </c>
      <c r="F2010" s="12">
        <f t="shared" si="93"/>
        <v>0.27055370176699817</v>
      </c>
      <c r="G2010" s="12">
        <f>EXP(-Assumptions!$B$8*B2010)</f>
        <v>0.36751174560869349</v>
      </c>
      <c r="H2010" s="12">
        <f t="shared" si="94"/>
        <v>0.20155557926278098</v>
      </c>
      <c r="I2010" s="12">
        <f t="shared" si="95"/>
        <v>6.6524503128629162E-2</v>
      </c>
      <c r="J2010" s="12">
        <f>G2010*(D2010*Assumptions!$B$6+E2010*Assumptions!$B$7)</f>
        <v>5.3417809490592678E-3</v>
      </c>
    </row>
    <row r="2011" spans="1:10" x14ac:dyDescent="0.2">
      <c r="A2011" s="2">
        <v>2003</v>
      </c>
      <c r="B2011" s="14">
        <f>A2011*Assumptions!$B$12</f>
        <v>20.03</v>
      </c>
      <c r="C2011" s="15">
        <f>IF(A2011&lt;=Assumptions!$B$13,IF(OR(A2011=0,A2011=Assumptions!$B$13),0.5,1),0)*Assumptions!$B$12</f>
        <v>0</v>
      </c>
      <c r="D2011" s="12">
        <f>D2010*(1-Assumptions!$B$12*(Assumptions!$B$5+Assumptions!$B$6))</f>
        <v>0.54826849752862916</v>
      </c>
      <c r="E2011" s="12">
        <f>E2010+Assumptions!$B$12*(D2010*Assumptions!$B$5-E2010*Assumptions!$B$7)</f>
        <v>0.18103245076623095</v>
      </c>
      <c r="F2011" s="12">
        <f t="shared" si="93"/>
        <v>0.27069905170513986</v>
      </c>
      <c r="G2011" s="12">
        <f>EXP(-Assumptions!$B$8*B2011)</f>
        <v>0.36732803566720185</v>
      </c>
      <c r="H2011" s="12">
        <f t="shared" si="94"/>
        <v>0.20139439021539945</v>
      </c>
      <c r="I2011" s="12">
        <f t="shared" si="95"/>
        <v>6.6498294531979044E-2</v>
      </c>
      <c r="J2011" s="12">
        <f>G2011*(D2011*Assumptions!$B$6+E2011*Assumptions!$B$7)</f>
        <v>5.3388586287529474E-3</v>
      </c>
    </row>
    <row r="2012" spans="1:10" x14ac:dyDescent="0.2">
      <c r="A2012" s="2">
        <v>2004</v>
      </c>
      <c r="B2012" s="14">
        <f>A2012*Assumptions!$B$12</f>
        <v>20.04</v>
      </c>
      <c r="C2012" s="15">
        <f>IF(A2012&lt;=Assumptions!$B$13,IF(OR(A2012=0,A2012=Assumptions!$B$13),0.5,1),0)*Assumptions!$B$12</f>
        <v>0</v>
      </c>
      <c r="D2012" s="12">
        <f>D2011*(1-Assumptions!$B$12*(Assumptions!$B$5+Assumptions!$B$6))</f>
        <v>0.54810401697937061</v>
      </c>
      <c r="E2012" s="12">
        <f>E2011+Assumptions!$B$12*(D2011*Assumptions!$B$5-E2011*Assumptions!$B$7)</f>
        <v>0.18105158824035356</v>
      </c>
      <c r="F2012" s="12">
        <f t="shared" si="93"/>
        <v>0.27084439478027583</v>
      </c>
      <c r="G2012" s="12">
        <f>EXP(-Assumptions!$B$8*B2012)</f>
        <v>0.36714441755772104</v>
      </c>
      <c r="H2012" s="12">
        <f t="shared" si="94"/>
        <v>0.20123333007493827</v>
      </c>
      <c r="I2012" s="12">
        <f t="shared" si="95"/>
        <v>6.6472079912404947E-2</v>
      </c>
      <c r="J2012" s="12">
        <f>G2012*(D2012*Assumptions!$B$6+E2012*Assumptions!$B$7)</f>
        <v>5.33593729636963E-3</v>
      </c>
    </row>
    <row r="2013" spans="1:10" x14ac:dyDescent="0.2">
      <c r="A2013" s="2">
        <v>2005</v>
      </c>
      <c r="B2013" s="14">
        <f>A2013*Assumptions!$B$12</f>
        <v>20.05</v>
      </c>
      <c r="C2013" s="15">
        <f>IF(A2013&lt;=Assumptions!$B$13,IF(OR(A2013=0,A2013=Assumptions!$B$13),0.5,1),0)*Assumptions!$B$12</f>
        <v>0</v>
      </c>
      <c r="D2013" s="12">
        <f>D2012*(1-Assumptions!$B$12*(Assumptions!$B$5+Assumptions!$B$6))</f>
        <v>0.54793958577427682</v>
      </c>
      <c r="E2013" s="12">
        <f>E2012+Assumptions!$B$12*(D2012*Assumptions!$B$5-E2012*Assumptions!$B$7)</f>
        <v>0.18107068324962924</v>
      </c>
      <c r="F2013" s="12">
        <f t="shared" si="93"/>
        <v>0.27098973097609391</v>
      </c>
      <c r="G2013" s="12">
        <f>EXP(-Assumptions!$B$8*B2013)</f>
        <v>0.36696089123434639</v>
      </c>
      <c r="H2013" s="12">
        <f t="shared" si="94"/>
        <v>0.20107239873830721</v>
      </c>
      <c r="I2013" s="12">
        <f t="shared" si="95"/>
        <v>6.6445859301695984E-2</v>
      </c>
      <c r="J2013" s="12">
        <f>G2013*(D2013*Assumptions!$B$6+E2013*Assumptions!$B$7)</f>
        <v>5.3330169524678714E-3</v>
      </c>
    </row>
    <row r="2014" spans="1:10" x14ac:dyDescent="0.2">
      <c r="A2014" s="2">
        <v>2006</v>
      </c>
      <c r="B2014" s="14">
        <f>A2014*Assumptions!$B$12</f>
        <v>20.059999999999999</v>
      </c>
      <c r="C2014" s="15">
        <f>IF(A2014&lt;=Assumptions!$B$13,IF(OR(A2014=0,A2014=Assumptions!$B$13),0.5,1),0)*Assumptions!$B$12</f>
        <v>0</v>
      </c>
      <c r="D2014" s="12">
        <f>D2013*(1-Assumptions!$B$12*(Assumptions!$B$5+Assumptions!$B$6))</f>
        <v>0.5477752038985445</v>
      </c>
      <c r="E2014" s="12">
        <f>E2013+Assumptions!$B$12*(D2013*Assumptions!$B$5-E2013*Assumptions!$B$7)</f>
        <v>0.18108973582515928</v>
      </c>
      <c r="F2014" s="12">
        <f t="shared" si="93"/>
        <v>0.27113506027629619</v>
      </c>
      <c r="G2014" s="12">
        <f>EXP(-Assumptions!$B$8*B2014)</f>
        <v>0.36677745665119665</v>
      </c>
      <c r="H2014" s="12">
        <f t="shared" si="94"/>
        <v>0.20091159610249881</v>
      </c>
      <c r="I2014" s="12">
        <f t="shared" si="95"/>
        <v>6.6419632731589004E-2</v>
      </c>
      <c r="J2014" s="12">
        <f>G2014*(D2014*Assumptions!$B$6+E2014*Assumptions!$B$7)</f>
        <v>5.3300975976044388E-3</v>
      </c>
    </row>
    <row r="2015" spans="1:10" x14ac:dyDescent="0.2">
      <c r="A2015" s="2">
        <v>2007</v>
      </c>
      <c r="B2015" s="14">
        <f>A2015*Assumptions!$B$12</f>
        <v>20.07</v>
      </c>
      <c r="C2015" s="15">
        <f>IF(A2015&lt;=Assumptions!$B$13,IF(OR(A2015=0,A2015=Assumptions!$B$13),0.5,1),0)*Assumptions!$B$12</f>
        <v>0</v>
      </c>
      <c r="D2015" s="12">
        <f>D2014*(1-Assumptions!$B$12*(Assumptions!$B$5+Assumptions!$B$6))</f>
        <v>0.54761087133737496</v>
      </c>
      <c r="E2015" s="12">
        <f>E2014+Assumptions!$B$12*(D2014*Assumptions!$B$5-E2014*Assumptions!$B$7)</f>
        <v>0.1811087459980264</v>
      </c>
      <c r="F2015" s="12">
        <f t="shared" si="93"/>
        <v>0.27128038266459864</v>
      </c>
      <c r="G2015" s="12">
        <f>EXP(-Assumptions!$B$8*B2015)</f>
        <v>0.36659411376241285</v>
      </c>
      <c r="H2015" s="12">
        <f t="shared" si="94"/>
        <v>0.20075092206458767</v>
      </c>
      <c r="I2015" s="12">
        <f t="shared" si="95"/>
        <v>6.6393400233768426E-2</v>
      </c>
      <c r="J2015" s="12">
        <f>G2015*(D2015*Assumptions!$B$6+E2015*Assumptions!$B$7)</f>
        <v>5.3271792323342981E-3</v>
      </c>
    </row>
    <row r="2016" spans="1:10" x14ac:dyDescent="0.2">
      <c r="A2016" s="2">
        <v>2008</v>
      </c>
      <c r="B2016" s="14">
        <f>A2016*Assumptions!$B$12</f>
        <v>20.080000000000002</v>
      </c>
      <c r="C2016" s="15">
        <f>IF(A2016&lt;=Assumptions!$B$13,IF(OR(A2016=0,A2016=Assumptions!$B$13),0.5,1),0)*Assumptions!$B$12</f>
        <v>0</v>
      </c>
      <c r="D2016" s="12">
        <f>D2015*(1-Assumptions!$B$12*(Assumptions!$B$5+Assumptions!$B$6))</f>
        <v>0.54744658807597379</v>
      </c>
      <c r="E2016" s="12">
        <f>E2015+Assumptions!$B$12*(D2015*Assumptions!$B$5-E2015*Assumptions!$B$7)</f>
        <v>0.18112771379929485</v>
      </c>
      <c r="F2016" s="12">
        <f t="shared" si="93"/>
        <v>0.27142569812473138</v>
      </c>
      <c r="G2016" s="12">
        <f>EXP(-Assumptions!$B$8*B2016)</f>
        <v>0.36641086252215938</v>
      </c>
      <c r="H2016" s="12">
        <f t="shared" si="94"/>
        <v>0.20059037652173084</v>
      </c>
      <c r="I2016" s="12">
        <f t="shared" si="95"/>
        <v>6.6367161839866448E-2</v>
      </c>
      <c r="J2016" s="12">
        <f>G2016*(D2016*Assumptions!$B$6+E2016*Assumptions!$B$7)</f>
        <v>5.3242618572106317E-3</v>
      </c>
    </row>
    <row r="2017" spans="1:10" x14ac:dyDescent="0.2">
      <c r="A2017" s="2">
        <v>2009</v>
      </c>
      <c r="B2017" s="14">
        <f>A2017*Assumptions!$B$12</f>
        <v>20.09</v>
      </c>
      <c r="C2017" s="15">
        <f>IF(A2017&lt;=Assumptions!$B$13,IF(OR(A2017=0,A2017=Assumptions!$B$13),0.5,1),0)*Assumptions!$B$12</f>
        <v>0</v>
      </c>
      <c r="D2017" s="12">
        <f>D2016*(1-Assumptions!$B$12*(Assumptions!$B$5+Assumptions!$B$6))</f>
        <v>0.54728235409955106</v>
      </c>
      <c r="E2017" s="12">
        <f>E2016+Assumptions!$B$12*(D2016*Assumptions!$B$5-E2016*Assumptions!$B$7)</f>
        <v>0.1811466392600104</v>
      </c>
      <c r="F2017" s="12">
        <f t="shared" si="93"/>
        <v>0.27157100664043854</v>
      </c>
      <c r="G2017" s="12">
        <f>EXP(-Assumptions!$B$8*B2017)</f>
        <v>0.36622770288462358</v>
      </c>
      <c r="H2017" s="12">
        <f t="shared" si="94"/>
        <v>0.20042995937116775</v>
      </c>
      <c r="I2017" s="12">
        <f t="shared" si="95"/>
        <v>6.6340917581463182E-2</v>
      </c>
      <c r="J2017" s="12">
        <f>G2017*(D2017*Assumptions!$B$6+E2017*Assumptions!$B$7)</f>
        <v>5.3213454727848363E-3</v>
      </c>
    </row>
    <row r="2018" spans="1:10" x14ac:dyDescent="0.2">
      <c r="A2018" s="2">
        <v>2010</v>
      </c>
      <c r="B2018" s="14">
        <f>A2018*Assumptions!$B$12</f>
        <v>20.100000000000001</v>
      </c>
      <c r="C2018" s="15">
        <f>IF(A2018&lt;=Assumptions!$B$13,IF(OR(A2018=0,A2018=Assumptions!$B$13),0.5,1),0)*Assumptions!$B$12</f>
        <v>0</v>
      </c>
      <c r="D2018" s="12">
        <f>D2017*(1-Assumptions!$B$12*(Assumptions!$B$5+Assumptions!$B$6))</f>
        <v>0.54711816939332125</v>
      </c>
      <c r="E2018" s="12">
        <f>E2017+Assumptions!$B$12*(D2017*Assumptions!$B$5-E2017*Assumptions!$B$7)</f>
        <v>0.18116552241120029</v>
      </c>
      <c r="F2018" s="12">
        <f t="shared" si="93"/>
        <v>0.27171630819547843</v>
      </c>
      <c r="G2018" s="12">
        <f>EXP(-Assumptions!$B$8*B2018)</f>
        <v>0.36604463480401533</v>
      </c>
      <c r="H2018" s="12">
        <f t="shared" si="94"/>
        <v>0.20026967051021968</v>
      </c>
      <c r="I2018" s="12">
        <f t="shared" si="95"/>
        <v>6.6314667490086465E-2</v>
      </c>
      <c r="J2018" s="12">
        <f>G2018*(D2018*Assumptions!$B$6+E2018*Assumptions!$B$7)</f>
        <v>5.3184300796065209E-3</v>
      </c>
    </row>
    <row r="2019" spans="1:10" x14ac:dyDescent="0.2">
      <c r="A2019" s="2">
        <v>2011</v>
      </c>
      <c r="B2019" s="14">
        <f>A2019*Assumptions!$B$12</f>
        <v>20.11</v>
      </c>
      <c r="C2019" s="15">
        <f>IF(A2019&lt;=Assumptions!$B$13,IF(OR(A2019=0,A2019=Assumptions!$B$13),0.5,1),0)*Assumptions!$B$12</f>
        <v>0</v>
      </c>
      <c r="D2019" s="12">
        <f>D2018*(1-Assumptions!$B$12*(Assumptions!$B$5+Assumptions!$B$6))</f>
        <v>0.5469540339425033</v>
      </c>
      <c r="E2019" s="12">
        <f>E2018+Assumptions!$B$12*(D2018*Assumptions!$B$5-E2018*Assumptions!$B$7)</f>
        <v>0.18118436328387336</v>
      </c>
      <c r="F2019" s="12">
        <f t="shared" si="93"/>
        <v>0.27186160277362337</v>
      </c>
      <c r="G2019" s="12">
        <f>EXP(-Assumptions!$B$8*B2019)</f>
        <v>0.36586165823456768</v>
      </c>
      <c r="H2019" s="12">
        <f t="shared" si="94"/>
        <v>0.20010950983629028</v>
      </c>
      <c r="I2019" s="12">
        <f t="shared" si="95"/>
        <v>6.628841159721223E-2</v>
      </c>
      <c r="J2019" s="12">
        <f>G2019*(D2019*Assumptions!$B$6+E2019*Assumptions!$B$7)</f>
        <v>5.3155156782235145E-3</v>
      </c>
    </row>
    <row r="2020" spans="1:10" x14ac:dyDescent="0.2">
      <c r="A2020" s="2">
        <v>2012</v>
      </c>
      <c r="B2020" s="14">
        <f>A2020*Assumptions!$B$12</f>
        <v>20.12</v>
      </c>
      <c r="C2020" s="15">
        <f>IF(A2020&lt;=Assumptions!$B$13,IF(OR(A2020=0,A2020=Assumptions!$B$13),0.5,1),0)*Assumptions!$B$12</f>
        <v>0</v>
      </c>
      <c r="D2020" s="12">
        <f>D2019*(1-Assumptions!$B$12*(Assumptions!$B$5+Assumptions!$B$6))</f>
        <v>0.54678994773232059</v>
      </c>
      <c r="E2020" s="12">
        <f>E2019+Assumptions!$B$12*(D2019*Assumptions!$B$5-E2019*Assumptions!$B$7)</f>
        <v>0.18120316190901992</v>
      </c>
      <c r="F2020" s="12">
        <f t="shared" si="93"/>
        <v>0.27200689035865949</v>
      </c>
      <c r="G2020" s="12">
        <f>EXP(-Assumptions!$B$8*B2020)</f>
        <v>0.36567877313053654</v>
      </c>
      <c r="H2020" s="12">
        <f t="shared" si="94"/>
        <v>0.19994947724686518</v>
      </c>
      <c r="I2020" s="12">
        <f t="shared" si="95"/>
        <v>6.626214993426438E-2</v>
      </c>
      <c r="J2020" s="12">
        <f>G2020*(D2020*Assumptions!$B$6+E2020*Assumptions!$B$7)</f>
        <v>5.3126022691818717E-3</v>
      </c>
    </row>
    <row r="2021" spans="1:10" x14ac:dyDescent="0.2">
      <c r="A2021" s="2">
        <v>2013</v>
      </c>
      <c r="B2021" s="14">
        <f>A2021*Assumptions!$B$12</f>
        <v>20.13</v>
      </c>
      <c r="C2021" s="15">
        <f>IF(A2021&lt;=Assumptions!$B$13,IF(OR(A2021=0,A2021=Assumptions!$B$13),0.5,1),0)*Assumptions!$B$12</f>
        <v>0</v>
      </c>
      <c r="D2021" s="12">
        <f>D2020*(1-Assumptions!$B$12*(Assumptions!$B$5+Assumptions!$B$6))</f>
        <v>0.54662591074800093</v>
      </c>
      <c r="E2021" s="12">
        <f>E2020+Assumptions!$B$12*(D2020*Assumptions!$B$5-E2020*Assumptions!$B$7)</f>
        <v>0.18122191831761186</v>
      </c>
      <c r="F2021" s="12">
        <f t="shared" si="93"/>
        <v>0.27215217093438721</v>
      </c>
      <c r="G2021" s="12">
        <f>EXP(-Assumptions!$B$8*B2021)</f>
        <v>0.3654959794462006</v>
      </c>
      <c r="H2021" s="12">
        <f t="shared" si="94"/>
        <v>0.19978957263951203</v>
      </c>
      <c r="I2021" s="12">
        <f t="shared" si="95"/>
        <v>6.6235882532614906E-2</v>
      </c>
      <c r="J2021" s="12">
        <f>G2021*(D2021*Assumptions!$B$6+E2021*Assumptions!$B$7)</f>
        <v>5.3096898530258663E-3</v>
      </c>
    </row>
    <row r="2022" spans="1:10" x14ac:dyDescent="0.2">
      <c r="A2022" s="2">
        <v>2014</v>
      </c>
      <c r="B2022" s="14">
        <f>A2022*Assumptions!$B$12</f>
        <v>20.14</v>
      </c>
      <c r="C2022" s="15">
        <f>IF(A2022&lt;=Assumptions!$B$13,IF(OR(A2022=0,A2022=Assumptions!$B$13),0.5,1),0)*Assumptions!$B$12</f>
        <v>0</v>
      </c>
      <c r="D2022" s="12">
        <f>D2021*(1-Assumptions!$B$12*(Assumptions!$B$5+Assumptions!$B$6))</f>
        <v>0.54646192297477658</v>
      </c>
      <c r="E2022" s="12">
        <f>E2021+Assumptions!$B$12*(D2021*Assumptions!$B$5-E2021*Assumptions!$B$7)</f>
        <v>0.18124063254060266</v>
      </c>
      <c r="F2022" s="12">
        <f t="shared" si="93"/>
        <v>0.27229744448462079</v>
      </c>
      <c r="G2022" s="12">
        <f>EXP(-Assumptions!$B$8*B2022)</f>
        <v>0.36531327713586131</v>
      </c>
      <c r="H2022" s="12">
        <f t="shared" si="94"/>
        <v>0.19962979591188026</v>
      </c>
      <c r="I2022" s="12">
        <f t="shared" si="95"/>
        <v>6.620960942358399E-2</v>
      </c>
      <c r="J2022" s="12">
        <f>G2022*(D2022*Assumptions!$B$6+E2022*Assumptions!$B$7)</f>
        <v>5.3067784302980011E-3</v>
      </c>
    </row>
    <row r="2023" spans="1:10" x14ac:dyDescent="0.2">
      <c r="A2023" s="2">
        <v>2015</v>
      </c>
      <c r="B2023" s="14">
        <f>A2023*Assumptions!$B$12</f>
        <v>20.150000000000002</v>
      </c>
      <c r="C2023" s="15">
        <f>IF(A2023&lt;=Assumptions!$B$13,IF(OR(A2023=0,A2023=Assumptions!$B$13),0.5,1),0)*Assumptions!$B$12</f>
        <v>0</v>
      </c>
      <c r="D2023" s="12">
        <f>D2022*(1-Assumptions!$B$12*(Assumptions!$B$5+Assumptions!$B$6))</f>
        <v>0.54629798439788413</v>
      </c>
      <c r="E2023" s="12">
        <f>E2022+Assumptions!$B$12*(D2022*Assumptions!$B$5-E2022*Assumptions!$B$7)</f>
        <v>0.18125930460892731</v>
      </c>
      <c r="F2023" s="12">
        <f t="shared" si="93"/>
        <v>0.27244271099318856</v>
      </c>
      <c r="G2023" s="12">
        <f>EXP(-Assumptions!$B$8*B2023)</f>
        <v>0.36513066615384332</v>
      </c>
      <c r="H2023" s="12">
        <f t="shared" si="94"/>
        <v>0.19947014696170134</v>
      </c>
      <c r="I2023" s="12">
        <f t="shared" si="95"/>
        <v>6.6183330638440035E-2</v>
      </c>
      <c r="J2023" s="12">
        <f>G2023*(D2023*Assumptions!$B$6+E2023*Assumptions!$B$7)</f>
        <v>5.3038680015390152E-3</v>
      </c>
    </row>
    <row r="2024" spans="1:10" x14ac:dyDescent="0.2">
      <c r="A2024" s="2">
        <v>2016</v>
      </c>
      <c r="B2024" s="14">
        <f>A2024*Assumptions!$B$12</f>
        <v>20.16</v>
      </c>
      <c r="C2024" s="15">
        <f>IF(A2024&lt;=Assumptions!$B$13,IF(OR(A2024=0,A2024=Assumptions!$B$13),0.5,1),0)*Assumptions!$B$12</f>
        <v>0</v>
      </c>
      <c r="D2024" s="12">
        <f>D2023*(1-Assumptions!$B$12*(Assumptions!$B$5+Assumptions!$B$6))</f>
        <v>0.54613409500256482</v>
      </c>
      <c r="E2024" s="12">
        <f>E2023+Assumptions!$B$12*(D2023*Assumptions!$B$5-E2023*Assumptions!$B$7)</f>
        <v>0.18127793455350241</v>
      </c>
      <c r="F2024" s="12">
        <f t="shared" si="93"/>
        <v>0.27258797044393279</v>
      </c>
      <c r="G2024" s="12">
        <f>EXP(-Assumptions!$B$8*B2024)</f>
        <v>0.36494814645449375</v>
      </c>
      <c r="H2024" s="12">
        <f t="shared" si="94"/>
        <v>0.19931062568678842</v>
      </c>
      <c r="I2024" s="12">
        <f t="shared" si="95"/>
        <v>6.6157046208399725E-2</v>
      </c>
      <c r="J2024" s="12">
        <f>G2024*(D2024*Assumptions!$B$6+E2024*Assumptions!$B$7)</f>
        <v>5.3009585672878718E-3</v>
      </c>
    </row>
    <row r="2025" spans="1:10" x14ac:dyDescent="0.2">
      <c r="A2025" s="2">
        <v>2017</v>
      </c>
      <c r="B2025" s="14">
        <f>A2025*Assumptions!$B$12</f>
        <v>20.170000000000002</v>
      </c>
      <c r="C2025" s="15">
        <f>IF(A2025&lt;=Assumptions!$B$13,IF(OR(A2025=0,A2025=Assumptions!$B$13),0.5,1),0)*Assumptions!$B$12</f>
        <v>0</v>
      </c>
      <c r="D2025" s="12">
        <f>D2024*(1-Assumptions!$B$12*(Assumptions!$B$5+Assumptions!$B$6))</f>
        <v>0.54597025477406402</v>
      </c>
      <c r="E2025" s="12">
        <f>E2024+Assumptions!$B$12*(D2024*Assumptions!$B$5-E2024*Assumptions!$B$7)</f>
        <v>0.18129652240522617</v>
      </c>
      <c r="F2025" s="12">
        <f t="shared" si="93"/>
        <v>0.27273322282070978</v>
      </c>
      <c r="G2025" s="12">
        <f>EXP(-Assumptions!$B$8*B2025)</f>
        <v>0.3647657179921826</v>
      </c>
      <c r="H2025" s="12">
        <f t="shared" si="94"/>
        <v>0.19915123198503631</v>
      </c>
      <c r="I2025" s="12">
        <f t="shared" si="95"/>
        <v>6.6130756164628143E-2</v>
      </c>
      <c r="J2025" s="12">
        <f>G2025*(D2025*Assumptions!$B$6+E2025*Assumptions!$B$7)</f>
        <v>5.2980501280817712E-3</v>
      </c>
    </row>
    <row r="2026" spans="1:10" x14ac:dyDescent="0.2">
      <c r="A2026" s="2">
        <v>2018</v>
      </c>
      <c r="B2026" s="14">
        <f>A2026*Assumptions!$B$12</f>
        <v>20.18</v>
      </c>
      <c r="C2026" s="15">
        <f>IF(A2026&lt;=Assumptions!$B$13,IF(OR(A2026=0,A2026=Assumptions!$B$13),0.5,1),0)*Assumptions!$B$12</f>
        <v>0</v>
      </c>
      <c r="D2026" s="12">
        <f>D2025*(1-Assumptions!$B$12*(Assumptions!$B$5+Assumptions!$B$6))</f>
        <v>0.54580646369763186</v>
      </c>
      <c r="E2026" s="12">
        <f>E2025+Assumptions!$B$12*(D2025*Assumptions!$B$5-E2025*Assumptions!$B$7)</f>
        <v>0.18131506819497836</v>
      </c>
      <c r="F2026" s="12">
        <f t="shared" si="93"/>
        <v>0.2728784681073898</v>
      </c>
      <c r="G2026" s="12">
        <f>EXP(-Assumptions!$B$8*B2026)</f>
        <v>0.36458338072130292</v>
      </c>
      <c r="H2026" s="12">
        <f t="shared" si="94"/>
        <v>0.19899196575442171</v>
      </c>
      <c r="I2026" s="12">
        <f t="shared" si="95"/>
        <v>6.6104460538238805E-2</v>
      </c>
      <c r="J2026" s="12">
        <f>G2026*(D2026*Assumptions!$B$6+E2026*Assumptions!$B$7)</f>
        <v>5.2951426844561568E-3</v>
      </c>
    </row>
    <row r="2027" spans="1:10" x14ac:dyDescent="0.2">
      <c r="A2027" s="2">
        <v>2019</v>
      </c>
      <c r="B2027" s="14">
        <f>A2027*Assumptions!$B$12</f>
        <v>20.190000000000001</v>
      </c>
      <c r="C2027" s="15">
        <f>IF(A2027&lt;=Assumptions!$B$13,IF(OR(A2027=0,A2027=Assumptions!$B$13),0.5,1),0)*Assumptions!$B$12</f>
        <v>0</v>
      </c>
      <c r="D2027" s="12">
        <f>D2026*(1-Assumptions!$B$12*(Assumptions!$B$5+Assumptions!$B$6))</f>
        <v>0.54564272175852258</v>
      </c>
      <c r="E2027" s="12">
        <f>E2026+Assumptions!$B$12*(D2026*Assumptions!$B$5-E2026*Assumptions!$B$7)</f>
        <v>0.1813335719536204</v>
      </c>
      <c r="F2027" s="12">
        <f t="shared" si="93"/>
        <v>0.27302370628785699</v>
      </c>
      <c r="G2027" s="12">
        <f>EXP(-Assumptions!$B$8*B2027)</f>
        <v>0.36440113459627033</v>
      </c>
      <c r="H2027" s="12">
        <f t="shared" si="94"/>
        <v>0.19883282689300266</v>
      </c>
      <c r="I2027" s="12">
        <f t="shared" si="95"/>
        <v>6.6078159360293695E-2</v>
      </c>
      <c r="J2027" s="12">
        <f>G2027*(D2027*Assumptions!$B$6+E2027*Assumptions!$B$7)</f>
        <v>5.2922362369447118E-3</v>
      </c>
    </row>
    <row r="2028" spans="1:10" x14ac:dyDescent="0.2">
      <c r="A2028" s="2">
        <v>2020</v>
      </c>
      <c r="B2028" s="14">
        <f>A2028*Assumptions!$B$12</f>
        <v>20.2</v>
      </c>
      <c r="C2028" s="15">
        <f>IF(A2028&lt;=Assumptions!$B$13,IF(OR(A2028=0,A2028=Assumptions!$B$13),0.5,1),0)*Assumptions!$B$12</f>
        <v>0</v>
      </c>
      <c r="D2028" s="12">
        <f>D2027*(1-Assumptions!$B$12*(Assumptions!$B$5+Assumptions!$B$6))</f>
        <v>0.54547902894199507</v>
      </c>
      <c r="E2028" s="12">
        <f>E2027+Assumptions!$B$12*(D2027*Assumptions!$B$5-E2027*Assumptions!$B$7)</f>
        <v>0.18135203371199529</v>
      </c>
      <c r="F2028" s="12">
        <f t="shared" si="93"/>
        <v>0.27316893734600967</v>
      </c>
      <c r="G2028" s="12">
        <f>EXP(-Assumptions!$B$8*B2028)</f>
        <v>0.36421897957152333</v>
      </c>
      <c r="H2028" s="12">
        <f t="shared" si="94"/>
        <v>0.19867381529891889</v>
      </c>
      <c r="I2028" s="12">
        <f t="shared" si="95"/>
        <v>6.6051852661803426E-2</v>
      </c>
      <c r="J2028" s="12">
        <f>G2028*(D2028*Assumptions!$B$6+E2028*Assumptions!$B$7)</f>
        <v>5.2893307860793597E-3</v>
      </c>
    </row>
    <row r="2029" spans="1:10" x14ac:dyDescent="0.2">
      <c r="A2029" s="2">
        <v>2021</v>
      </c>
      <c r="B2029" s="14">
        <f>A2029*Assumptions!$B$12</f>
        <v>20.21</v>
      </c>
      <c r="C2029" s="15">
        <f>IF(A2029&lt;=Assumptions!$B$13,IF(OR(A2029=0,A2029=Assumptions!$B$13),0.5,1),0)*Assumptions!$B$12</f>
        <v>0</v>
      </c>
      <c r="D2029" s="12">
        <f>D2028*(1-Assumptions!$B$12*(Assumptions!$B$5+Assumptions!$B$6))</f>
        <v>0.54531538523331247</v>
      </c>
      <c r="E2029" s="12">
        <f>E2028+Assumptions!$B$12*(D2028*Assumptions!$B$5-E2028*Assumptions!$B$7)</f>
        <v>0.1813704535009277</v>
      </c>
      <c r="F2029" s="12">
        <f t="shared" si="93"/>
        <v>0.2733141612657598</v>
      </c>
      <c r="G2029" s="12">
        <f>EXP(-Assumptions!$B$8*B2029)</f>
        <v>0.36403691560152301</v>
      </c>
      <c r="H2029" s="12">
        <f t="shared" si="94"/>
        <v>0.19851493087039138</v>
      </c>
      <c r="I2029" s="12">
        <f t="shared" si="95"/>
        <v>6.6025540473727176E-2</v>
      </c>
      <c r="J2029" s="12">
        <f>G2029*(D2029*Assumptions!$B$6+E2029*Assumptions!$B$7)</f>
        <v>5.2864263323902727E-3</v>
      </c>
    </row>
    <row r="2030" spans="1:10" x14ac:dyDescent="0.2">
      <c r="A2030" s="2">
        <v>2022</v>
      </c>
      <c r="B2030" s="14">
        <f>A2030*Assumptions!$B$12</f>
        <v>20.22</v>
      </c>
      <c r="C2030" s="15">
        <f>IF(A2030&lt;=Assumptions!$B$13,IF(OR(A2030=0,A2030=Assumptions!$B$13),0.5,1),0)*Assumptions!$B$12</f>
        <v>0</v>
      </c>
      <c r="D2030" s="12">
        <f>D2029*(1-Assumptions!$B$12*(Assumptions!$B$5+Assumptions!$B$6))</f>
        <v>0.54515179061774244</v>
      </c>
      <c r="E2030" s="12">
        <f>E2029+Assumptions!$B$12*(D2029*Assumptions!$B$5-E2029*Assumptions!$B$7)</f>
        <v>0.18138883135122391</v>
      </c>
      <c r="F2030" s="12">
        <f t="shared" si="93"/>
        <v>0.27345937803103365</v>
      </c>
      <c r="G2030" s="12">
        <f>EXP(-Assumptions!$B$8*B2030)</f>
        <v>0.36385494264075363</v>
      </c>
      <c r="H2030" s="12">
        <f t="shared" si="94"/>
        <v>0.19835617350572282</v>
      </c>
      <c r="I2030" s="12">
        <f t="shared" si="95"/>
        <v>6.5999222826972917E-2</v>
      </c>
      <c r="J2030" s="12">
        <f>G2030*(D2030*Assumptions!$B$6+E2030*Assumptions!$B$7)</f>
        <v>5.2835228764058738E-3</v>
      </c>
    </row>
    <row r="2031" spans="1:10" x14ac:dyDescent="0.2">
      <c r="A2031" s="2">
        <v>2023</v>
      </c>
      <c r="B2031" s="14">
        <f>A2031*Assumptions!$B$12</f>
        <v>20.23</v>
      </c>
      <c r="C2031" s="15">
        <f>IF(A2031&lt;=Assumptions!$B$13,IF(OR(A2031=0,A2031=Assumptions!$B$13),0.5,1),0)*Assumptions!$B$12</f>
        <v>0</v>
      </c>
      <c r="D2031" s="12">
        <f>D2030*(1-Assumptions!$B$12*(Assumptions!$B$5+Assumptions!$B$6))</f>
        <v>0.5449882450805571</v>
      </c>
      <c r="E2031" s="12">
        <f>E2030+Assumptions!$B$12*(D2030*Assumptions!$B$5-E2030*Assumptions!$B$7)</f>
        <v>0.18140716729367184</v>
      </c>
      <c r="F2031" s="12">
        <f t="shared" si="93"/>
        <v>0.27360458762577106</v>
      </c>
      <c r="G2031" s="12">
        <f>EXP(-Assumptions!$B$8*B2031)</f>
        <v>0.36367306064372168</v>
      </c>
      <c r="H2031" s="12">
        <f t="shared" si="94"/>
        <v>0.1981975431032969</v>
      </c>
      <c r="I2031" s="12">
        <f t="shared" si="95"/>
        <v>6.5972899752397285E-2</v>
      </c>
      <c r="J2031" s="12">
        <f>G2031*(D2031*Assumptions!$B$6+E2031*Assumptions!$B$7)</f>
        <v>5.2806204186528335E-3</v>
      </c>
    </row>
    <row r="2032" spans="1:10" x14ac:dyDescent="0.2">
      <c r="A2032" s="2">
        <v>2024</v>
      </c>
      <c r="B2032" s="14">
        <f>A2032*Assumptions!$B$12</f>
        <v>20.240000000000002</v>
      </c>
      <c r="C2032" s="15">
        <f>IF(A2032&lt;=Assumptions!$B$13,IF(OR(A2032=0,A2032=Assumptions!$B$13),0.5,1),0)*Assumptions!$B$12</f>
        <v>0</v>
      </c>
      <c r="D2032" s="12">
        <f>D2031*(1-Assumptions!$B$12*(Assumptions!$B$5+Assumptions!$B$6))</f>
        <v>0.544824748607033</v>
      </c>
      <c r="E2032" s="12">
        <f>E2031+Assumptions!$B$12*(D2031*Assumptions!$B$5-E2031*Assumptions!$B$7)</f>
        <v>0.18142546135904111</v>
      </c>
      <c r="F2032" s="12">
        <f t="shared" si="93"/>
        <v>0.27374979003392585</v>
      </c>
      <c r="G2032" s="12">
        <f>EXP(-Assumptions!$B$8*B2032)</f>
        <v>0.36349126956495675</v>
      </c>
      <c r="H2032" s="12">
        <f t="shared" si="94"/>
        <v>0.19803903956157884</v>
      </c>
      <c r="I2032" s="12">
        <f t="shared" si="95"/>
        <v>6.594657128080586E-2</v>
      </c>
      <c r="J2032" s="12">
        <f>G2032*(D2032*Assumptions!$B$6+E2032*Assumptions!$B$7)</f>
        <v>5.2777189596560818E-3</v>
      </c>
    </row>
    <row r="2033" spans="1:10" x14ac:dyDescent="0.2">
      <c r="A2033" s="2">
        <v>2025</v>
      </c>
      <c r="B2033" s="14">
        <f>A2033*Assumptions!$B$12</f>
        <v>20.25</v>
      </c>
      <c r="C2033" s="15">
        <f>IF(A2033&lt;=Assumptions!$B$13,IF(OR(A2033=0,A2033=Assumptions!$B$13),0.5,1),0)*Assumptions!$B$12</f>
        <v>0</v>
      </c>
      <c r="D2033" s="12">
        <f>D2032*(1-Assumptions!$B$12*(Assumptions!$B$5+Assumptions!$B$6))</f>
        <v>0.54466130118245093</v>
      </c>
      <c r="E2033" s="12">
        <f>E2032+Assumptions!$B$12*(D2032*Assumptions!$B$5-E2032*Assumptions!$B$7)</f>
        <v>0.181443713578083</v>
      </c>
      <c r="F2033" s="12">
        <f t="shared" si="93"/>
        <v>0.27389498523946609</v>
      </c>
      <c r="G2033" s="12">
        <f>EXP(-Assumptions!$B$8*B2033)</f>
        <v>0.36330956935901126</v>
      </c>
      <c r="H2033" s="12">
        <f t="shared" si="94"/>
        <v>0.19788066277911498</v>
      </c>
      <c r="I2033" s="12">
        <f t="shared" si="95"/>
        <v>6.5920237442953125E-2</v>
      </c>
      <c r="J2033" s="12">
        <f>G2033*(D2033*Assumptions!$B$6+E2033*Assumptions!$B$7)</f>
        <v>5.2748184999388062E-3</v>
      </c>
    </row>
    <row r="2034" spans="1:10" x14ac:dyDescent="0.2">
      <c r="A2034" s="2">
        <v>2026</v>
      </c>
      <c r="B2034" s="14">
        <f>A2034*Assumptions!$B$12</f>
        <v>20.260000000000002</v>
      </c>
      <c r="C2034" s="15">
        <f>IF(A2034&lt;=Assumptions!$B$13,IF(OR(A2034=0,A2034=Assumptions!$B$13),0.5,1),0)*Assumptions!$B$12</f>
        <v>0</v>
      </c>
      <c r="D2034" s="12">
        <f>D2033*(1-Assumptions!$B$12*(Assumptions!$B$5+Assumptions!$B$6))</f>
        <v>0.5444979027920962</v>
      </c>
      <c r="E2034" s="12">
        <f>E2033+Assumptions!$B$12*(D2033*Assumptions!$B$5-E2033*Assumptions!$B$7)</f>
        <v>0.18146192398153047</v>
      </c>
      <c r="F2034" s="12">
        <f t="shared" si="93"/>
        <v>0.27404017322637331</v>
      </c>
      <c r="G2034" s="12">
        <f>EXP(-Assumptions!$B$8*B2034)</f>
        <v>0.36312795998045988</v>
      </c>
      <c r="H2034" s="12">
        <f t="shared" si="94"/>
        <v>0.19772241265453264</v>
      </c>
      <c r="I2034" s="12">
        <f t="shared" si="95"/>
        <v>6.589389826954245E-2</v>
      </c>
      <c r="J2034" s="12">
        <f>G2034*(D2034*Assumptions!$B$6+E2034*Assumptions!$B$7)</f>
        <v>5.2719190400224488E-3</v>
      </c>
    </row>
    <row r="2035" spans="1:10" x14ac:dyDescent="0.2">
      <c r="A2035" s="2">
        <v>2027</v>
      </c>
      <c r="B2035" s="14">
        <f>A2035*Assumptions!$B$12</f>
        <v>20.27</v>
      </c>
      <c r="C2035" s="15">
        <f>IF(A2035&lt;=Assumptions!$B$13,IF(OR(A2035=0,A2035=Assumptions!$B$13),0.5,1),0)*Assumptions!$B$12</f>
        <v>0</v>
      </c>
      <c r="D2035" s="12">
        <f>D2034*(1-Assumptions!$B$12*(Assumptions!$B$5+Assumptions!$B$6))</f>
        <v>0.54433455342125858</v>
      </c>
      <c r="E2035" s="12">
        <f>E2034+Assumptions!$B$12*(D2034*Assumptions!$B$5-E2034*Assumptions!$B$7)</f>
        <v>0.18148009260009812</v>
      </c>
      <c r="F2035" s="12">
        <f t="shared" si="93"/>
        <v>0.2741853539786433</v>
      </c>
      <c r="G2035" s="12">
        <f>EXP(-Assumptions!$B$8*B2035)</f>
        <v>0.36294644138390042</v>
      </c>
      <c r="H2035" s="12">
        <f t="shared" si="94"/>
        <v>0.19756428908654045</v>
      </c>
      <c r="I2035" s="12">
        <f t="shared" si="95"/>
        <v>6.586755379122633E-2</v>
      </c>
      <c r="J2035" s="12">
        <f>G2035*(D2035*Assumptions!$B$6+E2035*Assumptions!$B$7)</f>
        <v>5.2690205804267207E-3</v>
      </c>
    </row>
    <row r="2036" spans="1:10" x14ac:dyDescent="0.2">
      <c r="A2036" s="2">
        <v>2028</v>
      </c>
      <c r="B2036" s="14">
        <f>A2036*Assumptions!$B$12</f>
        <v>20.28</v>
      </c>
      <c r="C2036" s="15">
        <f>IF(A2036&lt;=Assumptions!$B$13,IF(OR(A2036=0,A2036=Assumptions!$B$13),0.5,1),0)*Assumptions!$B$12</f>
        <v>0</v>
      </c>
      <c r="D2036" s="12">
        <f>D2035*(1-Assumptions!$B$12*(Assumptions!$B$5+Assumptions!$B$6))</f>
        <v>0.54417125305523217</v>
      </c>
      <c r="E2036" s="12">
        <f>E2035+Assumptions!$B$12*(D2035*Assumptions!$B$5-E2035*Assumptions!$B$7)</f>
        <v>0.18149821946448233</v>
      </c>
      <c r="F2036" s="12">
        <f t="shared" si="93"/>
        <v>0.27433052748028552</v>
      </c>
      <c r="G2036" s="12">
        <f>EXP(-Assumptions!$B$8*B2036)</f>
        <v>0.36276501352395324</v>
      </c>
      <c r="H2036" s="12">
        <f t="shared" si="94"/>
        <v>0.19740629197392787</v>
      </c>
      <c r="I2036" s="12">
        <f t="shared" si="95"/>
        <v>6.5841204038606368E-2</v>
      </c>
      <c r="J2036" s="12">
        <f>G2036*(D2036*Assumptions!$B$6+E2036*Assumptions!$B$7)</f>
        <v>5.2661231216695973E-3</v>
      </c>
    </row>
    <row r="2037" spans="1:10" x14ac:dyDescent="0.2">
      <c r="A2037" s="2">
        <v>2029</v>
      </c>
      <c r="B2037" s="14">
        <f>A2037*Assumptions!$B$12</f>
        <v>20.29</v>
      </c>
      <c r="C2037" s="15">
        <f>IF(A2037&lt;=Assumptions!$B$13,IF(OR(A2037=0,A2037=Assumptions!$B$13),0.5,1),0)*Assumptions!$B$12</f>
        <v>0</v>
      </c>
      <c r="D2037" s="12">
        <f>D2036*(1-Assumptions!$B$12*(Assumptions!$B$5+Assumptions!$B$6))</f>
        <v>0.54400800167931562</v>
      </c>
      <c r="E2037" s="12">
        <f>E2036+Assumptions!$B$12*(D2036*Assumptions!$B$5-E2036*Assumptions!$B$7)</f>
        <v>0.18151630460536114</v>
      </c>
      <c r="F2037" s="12">
        <f t="shared" si="93"/>
        <v>0.27447569371532321</v>
      </c>
      <c r="G2037" s="12">
        <f>EXP(-Assumptions!$B$8*B2037)</f>
        <v>0.36258367635526134</v>
      </c>
      <c r="H2037" s="12">
        <f t="shared" si="94"/>
        <v>0.19724842121556543</v>
      </c>
      <c r="I2037" s="12">
        <f t="shared" si="95"/>
        <v>6.5814849042233295E-2</v>
      </c>
      <c r="J2037" s="12">
        <f>G2037*(D2037*Assumptions!$B$6+E2037*Assumptions!$B$7)</f>
        <v>5.2632266642673193E-3</v>
      </c>
    </row>
    <row r="2038" spans="1:10" x14ac:dyDescent="0.2">
      <c r="A2038" s="2">
        <v>2030</v>
      </c>
      <c r="B2038" s="14">
        <f>A2038*Assumptions!$B$12</f>
        <v>20.3</v>
      </c>
      <c r="C2038" s="15">
        <f>IF(A2038&lt;=Assumptions!$B$13,IF(OR(A2038=0,A2038=Assumptions!$B$13),0.5,1),0)*Assumptions!$B$12</f>
        <v>0</v>
      </c>
      <c r="D2038" s="12">
        <f>D2037*(1-Assumptions!$B$12*(Assumptions!$B$5+Assumptions!$B$6))</f>
        <v>0.5438447992788118</v>
      </c>
      <c r="E2038" s="12">
        <f>E2037+Assumptions!$B$12*(D2037*Assumptions!$B$5-E2037*Assumptions!$B$7)</f>
        <v>0.18153434805339433</v>
      </c>
      <c r="F2038" s="12">
        <f t="shared" si="93"/>
        <v>0.2746208526677939</v>
      </c>
      <c r="G2038" s="12">
        <f>EXP(-Assumptions!$B$8*B2038)</f>
        <v>0.36240242983249027</v>
      </c>
      <c r="H2038" s="12">
        <f t="shared" si="94"/>
        <v>0.19709067671040434</v>
      </c>
      <c r="I2038" s="12">
        <f t="shared" si="95"/>
        <v>6.57884888326071E-2</v>
      </c>
      <c r="J2038" s="12">
        <f>G2038*(D2038*Assumptions!$B$6+E2038*Assumptions!$B$7)</f>
        <v>5.2603312087343987E-3</v>
      </c>
    </row>
    <row r="2039" spans="1:10" x14ac:dyDescent="0.2">
      <c r="A2039" s="2">
        <v>2031</v>
      </c>
      <c r="B2039" s="14">
        <f>A2039*Assumptions!$B$12</f>
        <v>20.309999999999999</v>
      </c>
      <c r="C2039" s="15">
        <f>IF(A2039&lt;=Assumptions!$B$13,IF(OR(A2039=0,A2039=Assumptions!$B$13),0.5,1),0)*Assumptions!$B$12</f>
        <v>0</v>
      </c>
      <c r="D2039" s="12">
        <f>D2038*(1-Assumptions!$B$12*(Assumptions!$B$5+Assumptions!$B$6))</f>
        <v>0.54368164583902812</v>
      </c>
      <c r="E2039" s="12">
        <f>E2038+Assumptions!$B$12*(D2038*Assumptions!$B$5-E2038*Assumptions!$B$7)</f>
        <v>0.18155234983922339</v>
      </c>
      <c r="F2039" s="12">
        <f t="shared" si="93"/>
        <v>0.27476600432174847</v>
      </c>
      <c r="G2039" s="12">
        <f>EXP(-Assumptions!$B$8*B2039)</f>
        <v>0.36222127391032866</v>
      </c>
      <c r="H2039" s="12">
        <f t="shared" si="94"/>
        <v>0.1969330583574769</v>
      </c>
      <c r="I2039" s="12">
        <f t="shared" si="95"/>
        <v>6.576212344017715E-2</v>
      </c>
      <c r="J2039" s="12">
        <f>G2039*(D2039*Assumptions!$B$6+E2039*Assumptions!$B$7)</f>
        <v>5.2574367555836259E-3</v>
      </c>
    </row>
    <row r="2040" spans="1:10" x14ac:dyDescent="0.2">
      <c r="A2040" s="2">
        <v>2032</v>
      </c>
      <c r="B2040" s="14">
        <f>A2040*Assumptions!$B$12</f>
        <v>20.32</v>
      </c>
      <c r="C2040" s="15">
        <f>IF(A2040&lt;=Assumptions!$B$13,IF(OR(A2040=0,A2040=Assumptions!$B$13),0.5,1),0)*Assumptions!$B$12</f>
        <v>0</v>
      </c>
      <c r="D2040" s="12">
        <f>D2039*(1-Assumptions!$B$12*(Assumptions!$B$5+Assumptions!$B$6))</f>
        <v>0.54351854134527644</v>
      </c>
      <c r="E2040" s="12">
        <f>E2039+Assumptions!$B$12*(D2039*Assumptions!$B$5-E2039*Assumptions!$B$7)</f>
        <v>0.18157030999347157</v>
      </c>
      <c r="F2040" s="12">
        <f t="shared" si="93"/>
        <v>0.27491114866125199</v>
      </c>
      <c r="G2040" s="12">
        <f>EXP(-Assumptions!$B$8*B2040)</f>
        <v>0.36204020854348745</v>
      </c>
      <c r="H2040" s="12">
        <f t="shared" si="94"/>
        <v>0.196775566055896</v>
      </c>
      <c r="I2040" s="12">
        <f t="shared" si="95"/>
        <v>6.5735752895342114E-2</v>
      </c>
      <c r="J2040" s="12">
        <f>G2040*(D2040*Assumptions!$B$6+E2040*Assumptions!$B$7)</f>
        <v>5.2545433053260652E-3</v>
      </c>
    </row>
    <row r="2041" spans="1:10" x14ac:dyDescent="0.2">
      <c r="A2041" s="2">
        <v>2033</v>
      </c>
      <c r="B2041" s="14">
        <f>A2041*Assumptions!$B$12</f>
        <v>20.330000000000002</v>
      </c>
      <c r="C2041" s="15">
        <f>IF(A2041&lt;=Assumptions!$B$13,IF(OR(A2041=0,A2041=Assumptions!$B$13),0.5,1),0)*Assumptions!$B$12</f>
        <v>0</v>
      </c>
      <c r="D2041" s="12">
        <f>D2040*(1-Assumptions!$B$12*(Assumptions!$B$5+Assumptions!$B$6))</f>
        <v>0.54335548578287285</v>
      </c>
      <c r="E2041" s="12">
        <f>E2040+Assumptions!$B$12*(D2040*Assumptions!$B$5-E2040*Assumptions!$B$7)</f>
        <v>0.18158822854674389</v>
      </c>
      <c r="F2041" s="12">
        <f t="shared" si="93"/>
        <v>0.27505628567038326</v>
      </c>
      <c r="G2041" s="12">
        <f>EXP(-Assumptions!$B$8*B2041)</f>
        <v>0.36185923368670014</v>
      </c>
      <c r="H2041" s="12">
        <f t="shared" si="94"/>
        <v>0.19661819970485506</v>
      </c>
      <c r="I2041" s="12">
        <f t="shared" si="95"/>
        <v>6.5709377228450105E-2</v>
      </c>
      <c r="J2041" s="12">
        <f>G2041*(D2041*Assumptions!$B$6+E2041*Assumptions!$B$7)</f>
        <v>5.2516508584710565E-3</v>
      </c>
    </row>
    <row r="2042" spans="1:10" x14ac:dyDescent="0.2">
      <c r="A2042" s="2">
        <v>2034</v>
      </c>
      <c r="B2042" s="14">
        <f>A2042*Assumptions!$B$12</f>
        <v>20.34</v>
      </c>
      <c r="C2042" s="15">
        <f>IF(A2042&lt;=Assumptions!$B$13,IF(OR(A2042=0,A2042=Assumptions!$B$13),0.5,1),0)*Assumptions!$B$12</f>
        <v>0</v>
      </c>
      <c r="D2042" s="12">
        <f>D2041*(1-Assumptions!$B$12*(Assumptions!$B$5+Assumptions!$B$6))</f>
        <v>0.54319247913713797</v>
      </c>
      <c r="E2042" s="12">
        <f>E2041+Assumptions!$B$12*(D2041*Assumptions!$B$5-E2041*Assumptions!$B$7)</f>
        <v>0.18160610552962708</v>
      </c>
      <c r="F2042" s="12">
        <f t="shared" si="93"/>
        <v>0.27520141533323494</v>
      </c>
      <c r="G2042" s="12">
        <f>EXP(-Assumptions!$B$8*B2042)</f>
        <v>0.36167834929472326</v>
      </c>
      <c r="H2042" s="12">
        <f t="shared" si="94"/>
        <v>0.19646095920362847</v>
      </c>
      <c r="I2042" s="12">
        <f t="shared" si="95"/>
        <v>6.5682996469798832E-2</v>
      </c>
      <c r="J2042" s="12">
        <f>G2042*(D2042*Assumptions!$B$6+E2042*Assumptions!$B$7)</f>
        <v>5.2487594155262267E-3</v>
      </c>
    </row>
    <row r="2043" spans="1:10" x14ac:dyDescent="0.2">
      <c r="A2043" s="2">
        <v>2035</v>
      </c>
      <c r="B2043" s="14">
        <f>A2043*Assumptions!$B$12</f>
        <v>20.350000000000001</v>
      </c>
      <c r="C2043" s="15">
        <f>IF(A2043&lt;=Assumptions!$B$13,IF(OR(A2043=0,A2043=Assumptions!$B$13),0.5,1),0)*Assumptions!$B$12</f>
        <v>0</v>
      </c>
      <c r="D2043" s="12">
        <f>D2042*(1-Assumptions!$B$12*(Assumptions!$B$5+Assumptions!$B$6))</f>
        <v>0.54302952139339689</v>
      </c>
      <c r="E2043" s="12">
        <f>E2042+Assumptions!$B$12*(D2042*Assumptions!$B$5-E2042*Assumptions!$B$7)</f>
        <v>0.18162394097268969</v>
      </c>
      <c r="F2043" s="12">
        <f t="shared" si="93"/>
        <v>0.27534653763391342</v>
      </c>
      <c r="G2043" s="12">
        <f>EXP(-Assumptions!$B$8*B2043)</f>
        <v>0.36149755532233552</v>
      </c>
      <c r="H2043" s="12">
        <f t="shared" si="94"/>
        <v>0.19630384445157087</v>
      </c>
      <c r="I2043" s="12">
        <f t="shared" si="95"/>
        <v>6.5656610649635488E-2</v>
      </c>
      <c r="J2043" s="12">
        <f>G2043*(D2043*Assumptions!$B$6+E2043*Assumptions!$B$7)</f>
        <v>5.2458689769974837E-3</v>
      </c>
    </row>
    <row r="2044" spans="1:10" x14ac:dyDescent="0.2">
      <c r="A2044" s="2">
        <v>2036</v>
      </c>
      <c r="B2044" s="14">
        <f>A2044*Assumptions!$B$12</f>
        <v>20.36</v>
      </c>
      <c r="C2044" s="15">
        <f>IF(A2044&lt;=Assumptions!$B$13,IF(OR(A2044=0,A2044=Assumptions!$B$13),0.5,1),0)*Assumptions!$B$12</f>
        <v>0</v>
      </c>
      <c r="D2044" s="12">
        <f>D2043*(1-Assumptions!$B$12*(Assumptions!$B$5+Assumptions!$B$6))</f>
        <v>0.54286661253697888</v>
      </c>
      <c r="E2044" s="12">
        <f>E2043+Assumptions!$B$12*(D2043*Assumptions!$B$5-E2043*Assumptions!$B$7)</f>
        <v>0.18164173490648203</v>
      </c>
      <c r="F2044" s="12">
        <f t="shared" si="93"/>
        <v>0.27549165255653907</v>
      </c>
      <c r="G2044" s="12">
        <f>EXP(-Assumptions!$B$8*B2044)</f>
        <v>0.36131685172433853</v>
      </c>
      <c r="H2044" s="12">
        <f t="shared" si="94"/>
        <v>0.19614685534811754</v>
      </c>
      <c r="I2044" s="12">
        <f t="shared" si="95"/>
        <v>6.5630219798156975E-2</v>
      </c>
      <c r="J2044" s="12">
        <f>G2044*(D2044*Assumptions!$B$6+E2044*Assumptions!$B$7)</f>
        <v>5.2429795433890239E-3</v>
      </c>
    </row>
    <row r="2045" spans="1:10" x14ac:dyDescent="0.2">
      <c r="A2045" s="2">
        <v>2037</v>
      </c>
      <c r="B2045" s="14">
        <f>A2045*Assumptions!$B$12</f>
        <v>20.37</v>
      </c>
      <c r="C2045" s="15">
        <f>IF(A2045&lt;=Assumptions!$B$13,IF(OR(A2045=0,A2045=Assumptions!$B$13),0.5,1),0)*Assumptions!$B$12</f>
        <v>0</v>
      </c>
      <c r="D2045" s="12">
        <f>D2044*(1-Assumptions!$B$12*(Assumptions!$B$5+Assumptions!$B$6))</f>
        <v>0.54270375255321779</v>
      </c>
      <c r="E2045" s="12">
        <f>E2044+Assumptions!$B$12*(D2044*Assumptions!$B$5-E2044*Assumptions!$B$7)</f>
        <v>0.18165948736153617</v>
      </c>
      <c r="F2045" s="12">
        <f t="shared" si="93"/>
        <v>0.27563676008524607</v>
      </c>
      <c r="G2045" s="12">
        <f>EXP(-Assumptions!$B$8*B2045)</f>
        <v>0.36113623845555626</v>
      </c>
      <c r="H2045" s="12">
        <f t="shared" si="94"/>
        <v>0.19598999179278406</v>
      </c>
      <c r="I2045" s="12">
        <f t="shared" si="95"/>
        <v>6.5603823945509829E-2</v>
      </c>
      <c r="J2045" s="12">
        <f>G2045*(D2045*Assumptions!$B$6+E2045*Assumptions!$B$7)</f>
        <v>5.2400911152033327E-3</v>
      </c>
    </row>
    <row r="2046" spans="1:10" x14ac:dyDescent="0.2">
      <c r="A2046" s="2">
        <v>2038</v>
      </c>
      <c r="B2046" s="14">
        <f>A2046*Assumptions!$B$12</f>
        <v>20.38</v>
      </c>
      <c r="C2046" s="15">
        <f>IF(A2046&lt;=Assumptions!$B$13,IF(OR(A2046=0,A2046=Assumptions!$B$13),0.5,1),0)*Assumptions!$B$12</f>
        <v>0</v>
      </c>
      <c r="D2046" s="12">
        <f>D2045*(1-Assumptions!$B$12*(Assumptions!$B$5+Assumptions!$B$6))</f>
        <v>0.54254094142745179</v>
      </c>
      <c r="E2046" s="12">
        <f>E2045+Assumptions!$B$12*(D2045*Assumptions!$B$5-E2045*Assumptions!$B$7)</f>
        <v>0.18167719836836604</v>
      </c>
      <c r="F2046" s="12">
        <f t="shared" si="93"/>
        <v>0.27578186020418216</v>
      </c>
      <c r="G2046" s="12">
        <f>EXP(-Assumptions!$B$8*B2046)</f>
        <v>0.36095571547083566</v>
      </c>
      <c r="H2046" s="12">
        <f t="shared" si="94"/>
        <v>0.1958332536851666</v>
      </c>
      <c r="I2046" s="12">
        <f t="shared" si="95"/>
        <v>6.5577423121790504E-2</v>
      </c>
      <c r="J2046" s="12">
        <f>G2046*(D2046*Assumptions!$B$6+E2046*Assumptions!$B$7)</f>
        <v>5.2372036929411916E-3</v>
      </c>
    </row>
    <row r="2047" spans="1:10" x14ac:dyDescent="0.2">
      <c r="A2047" s="2">
        <v>2039</v>
      </c>
      <c r="B2047" s="14">
        <f>A2047*Assumptions!$B$12</f>
        <v>20.39</v>
      </c>
      <c r="C2047" s="15">
        <f>IF(A2047&lt;=Assumptions!$B$13,IF(OR(A2047=0,A2047=Assumptions!$B$13),0.5,1),0)*Assumptions!$B$12</f>
        <v>0</v>
      </c>
      <c r="D2047" s="12">
        <f>D2046*(1-Assumptions!$B$12*(Assumptions!$B$5+Assumptions!$B$6))</f>
        <v>0.54237817914502362</v>
      </c>
      <c r="E2047" s="12">
        <f>E2046+Assumptions!$B$12*(D2046*Assumptions!$B$5-E2046*Assumptions!$B$7)</f>
        <v>0.18169486795746737</v>
      </c>
      <c r="F2047" s="12">
        <f t="shared" si="93"/>
        <v>0.27592695289750901</v>
      </c>
      <c r="G2047" s="12">
        <f>EXP(-Assumptions!$B$8*B2047)</f>
        <v>0.36077528272504567</v>
      </c>
      <c r="H2047" s="12">
        <f t="shared" si="94"/>
        <v>0.19567664092494136</v>
      </c>
      <c r="I2047" s="12">
        <f t="shared" si="95"/>
        <v>6.5551017357045133E-2</v>
      </c>
      <c r="J2047" s="12">
        <f>G2047*(D2047*Assumptions!$B$6+E2047*Assumptions!$B$7)</f>
        <v>5.2343172771016702E-3</v>
      </c>
    </row>
    <row r="2048" spans="1:10" x14ac:dyDescent="0.2">
      <c r="A2048" s="2">
        <v>2040</v>
      </c>
      <c r="B2048" s="14">
        <f>A2048*Assumptions!$B$12</f>
        <v>20.400000000000002</v>
      </c>
      <c r="C2048" s="15">
        <f>IF(A2048&lt;=Assumptions!$B$13,IF(OR(A2048=0,A2048=Assumptions!$B$13),0.5,1),0)*Assumptions!$B$12</f>
        <v>0</v>
      </c>
      <c r="D2048" s="12">
        <f>D2047*(1-Assumptions!$B$12*(Assumptions!$B$5+Assumptions!$B$6))</f>
        <v>0.5422154656912801</v>
      </c>
      <c r="E2048" s="12">
        <f>E2047+Assumptions!$B$12*(D2047*Assumptions!$B$5-E2047*Assumptions!$B$7)</f>
        <v>0.18171249615931764</v>
      </c>
      <c r="F2048" s="12">
        <f t="shared" si="93"/>
        <v>0.27607203814940229</v>
      </c>
      <c r="G2048" s="12">
        <f>EXP(-Assumptions!$B$8*B2048)</f>
        <v>0.36059494017307819</v>
      </c>
      <c r="H2048" s="12">
        <f t="shared" si="94"/>
        <v>0.19552015341186488</v>
      </c>
      <c r="I2048" s="12">
        <f t="shared" si="95"/>
        <v>6.5524606681269845E-2</v>
      </c>
      <c r="J2048" s="12">
        <f>G2048*(D2048*Assumptions!$B$6+E2048*Assumptions!$B$7)</f>
        <v>5.2314318681821407E-3</v>
      </c>
    </row>
    <row r="2049" spans="1:10" x14ac:dyDescent="0.2">
      <c r="A2049" s="2">
        <v>2041</v>
      </c>
      <c r="B2049" s="14">
        <f>A2049*Assumptions!$B$12</f>
        <v>20.41</v>
      </c>
      <c r="C2049" s="15">
        <f>IF(A2049&lt;=Assumptions!$B$13,IF(OR(A2049=0,A2049=Assumptions!$B$13),0.5,1),0)*Assumptions!$B$12</f>
        <v>0</v>
      </c>
      <c r="D2049" s="12">
        <f>D2048*(1-Assumptions!$B$12*(Assumptions!$B$5+Assumptions!$B$6))</f>
        <v>0.54205280105157272</v>
      </c>
      <c r="E2049" s="12">
        <f>E2048+Assumptions!$B$12*(D2048*Assumptions!$B$5-E2048*Assumptions!$B$7)</f>
        <v>0.18173008300437624</v>
      </c>
      <c r="F2049" s="12">
        <f t="shared" si="93"/>
        <v>0.27621711594405107</v>
      </c>
      <c r="G2049" s="12">
        <f>EXP(-Assumptions!$B$8*B2049)</f>
        <v>0.36041468776984786</v>
      </c>
      <c r="H2049" s="12">
        <f t="shared" si="94"/>
        <v>0.19536379104577403</v>
      </c>
      <c r="I2049" s="12">
        <f t="shared" si="95"/>
        <v>6.5498191124410798E-2</v>
      </c>
      <c r="J2049" s="12">
        <f>G2049*(D2049*Assumptions!$B$6+E2049*Assumptions!$B$7)</f>
        <v>5.2285474666782803E-3</v>
      </c>
    </row>
    <row r="2050" spans="1:10" x14ac:dyDescent="0.2">
      <c r="A2050" s="2">
        <v>2042</v>
      </c>
      <c r="B2050" s="14">
        <f>A2050*Assumptions!$B$12</f>
        <v>20.420000000000002</v>
      </c>
      <c r="C2050" s="15">
        <f>IF(A2050&lt;=Assumptions!$B$13,IF(OR(A2050=0,A2050=Assumptions!$B$13),0.5,1),0)*Assumptions!$B$12</f>
        <v>0</v>
      </c>
      <c r="D2050" s="12">
        <f>D2049*(1-Assumptions!$B$12*(Assumptions!$B$5+Assumptions!$B$6))</f>
        <v>0.54189018521125731</v>
      </c>
      <c r="E2050" s="12">
        <f>E2049+Assumptions!$B$12*(D2049*Assumptions!$B$5-E2049*Assumptions!$B$7)</f>
        <v>0.18174762852308438</v>
      </c>
      <c r="F2050" s="12">
        <f t="shared" si="93"/>
        <v>0.27636218626565834</v>
      </c>
      <c r="G2050" s="12">
        <f>EXP(-Assumptions!$B$8*B2050)</f>
        <v>0.36023452547029111</v>
      </c>
      <c r="H2050" s="12">
        <f t="shared" si="94"/>
        <v>0.19520755372658544</v>
      </c>
      <c r="I2050" s="12">
        <f t="shared" si="95"/>
        <v>6.547177071636405E-2</v>
      </c>
      <c r="J2050" s="12">
        <f>G2050*(D2050*Assumptions!$B$6+E2050*Assumptions!$B$7)</f>
        <v>5.2256640730840576E-3</v>
      </c>
    </row>
    <row r="2051" spans="1:10" x14ac:dyDescent="0.2">
      <c r="A2051" s="2">
        <v>2043</v>
      </c>
      <c r="B2051" s="14">
        <f>A2051*Assumptions!$B$12</f>
        <v>20.43</v>
      </c>
      <c r="C2051" s="15">
        <f>IF(A2051&lt;=Assumptions!$B$13,IF(OR(A2051=0,A2051=Assumptions!$B$13),0.5,1),0)*Assumptions!$B$12</f>
        <v>0</v>
      </c>
      <c r="D2051" s="12">
        <f>D2050*(1-Assumptions!$B$12*(Assumptions!$B$5+Assumptions!$B$6))</f>
        <v>0.54172761815569392</v>
      </c>
      <c r="E2051" s="12">
        <f>E2050+Assumptions!$B$12*(D2050*Assumptions!$B$5-E2050*Assumptions!$B$7)</f>
        <v>0.18176513274586509</v>
      </c>
      <c r="F2051" s="12">
        <f t="shared" si="93"/>
        <v>0.27650724909844099</v>
      </c>
      <c r="G2051" s="12">
        <f>EXP(-Assumptions!$B$8*B2051)</f>
        <v>0.36005445322936774</v>
      </c>
      <c r="H2051" s="12">
        <f t="shared" si="94"/>
        <v>0.19505144135429608</v>
      </c>
      <c r="I2051" s="12">
        <f t="shared" si="95"/>
        <v>6.5445345486975906E-2</v>
      </c>
      <c r="J2051" s="12">
        <f>G2051*(D2051*Assumptions!$B$6+E2051*Assumptions!$B$7)</f>
        <v>5.2227816878917558E-3</v>
      </c>
    </row>
    <row r="2052" spans="1:10" x14ac:dyDescent="0.2">
      <c r="A2052" s="2">
        <v>2044</v>
      </c>
      <c r="B2052" s="14">
        <f>A2052*Assumptions!$B$12</f>
        <v>20.440000000000001</v>
      </c>
      <c r="C2052" s="15">
        <f>IF(A2052&lt;=Assumptions!$B$13,IF(OR(A2052=0,A2052=Assumptions!$B$13),0.5,1),0)*Assumptions!$B$12</f>
        <v>0</v>
      </c>
      <c r="D2052" s="12">
        <f>D2051*(1-Assumptions!$B$12*(Assumptions!$B$5+Assumptions!$B$6))</f>
        <v>0.54156509987024726</v>
      </c>
      <c r="E2052" s="12">
        <f>E2051+Assumptions!$B$12*(D2051*Assumptions!$B$5-E2051*Assumptions!$B$7)</f>
        <v>0.1817825957031233</v>
      </c>
      <c r="F2052" s="12">
        <f t="shared" si="93"/>
        <v>0.27665230442662947</v>
      </c>
      <c r="G2052" s="12">
        <f>EXP(-Assumptions!$B$8*B2052)</f>
        <v>0.35987447100205955</v>
      </c>
      <c r="H2052" s="12">
        <f t="shared" si="94"/>
        <v>0.19489545382898277</v>
      </c>
      <c r="I2052" s="12">
        <f t="shared" si="95"/>
        <v>6.5418915466042754E-2</v>
      </c>
      <c r="J2052" s="12">
        <f>G2052*(D2052*Assumptions!$B$6+E2052*Assumptions!$B$7)</f>
        <v>5.2199003115919662E-3</v>
      </c>
    </row>
    <row r="2053" spans="1:10" x14ac:dyDescent="0.2">
      <c r="A2053" s="2">
        <v>2045</v>
      </c>
      <c r="B2053" s="14">
        <f>A2053*Assumptions!$B$12</f>
        <v>20.45</v>
      </c>
      <c r="C2053" s="15">
        <f>IF(A2053&lt;=Assumptions!$B$13,IF(OR(A2053=0,A2053=Assumptions!$B$13),0.5,1),0)*Assumptions!$B$12</f>
        <v>0</v>
      </c>
      <c r="D2053" s="12">
        <f>D2052*(1-Assumptions!$B$12*(Assumptions!$B$5+Assumptions!$B$6))</f>
        <v>0.54140263034028624</v>
      </c>
      <c r="E2053" s="12">
        <f>E2052+Assumptions!$B$12*(D2052*Assumptions!$B$5-E2052*Assumptions!$B$7)</f>
        <v>0.18180001742524579</v>
      </c>
      <c r="F2053" s="12">
        <f t="shared" si="93"/>
        <v>0.276797352234468</v>
      </c>
      <c r="G2053" s="12">
        <f>EXP(-Assumptions!$B$8*B2053)</f>
        <v>0.35969457874337096</v>
      </c>
      <c r="H2053" s="12">
        <f t="shared" si="94"/>
        <v>0.19473959105080224</v>
      </c>
      <c r="I2053" s="12">
        <f t="shared" si="95"/>
        <v>6.5392480683311285E-2</v>
      </c>
      <c r="J2053" s="12">
        <f>G2053*(D2053*Assumptions!$B$6+E2053*Assumptions!$B$7)</f>
        <v>5.2170199446735874E-3</v>
      </c>
    </row>
    <row r="2054" spans="1:10" x14ac:dyDescent="0.2">
      <c r="A2054" s="2">
        <v>2046</v>
      </c>
      <c r="B2054" s="14">
        <f>A2054*Assumptions!$B$12</f>
        <v>20.46</v>
      </c>
      <c r="C2054" s="15">
        <f>IF(A2054&lt;=Assumptions!$B$13,IF(OR(A2054=0,A2054=Assumptions!$B$13),0.5,1),0)*Assumptions!$B$12</f>
        <v>0</v>
      </c>
      <c r="D2054" s="12">
        <f>D2053*(1-Assumptions!$B$12*(Assumptions!$B$5+Assumptions!$B$6))</f>
        <v>0.54124020955118413</v>
      </c>
      <c r="E2054" s="12">
        <f>E2053+Assumptions!$B$12*(D2053*Assumptions!$B$5-E2053*Assumptions!$B$7)</f>
        <v>0.18181739794260124</v>
      </c>
      <c r="F2054" s="12">
        <f t="shared" si="93"/>
        <v>0.27694239250621466</v>
      </c>
      <c r="G2054" s="12">
        <f>EXP(-Assumptions!$B$8*B2054)</f>
        <v>0.35951477640832885</v>
      </c>
      <c r="H2054" s="12">
        <f t="shared" si="94"/>
        <v>0.194583852919991</v>
      </c>
      <c r="I2054" s="12">
        <f t="shared" si="95"/>
        <v>6.5366041168478439E-2</v>
      </c>
      <c r="J2054" s="12">
        <f>G2054*(D2054*Assumptions!$B$6+E2054*Assumptions!$B$7)</f>
        <v>5.2141405876238323E-3</v>
      </c>
    </row>
    <row r="2055" spans="1:10" x14ac:dyDescent="0.2">
      <c r="A2055" s="2">
        <v>2047</v>
      </c>
      <c r="B2055" s="14">
        <f>A2055*Assumptions!$B$12</f>
        <v>20.47</v>
      </c>
      <c r="C2055" s="15">
        <f>IF(A2055&lt;=Assumptions!$B$13,IF(OR(A2055=0,A2055=Assumptions!$B$13),0.5,1),0)*Assumptions!$B$12</f>
        <v>0</v>
      </c>
      <c r="D2055" s="12">
        <f>D2054*(1-Assumptions!$B$12*(Assumptions!$B$5+Assumptions!$B$6))</f>
        <v>0.54107783748831884</v>
      </c>
      <c r="E2055" s="12">
        <f>E2054+Assumptions!$B$12*(D2054*Assumptions!$B$5-E2054*Assumptions!$B$7)</f>
        <v>0.18183473728554017</v>
      </c>
      <c r="F2055" s="12">
        <f t="shared" si="93"/>
        <v>0.27708742522614099</v>
      </c>
      <c r="G2055" s="12">
        <f>EXP(-Assumptions!$B$8*B2055)</f>
        <v>0.35933506395198278</v>
      </c>
      <c r="H2055" s="12">
        <f t="shared" si="94"/>
        <v>0.19442823933686559</v>
      </c>
      <c r="I2055" s="12">
        <f t="shared" si="95"/>
        <v>6.533959695119157E-2</v>
      </c>
      <c r="J2055" s="12">
        <f>G2055*(D2055*Assumptions!$B$6+E2055*Assumptions!$B$7)</f>
        <v>5.2112622409282343E-3</v>
      </c>
    </row>
    <row r="2056" spans="1:10" x14ac:dyDescent="0.2">
      <c r="A2056" s="2">
        <v>2048</v>
      </c>
      <c r="B2056" s="14">
        <f>A2056*Assumptions!$B$12</f>
        <v>20.48</v>
      </c>
      <c r="C2056" s="15">
        <f>IF(A2056&lt;=Assumptions!$B$13,IF(OR(A2056=0,A2056=Assumptions!$B$13),0.5,1),0)*Assumptions!$B$12</f>
        <v>0</v>
      </c>
      <c r="D2056" s="12">
        <f>D2055*(1-Assumptions!$B$12*(Assumptions!$B$5+Assumptions!$B$6))</f>
        <v>0.5409155141370724</v>
      </c>
      <c r="E2056" s="12">
        <f>E2055+Assumptions!$B$12*(D2055*Assumptions!$B$5-E2055*Assumptions!$B$7)</f>
        <v>0.18185203548439507</v>
      </c>
      <c r="F2056" s="12">
        <f t="shared" ref="F2056:F2119" si="96">1-D2056-E2056</f>
        <v>0.2772324503785325</v>
      </c>
      <c r="G2056" s="12">
        <f>EXP(-Assumptions!$B$8*B2056)</f>
        <v>0.35915544132940458</v>
      </c>
      <c r="H2056" s="12">
        <f t="shared" ref="H2056:H2119" si="97">G2056*D2056</f>
        <v>0.19427275020182203</v>
      </c>
      <c r="I2056" s="12">
        <f t="shared" ref="I2056:I2119" si="98">G2056*E2056</f>
        <v>6.5313148061048459E-2</v>
      </c>
      <c r="J2056" s="12">
        <f>G2056*(D2056*Assumptions!$B$6+E2056*Assumptions!$B$7)</f>
        <v>5.2083849050706434E-3</v>
      </c>
    </row>
    <row r="2057" spans="1:10" x14ac:dyDescent="0.2">
      <c r="A2057" s="2">
        <v>2049</v>
      </c>
      <c r="B2057" s="14">
        <f>A2057*Assumptions!$B$12</f>
        <v>20.490000000000002</v>
      </c>
      <c r="C2057" s="15">
        <f>IF(A2057&lt;=Assumptions!$B$13,IF(OR(A2057=0,A2057=Assumptions!$B$13),0.5,1),0)*Assumptions!$B$12</f>
        <v>0</v>
      </c>
      <c r="D2057" s="12">
        <f>D2056*(1-Assumptions!$B$12*(Assumptions!$B$5+Assumptions!$B$6))</f>
        <v>0.54075323948283127</v>
      </c>
      <c r="E2057" s="12">
        <f>E2056+Assumptions!$B$12*(D2056*Assumptions!$B$5-E2056*Assumptions!$B$7)</f>
        <v>0.18186929256948028</v>
      </c>
      <c r="F2057" s="12">
        <f t="shared" si="96"/>
        <v>0.27737746794768847</v>
      </c>
      <c r="G2057" s="12">
        <f>EXP(-Assumptions!$B$8*B2057)</f>
        <v>0.35897590849568856</v>
      </c>
      <c r="H2057" s="12">
        <f t="shared" si="97"/>
        <v>0.19411738541533599</v>
      </c>
      <c r="I2057" s="12">
        <f t="shared" si="98"/>
        <v>6.5286694527597361E-2</v>
      </c>
      <c r="J2057" s="12">
        <f>G2057*(D2057*Assumptions!$B$6+E2057*Assumptions!$B$7)</f>
        <v>5.2055085805332284E-3</v>
      </c>
    </row>
    <row r="2058" spans="1:10" x14ac:dyDescent="0.2">
      <c r="A2058" s="2">
        <v>2050</v>
      </c>
      <c r="B2058" s="14">
        <f>A2058*Assumptions!$B$12</f>
        <v>20.5</v>
      </c>
      <c r="C2058" s="15">
        <f>IF(A2058&lt;=Assumptions!$B$13,IF(OR(A2058=0,A2058=Assumptions!$B$13),0.5,1),0)*Assumptions!$B$12</f>
        <v>0</v>
      </c>
      <c r="D2058" s="12">
        <f>D2057*(1-Assumptions!$B$12*(Assumptions!$B$5+Assumptions!$B$6))</f>
        <v>0.54059101351098648</v>
      </c>
      <c r="E2058" s="12">
        <f>E2057+Assumptions!$B$12*(D2057*Assumptions!$B$5-E2057*Assumptions!$B$7)</f>
        <v>0.18188650857109212</v>
      </c>
      <c r="F2058" s="12">
        <f t="shared" si="96"/>
        <v>0.2775224779179214</v>
      </c>
      <c r="G2058" s="12">
        <f>EXP(-Assumptions!$B$8*B2058)</f>
        <v>0.35879646540595156</v>
      </c>
      <c r="H2058" s="12">
        <f t="shared" si="97"/>
        <v>0.19396214487796296</v>
      </c>
      <c r="I2058" s="12">
        <f t="shared" si="98"/>
        <v>6.5260236380337164E-2</v>
      </c>
      <c r="J2058" s="12">
        <f>G2058*(D2058*Assumptions!$B$6+E2058*Assumptions!$B$7)</f>
        <v>5.2026332677964889E-3</v>
      </c>
    </row>
    <row r="2059" spans="1:10" x14ac:dyDescent="0.2">
      <c r="A2059" s="2">
        <v>2051</v>
      </c>
      <c r="B2059" s="14">
        <f>A2059*Assumptions!$B$12</f>
        <v>20.51</v>
      </c>
      <c r="C2059" s="15">
        <f>IF(A2059&lt;=Assumptions!$B$13,IF(OR(A2059=0,A2059=Assumptions!$B$13),0.5,1),0)*Assumptions!$B$12</f>
        <v>0</v>
      </c>
      <c r="D2059" s="12">
        <f>D2058*(1-Assumptions!$B$12*(Assumptions!$B$5+Assumptions!$B$6))</f>
        <v>0.54042883620693316</v>
      </c>
      <c r="E2059" s="12">
        <f>E2058+Assumptions!$B$12*(D2058*Assumptions!$B$5-E2058*Assumptions!$B$7)</f>
        <v>0.18190368351950878</v>
      </c>
      <c r="F2059" s="12">
        <f t="shared" si="96"/>
        <v>0.27766748027355803</v>
      </c>
      <c r="G2059" s="12">
        <f>EXP(-Assumptions!$B$8*B2059)</f>
        <v>0.35861711201533275</v>
      </c>
      <c r="H2059" s="12">
        <f t="shared" si="97"/>
        <v>0.19380702849033765</v>
      </c>
      <c r="I2059" s="12">
        <f t="shared" si="98"/>
        <v>6.5233773648717325E-2</v>
      </c>
      <c r="J2059" s="12">
        <f>G2059*(D2059*Assumptions!$B$6+E2059*Assumptions!$B$7)</f>
        <v>5.1997589673392431E-3</v>
      </c>
    </row>
    <row r="2060" spans="1:10" x14ac:dyDescent="0.2">
      <c r="A2060" s="2">
        <v>2052</v>
      </c>
      <c r="B2060" s="14">
        <f>A2060*Assumptions!$B$12</f>
        <v>20.52</v>
      </c>
      <c r="C2060" s="15">
        <f>IF(A2060&lt;=Assumptions!$B$13,IF(OR(A2060=0,A2060=Assumptions!$B$13),0.5,1),0)*Assumptions!$B$12</f>
        <v>0</v>
      </c>
      <c r="D2060" s="12">
        <f>D2059*(1-Assumptions!$B$12*(Assumptions!$B$5+Assumptions!$B$6))</f>
        <v>0.54026670755607109</v>
      </c>
      <c r="E2060" s="12">
        <f>E2059+Assumptions!$B$12*(D2059*Assumptions!$B$5-E2059*Assumptions!$B$7)</f>
        <v>0.18192081744499042</v>
      </c>
      <c r="F2060" s="12">
        <f t="shared" si="96"/>
        <v>0.27781247499893846</v>
      </c>
      <c r="G2060" s="12">
        <f>EXP(-Assumptions!$B$8*B2060)</f>
        <v>0.35843784827899389</v>
      </c>
      <c r="H2060" s="12">
        <f t="shared" si="97"/>
        <v>0.19365203615317456</v>
      </c>
      <c r="I2060" s="12">
        <f t="shared" si="98"/>
        <v>6.5207306362138021E-2</v>
      </c>
      <c r="J2060" s="12">
        <f>G2060*(D2060*Assumptions!$B$6+E2060*Assumptions!$B$7)</f>
        <v>5.1968856796386466E-3</v>
      </c>
    </row>
    <row r="2061" spans="1:10" x14ac:dyDescent="0.2">
      <c r="A2061" s="2">
        <v>2053</v>
      </c>
      <c r="B2061" s="14">
        <f>A2061*Assumptions!$B$12</f>
        <v>20.53</v>
      </c>
      <c r="C2061" s="15">
        <f>IF(A2061&lt;=Assumptions!$B$13,IF(OR(A2061=0,A2061=Assumptions!$B$13),0.5,1),0)*Assumptions!$B$12</f>
        <v>0</v>
      </c>
      <c r="D2061" s="12">
        <f>D2060*(1-Assumptions!$B$12*(Assumptions!$B$5+Assumptions!$B$6))</f>
        <v>0.54010462754380428</v>
      </c>
      <c r="E2061" s="12">
        <f>E2060+Assumptions!$B$12*(D2060*Assumptions!$B$5-E2060*Assumptions!$B$7)</f>
        <v>0.18193791037777915</v>
      </c>
      <c r="F2061" s="12">
        <f t="shared" si="96"/>
        <v>0.27795746207841654</v>
      </c>
      <c r="G2061" s="12">
        <f>EXP(-Assumptions!$B$8*B2061)</f>
        <v>0.35825867415211882</v>
      </c>
      <c r="H2061" s="12">
        <f t="shared" si="97"/>
        <v>0.19349716776726728</v>
      </c>
      <c r="I2061" s="12">
        <f t="shared" si="98"/>
        <v>6.5180834549950176E-2</v>
      </c>
      <c r="J2061" s="12">
        <f>G2061*(D2061*Assumptions!$B$6+E2061*Assumptions!$B$7)</f>
        <v>5.1940134051701812E-3</v>
      </c>
    </row>
    <row r="2062" spans="1:10" x14ac:dyDescent="0.2">
      <c r="A2062" s="2">
        <v>2054</v>
      </c>
      <c r="B2062" s="14">
        <f>A2062*Assumptions!$B$12</f>
        <v>20.54</v>
      </c>
      <c r="C2062" s="15">
        <f>IF(A2062&lt;=Assumptions!$B$13,IF(OR(A2062=0,A2062=Assumptions!$B$13),0.5,1),0)*Assumptions!$B$12</f>
        <v>0</v>
      </c>
      <c r="D2062" s="12">
        <f>D2061*(1-Assumptions!$B$12*(Assumptions!$B$5+Assumptions!$B$6))</f>
        <v>0.53994259615554119</v>
      </c>
      <c r="E2062" s="12">
        <f>E2061+Assumptions!$B$12*(D2061*Assumptions!$B$5-E2061*Assumptions!$B$7)</f>
        <v>0.18195496234809902</v>
      </c>
      <c r="F2062" s="12">
        <f t="shared" si="96"/>
        <v>0.27810244149635976</v>
      </c>
      <c r="G2062" s="12">
        <f>EXP(-Assumptions!$B$8*B2062)</f>
        <v>0.35807958958991437</v>
      </c>
      <c r="H2062" s="12">
        <f t="shared" si="97"/>
        <v>0.19334242323348907</v>
      </c>
      <c r="I2062" s="12">
        <f t="shared" si="98"/>
        <v>6.5154358241455615E-2</v>
      </c>
      <c r="J2062" s="12">
        <f>G2062*(D2062*Assumptions!$B$6+E2062*Assumptions!$B$7)</f>
        <v>5.1911421444076717E-3</v>
      </c>
    </row>
    <row r="2063" spans="1:10" x14ac:dyDescent="0.2">
      <c r="A2063" s="2">
        <v>2055</v>
      </c>
      <c r="B2063" s="14">
        <f>A2063*Assumptions!$B$12</f>
        <v>20.55</v>
      </c>
      <c r="C2063" s="15">
        <f>IF(A2063&lt;=Assumptions!$B$13,IF(OR(A2063=0,A2063=Assumptions!$B$13),0.5,1),0)*Assumptions!$B$12</f>
        <v>0</v>
      </c>
      <c r="D2063" s="12">
        <f>D2062*(1-Assumptions!$B$12*(Assumptions!$B$5+Assumptions!$B$6))</f>
        <v>0.53978061337669458</v>
      </c>
      <c r="E2063" s="12">
        <f>E2062+Assumptions!$B$12*(D2062*Assumptions!$B$5-E2062*Assumptions!$B$7)</f>
        <v>0.18197197338615609</v>
      </c>
      <c r="F2063" s="12">
        <f t="shared" si="96"/>
        <v>0.2782474132371493</v>
      </c>
      <c r="G2063" s="12">
        <f>EXP(-Assumptions!$B$8*B2063)</f>
        <v>0.35790059454760897</v>
      </c>
      <c r="H2063" s="12">
        <f t="shared" si="97"/>
        <v>0.19318780245279205</v>
      </c>
      <c r="I2063" s="12">
        <f t="shared" si="98"/>
        <v>6.5127877465906939E-2</v>
      </c>
      <c r="J2063" s="12">
        <f>G2063*(D2063*Assumptions!$B$6+E2063*Assumptions!$B$7)</f>
        <v>5.1882718978232675E-3</v>
      </c>
    </row>
    <row r="2064" spans="1:10" x14ac:dyDescent="0.2">
      <c r="A2064" s="2">
        <v>2056</v>
      </c>
      <c r="B2064" s="14">
        <f>A2064*Assumptions!$B$12</f>
        <v>20.56</v>
      </c>
      <c r="C2064" s="15">
        <f>IF(A2064&lt;=Assumptions!$B$13,IF(OR(A2064=0,A2064=Assumptions!$B$13),0.5,1),0)*Assumptions!$B$12</f>
        <v>0</v>
      </c>
      <c r="D2064" s="12">
        <f>D2063*(1-Assumptions!$B$12*(Assumptions!$B$5+Assumptions!$B$6))</f>
        <v>0.53961867919268158</v>
      </c>
      <c r="E2064" s="12">
        <f>E2063+Assumptions!$B$12*(D2063*Assumptions!$B$5-E2063*Assumptions!$B$7)</f>
        <v>0.18198894352213835</v>
      </c>
      <c r="F2064" s="12">
        <f t="shared" si="96"/>
        <v>0.27839237728518007</v>
      </c>
      <c r="G2064" s="12">
        <f>EXP(-Assumptions!$B$8*B2064)</f>
        <v>0.3577216889804542</v>
      </c>
      <c r="H2064" s="12">
        <f t="shared" si="97"/>
        <v>0.19303330532620794</v>
      </c>
      <c r="I2064" s="12">
        <f t="shared" si="98"/>
        <v>6.5101392252507814E-2</v>
      </c>
      <c r="J2064" s="12">
        <f>G2064*(D2064*Assumptions!$B$6+E2064*Assumptions!$B$7)</f>
        <v>5.1854026658874706E-3</v>
      </c>
    </row>
    <row r="2065" spans="1:10" x14ac:dyDescent="0.2">
      <c r="A2065" s="2">
        <v>2057</v>
      </c>
      <c r="B2065" s="14">
        <f>A2065*Assumptions!$B$12</f>
        <v>20.57</v>
      </c>
      <c r="C2065" s="15">
        <f>IF(A2065&lt;=Assumptions!$B$13,IF(OR(A2065=0,A2065=Assumptions!$B$13),0.5,1),0)*Assumptions!$B$12</f>
        <v>0</v>
      </c>
      <c r="D2065" s="12">
        <f>D2064*(1-Assumptions!$B$12*(Assumptions!$B$5+Assumptions!$B$6))</f>
        <v>0.53945679358892384</v>
      </c>
      <c r="E2065" s="12">
        <f>E2064+Assumptions!$B$12*(D2064*Assumptions!$B$5-E2064*Assumptions!$B$7)</f>
        <v>0.18200587278621583</v>
      </c>
      <c r="F2065" s="12">
        <f t="shared" si="96"/>
        <v>0.27853733362486033</v>
      </c>
      <c r="G2065" s="12">
        <f>EXP(-Assumptions!$B$8*B2065)</f>
        <v>0.35754287284372349</v>
      </c>
      <c r="H2065" s="12">
        <f t="shared" si="97"/>
        <v>0.19287893175484738</v>
      </c>
      <c r="I2065" s="12">
        <f t="shared" si="98"/>
        <v>6.5074902630412879E-2</v>
      </c>
      <c r="J2065" s="12">
        <f>G2065*(D2065*Assumptions!$B$6+E2065*Assumptions!$B$7)</f>
        <v>5.1825344490691186E-3</v>
      </c>
    </row>
    <row r="2066" spans="1:10" x14ac:dyDescent="0.2">
      <c r="A2066" s="2">
        <v>2058</v>
      </c>
      <c r="B2066" s="14">
        <f>A2066*Assumptions!$B$12</f>
        <v>20.580000000000002</v>
      </c>
      <c r="C2066" s="15">
        <f>IF(A2066&lt;=Assumptions!$B$13,IF(OR(A2066=0,A2066=Assumptions!$B$13),0.5,1),0)*Assumptions!$B$12</f>
        <v>0</v>
      </c>
      <c r="D2066" s="12">
        <f>D2065*(1-Assumptions!$B$12*(Assumptions!$B$5+Assumptions!$B$6))</f>
        <v>0.53929495655084714</v>
      </c>
      <c r="E2066" s="12">
        <f>E2065+Assumptions!$B$12*(D2065*Assumptions!$B$5-E2065*Assumptions!$B$7)</f>
        <v>0.1820227612085405</v>
      </c>
      <c r="F2066" s="12">
        <f t="shared" si="96"/>
        <v>0.27868228224061237</v>
      </c>
      <c r="G2066" s="12">
        <f>EXP(-Assumptions!$B$8*B2066)</f>
        <v>0.35736414609271278</v>
      </c>
      <c r="H2066" s="12">
        <f t="shared" si="97"/>
        <v>0.19272468163990011</v>
      </c>
      <c r="I2066" s="12">
        <f t="shared" si="98"/>
        <v>6.5048408628727836E-2</v>
      </c>
      <c r="J2066" s="12">
        <f>G2066*(D2066*Assumptions!$B$6+E2066*Assumptions!$B$7)</f>
        <v>5.1796672478353935E-3</v>
      </c>
    </row>
    <row r="2067" spans="1:10" x14ac:dyDescent="0.2">
      <c r="A2067" s="2">
        <v>2059</v>
      </c>
      <c r="B2067" s="14">
        <f>A2067*Assumptions!$B$12</f>
        <v>20.59</v>
      </c>
      <c r="C2067" s="15">
        <f>IF(A2067&lt;=Assumptions!$B$13,IF(OR(A2067=0,A2067=Assumptions!$B$13),0.5,1),0)*Assumptions!$B$12</f>
        <v>0</v>
      </c>
      <c r="D2067" s="12">
        <f>D2066*(1-Assumptions!$B$12*(Assumptions!$B$5+Assumptions!$B$6))</f>
        <v>0.5391331680638819</v>
      </c>
      <c r="E2067" s="12">
        <f>E2066+Assumptions!$B$12*(D2066*Assumptions!$B$5-E2066*Assumptions!$B$7)</f>
        <v>0.18203960881924638</v>
      </c>
      <c r="F2067" s="12">
        <f t="shared" si="96"/>
        <v>0.27882722311687169</v>
      </c>
      <c r="G2067" s="12">
        <f>EXP(-Assumptions!$B$8*B2067)</f>
        <v>0.35718550868274057</v>
      </c>
      <c r="H2067" s="12">
        <f t="shared" si="97"/>
        <v>0.19257055488263511</v>
      </c>
      <c r="I2067" s="12">
        <f t="shared" si="98"/>
        <v>6.5021910276509623E-2</v>
      </c>
      <c r="J2067" s="12">
        <f>G2067*(D2067*Assumptions!$B$6+E2067*Assumptions!$B$7)</f>
        <v>5.1768010626518325E-3</v>
      </c>
    </row>
    <row r="2068" spans="1:10" x14ac:dyDescent="0.2">
      <c r="A2068" s="2">
        <v>2060</v>
      </c>
      <c r="B2068" s="14">
        <f>A2068*Assumptions!$B$12</f>
        <v>20.6</v>
      </c>
      <c r="C2068" s="15">
        <f>IF(A2068&lt;=Assumptions!$B$13,IF(OR(A2068=0,A2068=Assumptions!$B$13),0.5,1),0)*Assumptions!$B$12</f>
        <v>0</v>
      </c>
      <c r="D2068" s="12">
        <f>D2067*(1-Assumptions!$B$12*(Assumptions!$B$5+Assumptions!$B$6))</f>
        <v>0.53897142811346277</v>
      </c>
      <c r="E2068" s="12">
        <f>E2067+Assumptions!$B$12*(D2067*Assumptions!$B$5-E2067*Assumptions!$B$7)</f>
        <v>0.18205641564844954</v>
      </c>
      <c r="F2068" s="12">
        <f t="shared" si="96"/>
        <v>0.27897215623808769</v>
      </c>
      <c r="G2068" s="12">
        <f>EXP(-Assumptions!$B$8*B2068)</f>
        <v>0.35700696056914738</v>
      </c>
      <c r="H2068" s="12">
        <f t="shared" si="97"/>
        <v>0.19241655138440006</v>
      </c>
      <c r="I2068" s="12">
        <f t="shared" si="98"/>
        <v>6.4995407602766328E-2</v>
      </c>
      <c r="J2068" s="12">
        <f>G2068*(D2068*Assumptions!$B$6+E2068*Assumptions!$B$7)</f>
        <v>5.1739358939823172E-3</v>
      </c>
    </row>
    <row r="2069" spans="1:10" x14ac:dyDescent="0.2">
      <c r="A2069" s="2">
        <v>2061</v>
      </c>
      <c r="B2069" s="14">
        <f>A2069*Assumptions!$B$12</f>
        <v>20.61</v>
      </c>
      <c r="C2069" s="15">
        <f>IF(A2069&lt;=Assumptions!$B$13,IF(OR(A2069=0,A2069=Assumptions!$B$13),0.5,1),0)*Assumptions!$B$12</f>
        <v>0</v>
      </c>
      <c r="D2069" s="12">
        <f>D2068*(1-Assumptions!$B$12*(Assumptions!$B$5+Assumptions!$B$6))</f>
        <v>0.53880973668502874</v>
      </c>
      <c r="E2069" s="12">
        <f>E2068+Assumptions!$B$12*(D2068*Assumptions!$B$5-E2068*Assumptions!$B$7)</f>
        <v>0.18207318172624801</v>
      </c>
      <c r="F2069" s="12">
        <f t="shared" si="96"/>
        <v>0.27911708158872328</v>
      </c>
      <c r="G2069" s="12">
        <f>EXP(-Assumptions!$B$8*B2069)</f>
        <v>0.35682850170729619</v>
      </c>
      <c r="H2069" s="12">
        <f t="shared" si="97"/>
        <v>0.19226267104662159</v>
      </c>
      <c r="I2069" s="12">
        <f t="shared" si="98"/>
        <v>6.4968900636457341E-2</v>
      </c>
      <c r="J2069" s="12">
        <f>G2069*(D2069*Assumptions!$B$6+E2069*Assumptions!$B$7)</f>
        <v>5.1710717422890828E-3</v>
      </c>
    </row>
    <row r="2070" spans="1:10" x14ac:dyDescent="0.2">
      <c r="A2070" s="2">
        <v>2062</v>
      </c>
      <c r="B2070" s="14">
        <f>A2070*Assumptions!$B$12</f>
        <v>20.62</v>
      </c>
      <c r="C2070" s="15">
        <f>IF(A2070&lt;=Assumptions!$B$13,IF(OR(A2070=0,A2070=Assumptions!$B$13),0.5,1),0)*Assumptions!$B$12</f>
        <v>0</v>
      </c>
      <c r="D2070" s="12">
        <f>D2069*(1-Assumptions!$B$12*(Assumptions!$B$5+Assumptions!$B$6))</f>
        <v>0.53864809376402323</v>
      </c>
      <c r="E2070" s="12">
        <f>E2069+Assumptions!$B$12*(D2069*Assumptions!$B$5-E2069*Assumptions!$B$7)</f>
        <v>0.18208990708272188</v>
      </c>
      <c r="F2070" s="12">
        <f t="shared" si="96"/>
        <v>0.27926199915325489</v>
      </c>
      <c r="G2070" s="12">
        <f>EXP(-Assumptions!$B$8*B2070)</f>
        <v>0.35665013205257218</v>
      </c>
      <c r="H2070" s="12">
        <f t="shared" si="97"/>
        <v>0.19210891377080516</v>
      </c>
      <c r="I2070" s="12">
        <f t="shared" si="98"/>
        <v>6.4942389406493356E-2</v>
      </c>
      <c r="J2070" s="12">
        <f>G2070*(D2070*Assumptions!$B$6+E2070*Assumptions!$B$7)</f>
        <v>5.1682086080327202E-3</v>
      </c>
    </row>
    <row r="2071" spans="1:10" x14ac:dyDescent="0.2">
      <c r="A2071" s="2">
        <v>2063</v>
      </c>
      <c r="B2071" s="14">
        <f>A2071*Assumptions!$B$12</f>
        <v>20.63</v>
      </c>
      <c r="C2071" s="15">
        <f>IF(A2071&lt;=Assumptions!$B$13,IF(OR(A2071=0,A2071=Assumptions!$B$13),0.5,1),0)*Assumptions!$B$12</f>
        <v>0</v>
      </c>
      <c r="D2071" s="12">
        <f>D2070*(1-Assumptions!$B$12*(Assumptions!$B$5+Assumptions!$B$6))</f>
        <v>0.53848649933589399</v>
      </c>
      <c r="E2071" s="12">
        <f>E2070+Assumptions!$B$12*(D2070*Assumptions!$B$5-E2070*Assumptions!$B$7)</f>
        <v>0.18210659174793331</v>
      </c>
      <c r="F2071" s="12">
        <f t="shared" si="96"/>
        <v>0.2794069089161727</v>
      </c>
      <c r="G2071" s="12">
        <f>EXP(-Assumptions!$B$8*B2071)</f>
        <v>0.35647185156038314</v>
      </c>
      <c r="H2071" s="12">
        <f t="shared" si="97"/>
        <v>0.19195527945853516</v>
      </c>
      <c r="I2071" s="12">
        <f t="shared" si="98"/>
        <v>6.4915873941736577E-2</v>
      </c>
      <c r="J2071" s="12">
        <f>G2071*(D2071*Assumptions!$B$6+E2071*Assumptions!$B$7)</f>
        <v>5.1653464916721807E-3</v>
      </c>
    </row>
    <row r="2072" spans="1:10" x14ac:dyDescent="0.2">
      <c r="A2072" s="2">
        <v>2064</v>
      </c>
      <c r="B2072" s="14">
        <f>A2072*Assumptions!$B$12</f>
        <v>20.64</v>
      </c>
      <c r="C2072" s="15">
        <f>IF(A2072&lt;=Assumptions!$B$13,IF(OR(A2072=0,A2072=Assumptions!$B$13),0.5,1),0)*Assumptions!$B$12</f>
        <v>0</v>
      </c>
      <c r="D2072" s="12">
        <f>D2071*(1-Assumptions!$B$12*(Assumptions!$B$5+Assumptions!$B$6))</f>
        <v>0.53832495338609321</v>
      </c>
      <c r="E2072" s="12">
        <f>E2071+Assumptions!$B$12*(D2071*Assumptions!$B$5-E2071*Assumptions!$B$7)</f>
        <v>0.18212323575192652</v>
      </c>
      <c r="F2072" s="12">
        <f t="shared" si="96"/>
        <v>0.27955181086198028</v>
      </c>
      <c r="G2072" s="12">
        <f>EXP(-Assumptions!$B$8*B2072)</f>
        <v>0.35629366018615882</v>
      </c>
      <c r="H2072" s="12">
        <f t="shared" si="97"/>
        <v>0.19180176801147447</v>
      </c>
      <c r="I2072" s="12">
        <f t="shared" si="98"/>
        <v>6.4889354271000593E-2</v>
      </c>
      <c r="J2072" s="12">
        <f>G2072*(D2072*Assumptions!$B$6+E2072*Assumptions!$B$7)</f>
        <v>5.1624853936647749E-3</v>
      </c>
    </row>
    <row r="2073" spans="1:10" x14ac:dyDescent="0.2">
      <c r="A2073" s="2">
        <v>2065</v>
      </c>
      <c r="B2073" s="14">
        <f>A2073*Assumptions!$B$12</f>
        <v>20.650000000000002</v>
      </c>
      <c r="C2073" s="15">
        <f>IF(A2073&lt;=Assumptions!$B$13,IF(OR(A2073=0,A2073=Assumptions!$B$13),0.5,1),0)*Assumptions!$B$12</f>
        <v>0</v>
      </c>
      <c r="D2073" s="12">
        <f>D2072*(1-Assumptions!$B$12*(Assumptions!$B$5+Assumptions!$B$6))</f>
        <v>0.53816345590007741</v>
      </c>
      <c r="E2073" s="12">
        <f>E2072+Assumptions!$B$12*(D2072*Assumptions!$B$5-E2072*Assumptions!$B$7)</f>
        <v>0.18213983912472778</v>
      </c>
      <c r="F2073" s="12">
        <f t="shared" si="96"/>
        <v>0.27969670497519483</v>
      </c>
      <c r="G2073" s="12">
        <f>EXP(-Assumptions!$B$8*B2073)</f>
        <v>0.35611555788535137</v>
      </c>
      <c r="H2073" s="12">
        <f t="shared" si="97"/>
        <v>0.19164837933136475</v>
      </c>
      <c r="I2073" s="12">
        <f t="shared" si="98"/>
        <v>6.4862830423050577E-2</v>
      </c>
      <c r="J2073" s="12">
        <f>G2073*(D2073*Assumptions!$B$6+E2073*Assumptions!$B$7)</f>
        <v>5.1596253144661763E-3</v>
      </c>
    </row>
    <row r="2074" spans="1:10" x14ac:dyDescent="0.2">
      <c r="A2074" s="2">
        <v>2066</v>
      </c>
      <c r="B2074" s="14">
        <f>A2074*Assumptions!$B$12</f>
        <v>20.66</v>
      </c>
      <c r="C2074" s="15">
        <f>IF(A2074&lt;=Assumptions!$B$13,IF(OR(A2074=0,A2074=Assumptions!$B$13),0.5,1),0)*Assumptions!$B$12</f>
        <v>0</v>
      </c>
      <c r="D2074" s="12">
        <f>D2073*(1-Assumptions!$B$12*(Assumptions!$B$5+Assumptions!$B$6))</f>
        <v>0.53800200686330746</v>
      </c>
      <c r="E2074" s="12">
        <f>E2073+Assumptions!$B$12*(D2073*Assumptions!$B$5-E2073*Assumptions!$B$7)</f>
        <v>0.18215640189634544</v>
      </c>
      <c r="F2074" s="12">
        <f t="shared" si="96"/>
        <v>0.27984159124034713</v>
      </c>
      <c r="G2074" s="12">
        <f>EXP(-Assumptions!$B$8*B2074)</f>
        <v>0.3559375446134353</v>
      </c>
      <c r="H2074" s="12">
        <f t="shared" si="97"/>
        <v>0.19149511332002622</v>
      </c>
      <c r="I2074" s="12">
        <f t="shared" si="98"/>
        <v>6.4836302426603307E-2</v>
      </c>
      <c r="J2074" s="12">
        <f>G2074*(D2074*Assumptions!$B$6+E2074*Assumptions!$B$7)</f>
        <v>5.1567662545304281E-3</v>
      </c>
    </row>
    <row r="2075" spans="1:10" x14ac:dyDescent="0.2">
      <c r="A2075" s="2">
        <v>2067</v>
      </c>
      <c r="B2075" s="14">
        <f>A2075*Assumptions!$B$12</f>
        <v>20.67</v>
      </c>
      <c r="C2075" s="15">
        <f>IF(A2075&lt;=Assumptions!$B$13,IF(OR(A2075=0,A2075=Assumptions!$B$13),0.5,1),0)*Assumptions!$B$12</f>
        <v>0</v>
      </c>
      <c r="D2075" s="12">
        <f>D2074*(1-Assumptions!$B$12*(Assumptions!$B$5+Assumptions!$B$6))</f>
        <v>0.53784060626124852</v>
      </c>
      <c r="E2075" s="12">
        <f>E2074+Assumptions!$B$12*(D2074*Assumptions!$B$5-E2074*Assumptions!$B$7)</f>
        <v>0.18217292409676994</v>
      </c>
      <c r="F2075" s="12">
        <f t="shared" si="96"/>
        <v>0.27998646964198154</v>
      </c>
      <c r="G2075" s="12">
        <f>EXP(-Assumptions!$B$8*B2075)</f>
        <v>0.35575962032590724</v>
      </c>
      <c r="H2075" s="12">
        <f t="shared" si="97"/>
        <v>0.19134196987935753</v>
      </c>
      <c r="I2075" s="12">
        <f t="shared" si="98"/>
        <v>6.4809770310327197E-2</v>
      </c>
      <c r="J2075" s="12">
        <f>G2075*(D2075*Assumptions!$B$6+E2075*Assumptions!$B$7)</f>
        <v>5.1539082143099348E-3</v>
      </c>
    </row>
    <row r="2076" spans="1:10" x14ac:dyDescent="0.2">
      <c r="A2076" s="2">
        <v>2068</v>
      </c>
      <c r="B2076" s="14">
        <f>A2076*Assumptions!$B$12</f>
        <v>20.68</v>
      </c>
      <c r="C2076" s="15">
        <f>IF(A2076&lt;=Assumptions!$B$13,IF(OR(A2076=0,A2076=Assumptions!$B$13),0.5,1),0)*Assumptions!$B$12</f>
        <v>0</v>
      </c>
      <c r="D2076" s="12">
        <f>D2075*(1-Assumptions!$B$12*(Assumptions!$B$5+Assumptions!$B$6))</f>
        <v>0.53767925407937012</v>
      </c>
      <c r="E2076" s="12">
        <f>E2075+Assumptions!$B$12*(D2075*Assumptions!$B$5-E2075*Assumptions!$B$7)</f>
        <v>0.18218940575597381</v>
      </c>
      <c r="F2076" s="12">
        <f t="shared" si="96"/>
        <v>0.28013134016465607</v>
      </c>
      <c r="G2076" s="12">
        <f>EXP(-Assumptions!$B$8*B2076)</f>
        <v>0.35558178497828613</v>
      </c>
      <c r="H2076" s="12">
        <f t="shared" si="97"/>
        <v>0.19118894891133587</v>
      </c>
      <c r="I2076" s="12">
        <f t="shared" si="98"/>
        <v>6.478323410284241E-2</v>
      </c>
      <c r="J2076" s="12">
        <f>G2076*(D2076*Assumptions!$B$6+E2076*Assumptions!$B$7)</f>
        <v>5.1510511942554791E-3</v>
      </c>
    </row>
    <row r="2077" spans="1:10" x14ac:dyDescent="0.2">
      <c r="A2077" s="2">
        <v>2069</v>
      </c>
      <c r="B2077" s="14">
        <f>A2077*Assumptions!$B$12</f>
        <v>20.69</v>
      </c>
      <c r="C2077" s="15">
        <f>IF(A2077&lt;=Assumptions!$B$13,IF(OR(A2077=0,A2077=Assumptions!$B$13),0.5,1),0)*Assumptions!$B$12</f>
        <v>0</v>
      </c>
      <c r="D2077" s="12">
        <f>D2076*(1-Assumptions!$B$12*(Assumptions!$B$5+Assumptions!$B$6))</f>
        <v>0.53751795030314631</v>
      </c>
      <c r="E2077" s="12">
        <f>E2076+Assumptions!$B$12*(D2076*Assumptions!$B$5-E2076*Assumptions!$B$7)</f>
        <v>0.1822058469039117</v>
      </c>
      <c r="F2077" s="12">
        <f t="shared" si="96"/>
        <v>0.28027620279294196</v>
      </c>
      <c r="G2077" s="12">
        <f>EXP(-Assumptions!$B$8*B2077)</f>
        <v>0.35540403852611302</v>
      </c>
      <c r="H2077" s="12">
        <f t="shared" si="97"/>
        <v>0.19103605031801671</v>
      </c>
      <c r="I2077" s="12">
        <f t="shared" si="98"/>
        <v>6.4756693832720882E-2</v>
      </c>
      <c r="J2077" s="12">
        <f>G2077*(D2077*Assumptions!$B$6+E2077*Assumptions!$B$7)</f>
        <v>5.1481951948162113E-3</v>
      </c>
    </row>
    <row r="2078" spans="1:10" x14ac:dyDescent="0.2">
      <c r="A2078" s="2">
        <v>2070</v>
      </c>
      <c r="B2078" s="14">
        <f>A2078*Assumptions!$B$12</f>
        <v>20.7</v>
      </c>
      <c r="C2078" s="15">
        <f>IF(A2078&lt;=Assumptions!$B$13,IF(OR(A2078=0,A2078=Assumptions!$B$13),0.5,1),0)*Assumptions!$B$12</f>
        <v>0</v>
      </c>
      <c r="D2078" s="12">
        <f>D2077*(1-Assumptions!$B$12*(Assumptions!$B$5+Assumptions!$B$6))</f>
        <v>0.53735669491805538</v>
      </c>
      <c r="E2078" s="12">
        <f>E2077+Assumptions!$B$12*(D2077*Assumptions!$B$5-E2077*Assumptions!$B$7)</f>
        <v>0.18222224757052038</v>
      </c>
      <c r="F2078" s="12">
        <f t="shared" si="96"/>
        <v>0.28042105751142421</v>
      </c>
      <c r="G2078" s="12">
        <f>EXP(-Assumptions!$B$8*B2078)</f>
        <v>0.35522638092495151</v>
      </c>
      <c r="H2078" s="12">
        <f t="shared" si="97"/>
        <v>0.1908832740015341</v>
      </c>
      <c r="I2078" s="12">
        <f t="shared" si="98"/>
        <v>6.4730149528486491E-2</v>
      </c>
      <c r="J2078" s="12">
        <f>G2078*(D2078*Assumptions!$B$6+E2078*Assumptions!$B$7)</f>
        <v>5.1453402164396657E-3</v>
      </c>
    </row>
    <row r="2079" spans="1:10" x14ac:dyDescent="0.2">
      <c r="A2079" s="2">
        <v>2071</v>
      </c>
      <c r="B2079" s="14">
        <f>A2079*Assumptions!$B$12</f>
        <v>20.71</v>
      </c>
      <c r="C2079" s="15">
        <f>IF(A2079&lt;=Assumptions!$B$13,IF(OR(A2079=0,A2079=Assumptions!$B$13),0.5,1),0)*Assumptions!$B$12</f>
        <v>0</v>
      </c>
      <c r="D2079" s="12">
        <f>D2078*(1-Assumptions!$B$12*(Assumptions!$B$5+Assumptions!$B$6))</f>
        <v>0.53719548790957994</v>
      </c>
      <c r="E2079" s="12">
        <f>E2078+Assumptions!$B$12*(D2078*Assumptions!$B$5-E2078*Assumptions!$B$7)</f>
        <v>0.18223860778571874</v>
      </c>
      <c r="F2079" s="12">
        <f t="shared" si="96"/>
        <v>0.2805659043047013</v>
      </c>
      <c r="G2079" s="12">
        <f>EXP(-Assumptions!$B$8*B2079)</f>
        <v>0.35504881213038697</v>
      </c>
      <c r="H2079" s="12">
        <f t="shared" si="97"/>
        <v>0.1907306198641</v>
      </c>
      <c r="I2079" s="12">
        <f t="shared" si="98"/>
        <v>6.4703601218614931E-2</v>
      </c>
      <c r="J2079" s="12">
        <f>G2079*(D2079*Assumptions!$B$6+E2079*Assumptions!$B$7)</f>
        <v>5.1424862595717468E-3</v>
      </c>
    </row>
    <row r="2080" spans="1:10" x14ac:dyDescent="0.2">
      <c r="A2080" s="2">
        <v>2072</v>
      </c>
      <c r="B2080" s="14">
        <f>A2080*Assumptions!$B$12</f>
        <v>20.72</v>
      </c>
      <c r="C2080" s="15">
        <f>IF(A2080&lt;=Assumptions!$B$13,IF(OR(A2080=0,A2080=Assumptions!$B$13),0.5,1),0)*Assumptions!$B$12</f>
        <v>0</v>
      </c>
      <c r="D2080" s="12">
        <f>D2079*(1-Assumptions!$B$12*(Assumptions!$B$5+Assumptions!$B$6))</f>
        <v>0.53703432926320704</v>
      </c>
      <c r="E2080" s="12">
        <f>E2079+Assumptions!$B$12*(D2079*Assumptions!$B$5-E2079*Assumptions!$B$7)</f>
        <v>0.18225492757940778</v>
      </c>
      <c r="F2080" s="12">
        <f t="shared" si="96"/>
        <v>0.2807107431573852</v>
      </c>
      <c r="G2080" s="12">
        <f>EXP(-Assumptions!$B$8*B2080)</f>
        <v>0.3548713320980274</v>
      </c>
      <c r="H2080" s="12">
        <f t="shared" si="97"/>
        <v>0.19057808780800495</v>
      </c>
      <c r="I2080" s="12">
        <f t="shared" si="98"/>
        <v>6.4677048931533948E-2</v>
      </c>
      <c r="J2080" s="12">
        <f>G2080*(D2080*Assumptions!$B$6+E2080*Assumptions!$B$7)</f>
        <v>5.139633324656747E-3</v>
      </c>
    </row>
    <row r="2081" spans="1:10" x14ac:dyDescent="0.2">
      <c r="A2081" s="2">
        <v>2073</v>
      </c>
      <c r="B2081" s="14">
        <f>A2081*Assumptions!$B$12</f>
        <v>20.73</v>
      </c>
      <c r="C2081" s="15">
        <f>IF(A2081&lt;=Assumptions!$B$13,IF(OR(A2081=0,A2081=Assumptions!$B$13),0.5,1),0)*Assumptions!$B$12</f>
        <v>0</v>
      </c>
      <c r="D2081" s="12">
        <f>D2080*(1-Assumptions!$B$12*(Assumptions!$B$5+Assumptions!$B$6))</f>
        <v>0.53687321896442808</v>
      </c>
      <c r="E2081" s="12">
        <f>E2080+Assumptions!$B$12*(D2080*Assumptions!$B$5-E2080*Assumptions!$B$7)</f>
        <v>0.18227120698147073</v>
      </c>
      <c r="F2081" s="12">
        <f t="shared" si="96"/>
        <v>0.28085557405410122</v>
      </c>
      <c r="G2081" s="12">
        <f>EXP(-Assumptions!$B$8*B2081)</f>
        <v>0.35469394078350269</v>
      </c>
      <c r="H2081" s="12">
        <f t="shared" si="97"/>
        <v>0.19042567773561733</v>
      </c>
      <c r="I2081" s="12">
        <f t="shared" si="98"/>
        <v>6.4650492695623341E-2</v>
      </c>
      <c r="J2081" s="12">
        <f>G2081*(D2081*Assumptions!$B$6+E2081*Assumptions!$B$7)</f>
        <v>5.1367814121373407E-3</v>
      </c>
    </row>
    <row r="2082" spans="1:10" x14ac:dyDescent="0.2">
      <c r="A2082" s="2">
        <v>2074</v>
      </c>
      <c r="B2082" s="14">
        <f>A2082*Assumptions!$B$12</f>
        <v>20.740000000000002</v>
      </c>
      <c r="C2082" s="15">
        <f>IF(A2082&lt;=Assumptions!$B$13,IF(OR(A2082=0,A2082=Assumptions!$B$13),0.5,1),0)*Assumptions!$B$12</f>
        <v>0</v>
      </c>
      <c r="D2082" s="12">
        <f>D2081*(1-Assumptions!$B$12*(Assumptions!$B$5+Assumptions!$B$6))</f>
        <v>0.53671215699873875</v>
      </c>
      <c r="E2082" s="12">
        <f>E2081+Assumptions!$B$12*(D2081*Assumptions!$B$5-E2081*Assumptions!$B$7)</f>
        <v>0.18228744602177288</v>
      </c>
      <c r="F2082" s="12">
        <f t="shared" si="96"/>
        <v>0.28100039697948836</v>
      </c>
      <c r="G2082" s="12">
        <f>EXP(-Assumptions!$B$8*B2082)</f>
        <v>0.35451663814246492</v>
      </c>
      <c r="H2082" s="12">
        <f t="shared" si="97"/>
        <v>0.19027338954938369</v>
      </c>
      <c r="I2082" s="12">
        <f t="shared" si="98"/>
        <v>6.4623932539214959E-2</v>
      </c>
      <c r="J2082" s="12">
        <f>G2082*(D2082*Assumptions!$B$6+E2082*Assumptions!$B$7)</f>
        <v>5.1339305224545858E-3</v>
      </c>
    </row>
    <row r="2083" spans="1:10" x14ac:dyDescent="0.2">
      <c r="A2083" s="2">
        <v>2075</v>
      </c>
      <c r="B2083" s="14">
        <f>A2083*Assumptions!$B$12</f>
        <v>20.75</v>
      </c>
      <c r="C2083" s="15">
        <f>IF(A2083&lt;=Assumptions!$B$13,IF(OR(A2083=0,A2083=Assumptions!$B$13),0.5,1),0)*Assumptions!$B$12</f>
        <v>0</v>
      </c>
      <c r="D2083" s="12">
        <f>D2082*(1-Assumptions!$B$12*(Assumptions!$B$5+Assumptions!$B$6))</f>
        <v>0.53655114335163911</v>
      </c>
      <c r="E2083" s="12">
        <f>E2082+Assumptions!$B$12*(D2082*Assumptions!$B$5-E2082*Assumptions!$B$7)</f>
        <v>0.18230364473016175</v>
      </c>
      <c r="F2083" s="12">
        <f t="shared" si="96"/>
        <v>0.28114521191819913</v>
      </c>
      <c r="G2083" s="12">
        <f>EXP(-Assumptions!$B$8*B2083)</f>
        <v>0.35433942413058866</v>
      </c>
      <c r="H2083" s="12">
        <f t="shared" si="97"/>
        <v>0.19012122315182872</v>
      </c>
      <c r="I2083" s="12">
        <f t="shared" si="98"/>
        <v>6.4597368490592944E-2</v>
      </c>
      <c r="J2083" s="12">
        <f>G2083*(D2083*Assumptions!$B$6+E2083*Assumptions!$B$7)</f>
        <v>5.1310806560479344E-3</v>
      </c>
    </row>
    <row r="2084" spans="1:10" x14ac:dyDescent="0.2">
      <c r="A2084" s="2">
        <v>2076</v>
      </c>
      <c r="B2084" s="14">
        <f>A2084*Assumptions!$B$12</f>
        <v>20.76</v>
      </c>
      <c r="C2084" s="15">
        <f>IF(A2084&lt;=Assumptions!$B$13,IF(OR(A2084=0,A2084=Assumptions!$B$13),0.5,1),0)*Assumptions!$B$12</f>
        <v>0</v>
      </c>
      <c r="D2084" s="12">
        <f>D2083*(1-Assumptions!$B$12*(Assumptions!$B$5+Assumptions!$B$6))</f>
        <v>0.53639017800863364</v>
      </c>
      <c r="E2084" s="12">
        <f>E2083+Assumptions!$B$12*(D2083*Assumptions!$B$5-E2083*Assumptions!$B$7)</f>
        <v>0.18231980313646701</v>
      </c>
      <c r="F2084" s="12">
        <f t="shared" si="96"/>
        <v>0.28129001885489935</v>
      </c>
      <c r="G2084" s="12">
        <f>EXP(-Assumptions!$B$8*B2084)</f>
        <v>0.35416229870357024</v>
      </c>
      <c r="H2084" s="12">
        <f t="shared" si="97"/>
        <v>0.18996917844555491</v>
      </c>
      <c r="I2084" s="12">
        <f t="shared" si="98"/>
        <v>6.4570800577993553E-2</v>
      </c>
      <c r="J2084" s="12">
        <f>G2084*(D2084*Assumptions!$B$6+E2084*Assumptions!$B$7)</f>
        <v>5.1282318133552265E-3</v>
      </c>
    </row>
    <row r="2085" spans="1:10" x14ac:dyDescent="0.2">
      <c r="A2085" s="2">
        <v>2077</v>
      </c>
      <c r="B2085" s="14">
        <f>A2085*Assumptions!$B$12</f>
        <v>20.77</v>
      </c>
      <c r="C2085" s="15">
        <f>IF(A2085&lt;=Assumptions!$B$13,IF(OR(A2085=0,A2085=Assumptions!$B$13),0.5,1),0)*Assumptions!$B$12</f>
        <v>0</v>
      </c>
      <c r="D2085" s="12">
        <f>D2084*(1-Assumptions!$B$12*(Assumptions!$B$5+Assumptions!$B$6))</f>
        <v>0.53622926095523105</v>
      </c>
      <c r="E2085" s="12">
        <f>E2084+Assumptions!$B$12*(D2084*Assumptions!$B$5-E2084*Assumptions!$B$7)</f>
        <v>0.1823359212705005</v>
      </c>
      <c r="F2085" s="12">
        <f t="shared" si="96"/>
        <v>0.28143481777426849</v>
      </c>
      <c r="G2085" s="12">
        <f>EXP(-Assumptions!$B$8*B2085)</f>
        <v>0.35398526181712836</v>
      </c>
      <c r="H2085" s="12">
        <f t="shared" si="97"/>
        <v>0.1898172553332427</v>
      </c>
      <c r="I2085" s="12">
        <f t="shared" si="98"/>
        <v>6.4544228829605421E-2</v>
      </c>
      <c r="J2085" s="12">
        <f>G2085*(D2085*Assumptions!$B$6+E2085*Assumptions!$B$7)</f>
        <v>5.1253839948126982E-3</v>
      </c>
    </row>
    <row r="2086" spans="1:10" x14ac:dyDescent="0.2">
      <c r="A2086" s="2">
        <v>2078</v>
      </c>
      <c r="B2086" s="14">
        <f>A2086*Assumptions!$B$12</f>
        <v>20.78</v>
      </c>
      <c r="C2086" s="15">
        <f>IF(A2086&lt;=Assumptions!$B$13,IF(OR(A2086=0,A2086=Assumptions!$B$13),0.5,1),0)*Assumptions!$B$12</f>
        <v>0</v>
      </c>
      <c r="D2086" s="12">
        <f>D2085*(1-Assumptions!$B$12*(Assumptions!$B$5+Assumptions!$B$6))</f>
        <v>0.53606839217694446</v>
      </c>
      <c r="E2086" s="12">
        <f>E2085+Assumptions!$B$12*(D2085*Assumptions!$B$5-E2085*Assumptions!$B$7)</f>
        <v>0.1823519991620563</v>
      </c>
      <c r="F2086" s="12">
        <f t="shared" si="96"/>
        <v>0.28157960866099924</v>
      </c>
      <c r="G2086" s="12">
        <f>EXP(-Assumptions!$B$8*B2086)</f>
        <v>0.3538083134270037</v>
      </c>
      <c r="H2086" s="12">
        <f t="shared" si="97"/>
        <v>0.18966545371765031</v>
      </c>
      <c r="I2086" s="12">
        <f t="shared" si="98"/>
        <v>6.4517653273569536E-2</v>
      </c>
      <c r="J2086" s="12">
        <f>G2086*(D2086*Assumptions!$B$6+E2086*Assumptions!$B$7)</f>
        <v>5.1225372008549793E-3</v>
      </c>
    </row>
    <row r="2087" spans="1:10" x14ac:dyDescent="0.2">
      <c r="A2087" s="2">
        <v>2079</v>
      </c>
      <c r="B2087" s="14">
        <f>A2087*Assumptions!$B$12</f>
        <v>20.79</v>
      </c>
      <c r="C2087" s="15">
        <f>IF(A2087&lt;=Assumptions!$B$13,IF(OR(A2087=0,A2087=Assumptions!$B$13),0.5,1),0)*Assumptions!$B$12</f>
        <v>0</v>
      </c>
      <c r="D2087" s="12">
        <f>D2086*(1-Assumptions!$B$12*(Assumptions!$B$5+Assumptions!$B$6))</f>
        <v>0.53590757165929137</v>
      </c>
      <c r="E2087" s="12">
        <f>E2086+Assumptions!$B$12*(D2086*Assumptions!$B$5-E2086*Assumptions!$B$7)</f>
        <v>0.18236803684091066</v>
      </c>
      <c r="F2087" s="12">
        <f t="shared" si="96"/>
        <v>0.281724391499798</v>
      </c>
      <c r="G2087" s="12">
        <f>EXP(-Assumptions!$B$8*B2087)</f>
        <v>0.3536314534889593</v>
      </c>
      <c r="H2087" s="12">
        <f t="shared" si="97"/>
        <v>0.18951377350161383</v>
      </c>
      <c r="I2087" s="12">
        <f t="shared" si="98"/>
        <v>6.4491073937979315E-2</v>
      </c>
      <c r="J2087" s="12">
        <f>G2087*(D2087*Assumptions!$B$6+E2087*Assumptions!$B$7)</f>
        <v>5.1196914319151044E-3</v>
      </c>
    </row>
    <row r="2088" spans="1:10" x14ac:dyDescent="0.2">
      <c r="A2088" s="2">
        <v>2080</v>
      </c>
      <c r="B2088" s="14">
        <f>A2088*Assumptions!$B$12</f>
        <v>20.8</v>
      </c>
      <c r="C2088" s="15">
        <f>IF(A2088&lt;=Assumptions!$B$13,IF(OR(A2088=0,A2088=Assumptions!$B$13),0.5,1),0)*Assumptions!$B$12</f>
        <v>0</v>
      </c>
      <c r="D2088" s="12">
        <f>D2087*(1-Assumptions!$B$12*(Assumptions!$B$5+Assumptions!$B$6))</f>
        <v>0.53574679938779357</v>
      </c>
      <c r="E2088" s="12">
        <f>E2087+Assumptions!$B$12*(D2087*Assumptions!$B$5-E2087*Assumptions!$B$7)</f>
        <v>0.18238403433682207</v>
      </c>
      <c r="F2088" s="12">
        <f t="shared" si="96"/>
        <v>0.28186916627538439</v>
      </c>
      <c r="G2088" s="12">
        <f>EXP(-Assumptions!$B$8*B2088)</f>
        <v>0.35345468195878016</v>
      </c>
      <c r="H2088" s="12">
        <f t="shared" si="97"/>
        <v>0.18936221458804697</v>
      </c>
      <c r="I2088" s="12">
        <f t="shared" si="98"/>
        <v>6.4464490850880685E-2</v>
      </c>
      <c r="J2088" s="12">
        <f>G2088*(D2088*Assumptions!$B$6+E2088*Assumptions!$B$7)</f>
        <v>5.1168466884245044E-3</v>
      </c>
    </row>
    <row r="2089" spans="1:10" x14ac:dyDescent="0.2">
      <c r="A2089" s="2">
        <v>2081</v>
      </c>
      <c r="B2089" s="14">
        <f>A2089*Assumptions!$B$12</f>
        <v>20.81</v>
      </c>
      <c r="C2089" s="15">
        <f>IF(A2089&lt;=Assumptions!$B$13,IF(OR(A2089=0,A2089=Assumptions!$B$13),0.5,1),0)*Assumptions!$B$12</f>
        <v>0</v>
      </c>
      <c r="D2089" s="12">
        <f>D2088*(1-Assumptions!$B$12*(Assumptions!$B$5+Assumptions!$B$6))</f>
        <v>0.5355860753479772</v>
      </c>
      <c r="E2089" s="12">
        <f>E2088+Assumptions!$B$12*(D2088*Assumptions!$B$5-E2088*Assumptions!$B$7)</f>
        <v>0.18239999167953122</v>
      </c>
      <c r="F2089" s="12">
        <f t="shared" si="96"/>
        <v>0.28201393297249155</v>
      </c>
      <c r="G2089" s="12">
        <f>EXP(-Assumptions!$B$8*B2089)</f>
        <v>0.35327799879227328</v>
      </c>
      <c r="H2089" s="12">
        <f t="shared" si="97"/>
        <v>0.18921077687994109</v>
      </c>
      <c r="I2089" s="12">
        <f t="shared" si="98"/>
        <v>6.4437904040272082E-2</v>
      </c>
      <c r="J2089" s="12">
        <f>G2089*(D2089*Assumptions!$B$6+E2089*Assumptions!$B$7)</f>
        <v>5.1140029708130154E-3</v>
      </c>
    </row>
    <row r="2090" spans="1:10" x14ac:dyDescent="0.2">
      <c r="A2090" s="2">
        <v>2082</v>
      </c>
      <c r="B2090" s="14">
        <f>A2090*Assumptions!$B$12</f>
        <v>20.82</v>
      </c>
      <c r="C2090" s="15">
        <f>IF(A2090&lt;=Assumptions!$B$13,IF(OR(A2090=0,A2090=Assumptions!$B$13),0.5,1),0)*Assumptions!$B$12</f>
        <v>0</v>
      </c>
      <c r="D2090" s="12">
        <f>D2089*(1-Assumptions!$B$12*(Assumptions!$B$5+Assumptions!$B$6))</f>
        <v>0.53542539952537282</v>
      </c>
      <c r="E2090" s="12">
        <f>E2089+Assumptions!$B$12*(D2089*Assumptions!$B$5-E2089*Assumptions!$B$7)</f>
        <v>0.18241590889876105</v>
      </c>
      <c r="F2090" s="12">
        <f t="shared" si="96"/>
        <v>0.28215869157586615</v>
      </c>
      <c r="G2090" s="12">
        <f>EXP(-Assumptions!$B$8*B2090)</f>
        <v>0.3531014039452679</v>
      </c>
      <c r="H2090" s="12">
        <f t="shared" si="97"/>
        <v>0.18905946028036513</v>
      </c>
      <c r="I2090" s="12">
        <f t="shared" si="98"/>
        <v>6.4411313534104619E-2</v>
      </c>
      <c r="J2090" s="12">
        <f>G2090*(D2090*Assumptions!$B$6+E2090*Assumptions!$B$7)</f>
        <v>5.1111602795088822E-3</v>
      </c>
    </row>
    <row r="2091" spans="1:10" x14ac:dyDescent="0.2">
      <c r="A2091" s="2">
        <v>2083</v>
      </c>
      <c r="B2091" s="14">
        <f>A2091*Assumptions!$B$12</f>
        <v>20.830000000000002</v>
      </c>
      <c r="C2091" s="15">
        <f>IF(A2091&lt;=Assumptions!$B$13,IF(OR(A2091=0,A2091=Assumptions!$B$13),0.5,1),0)*Assumptions!$B$12</f>
        <v>0</v>
      </c>
      <c r="D2091" s="12">
        <f>D2090*(1-Assumptions!$B$12*(Assumptions!$B$5+Assumptions!$B$6))</f>
        <v>0.53526477190551525</v>
      </c>
      <c r="E2091" s="12">
        <f>E2090+Assumptions!$B$12*(D2090*Assumptions!$B$5-E2090*Assumptions!$B$7)</f>
        <v>0.18243178602421675</v>
      </c>
      <c r="F2091" s="12">
        <f t="shared" si="96"/>
        <v>0.28230344207026803</v>
      </c>
      <c r="G2091" s="12">
        <f>EXP(-Assumptions!$B$8*B2091)</f>
        <v>0.35292489737361543</v>
      </c>
      <c r="H2091" s="12">
        <f t="shared" si="97"/>
        <v>0.18890826469246563</v>
      </c>
      <c r="I2091" s="12">
        <f t="shared" si="98"/>
        <v>6.4384719360282061E-2</v>
      </c>
      <c r="J2091" s="12">
        <f>G2091*(D2091*Assumptions!$B$6+E2091*Assumptions!$B$7)</f>
        <v>5.1083186149387602E-3</v>
      </c>
    </row>
    <row r="2092" spans="1:10" x14ac:dyDescent="0.2">
      <c r="A2092" s="2">
        <v>2084</v>
      </c>
      <c r="B2092" s="14">
        <f>A2092*Assumptions!$B$12</f>
        <v>20.84</v>
      </c>
      <c r="C2092" s="15">
        <f>IF(A2092&lt;=Assumptions!$B$13,IF(OR(A2092=0,A2092=Assumptions!$B$13),0.5,1),0)*Assumptions!$B$12</f>
        <v>0</v>
      </c>
      <c r="D2092" s="12">
        <f>D2091*(1-Assumptions!$B$12*(Assumptions!$B$5+Assumptions!$B$6))</f>
        <v>0.53510419247394359</v>
      </c>
      <c r="E2092" s="12">
        <f>E2091+Assumptions!$B$12*(D2091*Assumptions!$B$5-E2091*Assumptions!$B$7)</f>
        <v>0.18244762308558574</v>
      </c>
      <c r="F2092" s="12">
        <f t="shared" si="96"/>
        <v>0.28244818444047071</v>
      </c>
      <c r="G2092" s="12">
        <f>EXP(-Assumptions!$B$8*B2092)</f>
        <v>0.35274847903318912</v>
      </c>
      <c r="H2092" s="12">
        <f t="shared" si="97"/>
        <v>0.18875719001946648</v>
      </c>
      <c r="I2092" s="12">
        <f t="shared" si="98"/>
        <v>6.4358121546660929E-2</v>
      </c>
      <c r="J2092" s="12">
        <f>G2092*(D2092*Assumptions!$B$6+E2092*Assumptions!$B$7)</f>
        <v>5.1054779775277122E-3</v>
      </c>
    </row>
    <row r="2093" spans="1:10" x14ac:dyDescent="0.2">
      <c r="A2093" s="2">
        <v>2085</v>
      </c>
      <c r="B2093" s="14">
        <f>A2093*Assumptions!$B$12</f>
        <v>20.85</v>
      </c>
      <c r="C2093" s="15">
        <f>IF(A2093&lt;=Assumptions!$B$13,IF(OR(A2093=0,A2093=Assumptions!$B$13),0.5,1),0)*Assumptions!$B$12</f>
        <v>0</v>
      </c>
      <c r="D2093" s="12">
        <f>D2092*(1-Assumptions!$B$12*(Assumptions!$B$5+Assumptions!$B$6))</f>
        <v>0.5349436612162014</v>
      </c>
      <c r="E2093" s="12">
        <f>E2092+Assumptions!$B$12*(D2092*Assumptions!$B$5-E2092*Assumptions!$B$7)</f>
        <v>0.18246342011253774</v>
      </c>
      <c r="F2093" s="12">
        <f t="shared" si="96"/>
        <v>0.28259291867126085</v>
      </c>
      <c r="G2093" s="12">
        <f>EXP(-Assumptions!$B$8*B2093)</f>
        <v>0.35257214887988436</v>
      </c>
      <c r="H2093" s="12">
        <f t="shared" si="97"/>
        <v>0.18860623616466898</v>
      </c>
      <c r="I2093" s="12">
        <f t="shared" si="98"/>
        <v>6.4331520121050548E-2</v>
      </c>
      <c r="J2093" s="12">
        <f>G2093*(D2093*Assumptions!$B$6+E2093*Assumptions!$B$7)</f>
        <v>5.102638367699217E-3</v>
      </c>
    </row>
    <row r="2094" spans="1:10" x14ac:dyDescent="0.2">
      <c r="A2094" s="2">
        <v>2086</v>
      </c>
      <c r="B2094" s="14">
        <f>A2094*Assumptions!$B$12</f>
        <v>20.86</v>
      </c>
      <c r="C2094" s="15">
        <f>IF(A2094&lt;=Assumptions!$B$13,IF(OR(A2094=0,A2094=Assumptions!$B$13),0.5,1),0)*Assumptions!$B$12</f>
        <v>0</v>
      </c>
      <c r="D2094" s="12">
        <f>D2093*(1-Assumptions!$B$12*(Assumptions!$B$5+Assumptions!$B$6))</f>
        <v>0.5347831781178366</v>
      </c>
      <c r="E2094" s="12">
        <f>E2093+Assumptions!$B$12*(D2093*Assumptions!$B$5-E2093*Assumptions!$B$7)</f>
        <v>0.18247917713472472</v>
      </c>
      <c r="F2094" s="12">
        <f t="shared" si="96"/>
        <v>0.28273764474743868</v>
      </c>
      <c r="G2094" s="12">
        <f>EXP(-Assumptions!$B$8*B2094)</f>
        <v>0.35239590686961875</v>
      </c>
      <c r="H2094" s="12">
        <f t="shared" si="97"/>
        <v>0.18845540303145189</v>
      </c>
      <c r="I2094" s="12">
        <f t="shared" si="98"/>
        <v>6.4304915111213112E-2</v>
      </c>
      <c r="J2094" s="12">
        <f>G2094*(D2094*Assumptions!$B$6+E2094*Assumptions!$B$7)</f>
        <v>5.0997997858751752E-3</v>
      </c>
    </row>
    <row r="2095" spans="1:10" x14ac:dyDescent="0.2">
      <c r="A2095" s="2">
        <v>2087</v>
      </c>
      <c r="B2095" s="14">
        <f>A2095*Assumptions!$B$12</f>
        <v>20.87</v>
      </c>
      <c r="C2095" s="15">
        <f>IF(A2095&lt;=Assumptions!$B$13,IF(OR(A2095=0,A2095=Assumptions!$B$13),0.5,1),0)*Assumptions!$B$12</f>
        <v>0</v>
      </c>
      <c r="D2095" s="12">
        <f>D2094*(1-Assumptions!$B$12*(Assumptions!$B$5+Assumptions!$B$6))</f>
        <v>0.53462274316440128</v>
      </c>
      <c r="E2095" s="12">
        <f>E2094+Assumptions!$B$12*(D2094*Assumptions!$B$5-E2094*Assumptions!$B$7)</f>
        <v>0.18249489418178094</v>
      </c>
      <c r="F2095" s="12">
        <f t="shared" si="96"/>
        <v>0.28288236265381778</v>
      </c>
      <c r="G2095" s="12">
        <f>EXP(-Assumptions!$B$8*B2095)</f>
        <v>0.35221975295833158</v>
      </c>
      <c r="H2095" s="12">
        <f t="shared" si="97"/>
        <v>0.18830469052327098</v>
      </c>
      <c r="I2095" s="12">
        <f t="shared" si="98"/>
        <v>6.4278306544863745E-2</v>
      </c>
      <c r="J2095" s="12">
        <f>G2095*(D2095*Assumptions!$B$6+E2095*Assumptions!$B$7)</f>
        <v>5.0969622324758971E-3</v>
      </c>
    </row>
    <row r="2096" spans="1:10" x14ac:dyDescent="0.2">
      <c r="A2096" s="2">
        <v>2088</v>
      </c>
      <c r="B2096" s="14">
        <f>A2096*Assumptions!$B$12</f>
        <v>20.88</v>
      </c>
      <c r="C2096" s="15">
        <f>IF(A2096&lt;=Assumptions!$B$13,IF(OR(A2096=0,A2096=Assumptions!$B$13),0.5,1),0)*Assumptions!$B$12</f>
        <v>0</v>
      </c>
      <c r="D2096" s="12">
        <f>D2095*(1-Assumptions!$B$12*(Assumptions!$B$5+Assumptions!$B$6))</f>
        <v>0.53446235634145201</v>
      </c>
      <c r="E2096" s="12">
        <f>E2095+Assumptions!$B$12*(D2095*Assumptions!$B$5-E2095*Assumptions!$B$7)</f>
        <v>0.18251057128332293</v>
      </c>
      <c r="F2096" s="12">
        <f t="shared" si="96"/>
        <v>0.28302707237522506</v>
      </c>
      <c r="G2096" s="12">
        <f>EXP(-Assumptions!$B$8*B2096)</f>
        <v>0.35204368710198458</v>
      </c>
      <c r="H2096" s="12">
        <f t="shared" si="97"/>
        <v>0.18815409854365953</v>
      </c>
      <c r="I2096" s="12">
        <f t="shared" si="98"/>
        <v>6.4251694449670591E-2</v>
      </c>
      <c r="J2096" s="12">
        <f>G2096*(D2096*Assumptions!$B$6+E2096*Assumptions!$B$7)</f>
        <v>5.094125707920125E-3</v>
      </c>
    </row>
    <row r="2097" spans="1:10" x14ac:dyDescent="0.2">
      <c r="A2097" s="2">
        <v>2089</v>
      </c>
      <c r="B2097" s="14">
        <f>A2097*Assumptions!$B$12</f>
        <v>20.89</v>
      </c>
      <c r="C2097" s="15">
        <f>IF(A2097&lt;=Assumptions!$B$13,IF(OR(A2097=0,A2097=Assumptions!$B$13),0.5,1),0)*Assumptions!$B$12</f>
        <v>0</v>
      </c>
      <c r="D2097" s="12">
        <f>D2096*(1-Assumptions!$B$12*(Assumptions!$B$5+Assumptions!$B$6))</f>
        <v>0.53430201763454954</v>
      </c>
      <c r="E2097" s="12">
        <f>E2096+Assumptions!$B$12*(D2096*Assumptions!$B$5-E2096*Assumptions!$B$7)</f>
        <v>0.18252620846894957</v>
      </c>
      <c r="F2097" s="12">
        <f t="shared" si="96"/>
        <v>0.28317177389650089</v>
      </c>
      <c r="G2097" s="12">
        <f>EXP(-Assumptions!$B$8*B2097)</f>
        <v>0.35186770925656119</v>
      </c>
      <c r="H2097" s="12">
        <f t="shared" si="97"/>
        <v>0.18800362699622772</v>
      </c>
      <c r="I2097" s="12">
        <f t="shared" si="98"/>
        <v>6.4225078853254819E-2</v>
      </c>
      <c r="J2097" s="12">
        <f>G2097*(D2097*Assumptions!$B$6+E2097*Assumptions!$B$7)</f>
        <v>5.0912902126250183E-3</v>
      </c>
    </row>
    <row r="2098" spans="1:10" x14ac:dyDescent="0.2">
      <c r="A2098" s="2">
        <v>2090</v>
      </c>
      <c r="B2098" s="14">
        <f>A2098*Assumptions!$B$12</f>
        <v>20.900000000000002</v>
      </c>
      <c r="C2098" s="15">
        <f>IF(A2098&lt;=Assumptions!$B$13,IF(OR(A2098=0,A2098=Assumptions!$B$13),0.5,1),0)*Assumptions!$B$12</f>
        <v>0</v>
      </c>
      <c r="D2098" s="12">
        <f>D2097*(1-Assumptions!$B$12*(Assumptions!$B$5+Assumptions!$B$6))</f>
        <v>0.53414172702925922</v>
      </c>
      <c r="E2098" s="12">
        <f>E2097+Assumptions!$B$12*(D2097*Assumptions!$B$5-E2097*Assumptions!$B$7)</f>
        <v>0.182541805768242</v>
      </c>
      <c r="F2098" s="12">
        <f t="shared" si="96"/>
        <v>0.28331646720249881</v>
      </c>
      <c r="G2098" s="12">
        <f>EXP(-Assumptions!$B$8*B2098)</f>
        <v>0.35169181937806682</v>
      </c>
      <c r="H2098" s="12">
        <f t="shared" si="97"/>
        <v>0.1878532757846629</v>
      </c>
      <c r="I2098" s="12">
        <f t="shared" si="98"/>
        <v>6.419845978319072E-2</v>
      </c>
      <c r="J2098" s="12">
        <f>G2098*(D2098*Assumptions!$B$6+E2098*Assumptions!$B$7)</f>
        <v>5.0884557470061648E-3</v>
      </c>
    </row>
    <row r="2099" spans="1:10" x14ac:dyDescent="0.2">
      <c r="A2099" s="2">
        <v>2091</v>
      </c>
      <c r="B2099" s="14">
        <f>A2099*Assumptions!$B$12</f>
        <v>20.91</v>
      </c>
      <c r="C2099" s="15">
        <f>IF(A2099&lt;=Assumptions!$B$13,IF(OR(A2099=0,A2099=Assumptions!$B$13),0.5,1),0)*Assumptions!$B$12</f>
        <v>0</v>
      </c>
      <c r="D2099" s="12">
        <f>D2098*(1-Assumptions!$B$12*(Assumptions!$B$5+Assumptions!$B$6))</f>
        <v>0.53398148451115046</v>
      </c>
      <c r="E2099" s="12">
        <f>E2098+Assumptions!$B$12*(D2098*Assumptions!$B$5-E2098*Assumptions!$B$7)</f>
        <v>0.18255736321076374</v>
      </c>
      <c r="F2099" s="12">
        <f t="shared" si="96"/>
        <v>0.28346115227808577</v>
      </c>
      <c r="G2099" s="12">
        <f>EXP(-Assumptions!$B$8*B2099)</f>
        <v>0.35151601742252925</v>
      </c>
      <c r="H2099" s="12">
        <f t="shared" si="97"/>
        <v>0.18770304481272959</v>
      </c>
      <c r="I2099" s="12">
        <f t="shared" si="98"/>
        <v>6.417183726700583E-2</v>
      </c>
      <c r="J2099" s="12">
        <f>G2099*(D2099*Assumptions!$B$6+E2099*Assumptions!$B$7)</f>
        <v>5.0856223114775874E-3</v>
      </c>
    </row>
    <row r="2100" spans="1:10" x14ac:dyDescent="0.2">
      <c r="A2100" s="2">
        <v>2092</v>
      </c>
      <c r="B2100" s="14">
        <f>A2100*Assumptions!$B$12</f>
        <v>20.92</v>
      </c>
      <c r="C2100" s="15">
        <f>IF(A2100&lt;=Assumptions!$B$13,IF(OR(A2100=0,A2100=Assumptions!$B$13),0.5,1),0)*Assumptions!$B$12</f>
        <v>0</v>
      </c>
      <c r="D2100" s="12">
        <f>D2099*(1-Assumptions!$B$12*(Assumptions!$B$5+Assumptions!$B$6))</f>
        <v>0.53382129006579715</v>
      </c>
      <c r="E2100" s="12">
        <f>E2099+Assumptions!$B$12*(D2099*Assumptions!$B$5-E2099*Assumptions!$B$7)</f>
        <v>0.1825728808260606</v>
      </c>
      <c r="F2100" s="12">
        <f t="shared" si="96"/>
        <v>0.28360582910814225</v>
      </c>
      <c r="G2100" s="12">
        <f>EXP(-Assumptions!$B$8*B2100)</f>
        <v>0.35134030334599781</v>
      </c>
      <c r="H2100" s="12">
        <f t="shared" si="97"/>
        <v>0.18755293398426906</v>
      </c>
      <c r="I2100" s="12">
        <f t="shared" si="98"/>
        <v>6.4145211332180832E-2</v>
      </c>
      <c r="J2100" s="12">
        <f>G2100*(D2100*Assumptions!$B$6+E2100*Assumptions!$B$7)</f>
        <v>5.082789906451733E-3</v>
      </c>
    </row>
    <row r="2101" spans="1:10" x14ac:dyDescent="0.2">
      <c r="A2101" s="2">
        <v>2093</v>
      </c>
      <c r="B2101" s="14">
        <f>A2101*Assumptions!$B$12</f>
        <v>20.93</v>
      </c>
      <c r="C2101" s="15">
        <f>IF(A2101&lt;=Assumptions!$B$13,IF(OR(A2101=0,A2101=Assumptions!$B$13),0.5,1),0)*Assumptions!$B$12</f>
        <v>0</v>
      </c>
      <c r="D2101" s="12">
        <f>D2100*(1-Assumptions!$B$12*(Assumptions!$B$5+Assumptions!$B$6))</f>
        <v>0.53366114367877748</v>
      </c>
      <c r="E2101" s="12">
        <f>E2100+Assumptions!$B$12*(D2100*Assumptions!$B$5-E2100*Assumptions!$B$7)</f>
        <v>0.18258835864366074</v>
      </c>
      <c r="F2101" s="12">
        <f t="shared" si="96"/>
        <v>0.28375049767756177</v>
      </c>
      <c r="G2101" s="12">
        <f>EXP(-Assumptions!$B$8*B2101)</f>
        <v>0.35116467710454408</v>
      </c>
      <c r="H2101" s="12">
        <f t="shared" si="97"/>
        <v>0.18740294320319958</v>
      </c>
      <c r="I2101" s="12">
        <f t="shared" si="98"/>
        <v>6.411858200614981E-2</v>
      </c>
      <c r="J2101" s="12">
        <f>G2101*(D2101*Assumptions!$B$6+E2101*Assumptions!$B$7)</f>
        <v>5.0799585323394875E-3</v>
      </c>
    </row>
    <row r="2102" spans="1:10" x14ac:dyDescent="0.2">
      <c r="A2102" s="2">
        <v>2094</v>
      </c>
      <c r="B2102" s="14">
        <f>A2102*Assumptions!$B$12</f>
        <v>20.94</v>
      </c>
      <c r="C2102" s="15">
        <f>IF(A2102&lt;=Assumptions!$B$13,IF(OR(A2102=0,A2102=Assumptions!$B$13),0.5,1),0)*Assumptions!$B$12</f>
        <v>0</v>
      </c>
      <c r="D2102" s="12">
        <f>D2101*(1-Assumptions!$B$12*(Assumptions!$B$5+Assumptions!$B$6))</f>
        <v>0.53350104533567388</v>
      </c>
      <c r="E2102" s="12">
        <f>E2101+Assumptions!$B$12*(D2101*Assumptions!$B$5-E2101*Assumptions!$B$7)</f>
        <v>0.18260379669307467</v>
      </c>
      <c r="F2102" s="12">
        <f t="shared" si="96"/>
        <v>0.28389515797125142</v>
      </c>
      <c r="G2102" s="12">
        <f>EXP(-Assumptions!$B$8*B2102)</f>
        <v>0.3509891386542614</v>
      </c>
      <c r="H2102" s="12">
        <f t="shared" si="97"/>
        <v>0.18725307237351624</v>
      </c>
      <c r="I2102" s="12">
        <f t="shared" si="98"/>
        <v>6.4091949316300148E-2</v>
      </c>
      <c r="J2102" s="12">
        <f>G2102*(D2102*Assumptions!$B$6+E2102*Assumptions!$B$7)</f>
        <v>5.07712818955017E-3</v>
      </c>
    </row>
    <row r="2103" spans="1:10" x14ac:dyDescent="0.2">
      <c r="A2103" s="2">
        <v>2095</v>
      </c>
      <c r="B2103" s="14">
        <f>A2103*Assumptions!$B$12</f>
        <v>20.95</v>
      </c>
      <c r="C2103" s="15">
        <f>IF(A2103&lt;=Assumptions!$B$13,IF(OR(A2103=0,A2103=Assumptions!$B$13),0.5,1),0)*Assumptions!$B$12</f>
        <v>0</v>
      </c>
      <c r="D2103" s="12">
        <f>D2102*(1-Assumptions!$B$12*(Assumptions!$B$5+Assumptions!$B$6))</f>
        <v>0.53334099502207322</v>
      </c>
      <c r="E2103" s="12">
        <f>E2102+Assumptions!$B$12*(D2102*Assumptions!$B$5-E2102*Assumptions!$B$7)</f>
        <v>0.18261919500379525</v>
      </c>
      <c r="F2103" s="12">
        <f t="shared" si="96"/>
        <v>0.28403980997413153</v>
      </c>
      <c r="G2103" s="12">
        <f>EXP(-Assumptions!$B$8*B2103)</f>
        <v>0.35081368795126527</v>
      </c>
      <c r="H2103" s="12">
        <f t="shared" si="97"/>
        <v>0.18710332139929092</v>
      </c>
      <c r="I2103" s="12">
        <f t="shared" si="98"/>
        <v>6.4065313289972697E-2</v>
      </c>
      <c r="J2103" s="12">
        <f>G2103*(D2103*Assumptions!$B$6+E2103*Assumptions!$B$7)</f>
        <v>5.0742988784915439E-3</v>
      </c>
    </row>
    <row r="2104" spans="1:10" x14ac:dyDescent="0.2">
      <c r="A2104" s="2">
        <v>2096</v>
      </c>
      <c r="B2104" s="14">
        <f>A2104*Assumptions!$B$12</f>
        <v>20.96</v>
      </c>
      <c r="C2104" s="15">
        <f>IF(A2104&lt;=Assumptions!$B$13,IF(OR(A2104=0,A2104=Assumptions!$B$13),0.5,1),0)*Assumptions!$B$12</f>
        <v>0</v>
      </c>
      <c r="D2104" s="12">
        <f>D2103*(1-Assumptions!$B$12*(Assumptions!$B$5+Assumptions!$B$6))</f>
        <v>0.53318099272356656</v>
      </c>
      <c r="E2104" s="12">
        <f>E2103+Assumptions!$B$12*(D2103*Assumptions!$B$5-E2103*Assumptions!$B$7)</f>
        <v>0.18263455360529776</v>
      </c>
      <c r="F2104" s="12">
        <f t="shared" si="96"/>
        <v>0.28418445367113565</v>
      </c>
      <c r="G2104" s="12">
        <f>EXP(-Assumptions!$B$8*B2104)</f>
        <v>0.35063832495169295</v>
      </c>
      <c r="H2104" s="12">
        <f t="shared" si="97"/>
        <v>0.18695369018467217</v>
      </c>
      <c r="I2104" s="12">
        <f t="shared" si="98"/>
        <v>6.4038673954461778E-2</v>
      </c>
      <c r="J2104" s="12">
        <f>G2104*(D2104*Assumptions!$B$6+E2104*Assumptions!$B$7)</f>
        <v>5.0714705995698111E-3</v>
      </c>
    </row>
    <row r="2105" spans="1:10" x14ac:dyDescent="0.2">
      <c r="A2105" s="2">
        <v>2097</v>
      </c>
      <c r="B2105" s="14">
        <f>A2105*Assumptions!$B$12</f>
        <v>20.97</v>
      </c>
      <c r="C2105" s="15">
        <f>IF(A2105&lt;=Assumptions!$B$13,IF(OR(A2105=0,A2105=Assumptions!$B$13),0.5,1),0)*Assumptions!$B$12</f>
        <v>0</v>
      </c>
      <c r="D2105" s="12">
        <f>D2104*(1-Assumptions!$B$12*(Assumptions!$B$5+Assumptions!$B$6))</f>
        <v>0.53302103842574955</v>
      </c>
      <c r="E2105" s="12">
        <f>E2104+Assumptions!$B$12*(D2104*Assumptions!$B$5-E2104*Assumptions!$B$7)</f>
        <v>0.18264987252703982</v>
      </c>
      <c r="F2105" s="12">
        <f t="shared" si="96"/>
        <v>0.28432908904721066</v>
      </c>
      <c r="G2105" s="12">
        <f>EXP(-Assumptions!$B$8*B2105)</f>
        <v>0.35046304961170366</v>
      </c>
      <c r="H2105" s="12">
        <f t="shared" si="97"/>
        <v>0.18680417863388527</v>
      </c>
      <c r="I2105" s="12">
        <f t="shared" si="98"/>
        <v>6.4012031337015302E-2</v>
      </c>
      <c r="J2105" s="12">
        <f>G2105*(D2105*Assumptions!$B$6+E2105*Assumptions!$B$7)</f>
        <v>5.0686433531896185E-3</v>
      </c>
    </row>
    <row r="2106" spans="1:10" x14ac:dyDescent="0.2">
      <c r="A2106" s="2">
        <v>2098</v>
      </c>
      <c r="B2106" s="14">
        <f>A2106*Assumptions!$B$12</f>
        <v>20.98</v>
      </c>
      <c r="C2106" s="15">
        <f>IF(A2106&lt;=Assumptions!$B$13,IF(OR(A2106=0,A2106=Assumptions!$B$13),0.5,1),0)*Assumptions!$B$12</f>
        <v>0</v>
      </c>
      <c r="D2106" s="12">
        <f>D2105*(1-Assumptions!$B$12*(Assumptions!$B$5+Assumptions!$B$6))</f>
        <v>0.53286113211422181</v>
      </c>
      <c r="E2106" s="12">
        <f>E2105+Assumptions!$B$12*(D2105*Assumptions!$B$5-E2105*Assumptions!$B$7)</f>
        <v>0.18266515179846146</v>
      </c>
      <c r="F2106" s="12">
        <f t="shared" si="96"/>
        <v>0.28447371608731675</v>
      </c>
      <c r="G2106" s="12">
        <f>EXP(-Assumptions!$B$8*B2106)</f>
        <v>0.35028786188747857</v>
      </c>
      <c r="H2106" s="12">
        <f t="shared" si="97"/>
        <v>0.186654786651232</v>
      </c>
      <c r="I2106" s="12">
        <f t="shared" si="98"/>
        <v>6.3985385464834774E-2</v>
      </c>
      <c r="J2106" s="12">
        <f>G2106*(D2106*Assumptions!$B$6+E2106*Assumptions!$B$7)</f>
        <v>5.0658171397540593E-3</v>
      </c>
    </row>
    <row r="2107" spans="1:10" x14ac:dyDescent="0.2">
      <c r="A2107" s="2">
        <v>2099</v>
      </c>
      <c r="B2107" s="14">
        <f>A2107*Assumptions!$B$12</f>
        <v>20.990000000000002</v>
      </c>
      <c r="C2107" s="15">
        <f>IF(A2107&lt;=Assumptions!$B$13,IF(OR(A2107=0,A2107=Assumptions!$B$13),0.5,1),0)*Assumptions!$B$12</f>
        <v>0</v>
      </c>
      <c r="D2107" s="12">
        <f>D2106*(1-Assumptions!$B$12*(Assumptions!$B$5+Assumptions!$B$6))</f>
        <v>0.53270127377458754</v>
      </c>
      <c r="E2107" s="12">
        <f>E2106+Assumptions!$B$12*(D2106*Assumptions!$B$5-E2106*Assumptions!$B$7)</f>
        <v>0.18268039144898507</v>
      </c>
      <c r="F2107" s="12">
        <f t="shared" si="96"/>
        <v>0.2846183347764274</v>
      </c>
      <c r="G2107" s="12">
        <f>EXP(-Assumptions!$B$8*B2107)</f>
        <v>0.35011276173522082</v>
      </c>
      <c r="H2107" s="12">
        <f t="shared" si="97"/>
        <v>0.18650551414109079</v>
      </c>
      <c r="I2107" s="12">
        <f t="shared" si="98"/>
        <v>6.3958736365075375E-2</v>
      </c>
      <c r="J2107" s="12">
        <f>G2107*(D2107*Assumptions!$B$6+E2107*Assumptions!$B$7)</f>
        <v>5.0629919596646769E-3</v>
      </c>
    </row>
    <row r="2108" spans="1:10" x14ac:dyDescent="0.2">
      <c r="A2108" s="2">
        <v>2100</v>
      </c>
      <c r="B2108" s="14">
        <f>A2108*Assumptions!$B$12</f>
        <v>21</v>
      </c>
      <c r="C2108" s="15">
        <f>IF(A2108&lt;=Assumptions!$B$13,IF(OR(A2108=0,A2108=Assumptions!$B$13),0.5,1),0)*Assumptions!$B$12</f>
        <v>0</v>
      </c>
      <c r="D2108" s="12">
        <f>D2107*(1-Assumptions!$B$12*(Assumptions!$B$5+Assumptions!$B$6))</f>
        <v>0.53254146339245523</v>
      </c>
      <c r="E2108" s="12">
        <f>E2107+Assumptions!$B$12*(D2107*Assumptions!$B$5-E2107*Assumptions!$B$7)</f>
        <v>0.18269559150801548</v>
      </c>
      <c r="F2108" s="12">
        <f t="shared" si="96"/>
        <v>0.28476294509952926</v>
      </c>
      <c r="G2108" s="12">
        <f>EXP(-Assumptions!$B$8*B2108)</f>
        <v>0.34993774911115533</v>
      </c>
      <c r="H2108" s="12">
        <f t="shared" si="97"/>
        <v>0.1863563610079165</v>
      </c>
      <c r="I2108" s="12">
        <f t="shared" si="98"/>
        <v>6.3932084064846045E-2</v>
      </c>
      <c r="J2108" s="12">
        <f>G2108*(D2108*Assumptions!$B$6+E2108*Assumptions!$B$7)</f>
        <v>5.0601678133214674E-3</v>
      </c>
    </row>
    <row r="2109" spans="1:10" x14ac:dyDescent="0.2">
      <c r="A2109" s="2">
        <v>2101</v>
      </c>
      <c r="B2109" s="14">
        <f>A2109*Assumptions!$B$12</f>
        <v>21.01</v>
      </c>
      <c r="C2109" s="15">
        <f>IF(A2109&lt;=Assumptions!$B$13,IF(OR(A2109=0,A2109=Assumptions!$B$13),0.5,1),0)*Assumptions!$B$12</f>
        <v>0</v>
      </c>
      <c r="D2109" s="12">
        <f>D2108*(1-Assumptions!$B$12*(Assumptions!$B$5+Assumptions!$B$6))</f>
        <v>0.53238170095343751</v>
      </c>
      <c r="E2109" s="12">
        <f>E2108+Assumptions!$B$12*(D2108*Assumptions!$B$5-E2108*Assumptions!$B$7)</f>
        <v>0.18271075200493997</v>
      </c>
      <c r="F2109" s="12">
        <f t="shared" si="96"/>
        <v>0.28490754704162252</v>
      </c>
      <c r="G2109" s="12">
        <f>EXP(-Assumptions!$B$8*B2109)</f>
        <v>0.34976282397152886</v>
      </c>
      <c r="H2109" s="12">
        <f t="shared" si="97"/>
        <v>0.18620732715624028</v>
      </c>
      <c r="I2109" s="12">
        <f t="shared" si="98"/>
        <v>6.3905428591209484E-2</v>
      </c>
      <c r="J2109" s="12">
        <f>G2109*(D2109*Assumptions!$B$6+E2109*Assumptions!$B$7)</f>
        <v>5.0573447011228768E-3</v>
      </c>
    </row>
    <row r="2110" spans="1:10" x14ac:dyDescent="0.2">
      <c r="A2110" s="2">
        <v>2102</v>
      </c>
      <c r="B2110" s="14">
        <f>A2110*Assumptions!$B$12</f>
        <v>21.02</v>
      </c>
      <c r="C2110" s="15">
        <f>IF(A2110&lt;=Assumptions!$B$13,IF(OR(A2110=0,A2110=Assumptions!$B$13),0.5,1),0)*Assumptions!$B$12</f>
        <v>0</v>
      </c>
      <c r="D2110" s="12">
        <f>D2109*(1-Assumptions!$B$12*(Assumptions!$B$5+Assumptions!$B$6))</f>
        <v>0.53222198644315144</v>
      </c>
      <c r="E2110" s="12">
        <f>E2109+Assumptions!$B$12*(D2109*Assumptions!$B$5-E2109*Assumptions!$B$7)</f>
        <v>0.18272587296912818</v>
      </c>
      <c r="F2110" s="12">
        <f t="shared" si="96"/>
        <v>0.28505214058772038</v>
      </c>
      <c r="G2110" s="12">
        <f>EXP(-Assumptions!$B$8*B2110)</f>
        <v>0.3495879862726104</v>
      </c>
      <c r="H2110" s="12">
        <f t="shared" si="97"/>
        <v>0.18605841249066987</v>
      </c>
      <c r="I2110" s="12">
        <f t="shared" si="98"/>
        <v>6.3878769971182331E-2</v>
      </c>
      <c r="J2110" s="12">
        <f>G2110*(D2110*Assumptions!$B$6+E2110*Assumptions!$B$7)</f>
        <v>5.0545226234658151E-3</v>
      </c>
    </row>
    <row r="2111" spans="1:10" x14ac:dyDescent="0.2">
      <c r="A2111" s="2">
        <v>2103</v>
      </c>
      <c r="B2111" s="14">
        <f>A2111*Assumptions!$B$12</f>
        <v>21.03</v>
      </c>
      <c r="C2111" s="15">
        <f>IF(A2111&lt;=Assumptions!$B$13,IF(OR(A2111=0,A2111=Assumptions!$B$13),0.5,1),0)*Assumptions!$B$12</f>
        <v>0</v>
      </c>
      <c r="D2111" s="12">
        <f>D2110*(1-Assumptions!$B$12*(Assumptions!$B$5+Assumptions!$B$6))</f>
        <v>0.53206231984721852</v>
      </c>
      <c r="E2111" s="12">
        <f>E2110+Assumptions!$B$12*(D2110*Assumptions!$B$5-E2110*Assumptions!$B$7)</f>
        <v>0.18274095442993224</v>
      </c>
      <c r="F2111" s="12">
        <f t="shared" si="96"/>
        <v>0.28519672572284926</v>
      </c>
      <c r="G2111" s="12">
        <f>EXP(-Assumptions!$B$8*B2111)</f>
        <v>0.34941323597069013</v>
      </c>
      <c r="H2111" s="12">
        <f t="shared" si="97"/>
        <v>0.18590961691588898</v>
      </c>
      <c r="I2111" s="12">
        <f t="shared" si="98"/>
        <v>6.3852108231735039E-2</v>
      </c>
      <c r="J2111" s="12">
        <f>G2111*(D2111*Assumptions!$B$6+E2111*Assumptions!$B$7)</f>
        <v>5.0517015807456421E-3</v>
      </c>
    </row>
    <row r="2112" spans="1:10" x14ac:dyDescent="0.2">
      <c r="A2112" s="2">
        <v>2104</v>
      </c>
      <c r="B2112" s="14">
        <f>A2112*Assumptions!$B$12</f>
        <v>21.04</v>
      </c>
      <c r="C2112" s="15">
        <f>IF(A2112&lt;=Assumptions!$B$13,IF(OR(A2112=0,A2112=Assumptions!$B$13),0.5,1),0)*Assumptions!$B$12</f>
        <v>0</v>
      </c>
      <c r="D2112" s="12">
        <f>D2111*(1-Assumptions!$B$12*(Assumptions!$B$5+Assumptions!$B$6))</f>
        <v>0.53190270115126437</v>
      </c>
      <c r="E2112" s="12">
        <f>E2111+Assumptions!$B$12*(D2111*Assumptions!$B$5-E2111*Assumptions!$B$7)</f>
        <v>0.18275599641668672</v>
      </c>
      <c r="F2112" s="12">
        <f t="shared" si="96"/>
        <v>0.28534130243204892</v>
      </c>
      <c r="G2112" s="12">
        <f>EXP(-Assumptions!$B$8*B2112)</f>
        <v>0.34923857302208078</v>
      </c>
      <c r="H2112" s="12">
        <f t="shared" si="97"/>
        <v>0.18576094033665785</v>
      </c>
      <c r="I2112" s="12">
        <f t="shared" si="98"/>
        <v>6.3825443399792181E-2</v>
      </c>
      <c r="J2112" s="12">
        <f>G2112*(D2112*Assumptions!$B$6+E2112*Assumptions!$B$7)</f>
        <v>5.0488815733561879E-3</v>
      </c>
    </row>
    <row r="2113" spans="1:10" x14ac:dyDescent="0.2">
      <c r="A2113" s="2">
        <v>2105</v>
      </c>
      <c r="B2113" s="14">
        <f>A2113*Assumptions!$B$12</f>
        <v>21.05</v>
      </c>
      <c r="C2113" s="15">
        <f>IF(A2113&lt;=Assumptions!$B$13,IF(OR(A2113=0,A2113=Assumptions!$B$13),0.5,1),0)*Assumptions!$B$12</f>
        <v>0</v>
      </c>
      <c r="D2113" s="12">
        <f>D2112*(1-Assumptions!$B$12*(Assumptions!$B$5+Assumptions!$B$6))</f>
        <v>0.53174313034091902</v>
      </c>
      <c r="E2113" s="12">
        <f>E2112+Assumptions!$B$12*(D2112*Assumptions!$B$5-E2112*Assumptions!$B$7)</f>
        <v>0.18277099895870863</v>
      </c>
      <c r="F2113" s="12">
        <f t="shared" si="96"/>
        <v>0.28548587070037235</v>
      </c>
      <c r="G2113" s="12">
        <f>EXP(-Assumptions!$B$8*B2113)</f>
        <v>0.3490639973831165</v>
      </c>
      <c r="H2113" s="12">
        <f t="shared" si="97"/>
        <v>0.18561238265781274</v>
      </c>
      <c r="I2113" s="12">
        <f t="shared" si="98"/>
        <v>6.3798775502232258E-2</v>
      </c>
      <c r="J2113" s="12">
        <f>G2113*(D2113*Assumptions!$B$6+E2113*Assumptions!$B$7)</f>
        <v>5.0460626016897402E-3</v>
      </c>
    </row>
    <row r="2114" spans="1:10" x14ac:dyDescent="0.2">
      <c r="A2114" s="2">
        <v>2106</v>
      </c>
      <c r="B2114" s="14">
        <f>A2114*Assumptions!$B$12</f>
        <v>21.06</v>
      </c>
      <c r="C2114" s="15">
        <f>IF(A2114&lt;=Assumptions!$B$13,IF(OR(A2114=0,A2114=Assumptions!$B$13),0.5,1),0)*Assumptions!$B$12</f>
        <v>0</v>
      </c>
      <c r="D2114" s="12">
        <f>D2113*(1-Assumptions!$B$12*(Assumptions!$B$5+Assumptions!$B$6))</f>
        <v>0.53158360740181676</v>
      </c>
      <c r="E2114" s="12">
        <f>E2113+Assumptions!$B$12*(D2113*Assumptions!$B$5-E2113*Assumptions!$B$7)</f>
        <v>0.18278596208529746</v>
      </c>
      <c r="F2114" s="12">
        <f t="shared" si="96"/>
        <v>0.28563043051288578</v>
      </c>
      <c r="G2114" s="12">
        <f>EXP(-Assumptions!$B$8*B2114)</f>
        <v>0.34888950901015336</v>
      </c>
      <c r="H2114" s="12">
        <f t="shared" si="97"/>
        <v>0.18546394378426598</v>
      </c>
      <c r="I2114" s="12">
        <f t="shared" si="98"/>
        <v>6.3772104565887944E-2</v>
      </c>
      <c r="J2114" s="12">
        <f>G2114*(D2114*Assumptions!$B$6+E2114*Assumptions!$B$7)</f>
        <v>5.0432446661370567E-3</v>
      </c>
    </row>
    <row r="2115" spans="1:10" x14ac:dyDescent="0.2">
      <c r="A2115" s="2">
        <v>2107</v>
      </c>
      <c r="B2115" s="14">
        <f>A2115*Assumptions!$B$12</f>
        <v>21.07</v>
      </c>
      <c r="C2115" s="15">
        <f>IF(A2115&lt;=Assumptions!$B$13,IF(OR(A2115=0,A2115=Assumptions!$B$13),0.5,1),0)*Assumptions!$B$12</f>
        <v>0</v>
      </c>
      <c r="D2115" s="12">
        <f>D2114*(1-Assumptions!$B$12*(Assumptions!$B$5+Assumptions!$B$6))</f>
        <v>0.53142413231959629</v>
      </c>
      <c r="E2115" s="12">
        <f>E2114+Assumptions!$B$12*(D2114*Assumptions!$B$5-E2114*Assumptions!$B$7)</f>
        <v>0.18280088582573517</v>
      </c>
      <c r="F2115" s="12">
        <f t="shared" si="96"/>
        <v>0.28577498185466854</v>
      </c>
      <c r="G2115" s="12">
        <f>EXP(-Assumptions!$B$8*B2115)</f>
        <v>0.34871510785956922</v>
      </c>
      <c r="H2115" s="12">
        <f t="shared" si="97"/>
        <v>0.18531562362100601</v>
      </c>
      <c r="I2115" s="12">
        <f t="shared" si="98"/>
        <v>6.3745430617546034E-2</v>
      </c>
      <c r="J2115" s="12">
        <f>G2115*(D2115*Assumptions!$B$6+E2115*Assumptions!$B$7)</f>
        <v>5.0404277670873625E-3</v>
      </c>
    </row>
    <row r="2116" spans="1:10" x14ac:dyDescent="0.2">
      <c r="A2116" s="2">
        <v>2108</v>
      </c>
      <c r="B2116" s="14">
        <f>A2116*Assumptions!$B$12</f>
        <v>21.080000000000002</v>
      </c>
      <c r="C2116" s="15">
        <f>IF(A2116&lt;=Assumptions!$B$13,IF(OR(A2116=0,A2116=Assumptions!$B$13),0.5,1),0)*Assumptions!$B$12</f>
        <v>0</v>
      </c>
      <c r="D2116" s="12">
        <f>D2115*(1-Assumptions!$B$12*(Assumptions!$B$5+Assumptions!$B$6))</f>
        <v>0.53126470507990042</v>
      </c>
      <c r="E2116" s="12">
        <f>E2115+Assumptions!$B$12*(D2115*Assumptions!$B$5-E2115*Assumptions!$B$7)</f>
        <v>0.18281577020928622</v>
      </c>
      <c r="F2116" s="12">
        <f t="shared" si="96"/>
        <v>0.28591952471081339</v>
      </c>
      <c r="G2116" s="12">
        <f>EXP(-Assumptions!$B$8*B2116)</f>
        <v>0.34854079388776399</v>
      </c>
      <c r="H2116" s="12">
        <f t="shared" si="97"/>
        <v>0.1851674220730973</v>
      </c>
      <c r="I2116" s="12">
        <f t="shared" si="98"/>
        <v>6.3718753683947651E-2</v>
      </c>
      <c r="J2116" s="12">
        <f>G2116*(D2116*Assumptions!$B$6+E2116*Assumptions!$B$7)</f>
        <v>5.0376119049283562E-3</v>
      </c>
    </row>
    <row r="2117" spans="1:10" x14ac:dyDescent="0.2">
      <c r="A2117" s="2">
        <v>2109</v>
      </c>
      <c r="B2117" s="14">
        <f>A2117*Assumptions!$B$12</f>
        <v>21.09</v>
      </c>
      <c r="C2117" s="15">
        <f>IF(A2117&lt;=Assumptions!$B$13,IF(OR(A2117=0,A2117=Assumptions!$B$13),0.5,1),0)*Assumptions!$B$12</f>
        <v>0</v>
      </c>
      <c r="D2117" s="12">
        <f>D2116*(1-Assumptions!$B$12*(Assumptions!$B$5+Assumptions!$B$6))</f>
        <v>0.53110532566837643</v>
      </c>
      <c r="E2117" s="12">
        <f>E2116+Assumptions!$B$12*(D2116*Assumptions!$B$5-E2116*Assumptions!$B$7)</f>
        <v>0.18283061526519756</v>
      </c>
      <c r="F2117" s="12">
        <f t="shared" si="96"/>
        <v>0.28606405906642601</v>
      </c>
      <c r="G2117" s="12">
        <f>EXP(-Assumptions!$B$8*B2117)</f>
        <v>0.34836656705115898</v>
      </c>
      <c r="H2117" s="12">
        <f t="shared" si="97"/>
        <v>0.18501933904568008</v>
      </c>
      <c r="I2117" s="12">
        <f t="shared" si="98"/>
        <v>6.3692073791788095E-2</v>
      </c>
      <c r="J2117" s="12">
        <f>G2117*(D2117*Assumptions!$B$6+E2117*Assumptions!$B$7)</f>
        <v>5.0347970800462064E-3</v>
      </c>
    </row>
    <row r="2118" spans="1:10" x14ac:dyDescent="0.2">
      <c r="A2118" s="2">
        <v>2110</v>
      </c>
      <c r="B2118" s="14">
        <f>A2118*Assumptions!$B$12</f>
        <v>21.1</v>
      </c>
      <c r="C2118" s="15">
        <f>IF(A2118&lt;=Assumptions!$B$13,IF(OR(A2118=0,A2118=Assumptions!$B$13),0.5,1),0)*Assumptions!$B$12</f>
        <v>0</v>
      </c>
      <c r="D2118" s="12">
        <f>D2117*(1-Assumptions!$B$12*(Assumptions!$B$5+Assumptions!$B$6))</f>
        <v>0.53094599407067589</v>
      </c>
      <c r="E2118" s="12">
        <f>E2117+Assumptions!$B$12*(D2117*Assumptions!$B$5-E2117*Assumptions!$B$7)</f>
        <v>0.18284542102269863</v>
      </c>
      <c r="F2118" s="12">
        <f t="shared" si="96"/>
        <v>0.28620858490662549</v>
      </c>
      <c r="G2118" s="12">
        <f>EXP(-Assumptions!$B$8*B2118)</f>
        <v>0.34819242730619748</v>
      </c>
      <c r="H2118" s="12">
        <f t="shared" si="97"/>
        <v>0.18487137444397056</v>
      </c>
      <c r="I2118" s="12">
        <f t="shared" si="98"/>
        <v>6.3665390967717062E-2</v>
      </c>
      <c r="J2118" s="12">
        <f>G2118*(D2118*Assumptions!$B$6+E2118*Assumptions!$B$7)</f>
        <v>5.0319832928255592E-3</v>
      </c>
    </row>
    <row r="2119" spans="1:10" x14ac:dyDescent="0.2">
      <c r="A2119" s="2">
        <v>2111</v>
      </c>
      <c r="B2119" s="14">
        <f>A2119*Assumptions!$B$12</f>
        <v>21.11</v>
      </c>
      <c r="C2119" s="15">
        <f>IF(A2119&lt;=Assumptions!$B$13,IF(OR(A2119=0,A2119=Assumptions!$B$13),0.5,1),0)*Assumptions!$B$12</f>
        <v>0</v>
      </c>
      <c r="D2119" s="12">
        <f>D2118*(1-Assumptions!$B$12*(Assumptions!$B$5+Assumptions!$B$6))</f>
        <v>0.53078671027245472</v>
      </c>
      <c r="E2119" s="12">
        <f>E2118+Assumptions!$B$12*(D2118*Assumptions!$B$5-E2118*Assumptions!$B$7)</f>
        <v>0.18286018751100142</v>
      </c>
      <c r="F2119" s="12">
        <f t="shared" si="96"/>
        <v>0.28635310221654386</v>
      </c>
      <c r="G2119" s="12">
        <f>EXP(-Assumptions!$B$8*B2119)</f>
        <v>0.34801837460934471</v>
      </c>
      <c r="H2119" s="12">
        <f t="shared" si="97"/>
        <v>0.18472352817326085</v>
      </c>
      <c r="I2119" s="12">
        <f t="shared" si="98"/>
        <v>6.36387052383387E-2</v>
      </c>
      <c r="J2119" s="12">
        <f>G2119*(D2119*Assumptions!$B$6+E2119*Assumptions!$B$7)</f>
        <v>5.0291705436495441E-3</v>
      </c>
    </row>
    <row r="2120" spans="1:10" x14ac:dyDescent="0.2">
      <c r="A2120" s="2">
        <v>2112</v>
      </c>
      <c r="B2120" s="14">
        <f>A2120*Assumptions!$B$12</f>
        <v>21.12</v>
      </c>
      <c r="C2120" s="15">
        <f>IF(A2120&lt;=Assumptions!$B$13,IF(OR(A2120=0,A2120=Assumptions!$B$13),0.5,1),0)*Assumptions!$B$12</f>
        <v>0</v>
      </c>
      <c r="D2120" s="12">
        <f>D2119*(1-Assumptions!$B$12*(Assumptions!$B$5+Assumptions!$B$6))</f>
        <v>0.53062747425937296</v>
      </c>
      <c r="E2120" s="12">
        <f>E2119+Assumptions!$B$12*(D2119*Assumptions!$B$5-E2119*Assumptions!$B$7)</f>
        <v>0.1828749147593004</v>
      </c>
      <c r="F2120" s="12">
        <f t="shared" ref="F2120:F2183" si="99">1-D2120-E2120</f>
        <v>0.28649761098132664</v>
      </c>
      <c r="G2120" s="12">
        <f>EXP(-Assumptions!$B$8*B2120)</f>
        <v>0.3478444089170874</v>
      </c>
      <c r="H2120" s="12">
        <f t="shared" ref="H2120:H2183" si="100">G2120*D2120</f>
        <v>0.18457580013891858</v>
      </c>
      <c r="I2120" s="12">
        <f t="shared" ref="I2120:I2183" si="101">G2120*E2120</f>
        <v>6.3612016630211585E-2</v>
      </c>
      <c r="J2120" s="12">
        <f>G2120*(D2120*Assumptions!$B$6+E2120*Assumptions!$B$7)</f>
        <v>5.0263588328997655E-3</v>
      </c>
    </row>
    <row r="2121" spans="1:10" x14ac:dyDescent="0.2">
      <c r="A2121" s="2">
        <v>2113</v>
      </c>
      <c r="B2121" s="14">
        <f>A2121*Assumptions!$B$12</f>
        <v>21.13</v>
      </c>
      <c r="C2121" s="15">
        <f>IF(A2121&lt;=Assumptions!$B$13,IF(OR(A2121=0,A2121=Assumptions!$B$13),0.5,1),0)*Assumptions!$B$12</f>
        <v>0</v>
      </c>
      <c r="D2121" s="12">
        <f>D2120*(1-Assumptions!$B$12*(Assumptions!$B$5+Assumptions!$B$6))</f>
        <v>0.53046828601709517</v>
      </c>
      <c r="E2121" s="12">
        <f>E2120+Assumptions!$B$12*(D2120*Assumptions!$B$5-E2120*Assumptions!$B$7)</f>
        <v>0.18288960279677263</v>
      </c>
      <c r="F2121" s="12">
        <f t="shared" si="99"/>
        <v>0.2866421111861322</v>
      </c>
      <c r="G2121" s="12">
        <f>EXP(-Assumptions!$B$8*B2121)</f>
        <v>0.34767053018593413</v>
      </c>
      <c r="H2121" s="12">
        <f t="shared" si="100"/>
        <v>0.18442819024638724</v>
      </c>
      <c r="I2121" s="12">
        <f t="shared" si="101"/>
        <v>6.3585325169848841E-2</v>
      </c>
      <c r="J2121" s="12">
        <f>G2121*(D2121*Assumptions!$B$6+E2121*Assumptions!$B$7)</f>
        <v>5.0235481609563143E-3</v>
      </c>
    </row>
    <row r="2122" spans="1:10" x14ac:dyDescent="0.2">
      <c r="A2122" s="2">
        <v>2114</v>
      </c>
      <c r="B2122" s="14">
        <f>A2122*Assumptions!$B$12</f>
        <v>21.14</v>
      </c>
      <c r="C2122" s="15">
        <f>IF(A2122&lt;=Assumptions!$B$13,IF(OR(A2122=0,A2122=Assumptions!$B$13),0.5,1),0)*Assumptions!$B$12</f>
        <v>0</v>
      </c>
      <c r="D2122" s="12">
        <f>D2121*(1-Assumptions!$B$12*(Assumptions!$B$5+Assumptions!$B$6))</f>
        <v>0.53030914553129005</v>
      </c>
      <c r="E2122" s="12">
        <f>E2121+Assumptions!$B$12*(D2121*Assumptions!$B$5-E2121*Assumptions!$B$7)</f>
        <v>0.18290425165257768</v>
      </c>
      <c r="F2122" s="12">
        <f t="shared" si="99"/>
        <v>0.28678660281613227</v>
      </c>
      <c r="G2122" s="12">
        <f>EXP(-Assumptions!$B$8*B2122)</f>
        <v>0.34749673837241518</v>
      </c>
      <c r="H2122" s="12">
        <f t="shared" si="100"/>
        <v>0.18428069840118574</v>
      </c>
      <c r="I2122" s="12">
        <f t="shared" si="101"/>
        <v>6.3558630883718173E-2</v>
      </c>
      <c r="J2122" s="12">
        <f>G2122*(D2122*Assumptions!$B$6+E2122*Assumptions!$B$7)</f>
        <v>5.0207385281977662E-3</v>
      </c>
    </row>
    <row r="2123" spans="1:10" x14ac:dyDescent="0.2">
      <c r="A2123" s="2">
        <v>2115</v>
      </c>
      <c r="B2123" s="14">
        <f>A2123*Assumptions!$B$12</f>
        <v>21.150000000000002</v>
      </c>
      <c r="C2123" s="15">
        <f>IF(A2123&lt;=Assumptions!$B$13,IF(OR(A2123=0,A2123=Assumptions!$B$13),0.5,1),0)*Assumptions!$B$12</f>
        <v>0</v>
      </c>
      <c r="D2123" s="12">
        <f>D2122*(1-Assumptions!$B$12*(Assumptions!$B$5+Assumptions!$B$6))</f>
        <v>0.53015005278763072</v>
      </c>
      <c r="E2123" s="12">
        <f>E2122+Assumptions!$B$12*(D2122*Assumptions!$B$5-E2122*Assumptions!$B$7)</f>
        <v>0.18291886135585764</v>
      </c>
      <c r="F2123" s="12">
        <f t="shared" si="99"/>
        <v>0.28693108585651161</v>
      </c>
      <c r="G2123" s="12">
        <f>EXP(-Assumptions!$B$8*B2123)</f>
        <v>0.34732303343308268</v>
      </c>
      <c r="H2123" s="12">
        <f t="shared" si="100"/>
        <v>0.18413332450890882</v>
      </c>
      <c r="I2123" s="12">
        <f t="shared" si="101"/>
        <v>6.3531933798241957E-2</v>
      </c>
      <c r="J2123" s="12">
        <f>G2123*(D2123*Assumptions!$B$6+E2123*Assumptions!$B$7)</f>
        <v>5.0179299350011867E-3</v>
      </c>
    </row>
    <row r="2124" spans="1:10" x14ac:dyDescent="0.2">
      <c r="A2124" s="2">
        <v>2116</v>
      </c>
      <c r="B2124" s="14">
        <f>A2124*Assumptions!$B$12</f>
        <v>21.16</v>
      </c>
      <c r="C2124" s="15">
        <f>IF(A2124&lt;=Assumptions!$B$13,IF(OR(A2124=0,A2124=Assumptions!$B$13),0.5,1),0)*Assumptions!$B$12</f>
        <v>0</v>
      </c>
      <c r="D2124" s="12">
        <f>D2123*(1-Assumptions!$B$12*(Assumptions!$B$5+Assumptions!$B$6))</f>
        <v>0.52999100777179442</v>
      </c>
      <c r="E2124" s="12">
        <f>E2123+Assumptions!$B$12*(D2123*Assumptions!$B$5-E2123*Assumptions!$B$7)</f>
        <v>0.18293343193573725</v>
      </c>
      <c r="F2124" s="12">
        <f t="shared" si="99"/>
        <v>0.28707556029246833</v>
      </c>
      <c r="G2124" s="12">
        <f>EXP(-Assumptions!$B$8*B2124)</f>
        <v>0.34714941532451032</v>
      </c>
      <c r="H2124" s="12">
        <f t="shared" si="100"/>
        <v>0.18398606847522644</v>
      </c>
      <c r="I2124" s="12">
        <f t="shared" si="101"/>
        <v>6.350523393979729E-2</v>
      </c>
      <c r="J2124" s="12">
        <f>G2124*(D2124*Assumptions!$B$6+E2124*Assumptions!$B$7)</f>
        <v>5.0151223817421296E-3</v>
      </c>
    </row>
    <row r="2125" spans="1:10" x14ac:dyDescent="0.2">
      <c r="A2125" s="2">
        <v>2117</v>
      </c>
      <c r="B2125" s="14">
        <f>A2125*Assumptions!$B$12</f>
        <v>21.17</v>
      </c>
      <c r="C2125" s="15">
        <f>IF(A2125&lt;=Assumptions!$B$13,IF(OR(A2125=0,A2125=Assumptions!$B$13),0.5,1),0)*Assumptions!$B$12</f>
        <v>0</v>
      </c>
      <c r="D2125" s="12">
        <f>D2124*(1-Assumptions!$B$12*(Assumptions!$B$5+Assumptions!$B$6))</f>
        <v>0.52983201046946293</v>
      </c>
      <c r="E2125" s="12">
        <f>E2124+Assumptions!$B$12*(D2124*Assumptions!$B$5-E2124*Assumptions!$B$7)</f>
        <v>0.18294796342132374</v>
      </c>
      <c r="F2125" s="12">
        <f t="shared" si="99"/>
        <v>0.28722002610921332</v>
      </c>
      <c r="G2125" s="12">
        <f>EXP(-Assumptions!$B$8*B2125)</f>
        <v>0.34697588400329354</v>
      </c>
      <c r="H2125" s="12">
        <f t="shared" si="100"/>
        <v>0.18383893020588418</v>
      </c>
      <c r="I2125" s="12">
        <f t="shared" si="101"/>
        <v>6.3478531334716023E-2</v>
      </c>
      <c r="J2125" s="12">
        <f>G2125*(D2125*Assumptions!$B$6+E2125*Assumptions!$B$7)</f>
        <v>5.0123158687946428E-3</v>
      </c>
    </row>
    <row r="2126" spans="1:10" x14ac:dyDescent="0.2">
      <c r="A2126" s="2">
        <v>2118</v>
      </c>
      <c r="B2126" s="14">
        <f>A2126*Assumptions!$B$12</f>
        <v>21.18</v>
      </c>
      <c r="C2126" s="15">
        <f>IF(A2126&lt;=Assumptions!$B$13,IF(OR(A2126=0,A2126=Assumptions!$B$13),0.5,1),0)*Assumptions!$B$12</f>
        <v>0</v>
      </c>
      <c r="D2126" s="12">
        <f>D2125*(1-Assumptions!$B$12*(Assumptions!$B$5+Assumptions!$B$6))</f>
        <v>0.52967306086632215</v>
      </c>
      <c r="E2126" s="12">
        <f>E2125+Assumptions!$B$12*(D2125*Assumptions!$B$5-E2125*Assumptions!$B$7)</f>
        <v>0.18296245584170698</v>
      </c>
      <c r="F2126" s="12">
        <f t="shared" si="99"/>
        <v>0.28736448329197084</v>
      </c>
      <c r="G2126" s="12">
        <f>EXP(-Assumptions!$B$8*B2126)</f>
        <v>0.34680243942604977</v>
      </c>
      <c r="H2126" s="12">
        <f t="shared" si="100"/>
        <v>0.18369190960670306</v>
      </c>
      <c r="I2126" s="12">
        <f t="shared" si="101"/>
        <v>6.3451826009284895E-2</v>
      </c>
      <c r="J2126" s="12">
        <f>G2126*(D2126*Assumptions!$B$6+E2126*Assumptions!$B$7)</f>
        <v>5.0095103965312748E-3</v>
      </c>
    </row>
    <row r="2127" spans="1:10" x14ac:dyDescent="0.2">
      <c r="A2127" s="2">
        <v>2119</v>
      </c>
      <c r="B2127" s="14">
        <f>A2127*Assumptions!$B$12</f>
        <v>21.19</v>
      </c>
      <c r="C2127" s="15">
        <f>IF(A2127&lt;=Assumptions!$B$13,IF(OR(A2127=0,A2127=Assumptions!$B$13),0.5,1),0)*Assumptions!$B$12</f>
        <v>0</v>
      </c>
      <c r="D2127" s="12">
        <f>D2126*(1-Assumptions!$B$12*(Assumptions!$B$5+Assumptions!$B$6))</f>
        <v>0.52951415894806231</v>
      </c>
      <c r="E2127" s="12">
        <f>E2126+Assumptions!$B$12*(D2126*Assumptions!$B$5-E2126*Assumptions!$B$7)</f>
        <v>0.18297690922595938</v>
      </c>
      <c r="F2127" s="12">
        <f t="shared" si="99"/>
        <v>0.28750893182597831</v>
      </c>
      <c r="G2127" s="12">
        <f>EXP(-Assumptions!$B$8*B2127)</f>
        <v>0.34662908154941746</v>
      </c>
      <c r="H2127" s="12">
        <f t="shared" si="100"/>
        <v>0.18354500658357908</v>
      </c>
      <c r="I2127" s="12">
        <f t="shared" si="101"/>
        <v>6.3425117989745428E-2</v>
      </c>
      <c r="J2127" s="12">
        <f>G2127*(D2127*Assumptions!$B$6+E2127*Assumptions!$B$7)</f>
        <v>5.0067059653230621E-3</v>
      </c>
    </row>
    <row r="2128" spans="1:10" x14ac:dyDescent="0.2">
      <c r="A2128" s="2">
        <v>2120</v>
      </c>
      <c r="B2128" s="14">
        <f>A2128*Assumptions!$B$12</f>
        <v>21.2</v>
      </c>
      <c r="C2128" s="15">
        <f>IF(A2128&lt;=Assumptions!$B$13,IF(OR(A2128=0,A2128=Assumptions!$B$13),0.5,1),0)*Assumptions!$B$12</f>
        <v>0</v>
      </c>
      <c r="D2128" s="12">
        <f>D2127*(1-Assumptions!$B$12*(Assumptions!$B$5+Assumptions!$B$6))</f>
        <v>0.52935530470037795</v>
      </c>
      <c r="E2128" s="12">
        <f>E2127+Assumptions!$B$12*(D2127*Assumptions!$B$5-E2127*Assumptions!$B$7)</f>
        <v>0.18299132360313602</v>
      </c>
      <c r="F2128" s="12">
        <f t="shared" si="99"/>
        <v>0.28765337169648603</v>
      </c>
      <c r="G2128" s="12">
        <f>EXP(-Assumptions!$B$8*B2128)</f>
        <v>0.3464558103300574</v>
      </c>
      <c r="H2128" s="12">
        <f t="shared" si="100"/>
        <v>0.18339822104248388</v>
      </c>
      <c r="I2128" s="12">
        <f t="shared" si="101"/>
        <v>6.3398407302294249E-2</v>
      </c>
      <c r="J2128" s="12">
        <f>G2128*(D2128*Assumptions!$B$6+E2128*Assumptions!$B$7)</f>
        <v>5.003902575539552E-3</v>
      </c>
    </row>
    <row r="2129" spans="1:10" x14ac:dyDescent="0.2">
      <c r="A2129" s="2">
        <v>2121</v>
      </c>
      <c r="B2129" s="14">
        <f>A2129*Assumptions!$B$12</f>
        <v>21.21</v>
      </c>
      <c r="C2129" s="15">
        <f>IF(A2129&lt;=Assumptions!$B$13,IF(OR(A2129=0,A2129=Assumptions!$B$13),0.5,1),0)*Assumptions!$B$12</f>
        <v>0</v>
      </c>
      <c r="D2129" s="12">
        <f>D2128*(1-Assumptions!$B$12*(Assumptions!$B$5+Assumptions!$B$6))</f>
        <v>0.52919649810896785</v>
      </c>
      <c r="E2129" s="12">
        <f>E2128+Assumptions!$B$12*(D2128*Assumptions!$B$5-E2128*Assumptions!$B$7)</f>
        <v>0.18300569900227454</v>
      </c>
      <c r="F2129" s="12">
        <f t="shared" si="99"/>
        <v>0.28779780288875761</v>
      </c>
      <c r="G2129" s="12">
        <f>EXP(-Assumptions!$B$8*B2129)</f>
        <v>0.34628262572465179</v>
      </c>
      <c r="H2129" s="12">
        <f t="shared" si="100"/>
        <v>0.18325155288946413</v>
      </c>
      <c r="I2129" s="12">
        <f t="shared" si="101"/>
        <v>6.3371693973082913E-2</v>
      </c>
      <c r="J2129" s="12">
        <f>G2129*(D2129*Assumptions!$B$6+E2129*Assumptions!$B$7)</f>
        <v>5.0011002275487876E-3</v>
      </c>
    </row>
    <row r="2130" spans="1:10" x14ac:dyDescent="0.2">
      <c r="A2130" s="2">
        <v>2122</v>
      </c>
      <c r="B2130" s="14">
        <f>A2130*Assumptions!$B$12</f>
        <v>21.22</v>
      </c>
      <c r="C2130" s="15">
        <f>IF(A2130&lt;=Assumptions!$B$13,IF(OR(A2130=0,A2130=Assumptions!$B$13),0.5,1),0)*Assumptions!$B$12</f>
        <v>0</v>
      </c>
      <c r="D2130" s="12">
        <f>D2129*(1-Assumptions!$B$12*(Assumptions!$B$5+Assumptions!$B$6))</f>
        <v>0.52903773915953523</v>
      </c>
      <c r="E2130" s="12">
        <f>E2129+Assumptions!$B$12*(D2129*Assumptions!$B$5-E2129*Assumptions!$B$7)</f>
        <v>0.1830200354523952</v>
      </c>
      <c r="F2130" s="12">
        <f t="shared" si="99"/>
        <v>0.28794222538806957</v>
      </c>
      <c r="G2130" s="12">
        <f>EXP(-Assumptions!$B$8*B2130)</f>
        <v>0.34610952768990438</v>
      </c>
      <c r="H2130" s="12">
        <f t="shared" si="100"/>
        <v>0.18310500203064156</v>
      </c>
      <c r="I2130" s="12">
        <f t="shared" si="101"/>
        <v>6.3344978028218063E-2</v>
      </c>
      <c r="J2130" s="12">
        <f>G2130*(D2130*Assumptions!$B$6+E2130*Assumptions!$B$7)</f>
        <v>4.9982989217173188E-3</v>
      </c>
    </row>
    <row r="2131" spans="1:10" x14ac:dyDescent="0.2">
      <c r="A2131" s="2">
        <v>2123</v>
      </c>
      <c r="B2131" s="14">
        <f>A2131*Assumptions!$B$12</f>
        <v>21.23</v>
      </c>
      <c r="C2131" s="15">
        <f>IF(A2131&lt;=Assumptions!$B$13,IF(OR(A2131=0,A2131=Assumptions!$B$13),0.5,1),0)*Assumptions!$B$12</f>
        <v>0</v>
      </c>
      <c r="D2131" s="12">
        <f>D2130*(1-Assumptions!$B$12*(Assumptions!$B$5+Assumptions!$B$6))</f>
        <v>0.5288790278377874</v>
      </c>
      <c r="E2131" s="12">
        <f>E2130+Assumptions!$B$12*(D2130*Assumptions!$B$5-E2130*Assumptions!$B$7)</f>
        <v>0.18303433298250091</v>
      </c>
      <c r="F2131" s="12">
        <f t="shared" si="99"/>
        <v>0.28808663917971167</v>
      </c>
      <c r="G2131" s="12">
        <f>EXP(-Assumptions!$B$8*B2131)</f>
        <v>0.34593651618254062</v>
      </c>
      <c r="H2131" s="12">
        <f t="shared" si="100"/>
        <v>0.18295856837221308</v>
      </c>
      <c r="I2131" s="12">
        <f t="shared" si="101"/>
        <v>6.331825949376145E-2</v>
      </c>
      <c r="J2131" s="12">
        <f>G2131*(D2131*Assumptions!$B$6+E2131*Assumptions!$B$7)</f>
        <v>4.9954986584102041E-3</v>
      </c>
    </row>
    <row r="2132" spans="1:10" x14ac:dyDescent="0.2">
      <c r="A2132" s="2">
        <v>2124</v>
      </c>
      <c r="B2132" s="14">
        <f>A2132*Assumptions!$B$12</f>
        <v>21.240000000000002</v>
      </c>
      <c r="C2132" s="15">
        <f>IF(A2132&lt;=Assumptions!$B$13,IF(OR(A2132=0,A2132=Assumptions!$B$13),0.5,1),0)*Assumptions!$B$12</f>
        <v>0</v>
      </c>
      <c r="D2132" s="12">
        <f>D2131*(1-Assumptions!$B$12*(Assumptions!$B$5+Assumptions!$B$6))</f>
        <v>0.52872036412943613</v>
      </c>
      <c r="E2132" s="12">
        <f>E2131+Assumptions!$B$12*(D2131*Assumptions!$B$5-E2131*Assumptions!$B$7)</f>
        <v>0.18304859162157722</v>
      </c>
      <c r="F2132" s="12">
        <f t="shared" si="99"/>
        <v>0.28823104424898666</v>
      </c>
      <c r="G2132" s="12">
        <f>EXP(-Assumptions!$B$8*B2132)</f>
        <v>0.34576359115930777</v>
      </c>
      <c r="H2132" s="12">
        <f t="shared" si="100"/>
        <v>0.18281225182045069</v>
      </c>
      <c r="I2132" s="12">
        <f t="shared" si="101"/>
        <v>6.329153839573011E-2</v>
      </c>
      <c r="J2132" s="12">
        <f>G2132*(D2132*Assumptions!$B$6+E2132*Assumptions!$B$7)</f>
        <v>4.9926994379910121E-3</v>
      </c>
    </row>
    <row r="2133" spans="1:10" x14ac:dyDescent="0.2">
      <c r="A2133" s="2">
        <v>2125</v>
      </c>
      <c r="B2133" s="14">
        <f>A2133*Assumptions!$B$12</f>
        <v>21.25</v>
      </c>
      <c r="C2133" s="15">
        <f>IF(A2133&lt;=Assumptions!$B$13,IF(OR(A2133=0,A2133=Assumptions!$B$13),0.5,1),0)*Assumptions!$B$12</f>
        <v>0</v>
      </c>
      <c r="D2133" s="12">
        <f>D2132*(1-Assumptions!$B$12*(Assumptions!$B$5+Assumptions!$B$6))</f>
        <v>0.52856174802019729</v>
      </c>
      <c r="E2133" s="12">
        <f>E2132+Assumptions!$B$12*(D2132*Assumptions!$B$5-E2132*Assumptions!$B$7)</f>
        <v>0.18306281139859232</v>
      </c>
      <c r="F2133" s="12">
        <f t="shared" si="99"/>
        <v>0.2883754405812104</v>
      </c>
      <c r="G2133" s="12">
        <f>EXP(-Assumptions!$B$8*B2133)</f>
        <v>0.34559075257697452</v>
      </c>
      <c r="H2133" s="12">
        <f t="shared" si="100"/>
        <v>0.18266605228170116</v>
      </c>
      <c r="I2133" s="12">
        <f t="shared" si="101"/>
        <v>6.3264814760096266E-2</v>
      </c>
      <c r="J2133" s="12">
        <f>G2133*(D2133*Assumptions!$B$6+E2133*Assumptions!$B$7)</f>
        <v>4.9899012608218248E-3</v>
      </c>
    </row>
    <row r="2134" spans="1:10" x14ac:dyDescent="0.2">
      <c r="A2134" s="2">
        <v>2126</v>
      </c>
      <c r="B2134" s="14">
        <f>A2134*Assumptions!$B$12</f>
        <v>21.26</v>
      </c>
      <c r="C2134" s="15">
        <f>IF(A2134&lt;=Assumptions!$B$13,IF(OR(A2134=0,A2134=Assumptions!$B$13),0.5,1),0)*Assumptions!$B$12</f>
        <v>0</v>
      </c>
      <c r="D2134" s="12">
        <f>D2133*(1-Assumptions!$B$12*(Assumptions!$B$5+Assumptions!$B$6))</f>
        <v>0.5284031794957913</v>
      </c>
      <c r="E2134" s="12">
        <f>E2133+Assumptions!$B$12*(D2133*Assumptions!$B$5-E2133*Assumptions!$B$7)</f>
        <v>0.18307699234249705</v>
      </c>
      <c r="F2134" s="12">
        <f t="shared" si="99"/>
        <v>0.28851982816171162</v>
      </c>
      <c r="G2134" s="12">
        <f>EXP(-Assumptions!$B$8*B2134)</f>
        <v>0.34541800039233111</v>
      </c>
      <c r="H2134" s="12">
        <f t="shared" si="100"/>
        <v>0.18251996966238623</v>
      </c>
      <c r="I2134" s="12">
        <f t="shared" si="101"/>
        <v>6.3238088612787444E-2</v>
      </c>
      <c r="J2134" s="12">
        <f>G2134*(D2134*Assumptions!$B$6+E2134*Assumptions!$B$7)</f>
        <v>4.9871041272632356E-3</v>
      </c>
    </row>
    <row r="2135" spans="1:10" x14ac:dyDescent="0.2">
      <c r="A2135" s="2">
        <v>2127</v>
      </c>
      <c r="B2135" s="14">
        <f>A2135*Assumptions!$B$12</f>
        <v>21.27</v>
      </c>
      <c r="C2135" s="15">
        <f>IF(A2135&lt;=Assumptions!$B$13,IF(OR(A2135=0,A2135=Assumptions!$B$13),0.5,1),0)*Assumptions!$B$12</f>
        <v>0</v>
      </c>
      <c r="D2135" s="12">
        <f>D2134*(1-Assumptions!$B$12*(Assumptions!$B$5+Assumptions!$B$6))</f>
        <v>0.52824465854194258</v>
      </c>
      <c r="E2135" s="12">
        <f>E2134+Assumptions!$B$12*(D2134*Assumptions!$B$5-E2134*Assumptions!$B$7)</f>
        <v>0.18309113448222497</v>
      </c>
      <c r="F2135" s="12">
        <f t="shared" si="99"/>
        <v>0.28866420697583245</v>
      </c>
      <c r="G2135" s="12">
        <f>EXP(-Assumptions!$B$8*B2135)</f>
        <v>0.34524533456218975</v>
      </c>
      <c r="H2135" s="12">
        <f t="shared" si="100"/>
        <v>0.18237400386900265</v>
      </c>
      <c r="I2135" s="12">
        <f t="shared" si="101"/>
        <v>6.3211359979686632E-2</v>
      </c>
      <c r="J2135" s="12">
        <f>G2135*(D2135*Assumptions!$B$6+E2135*Assumptions!$B$7)</f>
        <v>4.9843080376743591E-3</v>
      </c>
    </row>
    <row r="2136" spans="1:10" x14ac:dyDescent="0.2">
      <c r="A2136" s="2">
        <v>2128</v>
      </c>
      <c r="B2136" s="14">
        <f>A2136*Assumptions!$B$12</f>
        <v>21.28</v>
      </c>
      <c r="C2136" s="15">
        <f>IF(A2136&lt;=Assumptions!$B$13,IF(OR(A2136=0,A2136=Assumptions!$B$13),0.5,1),0)*Assumptions!$B$12</f>
        <v>0</v>
      </c>
      <c r="D2136" s="12">
        <f>D2135*(1-Assumptions!$B$12*(Assumptions!$B$5+Assumptions!$B$6))</f>
        <v>0.52808618514437999</v>
      </c>
      <c r="E2136" s="12">
        <f>E2135+Assumptions!$B$12*(D2135*Assumptions!$B$5-E2135*Assumptions!$B$7)</f>
        <v>0.18310523784669225</v>
      </c>
      <c r="F2136" s="12">
        <f t="shared" si="99"/>
        <v>0.28880857700892776</v>
      </c>
      <c r="G2136" s="12">
        <f>EXP(-Assumptions!$B$8*B2136)</f>
        <v>0.34507275504338375</v>
      </c>
      <c r="H2136" s="12">
        <f t="shared" si="100"/>
        <v>0.18222815480812163</v>
      </c>
      <c r="I2136" s="12">
        <f t="shared" si="101"/>
        <v>6.3184628886632149E-2</v>
      </c>
      <c r="J2136" s="12">
        <f>G2136*(D2136*Assumptions!$B$6+E2136*Assumptions!$B$7)</f>
        <v>4.9815129924128242E-3</v>
      </c>
    </row>
    <row r="2137" spans="1:10" x14ac:dyDescent="0.2">
      <c r="A2137" s="2">
        <v>2129</v>
      </c>
      <c r="B2137" s="14">
        <f>A2137*Assumptions!$B$12</f>
        <v>21.29</v>
      </c>
      <c r="C2137" s="15">
        <f>IF(A2137&lt;=Assumptions!$B$13,IF(OR(A2137=0,A2137=Assumptions!$B$13),0.5,1),0)*Assumptions!$B$12</f>
        <v>0</v>
      </c>
      <c r="D2137" s="12">
        <f>D2136*(1-Assumptions!$B$12*(Assumptions!$B$5+Assumptions!$B$6))</f>
        <v>0.52792775928883673</v>
      </c>
      <c r="E2137" s="12">
        <f>E2136+Assumptions!$B$12*(D2136*Assumptions!$B$5-E2136*Assumptions!$B$7)</f>
        <v>0.18311930246479777</v>
      </c>
      <c r="F2137" s="12">
        <f t="shared" si="99"/>
        <v>0.28895293824636548</v>
      </c>
      <c r="G2137" s="12">
        <f>EXP(-Assumptions!$B$8*B2137)</f>
        <v>0.34490026179276834</v>
      </c>
      <c r="H2137" s="12">
        <f t="shared" si="100"/>
        <v>0.18208242238638939</v>
      </c>
      <c r="I2137" s="12">
        <f t="shared" si="101"/>
        <v>6.3157895359417876E-2</v>
      </c>
      <c r="J2137" s="12">
        <f>G2137*(D2137*Assumptions!$B$6+E2137*Assumptions!$B$7)</f>
        <v>4.9787189918347879E-3</v>
      </c>
    </row>
    <row r="2138" spans="1:10" x14ac:dyDescent="0.2">
      <c r="A2138" s="2">
        <v>2130</v>
      </c>
      <c r="B2138" s="14">
        <f>A2138*Assumptions!$B$12</f>
        <v>21.3</v>
      </c>
      <c r="C2138" s="15">
        <f>IF(A2138&lt;=Assumptions!$B$13,IF(OR(A2138=0,A2138=Assumptions!$B$13),0.5,1),0)*Assumptions!$B$12</f>
        <v>0</v>
      </c>
      <c r="D2138" s="12">
        <f>D2137*(1-Assumptions!$B$12*(Assumptions!$B$5+Assumptions!$B$6))</f>
        <v>0.52776938096105008</v>
      </c>
      <c r="E2138" s="12">
        <f>E2137+Assumptions!$B$12*(D2137*Assumptions!$B$5-E2137*Assumptions!$B$7)</f>
        <v>0.18313332836542315</v>
      </c>
      <c r="F2138" s="12">
        <f t="shared" si="99"/>
        <v>0.28909729067352674</v>
      </c>
      <c r="G2138" s="12">
        <f>EXP(-Assumptions!$B$8*B2138)</f>
        <v>0.34472785476722012</v>
      </c>
      <c r="H2138" s="12">
        <f t="shared" si="100"/>
        <v>0.18193680651052654</v>
      </c>
      <c r="I2138" s="12">
        <f t="shared" si="101"/>
        <v>6.3131159423793229E-2</v>
      </c>
      <c r="J2138" s="12">
        <f>G2138*(D2138*Assumptions!$B$6+E2138*Assumptions!$B$7)</f>
        <v>4.9759260362949266E-3</v>
      </c>
    </row>
    <row r="2139" spans="1:10" x14ac:dyDescent="0.2">
      <c r="A2139" s="2">
        <v>2131</v>
      </c>
      <c r="B2139" s="14">
        <f>A2139*Assumptions!$B$12</f>
        <v>21.31</v>
      </c>
      <c r="C2139" s="15">
        <f>IF(A2139&lt;=Assumptions!$B$13,IF(OR(A2139=0,A2139=Assumptions!$B$13),0.5,1),0)*Assumptions!$B$12</f>
        <v>0</v>
      </c>
      <c r="D2139" s="12">
        <f>D2138*(1-Assumptions!$B$12*(Assumptions!$B$5+Assumptions!$B$6))</f>
        <v>0.5276110501467618</v>
      </c>
      <c r="E2139" s="12">
        <f>E2138+Assumptions!$B$12*(D2138*Assumptions!$B$5-E2138*Assumptions!$B$7)</f>
        <v>0.18314731557743263</v>
      </c>
      <c r="F2139" s="12">
        <f t="shared" si="99"/>
        <v>0.28924163427580557</v>
      </c>
      <c r="G2139" s="12">
        <f>EXP(-Assumptions!$B$8*B2139)</f>
        <v>0.34455553392363752</v>
      </c>
      <c r="H2139" s="12">
        <f t="shared" si="100"/>
        <v>0.1817913070873286</v>
      </c>
      <c r="I2139" s="12">
        <f t="shared" si="101"/>
        <v>6.3104421105463243E-2</v>
      </c>
      <c r="J2139" s="12">
        <f>G2139*(D2139*Assumptions!$B$6+E2139*Assumptions!$B$7)</f>
        <v>4.973134126146448E-3</v>
      </c>
    </row>
    <row r="2140" spans="1:10" x14ac:dyDescent="0.2">
      <c r="A2140" s="2">
        <v>2132</v>
      </c>
      <c r="B2140" s="14">
        <f>A2140*Assumptions!$B$12</f>
        <v>21.32</v>
      </c>
      <c r="C2140" s="15">
        <f>IF(A2140&lt;=Assumptions!$B$13,IF(OR(A2140=0,A2140=Assumptions!$B$13),0.5,1),0)*Assumptions!$B$12</f>
        <v>0</v>
      </c>
      <c r="D2140" s="12">
        <f>D2139*(1-Assumptions!$B$12*(Assumptions!$B$5+Assumptions!$B$6))</f>
        <v>0.52745276683171782</v>
      </c>
      <c r="E2140" s="12">
        <f>E2139+Assumptions!$B$12*(D2139*Assumptions!$B$5-E2139*Assumptions!$B$7)</f>
        <v>0.18316126412967326</v>
      </c>
      <c r="F2140" s="12">
        <f t="shared" si="99"/>
        <v>0.28938596903860891</v>
      </c>
      <c r="G2140" s="12">
        <f>EXP(-Assumptions!$B$8*B2140)</f>
        <v>0.34438329921894001</v>
      </c>
      <c r="H2140" s="12">
        <f t="shared" si="100"/>
        <v>0.18164592402366528</v>
      </c>
      <c r="I2140" s="12">
        <f t="shared" si="101"/>
        <v>6.3077680430088573E-2</v>
      </c>
      <c r="J2140" s="12">
        <f>G2140*(D2140*Assumptions!$B$6+E2140*Assumptions!$B$7)</f>
        <v>4.9703432617410814E-3</v>
      </c>
    </row>
    <row r="2141" spans="1:10" x14ac:dyDescent="0.2">
      <c r="A2141" s="2">
        <v>2133</v>
      </c>
      <c r="B2141" s="14">
        <f>A2141*Assumptions!$B$12</f>
        <v>21.330000000000002</v>
      </c>
      <c r="C2141" s="15">
        <f>IF(A2141&lt;=Assumptions!$B$13,IF(OR(A2141=0,A2141=Assumptions!$B$13),0.5,1),0)*Assumptions!$B$12</f>
        <v>0</v>
      </c>
      <c r="D2141" s="12">
        <f>D2140*(1-Assumptions!$B$12*(Assumptions!$B$5+Assumptions!$B$6))</f>
        <v>0.52729453100166834</v>
      </c>
      <c r="E2141" s="12">
        <f>E2140+Assumptions!$B$12*(D2140*Assumptions!$B$5-E2140*Assumptions!$B$7)</f>
        <v>0.18317517405097478</v>
      </c>
      <c r="F2141" s="12">
        <f t="shared" si="99"/>
        <v>0.28953029494735688</v>
      </c>
      <c r="G2141" s="12">
        <f>EXP(-Assumptions!$B$8*B2141)</f>
        <v>0.34421115061006913</v>
      </c>
      <c r="H2141" s="12">
        <f t="shared" si="100"/>
        <v>0.18150065722648104</v>
      </c>
      <c r="I2141" s="12">
        <f t="shared" si="101"/>
        <v>6.30509374232857E-2</v>
      </c>
      <c r="J2141" s="12">
        <f>G2141*(D2141*Assumptions!$B$6+E2141*Assumptions!$B$7)</f>
        <v>4.9675534434290959E-3</v>
      </c>
    </row>
    <row r="2142" spans="1:10" x14ac:dyDescent="0.2">
      <c r="A2142" s="2">
        <v>2134</v>
      </c>
      <c r="B2142" s="14">
        <f>A2142*Assumptions!$B$12</f>
        <v>21.34</v>
      </c>
      <c r="C2142" s="15">
        <f>IF(A2142&lt;=Assumptions!$B$13,IF(OR(A2142=0,A2142=Assumptions!$B$13),0.5,1),0)*Assumptions!$B$12</f>
        <v>0</v>
      </c>
      <c r="D2142" s="12">
        <f>D2141*(1-Assumptions!$B$12*(Assumptions!$B$5+Assumptions!$B$6))</f>
        <v>0.52713634264236786</v>
      </c>
      <c r="E2142" s="12">
        <f>E2141+Assumptions!$B$12*(D2141*Assumptions!$B$5-E2141*Assumptions!$B$7)</f>
        <v>0.18318904537014963</v>
      </c>
      <c r="F2142" s="12">
        <f t="shared" si="99"/>
        <v>0.28967461198748251</v>
      </c>
      <c r="G2142" s="12">
        <f>EXP(-Assumptions!$B$8*B2142)</f>
        <v>0.34403908805398786</v>
      </c>
      <c r="H2142" s="12">
        <f t="shared" si="100"/>
        <v>0.1813555066027947</v>
      </c>
      <c r="I2142" s="12">
        <f t="shared" si="101"/>
        <v>6.3024192110626889E-2</v>
      </c>
      <c r="J2142" s="12">
        <f>G2142*(D2142*Assumptions!$B$6+E2142*Assumptions!$B$7)</f>
        <v>4.9647646715592917E-3</v>
      </c>
    </row>
    <row r="2143" spans="1:10" x14ac:dyDescent="0.2">
      <c r="A2143" s="2">
        <v>2135</v>
      </c>
      <c r="B2143" s="14">
        <f>A2143*Assumptions!$B$12</f>
        <v>21.35</v>
      </c>
      <c r="C2143" s="15">
        <f>IF(A2143&lt;=Assumptions!$B$13,IF(OR(A2143=0,A2143=Assumptions!$B$13),0.5,1),0)*Assumptions!$B$12</f>
        <v>0</v>
      </c>
      <c r="D2143" s="12">
        <f>D2142*(1-Assumptions!$B$12*(Assumptions!$B$5+Assumptions!$B$6))</f>
        <v>0.52697820173957521</v>
      </c>
      <c r="E2143" s="12">
        <f>E2142+Assumptions!$B$12*(D2142*Assumptions!$B$5-E2142*Assumptions!$B$7)</f>
        <v>0.18320287811599303</v>
      </c>
      <c r="F2143" s="12">
        <f t="shared" si="99"/>
        <v>0.28981892014443178</v>
      </c>
      <c r="G2143" s="12">
        <f>EXP(-Assumptions!$B$8*B2143)</f>
        <v>0.34386711150768023</v>
      </c>
      <c r="H2143" s="12">
        <f t="shared" si="100"/>
        <v>0.18121047205969931</v>
      </c>
      <c r="I2143" s="12">
        <f t="shared" si="101"/>
        <v>6.2997444517640125E-2</v>
      </c>
      <c r="J2143" s="12">
        <f>G2143*(D2143*Assumptions!$B$6+E2143*Assumptions!$B$7)</f>
        <v>4.9619769464789992E-3</v>
      </c>
    </row>
    <row r="2144" spans="1:10" x14ac:dyDescent="0.2">
      <c r="A2144" s="2">
        <v>2136</v>
      </c>
      <c r="B2144" s="14">
        <f>A2144*Assumptions!$B$12</f>
        <v>21.36</v>
      </c>
      <c r="C2144" s="15">
        <f>IF(A2144&lt;=Assumptions!$B$13,IF(OR(A2144=0,A2144=Assumptions!$B$13),0.5,1),0)*Assumptions!$B$12</f>
        <v>0</v>
      </c>
      <c r="D2144" s="12">
        <f>D2143*(1-Assumptions!$B$12*(Assumptions!$B$5+Assumptions!$B$6))</f>
        <v>0.52682010827905335</v>
      </c>
      <c r="E2144" s="12">
        <f>E2143+Assumptions!$B$12*(D2143*Assumptions!$B$5-E2143*Assumptions!$B$7)</f>
        <v>0.18321667231728295</v>
      </c>
      <c r="F2144" s="12">
        <f t="shared" si="99"/>
        <v>0.28996321940366371</v>
      </c>
      <c r="G2144" s="12">
        <f>EXP(-Assumptions!$B$8*B2144)</f>
        <v>0.34369522092815236</v>
      </c>
      <c r="H2144" s="12">
        <f t="shared" si="100"/>
        <v>0.18106555350436238</v>
      </c>
      <c r="I2144" s="12">
        <f t="shared" si="101"/>
        <v>6.2970694669809452E-2</v>
      </c>
      <c r="J2144" s="12">
        <f>G2144*(D2144*Assumptions!$B$6+E2144*Assumptions!$B$7)</f>
        <v>4.9591902685340973E-3</v>
      </c>
    </row>
    <row r="2145" spans="1:10" x14ac:dyDescent="0.2">
      <c r="A2145" s="2">
        <v>2137</v>
      </c>
      <c r="B2145" s="14">
        <f>A2145*Assumptions!$B$12</f>
        <v>21.37</v>
      </c>
      <c r="C2145" s="15">
        <f>IF(A2145&lt;=Assumptions!$B$13,IF(OR(A2145=0,A2145=Assumptions!$B$13),0.5,1),0)*Assumptions!$B$12</f>
        <v>0</v>
      </c>
      <c r="D2145" s="12">
        <f>D2144*(1-Assumptions!$B$12*(Assumptions!$B$5+Assumptions!$B$6))</f>
        <v>0.52666206224656964</v>
      </c>
      <c r="E2145" s="12">
        <f>E2144+Assumptions!$B$12*(D2144*Assumptions!$B$5-E2144*Assumptions!$B$7)</f>
        <v>0.18323042800278011</v>
      </c>
      <c r="F2145" s="12">
        <f t="shared" si="99"/>
        <v>0.29010750975065025</v>
      </c>
      <c r="G2145" s="12">
        <f>EXP(-Assumptions!$B$8*B2145)</f>
        <v>0.34352341627243149</v>
      </c>
      <c r="H2145" s="12">
        <f t="shared" si="100"/>
        <v>0.18092075084402556</v>
      </c>
      <c r="I2145" s="12">
        <f t="shared" si="101"/>
        <v>6.2943942592574825E-2</v>
      </c>
      <c r="J2145" s="12">
        <f>G2145*(D2145*Assumptions!$B$6+E2145*Assumptions!$B$7)</f>
        <v>4.9564046380689971E-3</v>
      </c>
    </row>
    <row r="2146" spans="1:10" x14ac:dyDescent="0.2">
      <c r="A2146" s="2">
        <v>2138</v>
      </c>
      <c r="B2146" s="14">
        <f>A2146*Assumptions!$B$12</f>
        <v>21.38</v>
      </c>
      <c r="C2146" s="15">
        <f>IF(A2146&lt;=Assumptions!$B$13,IF(OR(A2146=0,A2146=Assumptions!$B$13),0.5,1),0)*Assumptions!$B$12</f>
        <v>0</v>
      </c>
      <c r="D2146" s="12">
        <f>D2145*(1-Assumptions!$B$12*(Assumptions!$B$5+Assumptions!$B$6))</f>
        <v>0.5265040636278957</v>
      </c>
      <c r="E2146" s="12">
        <f>E2145+Assumptions!$B$12*(D2145*Assumptions!$B$5-E2145*Assumptions!$B$7)</f>
        <v>0.18324414520122803</v>
      </c>
      <c r="F2146" s="12">
        <f t="shared" si="99"/>
        <v>0.29025179117087629</v>
      </c>
      <c r="G2146" s="12">
        <f>EXP(-Assumptions!$B$8*B2146)</f>
        <v>0.3433516974975665</v>
      </c>
      <c r="H2146" s="12">
        <f t="shared" si="100"/>
        <v>0.18077606398600474</v>
      </c>
      <c r="I2146" s="12">
        <f t="shared" si="101"/>
        <v>6.2917188311332195E-2</v>
      </c>
      <c r="J2146" s="12">
        <f>G2146*(D2146*Assumptions!$B$6+E2146*Assumptions!$B$7)</f>
        <v>4.9536200554266578E-3</v>
      </c>
    </row>
    <row r="2147" spans="1:10" x14ac:dyDescent="0.2">
      <c r="A2147" s="2">
        <v>2139</v>
      </c>
      <c r="B2147" s="14">
        <f>A2147*Assumptions!$B$12</f>
        <v>21.39</v>
      </c>
      <c r="C2147" s="15">
        <f>IF(A2147&lt;=Assumptions!$B$13,IF(OR(A2147=0,A2147=Assumptions!$B$13),0.5,1),0)*Assumptions!$B$12</f>
        <v>0</v>
      </c>
      <c r="D2147" s="12">
        <f>D2146*(1-Assumptions!$B$12*(Assumptions!$B$5+Assumptions!$B$6))</f>
        <v>0.52634611240880735</v>
      </c>
      <c r="E2147" s="12">
        <f>E2146+Assumptions!$B$12*(D2146*Assumptions!$B$5-E2146*Assumptions!$B$7)</f>
        <v>0.18325782394135301</v>
      </c>
      <c r="F2147" s="12">
        <f t="shared" si="99"/>
        <v>0.29039606364983961</v>
      </c>
      <c r="G2147" s="12">
        <f>EXP(-Assumptions!$B$8*B2147)</f>
        <v>0.34318006456062755</v>
      </c>
      <c r="H2147" s="12">
        <f t="shared" si="100"/>
        <v>0.18063149283768984</v>
      </c>
      <c r="I2147" s="12">
        <f t="shared" si="101"/>
        <v>6.2890431851433642E-2</v>
      </c>
      <c r="J2147" s="12">
        <f>G2147*(D2147*Assumptions!$B$6+E2147*Assumptions!$B$7)</f>
        <v>4.9508365209485813E-3</v>
      </c>
    </row>
    <row r="2148" spans="1:10" x14ac:dyDescent="0.2">
      <c r="A2148" s="2">
        <v>2140</v>
      </c>
      <c r="B2148" s="14">
        <f>A2148*Assumptions!$B$12</f>
        <v>21.400000000000002</v>
      </c>
      <c r="C2148" s="15">
        <f>IF(A2148&lt;=Assumptions!$B$13,IF(OR(A2148=0,A2148=Assumptions!$B$13),0.5,1),0)*Assumptions!$B$12</f>
        <v>0</v>
      </c>
      <c r="D2148" s="12">
        <f>D2147*(1-Assumptions!$B$12*(Assumptions!$B$5+Assumptions!$B$6))</f>
        <v>0.52618820857508475</v>
      </c>
      <c r="E2148" s="12">
        <f>E2147+Assumptions!$B$12*(D2147*Assumptions!$B$5-E2147*Assumptions!$B$7)</f>
        <v>0.18327146425186411</v>
      </c>
      <c r="F2148" s="12">
        <f t="shared" si="99"/>
        <v>0.29054032717305112</v>
      </c>
      <c r="G2148" s="12">
        <f>EXP(-Assumptions!$B$8*B2148)</f>
        <v>0.34300851741870664</v>
      </c>
      <c r="H2148" s="12">
        <f t="shared" si="100"/>
        <v>0.180487037306545</v>
      </c>
      <c r="I2148" s="12">
        <f t="shared" si="101"/>
        <v>6.2863673238187395E-2</v>
      </c>
      <c r="J2148" s="12">
        <f>G2148*(D2148*Assumptions!$B$6+E2148*Assumptions!$B$7)</f>
        <v>4.9480540349748203E-3</v>
      </c>
    </row>
    <row r="2149" spans="1:10" x14ac:dyDescent="0.2">
      <c r="A2149" s="2">
        <v>2141</v>
      </c>
      <c r="B2149" s="14">
        <f>A2149*Assumptions!$B$12</f>
        <v>21.41</v>
      </c>
      <c r="C2149" s="15">
        <f>IF(A2149&lt;=Assumptions!$B$13,IF(OR(A2149=0,A2149=Assumptions!$B$13),0.5,1),0)*Assumptions!$B$12</f>
        <v>0</v>
      </c>
      <c r="D2149" s="12">
        <f>D2148*(1-Assumptions!$B$12*(Assumptions!$B$5+Assumptions!$B$6))</f>
        <v>0.52603035211251226</v>
      </c>
      <c r="E2149" s="12">
        <f>E2148+Assumptions!$B$12*(D2148*Assumptions!$B$5-E2148*Assumptions!$B$7)</f>
        <v>0.18328506616145318</v>
      </c>
      <c r="F2149" s="12">
        <f t="shared" si="99"/>
        <v>0.29068458172603456</v>
      </c>
      <c r="G2149" s="12">
        <f>EXP(-Assumptions!$B$8*B2149)</f>
        <v>0.3428370560289169</v>
      </c>
      <c r="H2149" s="12">
        <f t="shared" si="100"/>
        <v>0.18034269730010824</v>
      </c>
      <c r="I2149" s="12">
        <f t="shared" si="101"/>
        <v>6.2836912496857869E-2</v>
      </c>
      <c r="J2149" s="12">
        <f>G2149*(D2149*Assumptions!$B$6+E2149*Assumptions!$B$7)</f>
        <v>4.9452725978439754E-3</v>
      </c>
    </row>
    <row r="2150" spans="1:10" x14ac:dyDescent="0.2">
      <c r="A2150" s="2">
        <v>2142</v>
      </c>
      <c r="B2150" s="14">
        <f>A2150*Assumptions!$B$12</f>
        <v>21.42</v>
      </c>
      <c r="C2150" s="15">
        <f>IF(A2150&lt;=Assumptions!$B$13,IF(OR(A2150=0,A2150=Assumptions!$B$13),0.5,1),0)*Assumptions!$B$12</f>
        <v>0</v>
      </c>
      <c r="D2150" s="12">
        <f>D2149*(1-Assumptions!$B$12*(Assumptions!$B$5+Assumptions!$B$6))</f>
        <v>0.52587254300687847</v>
      </c>
      <c r="E2150" s="12">
        <f>E2149+Assumptions!$B$12*(D2149*Assumptions!$B$5-E2149*Assumptions!$B$7)</f>
        <v>0.18329862969879496</v>
      </c>
      <c r="F2150" s="12">
        <f t="shared" si="99"/>
        <v>0.29082882729432658</v>
      </c>
      <c r="G2150" s="12">
        <f>EXP(-Assumptions!$B$8*B2150)</f>
        <v>0.34266568034839279</v>
      </c>
      <c r="H2150" s="12">
        <f t="shared" si="100"/>
        <v>0.18019847272599146</v>
      </c>
      <c r="I2150" s="12">
        <f t="shared" si="101"/>
        <v>6.2810149652665695E-2</v>
      </c>
      <c r="J2150" s="12">
        <f>G2150*(D2150*Assumptions!$B$6+E2150*Assumptions!$B$7)</f>
        <v>4.9424922098931989E-3</v>
      </c>
    </row>
    <row r="2151" spans="1:10" x14ac:dyDescent="0.2">
      <c r="A2151" s="2">
        <v>2143</v>
      </c>
      <c r="B2151" s="14">
        <f>A2151*Assumptions!$B$12</f>
        <v>21.43</v>
      </c>
      <c r="C2151" s="15">
        <f>IF(A2151&lt;=Assumptions!$B$13,IF(OR(A2151=0,A2151=Assumptions!$B$13),0.5,1),0)*Assumptions!$B$12</f>
        <v>0</v>
      </c>
      <c r="D2151" s="12">
        <f>D2150*(1-Assumptions!$B$12*(Assumptions!$B$5+Assumptions!$B$6))</f>
        <v>0.52571478124397641</v>
      </c>
      <c r="E2151" s="12">
        <f>E2150+Assumptions!$B$12*(D2150*Assumptions!$B$5-E2150*Assumptions!$B$7)</f>
        <v>0.18331215489254693</v>
      </c>
      <c r="F2151" s="12">
        <f t="shared" si="99"/>
        <v>0.29097306386347666</v>
      </c>
      <c r="G2151" s="12">
        <f>EXP(-Assumptions!$B$8*B2151)</f>
        <v>0.34249439033429069</v>
      </c>
      <c r="H2151" s="12">
        <f t="shared" si="100"/>
        <v>0.1800543634918807</v>
      </c>
      <c r="I2151" s="12">
        <f t="shared" si="101"/>
        <v>6.2783384730787928E-2</v>
      </c>
      <c r="J2151" s="12">
        <f>G2151*(D2151*Assumptions!$B$6+E2151*Assumptions!$B$7)</f>
        <v>4.9397128714582031E-3</v>
      </c>
    </row>
    <row r="2152" spans="1:10" x14ac:dyDescent="0.2">
      <c r="A2152" s="2">
        <v>2144</v>
      </c>
      <c r="B2152" s="14">
        <f>A2152*Assumptions!$B$12</f>
        <v>21.44</v>
      </c>
      <c r="C2152" s="15">
        <f>IF(A2152&lt;=Assumptions!$B$13,IF(OR(A2152=0,A2152=Assumptions!$B$13),0.5,1),0)*Assumptions!$B$12</f>
        <v>0</v>
      </c>
      <c r="D2152" s="12">
        <f>D2151*(1-Assumptions!$B$12*(Assumptions!$B$5+Assumptions!$B$6))</f>
        <v>0.52555706680960323</v>
      </c>
      <c r="E2152" s="12">
        <f>E2151+Assumptions!$B$12*(D2151*Assumptions!$B$5-E2151*Assumptions!$B$7)</f>
        <v>0.18332564177134944</v>
      </c>
      <c r="F2152" s="12">
        <f t="shared" si="99"/>
        <v>0.2911172914190473</v>
      </c>
      <c r="G2152" s="12">
        <f>EXP(-Assumptions!$B$8*B2152)</f>
        <v>0.34232318594378797</v>
      </c>
      <c r="H2152" s="12">
        <f t="shared" si="100"/>
        <v>0.1799103695055356</v>
      </c>
      <c r="I2152" s="12">
        <f t="shared" si="101"/>
        <v>6.2756617756357921E-2</v>
      </c>
      <c r="J2152" s="12">
        <f>G2152*(D2152*Assumptions!$B$6+E2152*Assumptions!$B$7)</f>
        <v>4.9369345828732519E-3</v>
      </c>
    </row>
    <row r="2153" spans="1:10" x14ac:dyDescent="0.2">
      <c r="A2153" s="2">
        <v>2145</v>
      </c>
      <c r="B2153" s="14">
        <f>A2153*Assumptions!$B$12</f>
        <v>21.45</v>
      </c>
      <c r="C2153" s="15">
        <f>IF(A2153&lt;=Assumptions!$B$13,IF(OR(A2153=0,A2153=Assumptions!$B$13),0.5,1),0)*Assumptions!$B$12</f>
        <v>0</v>
      </c>
      <c r="D2153" s="12">
        <f>D2152*(1-Assumptions!$B$12*(Assumptions!$B$5+Assumptions!$B$6))</f>
        <v>0.5253993996895604</v>
      </c>
      <c r="E2153" s="12">
        <f>E2152+Assumptions!$B$12*(D2152*Assumptions!$B$5-E2152*Assumptions!$B$7)</f>
        <v>0.18333909036382567</v>
      </c>
      <c r="F2153" s="12">
        <f t="shared" si="99"/>
        <v>0.29126150994661393</v>
      </c>
      <c r="G2153" s="12">
        <f>EXP(-Assumptions!$B$8*B2153)</f>
        <v>0.34215206713408347</v>
      </c>
      <c r="H2153" s="12">
        <f t="shared" si="100"/>
        <v>0.17976649067478961</v>
      </c>
      <c r="I2153" s="12">
        <f t="shared" si="101"/>
        <v>6.2729848754465481E-2</v>
      </c>
      <c r="J2153" s="12">
        <f>G2153*(D2153*Assumptions!$B$6+E2153*Assumptions!$B$7)</f>
        <v>4.934157344471171E-3</v>
      </c>
    </row>
    <row r="2154" spans="1:10" x14ac:dyDescent="0.2">
      <c r="A2154" s="2">
        <v>2146</v>
      </c>
      <c r="B2154" s="14">
        <f>A2154*Assumptions!$B$12</f>
        <v>21.46</v>
      </c>
      <c r="C2154" s="15">
        <f>IF(A2154&lt;=Assumptions!$B$13,IF(OR(A2154=0,A2154=Assumptions!$B$13),0.5,1),0)*Assumptions!$B$12</f>
        <v>0</v>
      </c>
      <c r="D2154" s="12">
        <f>D2153*(1-Assumptions!$B$12*(Assumptions!$B$5+Assumptions!$B$6))</f>
        <v>0.52524177986965359</v>
      </c>
      <c r="E2154" s="12">
        <f>E2153+Assumptions!$B$12*(D2153*Assumptions!$B$5-E2153*Assumptions!$B$7)</f>
        <v>0.18335250069858167</v>
      </c>
      <c r="F2154" s="12">
        <f t="shared" si="99"/>
        <v>0.29140571943176474</v>
      </c>
      <c r="G2154" s="12">
        <f>EXP(-Assumptions!$B$8*B2154)</f>
        <v>0.34198103386239748</v>
      </c>
      <c r="H2154" s="12">
        <f t="shared" si="100"/>
        <v>0.17962272690754993</v>
      </c>
      <c r="I2154" s="12">
        <f t="shared" si="101"/>
        <v>6.2703077750156919E-2</v>
      </c>
      <c r="J2154" s="12">
        <f>G2154*(D2154*Assumptions!$B$6+E2154*Assumptions!$B$7)</f>
        <v>4.9313811565833456E-3</v>
      </c>
    </row>
    <row r="2155" spans="1:10" x14ac:dyDescent="0.2">
      <c r="A2155" s="2">
        <v>2147</v>
      </c>
      <c r="B2155" s="14">
        <f>A2155*Assumptions!$B$12</f>
        <v>21.47</v>
      </c>
      <c r="C2155" s="15">
        <f>IF(A2155&lt;=Assumptions!$B$13,IF(OR(A2155=0,A2155=Assumptions!$B$13),0.5,1),0)*Assumptions!$B$12</f>
        <v>0</v>
      </c>
      <c r="D2155" s="12">
        <f>D2154*(1-Assumptions!$B$12*(Assumptions!$B$5+Assumptions!$B$6))</f>
        <v>0.52508420733569272</v>
      </c>
      <c r="E2155" s="12">
        <f>E2154+Assumptions!$B$12*(D2154*Assumptions!$B$5-E2154*Assumptions!$B$7)</f>
        <v>0.1833658728042063</v>
      </c>
      <c r="F2155" s="12">
        <f t="shared" si="99"/>
        <v>0.29154991986010098</v>
      </c>
      <c r="G2155" s="12">
        <f>EXP(-Assumptions!$B$8*B2155)</f>
        <v>0.34181008608597191</v>
      </c>
      <c r="H2155" s="12">
        <f t="shared" si="100"/>
        <v>0.17947907811179745</v>
      </c>
      <c r="I2155" s="12">
        <f t="shared" si="101"/>
        <v>6.2676304768435123E-2</v>
      </c>
      <c r="J2155" s="12">
        <f>G2155*(D2155*Assumptions!$B$6+E2155*Assumptions!$B$7)</f>
        <v>4.9286060195397313E-3</v>
      </c>
    </row>
    <row r="2156" spans="1:10" x14ac:dyDescent="0.2">
      <c r="A2156" s="2">
        <v>2148</v>
      </c>
      <c r="B2156" s="14">
        <f>A2156*Assumptions!$B$12</f>
        <v>21.48</v>
      </c>
      <c r="C2156" s="15">
        <f>IF(A2156&lt;=Assumptions!$B$13,IF(OR(A2156=0,A2156=Assumptions!$B$13),0.5,1),0)*Assumptions!$B$12</f>
        <v>0</v>
      </c>
      <c r="D2156" s="12">
        <f>D2155*(1-Assumptions!$B$12*(Assumptions!$B$5+Assumptions!$B$6))</f>
        <v>0.52492668207349202</v>
      </c>
      <c r="E2156" s="12">
        <f>E2155+Assumptions!$B$12*(D2155*Assumptions!$B$5-E2155*Assumptions!$B$7)</f>
        <v>0.18337920670927133</v>
      </c>
      <c r="F2156" s="12">
        <f t="shared" si="99"/>
        <v>0.29169411121723665</v>
      </c>
      <c r="G2156" s="12">
        <f>EXP(-Assumptions!$B$8*B2156)</f>
        <v>0.34163922376206945</v>
      </c>
      <c r="H2156" s="12">
        <f t="shared" si="100"/>
        <v>0.17933554419558642</v>
      </c>
      <c r="I2156" s="12">
        <f t="shared" si="101"/>
        <v>6.2649529834259532E-2</v>
      </c>
      <c r="J2156" s="12">
        <f>G2156*(D2156*Assumptions!$B$6+E2156*Assumptions!$B$7)</f>
        <v>4.9258319336688413E-3</v>
      </c>
    </row>
    <row r="2157" spans="1:10" x14ac:dyDescent="0.2">
      <c r="A2157" s="2">
        <v>2149</v>
      </c>
      <c r="B2157" s="14">
        <f>A2157*Assumptions!$B$12</f>
        <v>21.490000000000002</v>
      </c>
      <c r="C2157" s="15">
        <f>IF(A2157&lt;=Assumptions!$B$13,IF(OR(A2157=0,A2157=Assumptions!$B$13),0.5,1),0)*Assumptions!$B$12</f>
        <v>0</v>
      </c>
      <c r="D2157" s="12">
        <f>D2156*(1-Assumptions!$B$12*(Assumptions!$B$5+Assumptions!$B$6))</f>
        <v>0.52476920406886995</v>
      </c>
      <c r="E2157" s="12">
        <f>E2156+Assumptions!$B$12*(D2156*Assumptions!$B$5-E2156*Assumptions!$B$7)</f>
        <v>0.18339250244233138</v>
      </c>
      <c r="F2157" s="12">
        <f t="shared" si="99"/>
        <v>0.29183829348879864</v>
      </c>
      <c r="G2157" s="12">
        <f>EXP(-Assumptions!$B$8*B2157)</f>
        <v>0.34146844684797478</v>
      </c>
      <c r="H2157" s="12">
        <f t="shared" si="100"/>
        <v>0.17919212506704496</v>
      </c>
      <c r="I2157" s="12">
        <f t="shared" si="101"/>
        <v>6.2622752972546311E-2</v>
      </c>
      <c r="J2157" s="12">
        <f>G2157*(D2157*Assumptions!$B$6+E2157*Assumptions!$B$7)</f>
        <v>4.9230588992977657E-3</v>
      </c>
    </row>
    <row r="2158" spans="1:10" x14ac:dyDescent="0.2">
      <c r="A2158" s="2">
        <v>2150</v>
      </c>
      <c r="B2158" s="14">
        <f>A2158*Assumptions!$B$12</f>
        <v>21.5</v>
      </c>
      <c r="C2158" s="15">
        <f>IF(A2158&lt;=Assumptions!$B$13,IF(OR(A2158=0,A2158=Assumptions!$B$13),0.5,1),0)*Assumptions!$B$12</f>
        <v>0</v>
      </c>
      <c r="D2158" s="12">
        <f>D2157*(1-Assumptions!$B$12*(Assumptions!$B$5+Assumptions!$B$6))</f>
        <v>0.5246117733076493</v>
      </c>
      <c r="E2158" s="12">
        <f>E2157+Assumptions!$B$12*(D2157*Assumptions!$B$5-E2157*Assumptions!$B$7)</f>
        <v>0.18340576003192399</v>
      </c>
      <c r="F2158" s="12">
        <f t="shared" si="99"/>
        <v>0.29198246666042671</v>
      </c>
      <c r="G2158" s="12">
        <f>EXP(-Assumptions!$B$8*B2158)</f>
        <v>0.34129775530099371</v>
      </c>
      <c r="H2158" s="12">
        <f t="shared" si="100"/>
        <v>0.17904882063437447</v>
      </c>
      <c r="I2158" s="12">
        <f t="shared" si="101"/>
        <v>6.259597420816837E-2</v>
      </c>
      <c r="J2158" s="12">
        <f>G2158*(D2158*Assumptions!$B$6+E2158*Assumptions!$B$7)</f>
        <v>4.9202869167521632E-3</v>
      </c>
    </row>
    <row r="2159" spans="1:10" x14ac:dyDescent="0.2">
      <c r="A2159" s="2">
        <v>2151</v>
      </c>
      <c r="B2159" s="14">
        <f>A2159*Assumptions!$B$12</f>
        <v>21.51</v>
      </c>
      <c r="C2159" s="15">
        <f>IF(A2159&lt;=Assumptions!$B$13,IF(OR(A2159=0,A2159=Assumptions!$B$13),0.5,1),0)*Assumptions!$B$12</f>
        <v>0</v>
      </c>
      <c r="D2159" s="12">
        <f>D2158*(1-Assumptions!$B$12*(Assumptions!$B$5+Assumptions!$B$6))</f>
        <v>0.52445438977565706</v>
      </c>
      <c r="E2159" s="12">
        <f>E2158+Assumptions!$B$12*(D2158*Assumptions!$B$5-E2158*Assumptions!$B$7)</f>
        <v>0.18341897950656957</v>
      </c>
      <c r="F2159" s="12">
        <f t="shared" si="99"/>
        <v>0.29212663071777334</v>
      </c>
      <c r="G2159" s="12">
        <f>EXP(-Assumptions!$B$8*B2159)</f>
        <v>0.3411271490784531</v>
      </c>
      <c r="H2159" s="12">
        <f t="shared" si="100"/>
        <v>0.1789056308058497</v>
      </c>
      <c r="I2159" s="12">
        <f t="shared" si="101"/>
        <v>6.2569193565955292E-2</v>
      </c>
      <c r="J2159" s="12">
        <f>G2159*(D2159*Assumptions!$B$6+E2159*Assumptions!$B$7)</f>
        <v>4.9175159863562622E-3</v>
      </c>
    </row>
    <row r="2160" spans="1:10" x14ac:dyDescent="0.2">
      <c r="A2160" s="2">
        <v>2152</v>
      </c>
      <c r="B2160" s="14">
        <f>A2160*Assumptions!$B$12</f>
        <v>21.52</v>
      </c>
      <c r="C2160" s="15">
        <f>IF(A2160&lt;=Assumptions!$B$13,IF(OR(A2160=0,A2160=Assumptions!$B$13),0.5,1),0)*Assumptions!$B$12</f>
        <v>0</v>
      </c>
      <c r="D2160" s="12">
        <f>D2159*(1-Assumptions!$B$12*(Assumptions!$B$5+Assumptions!$B$6))</f>
        <v>0.52429705345872435</v>
      </c>
      <c r="E2160" s="12">
        <f>E2159+Assumptions!$B$12*(D2159*Assumptions!$B$5-E2159*Assumptions!$B$7)</f>
        <v>0.18343216089477141</v>
      </c>
      <c r="F2160" s="12">
        <f t="shared" si="99"/>
        <v>0.29227078564650422</v>
      </c>
      <c r="G2160" s="12">
        <f>EXP(-Assumptions!$B$8*B2160)</f>
        <v>0.34095662813770156</v>
      </c>
      <c r="H2160" s="12">
        <f t="shared" si="100"/>
        <v>0.17876255548981893</v>
      </c>
      <c r="I2160" s="12">
        <f t="shared" si="101"/>
        <v>6.254241107069361E-2</v>
      </c>
      <c r="J2160" s="12">
        <f>G2160*(D2160*Assumptions!$B$6+E2160*Assumptions!$B$7)</f>
        <v>4.9147461084328697E-3</v>
      </c>
    </row>
    <row r="2161" spans="1:10" x14ac:dyDescent="0.2">
      <c r="A2161" s="2">
        <v>2153</v>
      </c>
      <c r="B2161" s="14">
        <f>A2161*Assumptions!$B$12</f>
        <v>21.53</v>
      </c>
      <c r="C2161" s="15">
        <f>IF(A2161&lt;=Assumptions!$B$13,IF(OR(A2161=0,A2161=Assumptions!$B$13),0.5,1),0)*Assumptions!$B$12</f>
        <v>0</v>
      </c>
      <c r="D2161" s="12">
        <f>D2160*(1-Assumptions!$B$12*(Assumptions!$B$5+Assumptions!$B$6))</f>
        <v>0.52413976434268672</v>
      </c>
      <c r="E2161" s="12">
        <f>E2160+Assumptions!$B$12*(D2160*Assumptions!$B$5-E2160*Assumptions!$B$7)</f>
        <v>0.18344530422501576</v>
      </c>
      <c r="F2161" s="12">
        <f t="shared" si="99"/>
        <v>0.29241493143229752</v>
      </c>
      <c r="G2161" s="12">
        <f>EXP(-Assumptions!$B$8*B2161)</f>
        <v>0.34078619243610886</v>
      </c>
      <c r="H2161" s="12">
        <f t="shared" si="100"/>
        <v>0.17861959459470358</v>
      </c>
      <c r="I2161" s="12">
        <f t="shared" si="101"/>
        <v>6.2515626747126754E-2</v>
      </c>
      <c r="J2161" s="12">
        <f>G2161*(D2161*Assumptions!$B$6+E2161*Assumptions!$B$7)</f>
        <v>4.9119772833033735E-3</v>
      </c>
    </row>
    <row r="2162" spans="1:10" x14ac:dyDescent="0.2">
      <c r="A2162" s="2">
        <v>2154</v>
      </c>
      <c r="B2162" s="14">
        <f>A2162*Assumptions!$B$12</f>
        <v>21.54</v>
      </c>
      <c r="C2162" s="15">
        <f>IF(A2162&lt;=Assumptions!$B$13,IF(OR(A2162=0,A2162=Assumptions!$B$13),0.5,1),0)*Assumptions!$B$12</f>
        <v>0</v>
      </c>
      <c r="D2162" s="12">
        <f>D2161*(1-Assumptions!$B$12*(Assumptions!$B$5+Assumptions!$B$6))</f>
        <v>0.52398252241338394</v>
      </c>
      <c r="E2162" s="12">
        <f>E2161+Assumptions!$B$12*(D2161*Assumptions!$B$5-E2161*Assumptions!$B$7)</f>
        <v>0.18345840952577178</v>
      </c>
      <c r="F2162" s="12">
        <f t="shared" si="99"/>
        <v>0.29255906806084431</v>
      </c>
      <c r="G2162" s="12">
        <f>EXP(-Assumptions!$B$8*B2162)</f>
        <v>0.34061584193106609</v>
      </c>
      <c r="H2162" s="12">
        <f t="shared" si="100"/>
        <v>0.17847674802899849</v>
      </c>
      <c r="I2162" s="12">
        <f t="shared" si="101"/>
        <v>6.248884061995507E-2</v>
      </c>
      <c r="J2162" s="12">
        <f>G2162*(D2162*Assumptions!$B$6+E2162*Assumptions!$B$7)</f>
        <v>4.909209511287739E-3</v>
      </c>
    </row>
    <row r="2163" spans="1:10" x14ac:dyDescent="0.2">
      <c r="A2163" s="2">
        <v>2155</v>
      </c>
      <c r="B2163" s="14">
        <f>A2163*Assumptions!$B$12</f>
        <v>21.55</v>
      </c>
      <c r="C2163" s="15">
        <f>IF(A2163&lt;=Assumptions!$B$13,IF(OR(A2163=0,A2163=Assumptions!$B$13),0.5,1),0)*Assumptions!$B$12</f>
        <v>0</v>
      </c>
      <c r="D2163" s="12">
        <f>D2162*(1-Assumptions!$B$12*(Assumptions!$B$5+Assumptions!$B$6))</f>
        <v>0.5238253276566599</v>
      </c>
      <c r="E2163" s="12">
        <f>E2162+Assumptions!$B$12*(D2162*Assumptions!$B$5-E2162*Assumptions!$B$7)</f>
        <v>0.18347147682549156</v>
      </c>
      <c r="F2163" s="12">
        <f t="shared" si="99"/>
        <v>0.29270319551784851</v>
      </c>
      <c r="G2163" s="12">
        <f>EXP(-Assumptions!$B$8*B2163)</f>
        <v>0.34044557657998548</v>
      </c>
      <c r="H2163" s="12">
        <f t="shared" si="100"/>
        <v>0.17833401570127139</v>
      </c>
      <c r="I2163" s="12">
        <f t="shared" si="101"/>
        <v>6.2462052713835918E-2</v>
      </c>
      <c r="J2163" s="12">
        <f>G2163*(D2163*Assumptions!$B$6+E2163*Assumptions!$B$7)</f>
        <v>4.9064427927045101E-3</v>
      </c>
    </row>
    <row r="2164" spans="1:10" x14ac:dyDescent="0.2">
      <c r="A2164" s="2">
        <v>2156</v>
      </c>
      <c r="B2164" s="14">
        <f>A2164*Assumptions!$B$12</f>
        <v>21.56</v>
      </c>
      <c r="C2164" s="15">
        <f>IF(A2164&lt;=Assumptions!$B$13,IF(OR(A2164=0,A2164=Assumptions!$B$13),0.5,1),0)*Assumptions!$B$12</f>
        <v>0</v>
      </c>
      <c r="D2164" s="12">
        <f>D2163*(1-Assumptions!$B$12*(Assumptions!$B$5+Assumptions!$B$6))</f>
        <v>0.52366818005836291</v>
      </c>
      <c r="E2164" s="12">
        <f>E2163+Assumptions!$B$12*(D2163*Assumptions!$B$5-E2163*Assumptions!$B$7)</f>
        <v>0.18348450615261014</v>
      </c>
      <c r="F2164" s="12">
        <f t="shared" si="99"/>
        <v>0.29284731378902695</v>
      </c>
      <c r="G2164" s="12">
        <f>EXP(-Assumptions!$B$8*B2164)</f>
        <v>0.3402753963403008</v>
      </c>
      <c r="H2164" s="12">
        <f t="shared" si="100"/>
        <v>0.17819139752016344</v>
      </c>
      <c r="I2164" s="12">
        <f t="shared" si="101"/>
        <v>6.2435263053383774E-2</v>
      </c>
      <c r="J2164" s="12">
        <f>G2164*(D2164*Assumptions!$B$6+E2164*Assumptions!$B$7)</f>
        <v>4.9036771278708228E-3</v>
      </c>
    </row>
    <row r="2165" spans="1:10" x14ac:dyDescent="0.2">
      <c r="A2165" s="2">
        <v>2157</v>
      </c>
      <c r="B2165" s="14">
        <f>A2165*Assumptions!$B$12</f>
        <v>21.57</v>
      </c>
      <c r="C2165" s="15">
        <f>IF(A2165&lt;=Assumptions!$B$13,IF(OR(A2165=0,A2165=Assumptions!$B$13),0.5,1),0)*Assumptions!$B$12</f>
        <v>0</v>
      </c>
      <c r="D2165" s="12">
        <f>D2164*(1-Assumptions!$B$12*(Assumptions!$B$5+Assumptions!$B$6))</f>
        <v>0.5235110796043454</v>
      </c>
      <c r="E2165" s="12">
        <f>E2164+Assumptions!$B$12*(D2164*Assumptions!$B$5-E2164*Assumptions!$B$7)</f>
        <v>0.18349749753554551</v>
      </c>
      <c r="F2165" s="12">
        <f t="shared" si="99"/>
        <v>0.2929914228601091</v>
      </c>
      <c r="G2165" s="12">
        <f>EXP(-Assumptions!$B$8*B2165)</f>
        <v>0.34010530116946702</v>
      </c>
      <c r="H2165" s="12">
        <f t="shared" si="100"/>
        <v>0.17804889339438873</v>
      </c>
      <c r="I2165" s="12">
        <f t="shared" si="101"/>
        <v>6.2408471663170234E-2</v>
      </c>
      <c r="J2165" s="12">
        <f>G2165*(D2165*Assumptions!$B$6+E2165*Assumptions!$B$7)</f>
        <v>4.9009125171023994E-3</v>
      </c>
    </row>
    <row r="2166" spans="1:10" x14ac:dyDescent="0.2">
      <c r="A2166" s="2">
        <v>2158</v>
      </c>
      <c r="B2166" s="14">
        <f>A2166*Assumptions!$B$12</f>
        <v>21.580000000000002</v>
      </c>
      <c r="C2166" s="15">
        <f>IF(A2166&lt;=Assumptions!$B$13,IF(OR(A2166=0,A2166=Assumptions!$B$13),0.5,1),0)*Assumptions!$B$12</f>
        <v>0</v>
      </c>
      <c r="D2166" s="12">
        <f>D2165*(1-Assumptions!$B$12*(Assumptions!$B$5+Assumptions!$B$6))</f>
        <v>0.52335402628046412</v>
      </c>
      <c r="E2166" s="12">
        <f>E2165+Assumptions!$B$12*(D2165*Assumptions!$B$5-E2165*Assumptions!$B$7)</f>
        <v>0.18351045100269861</v>
      </c>
      <c r="F2166" s="12">
        <f t="shared" si="99"/>
        <v>0.29313552271683729</v>
      </c>
      <c r="G2166" s="12">
        <f>EXP(-Assumptions!$B$8*B2166)</f>
        <v>0.33993529102496028</v>
      </c>
      <c r="H2166" s="12">
        <f t="shared" si="100"/>
        <v>0.1779065032327343</v>
      </c>
      <c r="I2166" s="12">
        <f t="shared" si="101"/>
        <v>6.2381678567724065E-2</v>
      </c>
      <c r="J2166" s="12">
        <f>G2166*(D2166*Assumptions!$B$6+E2166*Assumptions!$B$7)</f>
        <v>4.8981489607135466E-3</v>
      </c>
    </row>
    <row r="2167" spans="1:10" x14ac:dyDescent="0.2">
      <c r="A2167" s="2">
        <v>2159</v>
      </c>
      <c r="B2167" s="14">
        <f>A2167*Assumptions!$B$12</f>
        <v>21.59</v>
      </c>
      <c r="C2167" s="15">
        <f>IF(A2167&lt;=Assumptions!$B$13,IF(OR(A2167=0,A2167=Assumptions!$B$13),0.5,1),0)*Assumptions!$B$12</f>
        <v>0</v>
      </c>
      <c r="D2167" s="12">
        <f>D2166*(1-Assumptions!$B$12*(Assumptions!$B$5+Assumptions!$B$6))</f>
        <v>0.52319702007257995</v>
      </c>
      <c r="E2167" s="12">
        <f>E2166+Assumptions!$B$12*(D2166*Assumptions!$B$5-E2166*Assumptions!$B$7)</f>
        <v>0.18352336658245336</v>
      </c>
      <c r="F2167" s="12">
        <f t="shared" si="99"/>
        <v>0.29327961334496666</v>
      </c>
      <c r="G2167" s="12">
        <f>EXP(-Assumptions!$B$8*B2167)</f>
        <v>0.33976536586427808</v>
      </c>
      <c r="H2167" s="12">
        <f t="shared" si="100"/>
        <v>0.17776422694406016</v>
      </c>
      <c r="I2167" s="12">
        <f t="shared" si="101"/>
        <v>6.2354883791531292E-2</v>
      </c>
      <c r="J2167" s="12">
        <f>G2167*(D2167*Assumptions!$B$6+E2167*Assumptions!$B$7)</f>
        <v>4.8953864590171661E-3</v>
      </c>
    </row>
    <row r="2168" spans="1:10" x14ac:dyDescent="0.2">
      <c r="A2168" s="2">
        <v>2160</v>
      </c>
      <c r="B2168" s="14">
        <f>A2168*Assumptions!$B$12</f>
        <v>21.6</v>
      </c>
      <c r="C2168" s="15">
        <f>IF(A2168&lt;=Assumptions!$B$13,IF(OR(A2168=0,A2168=Assumptions!$B$13),0.5,1),0)*Assumptions!$B$12</f>
        <v>0</v>
      </c>
      <c r="D2168" s="12">
        <f>D2167*(1-Assumptions!$B$12*(Assumptions!$B$5+Assumptions!$B$6))</f>
        <v>0.5230400609665582</v>
      </c>
      <c r="E2168" s="12">
        <f>E2167+Assumptions!$B$12*(D2167*Assumptions!$B$5-E2167*Assumptions!$B$7)</f>
        <v>0.18353624430317664</v>
      </c>
      <c r="F2168" s="12">
        <f t="shared" si="99"/>
        <v>0.29342369473026519</v>
      </c>
      <c r="G2168" s="12">
        <f>EXP(-Assumptions!$B$8*B2168)</f>
        <v>0.33959552564493911</v>
      </c>
      <c r="H2168" s="12">
        <f t="shared" si="100"/>
        <v>0.17762206443729933</v>
      </c>
      <c r="I2168" s="12">
        <f t="shared" si="101"/>
        <v>6.2328087359035229E-2</v>
      </c>
      <c r="J2168" s="12">
        <f>G2168*(D2168*Assumptions!$B$6+E2168*Assumptions!$B$7)</f>
        <v>4.8926250123247561E-3</v>
      </c>
    </row>
    <row r="2169" spans="1:10" x14ac:dyDescent="0.2">
      <c r="A2169" s="2">
        <v>2161</v>
      </c>
      <c r="B2169" s="14">
        <f>A2169*Assumptions!$B$12</f>
        <v>21.61</v>
      </c>
      <c r="C2169" s="15">
        <f>IF(A2169&lt;=Assumptions!$B$13,IF(OR(A2169=0,A2169=Assumptions!$B$13),0.5,1),0)*Assumptions!$B$12</f>
        <v>0</v>
      </c>
      <c r="D2169" s="12">
        <f>D2168*(1-Assumptions!$B$12*(Assumptions!$B$5+Assumptions!$B$6))</f>
        <v>0.52288314894826826</v>
      </c>
      <c r="E2169" s="12">
        <f>E2168+Assumptions!$B$12*(D2168*Assumptions!$B$5-E2168*Assumptions!$B$7)</f>
        <v>0.18354908419321836</v>
      </c>
      <c r="F2169" s="12">
        <f t="shared" si="99"/>
        <v>0.29356776685851338</v>
      </c>
      <c r="G2169" s="12">
        <f>EXP(-Assumptions!$B$8*B2169)</f>
        <v>0.33942577032448334</v>
      </c>
      <c r="H2169" s="12">
        <f t="shared" si="100"/>
        <v>0.17748001562145752</v>
      </c>
      <c r="I2169" s="12">
        <f t="shared" si="101"/>
        <v>6.2301289294636589E-2</v>
      </c>
      <c r="J2169" s="12">
        <f>G2169*(D2169*Assumptions!$B$6+E2169*Assumptions!$B$7)</f>
        <v>4.8898646209464052E-3</v>
      </c>
    </row>
    <row r="2170" spans="1:10" x14ac:dyDescent="0.2">
      <c r="A2170" s="2">
        <v>2162</v>
      </c>
      <c r="B2170" s="14">
        <f>A2170*Assumptions!$B$12</f>
        <v>21.62</v>
      </c>
      <c r="C2170" s="15">
        <f>IF(A2170&lt;=Assumptions!$B$13,IF(OR(A2170=0,A2170=Assumptions!$B$13),0.5,1),0)*Assumptions!$B$12</f>
        <v>0</v>
      </c>
      <c r="D2170" s="12">
        <f>D2169*(1-Assumptions!$B$12*(Assumptions!$B$5+Assumptions!$B$6))</f>
        <v>0.52272628400358379</v>
      </c>
      <c r="E2170" s="12">
        <f>E2169+Assumptions!$B$12*(D2169*Assumptions!$B$5-E2169*Assumptions!$B$7)</f>
        <v>0.18356188628091141</v>
      </c>
      <c r="F2170" s="12">
        <f t="shared" si="99"/>
        <v>0.2937118297155048</v>
      </c>
      <c r="G2170" s="12">
        <f>EXP(-Assumptions!$B$8*B2170)</f>
        <v>0.33925609986047184</v>
      </c>
      <c r="H2170" s="12">
        <f t="shared" si="100"/>
        <v>0.17733808040561319</v>
      </c>
      <c r="I2170" s="12">
        <f t="shared" si="101"/>
        <v>6.2274489622693455E-2</v>
      </c>
      <c r="J2170" s="12">
        <f>G2170*(D2170*Assumptions!$B$6+E2170*Assumptions!$B$7)</f>
        <v>4.8871052851908042E-3</v>
      </c>
    </row>
    <row r="2171" spans="1:10" x14ac:dyDescent="0.2">
      <c r="A2171" s="2">
        <v>2163</v>
      </c>
      <c r="B2171" s="14">
        <f>A2171*Assumptions!$B$12</f>
        <v>21.63</v>
      </c>
      <c r="C2171" s="15">
        <f>IF(A2171&lt;=Assumptions!$B$13,IF(OR(A2171=0,A2171=Assumptions!$B$13),0.5,1),0)*Assumptions!$B$12</f>
        <v>0</v>
      </c>
      <c r="D2171" s="12">
        <f>D2170*(1-Assumptions!$B$12*(Assumptions!$B$5+Assumptions!$B$6))</f>
        <v>0.52256946611838273</v>
      </c>
      <c r="E2171" s="12">
        <f>E2170+Assumptions!$B$12*(D2170*Assumptions!$B$5-E2170*Assumptions!$B$7)</f>
        <v>0.18357465059457168</v>
      </c>
      <c r="F2171" s="12">
        <f t="shared" si="99"/>
        <v>0.29385588328704559</v>
      </c>
      <c r="G2171" s="12">
        <f>EXP(-Assumptions!$B$8*B2171)</f>
        <v>0.33908651421048724</v>
      </c>
      <c r="H2171" s="12">
        <f t="shared" si="100"/>
        <v>0.17719625869891772</v>
      </c>
      <c r="I2171" s="12">
        <f t="shared" si="101"/>
        <v>6.224768836752146E-2</v>
      </c>
      <c r="J2171" s="12">
        <f>G2171*(D2171*Assumptions!$B$6+E2171*Assumptions!$B$7)</f>
        <v>4.8843470053652506E-3</v>
      </c>
    </row>
    <row r="2172" spans="1:10" x14ac:dyDescent="0.2">
      <c r="A2172" s="2">
        <v>2164</v>
      </c>
      <c r="B2172" s="14">
        <f>A2172*Assumptions!$B$12</f>
        <v>21.64</v>
      </c>
      <c r="C2172" s="15">
        <f>IF(A2172&lt;=Assumptions!$B$13,IF(OR(A2172=0,A2172=Assumptions!$B$13),0.5,1),0)*Assumptions!$B$12</f>
        <v>0</v>
      </c>
      <c r="D2172" s="12">
        <f>D2171*(1-Assumptions!$B$12*(Assumptions!$B$5+Assumptions!$B$6))</f>
        <v>0.52241269527854728</v>
      </c>
      <c r="E2172" s="12">
        <f>E2171+Assumptions!$B$12*(D2171*Assumptions!$B$5-E2171*Assumptions!$B$7)</f>
        <v>0.18358737716249807</v>
      </c>
      <c r="F2172" s="12">
        <f t="shared" si="99"/>
        <v>0.29399992755895465</v>
      </c>
      <c r="G2172" s="12">
        <f>EXP(-Assumptions!$B$8*B2172)</f>
        <v>0.33891701333213281</v>
      </c>
      <c r="H2172" s="12">
        <f t="shared" si="100"/>
        <v>0.17705455041059484</v>
      </c>
      <c r="I2172" s="12">
        <f t="shared" si="101"/>
        <v>6.2220885553393654E-2</v>
      </c>
      <c r="J2172" s="12">
        <f>G2172*(D2172*Assumptions!$B$6+E2172*Assumptions!$B$7)</f>
        <v>4.8815897817756308E-3</v>
      </c>
    </row>
    <row r="2173" spans="1:10" x14ac:dyDescent="0.2">
      <c r="A2173" s="2">
        <v>2165</v>
      </c>
      <c r="B2173" s="14">
        <f>A2173*Assumptions!$B$12</f>
        <v>21.650000000000002</v>
      </c>
      <c r="C2173" s="15">
        <f>IF(A2173&lt;=Assumptions!$B$13,IF(OR(A2173=0,A2173=Assumptions!$B$13),0.5,1),0)*Assumptions!$B$12</f>
        <v>0</v>
      </c>
      <c r="D2173" s="12">
        <f>D2172*(1-Assumptions!$B$12*(Assumptions!$B$5+Assumptions!$B$6))</f>
        <v>0.52225597146996372</v>
      </c>
      <c r="E2173" s="12">
        <f>E2172+Assumptions!$B$12*(D2172*Assumptions!$B$5-E2172*Assumptions!$B$7)</f>
        <v>0.18360006601297252</v>
      </c>
      <c r="F2173" s="12">
        <f t="shared" si="99"/>
        <v>0.29414396251706376</v>
      </c>
      <c r="G2173" s="12">
        <f>EXP(-Assumptions!$B$8*B2173)</f>
        <v>0.33874759718303349</v>
      </c>
      <c r="H2173" s="12">
        <f t="shared" si="100"/>
        <v>0.1769129554499411</v>
      </c>
      <c r="I2173" s="12">
        <f t="shared" si="101"/>
        <v>6.2194081204540771E-2</v>
      </c>
      <c r="J2173" s="12">
        <f>G2173*(D2173*Assumptions!$B$6+E2173*Assumptions!$B$7)</f>
        <v>4.8788336147264503E-3</v>
      </c>
    </row>
    <row r="2174" spans="1:10" x14ac:dyDescent="0.2">
      <c r="A2174" s="2">
        <v>2166</v>
      </c>
      <c r="B2174" s="14">
        <f>A2174*Assumptions!$B$12</f>
        <v>21.66</v>
      </c>
      <c r="C2174" s="15">
        <f>IF(A2174&lt;=Assumptions!$B$13,IF(OR(A2174=0,A2174=Assumptions!$B$13),0.5,1),0)*Assumptions!$B$12</f>
        <v>0</v>
      </c>
      <c r="D2174" s="12">
        <f>D2173*(1-Assumptions!$B$12*(Assumptions!$B$5+Assumptions!$B$6))</f>
        <v>0.52209929467852279</v>
      </c>
      <c r="E2174" s="12">
        <f>E2173+Assumptions!$B$12*(D2173*Assumptions!$B$5-E2173*Assumptions!$B$7)</f>
        <v>0.18361271717426003</v>
      </c>
      <c r="F2174" s="12">
        <f t="shared" si="99"/>
        <v>0.29428798814721718</v>
      </c>
      <c r="G2174" s="12">
        <f>EXP(-Assumptions!$B$8*B2174)</f>
        <v>0.33857826572083533</v>
      </c>
      <c r="H2174" s="12">
        <f t="shared" si="100"/>
        <v>0.1767714737263256</v>
      </c>
      <c r="I2174" s="12">
        <f t="shared" si="101"/>
        <v>6.21672753451512E-2</v>
      </c>
      <c r="J2174" s="12">
        <f>G2174*(D2174*Assumptions!$B$6+E2174*Assumptions!$B$7)</f>
        <v>4.8760785045208165E-3</v>
      </c>
    </row>
    <row r="2175" spans="1:10" x14ac:dyDescent="0.2">
      <c r="A2175" s="2">
        <v>2167</v>
      </c>
      <c r="B2175" s="14">
        <f>A2175*Assumptions!$B$12</f>
        <v>21.67</v>
      </c>
      <c r="C2175" s="15">
        <f>IF(A2175&lt;=Assumptions!$B$13,IF(OR(A2175=0,A2175=Assumptions!$B$13),0.5,1),0)*Assumptions!$B$12</f>
        <v>0</v>
      </c>
      <c r="D2175" s="12">
        <f>D2174*(1-Assumptions!$B$12*(Assumptions!$B$5+Assumptions!$B$6))</f>
        <v>0.5219426648901192</v>
      </c>
      <c r="E2175" s="12">
        <f>E2174+Assumptions!$B$12*(D2174*Assumptions!$B$5-E2174*Assumptions!$B$7)</f>
        <v>0.18362533067460859</v>
      </c>
      <c r="F2175" s="12">
        <f t="shared" si="99"/>
        <v>0.29443200443527218</v>
      </c>
      <c r="G2175" s="12">
        <f>EXP(-Assumptions!$B$8*B2175)</f>
        <v>0.33840901890320524</v>
      </c>
      <c r="H2175" s="12">
        <f t="shared" si="100"/>
        <v>0.17663010514918967</v>
      </c>
      <c r="I2175" s="12">
        <f t="shared" si="101"/>
        <v>6.2140467999370931E-2</v>
      </c>
      <c r="J2175" s="12">
        <f>G2175*(D2175*Assumptions!$B$6+E2175*Assumptions!$B$7)</f>
        <v>4.8733244514604437E-3</v>
      </c>
    </row>
    <row r="2176" spans="1:10" x14ac:dyDescent="0.2">
      <c r="A2176" s="2">
        <v>2168</v>
      </c>
      <c r="B2176" s="14">
        <f>A2176*Assumptions!$B$12</f>
        <v>21.68</v>
      </c>
      <c r="C2176" s="15">
        <f>IF(A2176&lt;=Assumptions!$B$13,IF(OR(A2176=0,A2176=Assumptions!$B$13),0.5,1),0)*Assumptions!$B$12</f>
        <v>0</v>
      </c>
      <c r="D2176" s="12">
        <f>D2175*(1-Assumptions!$B$12*(Assumptions!$B$5+Assumptions!$B$6))</f>
        <v>0.52178608209065214</v>
      </c>
      <c r="E2176" s="12">
        <f>E2175+Assumptions!$B$12*(D2175*Assumptions!$B$5-E2175*Assumptions!$B$7)</f>
        <v>0.18363790654224932</v>
      </c>
      <c r="F2176" s="12">
        <f t="shared" si="99"/>
        <v>0.29457601136709854</v>
      </c>
      <c r="G2176" s="12">
        <f>EXP(-Assumptions!$B$8*B2176)</f>
        <v>0.33823985668783169</v>
      </c>
      <c r="H2176" s="12">
        <f t="shared" si="100"/>
        <v>0.17648884962804737</v>
      </c>
      <c r="I2176" s="12">
        <f t="shared" si="101"/>
        <v>6.2113659191303836E-2</v>
      </c>
      <c r="J2176" s="12">
        <f>G2176*(D2176*Assumptions!$B$6+E2176*Assumptions!$B$7)</f>
        <v>4.8705714558456657E-3</v>
      </c>
    </row>
    <row r="2177" spans="1:10" x14ac:dyDescent="0.2">
      <c r="A2177" s="2">
        <v>2169</v>
      </c>
      <c r="B2177" s="14">
        <f>A2177*Assumptions!$B$12</f>
        <v>21.69</v>
      </c>
      <c r="C2177" s="15">
        <f>IF(A2177&lt;=Assumptions!$B$13,IF(OR(A2177=0,A2177=Assumptions!$B$13),0.5,1),0)*Assumptions!$B$12</f>
        <v>0</v>
      </c>
      <c r="D2177" s="12">
        <f>D2176*(1-Assumptions!$B$12*(Assumptions!$B$5+Assumptions!$B$6))</f>
        <v>0.52162954626602498</v>
      </c>
      <c r="E2177" s="12">
        <f>E2176+Assumptions!$B$12*(D2176*Assumptions!$B$5-E2176*Assumptions!$B$7)</f>
        <v>0.18365044480539633</v>
      </c>
      <c r="F2177" s="12">
        <f t="shared" si="99"/>
        <v>0.29472000892857869</v>
      </c>
      <c r="G2177" s="12">
        <f>EXP(-Assumptions!$B$8*B2177)</f>
        <v>0.33807077903242411</v>
      </c>
      <c r="H2177" s="12">
        <f t="shared" si="100"/>
        <v>0.17634770707248498</v>
      </c>
      <c r="I2177" s="12">
        <f t="shared" si="101"/>
        <v>6.2086848945011541E-2</v>
      </c>
      <c r="J2177" s="12">
        <f>G2177*(D2177*Assumptions!$B$6+E2177*Assumptions!$B$7)</f>
        <v>4.8678195179754271E-3</v>
      </c>
    </row>
    <row r="2178" spans="1:10" x14ac:dyDescent="0.2">
      <c r="A2178" s="2">
        <v>2170</v>
      </c>
      <c r="B2178" s="14">
        <f>A2178*Assumptions!$B$12</f>
        <v>21.7</v>
      </c>
      <c r="C2178" s="15">
        <f>IF(A2178&lt;=Assumptions!$B$13,IF(OR(A2178=0,A2178=Assumptions!$B$13),0.5,1),0)*Assumptions!$B$12</f>
        <v>0</v>
      </c>
      <c r="D2178" s="12">
        <f>D2177*(1-Assumptions!$B$12*(Assumptions!$B$5+Assumptions!$B$6))</f>
        <v>0.52147305740214522</v>
      </c>
      <c r="E2178" s="12">
        <f>E2177+Assumptions!$B$12*(D2177*Assumptions!$B$5-E2177*Assumptions!$B$7)</f>
        <v>0.18366294549224685</v>
      </c>
      <c r="F2178" s="12">
        <f t="shared" si="99"/>
        <v>0.29486399710560796</v>
      </c>
      <c r="G2178" s="12">
        <f>EXP(-Assumptions!$B$8*B2178)</f>
        <v>0.33790178589471304</v>
      </c>
      <c r="H2178" s="12">
        <f t="shared" si="100"/>
        <v>0.17620667739216109</v>
      </c>
      <c r="I2178" s="12">
        <f t="shared" si="101"/>
        <v>6.2060037284513543E-2</v>
      </c>
      <c r="J2178" s="12">
        <f>G2178*(D2178*Assumptions!$B$6+E2178*Assumptions!$B$7)</f>
        <v>4.8650686381472878E-3</v>
      </c>
    </row>
    <row r="2179" spans="1:10" x14ac:dyDescent="0.2">
      <c r="A2179" s="2">
        <v>2171</v>
      </c>
      <c r="B2179" s="14">
        <f>A2179*Assumptions!$B$12</f>
        <v>21.71</v>
      </c>
      <c r="C2179" s="15">
        <f>IF(A2179&lt;=Assumptions!$B$13,IF(OR(A2179=0,A2179=Assumptions!$B$13),0.5,1),0)*Assumptions!$B$12</f>
        <v>0</v>
      </c>
      <c r="D2179" s="12">
        <f>D2178*(1-Assumptions!$B$12*(Assumptions!$B$5+Assumptions!$B$6))</f>
        <v>0.52131661548492458</v>
      </c>
      <c r="E2179" s="12">
        <f>E2178+Assumptions!$B$12*(D2178*Assumptions!$B$5-E2178*Assumptions!$B$7)</f>
        <v>0.18367540863098114</v>
      </c>
      <c r="F2179" s="12">
        <f t="shared" si="99"/>
        <v>0.29500797588409428</v>
      </c>
      <c r="G2179" s="12">
        <f>EXP(-Assumptions!$B$8*B2179)</f>
        <v>0.3377328772324501</v>
      </c>
      <c r="H2179" s="12">
        <f t="shared" si="100"/>
        <v>0.17606576049680642</v>
      </c>
      <c r="I2179" s="12">
        <f t="shared" si="101"/>
        <v>6.2033224233787258E-2</v>
      </c>
      <c r="J2179" s="12">
        <f>G2179*(D2179*Assumptions!$B$6+E2179*Assumptions!$B$7)</f>
        <v>4.8623188166574275E-3</v>
      </c>
    </row>
    <row r="2180" spans="1:10" x14ac:dyDescent="0.2">
      <c r="A2180" s="2">
        <v>2172</v>
      </c>
      <c r="B2180" s="14">
        <f>A2180*Assumptions!$B$12</f>
        <v>21.72</v>
      </c>
      <c r="C2180" s="15">
        <f>IF(A2180&lt;=Assumptions!$B$13,IF(OR(A2180=0,A2180=Assumptions!$B$13),0.5,1),0)*Assumptions!$B$12</f>
        <v>0</v>
      </c>
      <c r="D2180" s="12">
        <f>D2179*(1-Assumptions!$B$12*(Assumptions!$B$5+Assumptions!$B$6))</f>
        <v>0.5211602205002791</v>
      </c>
      <c r="E2180" s="12">
        <f>E2179+Assumptions!$B$12*(D2179*Assumptions!$B$5-E2179*Assumptions!$B$7)</f>
        <v>0.18368783424976262</v>
      </c>
      <c r="F2180" s="12">
        <f t="shared" si="99"/>
        <v>0.29515194524995825</v>
      </c>
      <c r="G2180" s="12">
        <f>EXP(-Assumptions!$B$8*B2180)</f>
        <v>0.33756405300340836</v>
      </c>
      <c r="H2180" s="12">
        <f t="shared" si="100"/>
        <v>0.17592495629622421</v>
      </c>
      <c r="I2180" s="12">
        <f t="shared" si="101"/>
        <v>6.2006409816768158E-2</v>
      </c>
      <c r="J2180" s="12">
        <f>G2180*(D2180*Assumptions!$B$6+E2180*Assumptions!$B$7)</f>
        <v>4.8595700538006503E-3</v>
      </c>
    </row>
    <row r="2181" spans="1:10" x14ac:dyDescent="0.2">
      <c r="A2181" s="2">
        <v>2173</v>
      </c>
      <c r="B2181" s="14">
        <f>A2181*Assumptions!$B$12</f>
        <v>21.73</v>
      </c>
      <c r="C2181" s="15">
        <f>IF(A2181&lt;=Assumptions!$B$13,IF(OR(A2181=0,A2181=Assumptions!$B$13),0.5,1),0)*Assumptions!$B$12</f>
        <v>0</v>
      </c>
      <c r="D2181" s="12">
        <f>D2180*(1-Assumptions!$B$12*(Assumptions!$B$5+Assumptions!$B$6))</f>
        <v>0.52100387243412905</v>
      </c>
      <c r="E2181" s="12">
        <f>E2180+Assumptions!$B$12*(D2180*Assumptions!$B$5-E2180*Assumptions!$B$7)</f>
        <v>0.1837002223767378</v>
      </c>
      <c r="F2181" s="12">
        <f t="shared" si="99"/>
        <v>0.29529590518913318</v>
      </c>
      <c r="G2181" s="12">
        <f>EXP(-Assumptions!$B$8*B2181)</f>
        <v>0.33739531316538157</v>
      </c>
      <c r="H2181" s="12">
        <f t="shared" si="100"/>
        <v>0.17578426470028949</v>
      </c>
      <c r="I2181" s="12">
        <f t="shared" si="101"/>
        <v>6.1979594057349686E-2</v>
      </c>
      <c r="J2181" s="12">
        <f>G2181*(D2181*Assumptions!$B$6+E2181*Assumptions!$B$7)</f>
        <v>4.8568223498703786E-3</v>
      </c>
    </row>
    <row r="2182" spans="1:10" x14ac:dyDescent="0.2">
      <c r="A2182" s="2">
        <v>2174</v>
      </c>
      <c r="B2182" s="14">
        <f>A2182*Assumptions!$B$12</f>
        <v>21.740000000000002</v>
      </c>
      <c r="C2182" s="15">
        <f>IF(A2182&lt;=Assumptions!$B$13,IF(OR(A2182=0,A2182=Assumptions!$B$13),0.5,1),0)*Assumptions!$B$12</f>
        <v>0</v>
      </c>
      <c r="D2182" s="12">
        <f>D2181*(1-Assumptions!$B$12*(Assumptions!$B$5+Assumptions!$B$6))</f>
        <v>0.52084757127239878</v>
      </c>
      <c r="E2182" s="12">
        <f>E2181+Assumptions!$B$12*(D2181*Assumptions!$B$5-E2181*Assumptions!$B$7)</f>
        <v>0.18371257304003627</v>
      </c>
      <c r="F2182" s="12">
        <f t="shared" si="99"/>
        <v>0.29543985568756492</v>
      </c>
      <c r="G2182" s="12">
        <f>EXP(-Assumptions!$B$8*B2182)</f>
        <v>0.33722665767618482</v>
      </c>
      <c r="H2182" s="12">
        <f t="shared" si="100"/>
        <v>0.1756436856189495</v>
      </c>
      <c r="I2182" s="12">
        <f t="shared" si="101"/>
        <v>6.1952776979383409E-2</v>
      </c>
      <c r="J2182" s="12">
        <f>G2182*(D2182*Assumptions!$B$6+E2182*Assumptions!$B$7)</f>
        <v>4.8540757051586652E-3</v>
      </c>
    </row>
    <row r="2183" spans="1:10" x14ac:dyDescent="0.2">
      <c r="A2183" s="2">
        <v>2175</v>
      </c>
      <c r="B2183" s="14">
        <f>A2183*Assumptions!$B$12</f>
        <v>21.75</v>
      </c>
      <c r="C2183" s="15">
        <f>IF(A2183&lt;=Assumptions!$B$13,IF(OR(A2183=0,A2183=Assumptions!$B$13),0.5,1),0)*Assumptions!$B$12</f>
        <v>0</v>
      </c>
      <c r="D2183" s="12">
        <f>D2182*(1-Assumptions!$B$12*(Assumptions!$B$5+Assumptions!$B$6))</f>
        <v>0.52069131700101712</v>
      </c>
      <c r="E2183" s="12">
        <f>E2182+Assumptions!$B$12*(D2182*Assumptions!$B$5-E2182*Assumptions!$B$7)</f>
        <v>0.18372488626777073</v>
      </c>
      <c r="F2183" s="12">
        <f t="shared" si="99"/>
        <v>0.29558379673121216</v>
      </c>
      <c r="G2183" s="12">
        <f>EXP(-Assumptions!$B$8*B2183)</f>
        <v>0.33705808649365426</v>
      </c>
      <c r="H2183" s="12">
        <f t="shared" si="100"/>
        <v>0.17550321896222357</v>
      </c>
      <c r="I2183" s="12">
        <f t="shared" si="101"/>
        <v>6.1925958606679057E-2</v>
      </c>
      <c r="J2183" s="12">
        <f>G2183*(D2183*Assumptions!$B$6+E2183*Assumptions!$B$7)</f>
        <v>4.8513301199561891E-3</v>
      </c>
    </row>
    <row r="2184" spans="1:10" x14ac:dyDescent="0.2">
      <c r="A2184" s="2">
        <v>2176</v>
      </c>
      <c r="B2184" s="14">
        <f>A2184*Assumptions!$B$12</f>
        <v>21.76</v>
      </c>
      <c r="C2184" s="15">
        <f>IF(A2184&lt;=Assumptions!$B$13,IF(OR(A2184=0,A2184=Assumptions!$B$13),0.5,1),0)*Assumptions!$B$12</f>
        <v>0</v>
      </c>
      <c r="D2184" s="12">
        <f>D2183*(1-Assumptions!$B$12*(Assumptions!$B$5+Assumptions!$B$6))</f>
        <v>0.52053510960591687</v>
      </c>
      <c r="E2184" s="12">
        <f>E2183+Assumptions!$B$12*(D2183*Assumptions!$B$5-E2183*Assumptions!$B$7)</f>
        <v>0.18373716208803703</v>
      </c>
      <c r="F2184" s="12">
        <f t="shared" ref="F2184:F2247" si="102">1-D2184-E2184</f>
        <v>0.2957277283060461</v>
      </c>
      <c r="G2184" s="12">
        <f>EXP(-Assumptions!$B$8*B2184)</f>
        <v>0.33688959957564707</v>
      </c>
      <c r="H2184" s="12">
        <f t="shared" ref="H2184:H2247" si="103">G2184*D2184</f>
        <v>0.1753628646402029</v>
      </c>
      <c r="I2184" s="12">
        <f t="shared" ref="I2184:I2247" si="104">G2184*E2184</f>
        <v>6.1899138963004557E-2</v>
      </c>
      <c r="J2184" s="12">
        <f>G2184*(D2184*Assumptions!$B$6+E2184*Assumptions!$B$7)</f>
        <v>4.8485855945522571E-3</v>
      </c>
    </row>
    <row r="2185" spans="1:10" x14ac:dyDescent="0.2">
      <c r="A2185" s="2">
        <v>2177</v>
      </c>
      <c r="B2185" s="14">
        <f>A2185*Assumptions!$B$12</f>
        <v>21.77</v>
      </c>
      <c r="C2185" s="15">
        <f>IF(A2185&lt;=Assumptions!$B$13,IF(OR(A2185=0,A2185=Assumptions!$B$13),0.5,1),0)*Assumptions!$B$12</f>
        <v>0</v>
      </c>
      <c r="D2185" s="12">
        <f>D2184*(1-Assumptions!$B$12*(Assumptions!$B$5+Assumptions!$B$6))</f>
        <v>0.52037894907303506</v>
      </c>
      <c r="E2185" s="12">
        <f>E2184+Assumptions!$B$12*(D2184*Assumptions!$B$5-E2184*Assumptions!$B$7)</f>
        <v>0.1837494005289142</v>
      </c>
      <c r="F2185" s="12">
        <f t="shared" si="102"/>
        <v>0.29587165039805075</v>
      </c>
      <c r="G2185" s="12">
        <f>EXP(-Assumptions!$B$8*B2185)</f>
        <v>0.3367211968800416</v>
      </c>
      <c r="H2185" s="12">
        <f t="shared" si="103"/>
        <v>0.17522262256305057</v>
      </c>
      <c r="I2185" s="12">
        <f t="shared" si="104"/>
        <v>6.1872318072086138E-2</v>
      </c>
      <c r="J2185" s="12">
        <f>G2185*(D2185*Assumptions!$B$6+E2185*Assumptions!$B$7)</f>
        <v>4.8458421292348125E-3</v>
      </c>
    </row>
    <row r="2186" spans="1:10" x14ac:dyDescent="0.2">
      <c r="A2186" s="2">
        <v>2178</v>
      </c>
      <c r="B2186" s="14">
        <f>A2186*Assumptions!$B$12</f>
        <v>21.78</v>
      </c>
      <c r="C2186" s="15">
        <f>IF(A2186&lt;=Assumptions!$B$13,IF(OR(A2186=0,A2186=Assumptions!$B$13),0.5,1),0)*Assumptions!$B$12</f>
        <v>0</v>
      </c>
      <c r="D2186" s="12">
        <f>D2185*(1-Assumptions!$B$12*(Assumptions!$B$5+Assumptions!$B$6))</f>
        <v>0.52022283538831315</v>
      </c>
      <c r="E2186" s="12">
        <f>E2185+Assumptions!$B$12*(D2185*Assumptions!$B$5-E2185*Assumptions!$B$7)</f>
        <v>0.18376160161846436</v>
      </c>
      <c r="F2186" s="12">
        <f t="shared" si="102"/>
        <v>0.29601556299322251</v>
      </c>
      <c r="G2186" s="12">
        <f>EXP(-Assumptions!$B$8*B2186)</f>
        <v>0.33655287836473696</v>
      </c>
      <c r="H2186" s="12">
        <f t="shared" si="103"/>
        <v>0.17508249264100154</v>
      </c>
      <c r="I2186" s="12">
        <f t="shared" si="104"/>
        <v>6.1845495957608285E-2</v>
      </c>
      <c r="J2186" s="12">
        <f>G2186*(D2186*Assumptions!$B$6+E2186*Assumptions!$B$7)</f>
        <v>4.8430997242904306E-3</v>
      </c>
    </row>
    <row r="2187" spans="1:10" x14ac:dyDescent="0.2">
      <c r="A2187" s="2">
        <v>2179</v>
      </c>
      <c r="B2187" s="14">
        <f>A2187*Assumptions!$B$12</f>
        <v>21.79</v>
      </c>
      <c r="C2187" s="15">
        <f>IF(A2187&lt;=Assumptions!$B$13,IF(OR(A2187=0,A2187=Assumptions!$B$13),0.5,1),0)*Assumptions!$B$12</f>
        <v>0</v>
      </c>
      <c r="D2187" s="12">
        <f>D2186*(1-Assumptions!$B$12*(Assumptions!$B$5+Assumptions!$B$6))</f>
        <v>0.52006676853769662</v>
      </c>
      <c r="E2187" s="12">
        <f>E2186+Assumptions!$B$12*(D2186*Assumptions!$B$5-E2186*Assumptions!$B$7)</f>
        <v>0.18377376538473278</v>
      </c>
      <c r="F2187" s="12">
        <f t="shared" si="102"/>
        <v>0.2961594660775706</v>
      </c>
      <c r="G2187" s="12">
        <f>EXP(-Assumptions!$B$8*B2187)</f>
        <v>0.33638464398765383</v>
      </c>
      <c r="H2187" s="12">
        <f t="shared" si="103"/>
        <v>0.17494247478436264</v>
      </c>
      <c r="I2187" s="12">
        <f t="shared" si="104"/>
        <v>6.1818672643213959E-2</v>
      </c>
      <c r="J2187" s="12">
        <f>G2187*(D2187*Assumptions!$B$6+E2187*Assumptions!$B$7)</f>
        <v>4.8403583800043243E-3</v>
      </c>
    </row>
    <row r="2188" spans="1:10" x14ac:dyDescent="0.2">
      <c r="A2188" s="2">
        <v>2180</v>
      </c>
      <c r="B2188" s="14">
        <f>A2188*Assumptions!$B$12</f>
        <v>21.8</v>
      </c>
      <c r="C2188" s="15">
        <f>IF(A2188&lt;=Assumptions!$B$13,IF(OR(A2188=0,A2188=Assumptions!$B$13),0.5,1),0)*Assumptions!$B$12</f>
        <v>0</v>
      </c>
      <c r="D2188" s="12">
        <f>D2187*(1-Assumptions!$B$12*(Assumptions!$B$5+Assumptions!$B$6))</f>
        <v>0.51991074850713537</v>
      </c>
      <c r="E2188" s="12">
        <f>E2187+Assumptions!$B$12*(D2187*Assumptions!$B$5-E2187*Assumptions!$B$7)</f>
        <v>0.18378589185574795</v>
      </c>
      <c r="F2188" s="12">
        <f t="shared" si="102"/>
        <v>0.29630335963711668</v>
      </c>
      <c r="G2188" s="12">
        <f>EXP(-Assumptions!$B$8*B2188)</f>
        <v>0.33621649370673334</v>
      </c>
      <c r="H2188" s="12">
        <f t="shared" si="103"/>
        <v>0.17480256890351231</v>
      </c>
      <c r="I2188" s="12">
        <f t="shared" si="104"/>
        <v>6.1791848152504457E-2</v>
      </c>
      <c r="J2188" s="12">
        <f>G2188*(D2188*Assumptions!$B$6+E2188*Assumptions!$B$7)</f>
        <v>4.8376180966603465E-3</v>
      </c>
    </row>
    <row r="2189" spans="1:10" x14ac:dyDescent="0.2">
      <c r="A2189" s="2">
        <v>2181</v>
      </c>
      <c r="B2189" s="14">
        <f>A2189*Assumptions!$B$12</f>
        <v>21.81</v>
      </c>
      <c r="C2189" s="15">
        <f>IF(A2189&lt;=Assumptions!$B$13,IF(OR(A2189=0,A2189=Assumptions!$B$13),0.5,1),0)*Assumptions!$B$12</f>
        <v>0</v>
      </c>
      <c r="D2189" s="12">
        <f>D2188*(1-Assumptions!$B$12*(Assumptions!$B$5+Assumptions!$B$6))</f>
        <v>0.51975477528258329</v>
      </c>
      <c r="E2189" s="12">
        <f>E2188+Assumptions!$B$12*(D2188*Assumptions!$B$5-E2188*Assumptions!$B$7)</f>
        <v>0.1837979810595215</v>
      </c>
      <c r="F2189" s="12">
        <f t="shared" si="102"/>
        <v>0.29644724365789521</v>
      </c>
      <c r="G2189" s="12">
        <f>EXP(-Assumptions!$B$8*B2189)</f>
        <v>0.33604842747993807</v>
      </c>
      <c r="H2189" s="12">
        <f t="shared" si="103"/>
        <v>0.1746627749089007</v>
      </c>
      <c r="I2189" s="12">
        <f t="shared" si="104"/>
        <v>6.176502250903964E-2</v>
      </c>
      <c r="J2189" s="12">
        <f>G2189*(D2189*Assumptions!$B$6+E2189*Assumptions!$B$7)</f>
        <v>4.834878874540989E-3</v>
      </c>
    </row>
    <row r="2190" spans="1:10" x14ac:dyDescent="0.2">
      <c r="A2190" s="2">
        <v>2182</v>
      </c>
      <c r="B2190" s="14">
        <f>A2190*Assumptions!$B$12</f>
        <v>21.82</v>
      </c>
      <c r="C2190" s="15">
        <f>IF(A2190&lt;=Assumptions!$B$13,IF(OR(A2190=0,A2190=Assumptions!$B$13),0.5,1),0)*Assumptions!$B$12</f>
        <v>0</v>
      </c>
      <c r="D2190" s="12">
        <f>D2189*(1-Assumptions!$B$12*(Assumptions!$B$5+Assumptions!$B$6))</f>
        <v>0.51959884884999852</v>
      </c>
      <c r="E2190" s="12">
        <f>E2189+Assumptions!$B$12*(D2189*Assumptions!$B$5-E2189*Assumptions!$B$7)</f>
        <v>0.18381003302404825</v>
      </c>
      <c r="F2190" s="12">
        <f t="shared" si="102"/>
        <v>0.29659111812595323</v>
      </c>
      <c r="G2190" s="12">
        <f>EXP(-Assumptions!$B$8*B2190)</f>
        <v>0.3358804452652514</v>
      </c>
      <c r="H2190" s="12">
        <f t="shared" si="103"/>
        <v>0.17452309271104957</v>
      </c>
      <c r="I2190" s="12">
        <f t="shared" si="104"/>
        <v>6.1738195736337889E-2</v>
      </c>
      <c r="J2190" s="12">
        <f>G2190*(D2190*Assumptions!$B$6+E2190*Assumptions!$B$7)</f>
        <v>4.8321407139273907E-3</v>
      </c>
    </row>
    <row r="2191" spans="1:10" x14ac:dyDescent="0.2">
      <c r="A2191" s="2">
        <v>2183</v>
      </c>
      <c r="B2191" s="14">
        <f>A2191*Assumptions!$B$12</f>
        <v>21.830000000000002</v>
      </c>
      <c r="C2191" s="15">
        <f>IF(A2191&lt;=Assumptions!$B$13,IF(OR(A2191=0,A2191=Assumptions!$B$13),0.5,1),0)*Assumptions!$B$12</f>
        <v>0</v>
      </c>
      <c r="D2191" s="12">
        <f>D2190*(1-Assumptions!$B$12*(Assumptions!$B$5+Assumptions!$B$6))</f>
        <v>0.5194429691953435</v>
      </c>
      <c r="E2191" s="12">
        <f>E2190+Assumptions!$B$12*(D2190*Assumptions!$B$5-E2190*Assumptions!$B$7)</f>
        <v>0.18382204777730624</v>
      </c>
      <c r="F2191" s="12">
        <f t="shared" si="102"/>
        <v>0.29673498302735024</v>
      </c>
      <c r="G2191" s="12">
        <f>EXP(-Assumptions!$B$8*B2191)</f>
        <v>0.33571254702067777</v>
      </c>
      <c r="H2191" s="12">
        <f t="shared" si="103"/>
        <v>0.17438352222055223</v>
      </c>
      <c r="I2191" s="12">
        <f t="shared" si="104"/>
        <v>6.1711367857876197E-2</v>
      </c>
      <c r="J2191" s="12">
        <f>G2191*(D2191*Assumptions!$B$6+E2191*Assumptions!$B$7)</f>
        <v>4.8294036150993321E-3</v>
      </c>
    </row>
    <row r="2192" spans="1:10" x14ac:dyDescent="0.2">
      <c r="A2192" s="2">
        <v>2184</v>
      </c>
      <c r="B2192" s="14">
        <f>A2192*Assumptions!$B$12</f>
        <v>21.84</v>
      </c>
      <c r="C2192" s="15">
        <f>IF(A2192&lt;=Assumptions!$B$13,IF(OR(A2192=0,A2192=Assumptions!$B$13),0.5,1),0)*Assumptions!$B$12</f>
        <v>0</v>
      </c>
      <c r="D2192" s="12">
        <f>D2191*(1-Assumptions!$B$12*(Assumptions!$B$5+Assumptions!$B$6))</f>
        <v>0.5192871363045849</v>
      </c>
      <c r="E2192" s="12">
        <f>E2191+Assumptions!$B$12*(D2191*Assumptions!$B$5-E2191*Assumptions!$B$7)</f>
        <v>0.18383402534725665</v>
      </c>
      <c r="F2192" s="12">
        <f t="shared" si="102"/>
        <v>0.29687883834815842</v>
      </c>
      <c r="G2192" s="12">
        <f>EXP(-Assumptions!$B$8*B2192)</f>
        <v>0.33554473270424268</v>
      </c>
      <c r="H2192" s="12">
        <f t="shared" si="103"/>
        <v>0.17424406334807357</v>
      </c>
      <c r="I2192" s="12">
        <f t="shared" si="104"/>
        <v>6.1684538897090205E-2</v>
      </c>
      <c r="J2192" s="12">
        <f>G2192*(D2192*Assumptions!$B$6+E2192*Assumptions!$B$7)</f>
        <v>4.8266675783352458E-3</v>
      </c>
    </row>
    <row r="2193" spans="1:10" x14ac:dyDescent="0.2">
      <c r="A2193" s="2">
        <v>2185</v>
      </c>
      <c r="B2193" s="14">
        <f>A2193*Assumptions!$B$12</f>
        <v>21.85</v>
      </c>
      <c r="C2193" s="15">
        <f>IF(A2193&lt;=Assumptions!$B$13,IF(OR(A2193=0,A2193=Assumptions!$B$13),0.5,1),0)*Assumptions!$B$12</f>
        <v>0</v>
      </c>
      <c r="D2193" s="12">
        <f>D2192*(1-Assumptions!$B$12*(Assumptions!$B$5+Assumptions!$B$6))</f>
        <v>0.51913135016369349</v>
      </c>
      <c r="E2193" s="12">
        <f>E2192+Assumptions!$B$12*(D2192*Assumptions!$B$5-E2192*Assumptions!$B$7)</f>
        <v>0.18384596576184395</v>
      </c>
      <c r="F2193" s="12">
        <f t="shared" si="102"/>
        <v>0.29702268407446253</v>
      </c>
      <c r="G2193" s="12">
        <f>EXP(-Assumptions!$B$8*B2193)</f>
        <v>0.33537700227399247</v>
      </c>
      <c r="H2193" s="12">
        <f t="shared" si="103"/>
        <v>0.17410471600434982</v>
      </c>
      <c r="I2193" s="12">
        <f t="shared" si="104"/>
        <v>6.1657708877374283E-2</v>
      </c>
      <c r="J2193" s="12">
        <f>G2193*(D2193*Assumptions!$B$6+E2193*Assumptions!$B$7)</f>
        <v>4.8239326039122123E-3</v>
      </c>
    </row>
    <row r="2194" spans="1:10" x14ac:dyDescent="0.2">
      <c r="A2194" s="2">
        <v>2186</v>
      </c>
      <c r="B2194" s="14">
        <f>A2194*Assumptions!$B$12</f>
        <v>21.86</v>
      </c>
      <c r="C2194" s="15">
        <f>IF(A2194&lt;=Assumptions!$B$13,IF(OR(A2194=0,A2194=Assumptions!$B$13),0.5,1),0)*Assumptions!$B$12</f>
        <v>0</v>
      </c>
      <c r="D2194" s="12">
        <f>D2193*(1-Assumptions!$B$12*(Assumptions!$B$5+Assumptions!$B$6))</f>
        <v>0.5189756107586444</v>
      </c>
      <c r="E2194" s="12">
        <f>E2193+Assumptions!$B$12*(D2193*Assumptions!$B$5-E2193*Assumptions!$B$7)</f>
        <v>0.18385786904899576</v>
      </c>
      <c r="F2194" s="12">
        <f t="shared" si="102"/>
        <v>0.29716652019235984</v>
      </c>
      <c r="G2194" s="12">
        <f>EXP(-Assumptions!$B$8*B2194)</f>
        <v>0.33520935568799465</v>
      </c>
      <c r="H2194" s="12">
        <f t="shared" si="103"/>
        <v>0.1739654801001887</v>
      </c>
      <c r="I2194" s="12">
        <f t="shared" si="104"/>
        <v>6.1630877822081563E-2</v>
      </c>
      <c r="J2194" s="12">
        <f>G2194*(D2194*Assumptions!$B$6+E2194*Assumptions!$B$7)</f>
        <v>4.8211986921059659E-3</v>
      </c>
    </row>
    <row r="2195" spans="1:10" x14ac:dyDescent="0.2">
      <c r="A2195" s="2">
        <v>2187</v>
      </c>
      <c r="B2195" s="14">
        <f>A2195*Assumptions!$B$12</f>
        <v>21.87</v>
      </c>
      <c r="C2195" s="15">
        <f>IF(A2195&lt;=Assumptions!$B$13,IF(OR(A2195=0,A2195=Assumptions!$B$13),0.5,1),0)*Assumptions!$B$12</f>
        <v>0</v>
      </c>
      <c r="D2195" s="12">
        <f>D2194*(1-Assumptions!$B$12*(Assumptions!$B$5+Assumptions!$B$6))</f>
        <v>0.51881991807541683</v>
      </c>
      <c r="E2195" s="12">
        <f>E2194+Assumptions!$B$12*(D2194*Assumptions!$B$5-E2194*Assumptions!$B$7)</f>
        <v>0.18386973523662298</v>
      </c>
      <c r="F2195" s="12">
        <f t="shared" si="102"/>
        <v>0.29731034668796019</v>
      </c>
      <c r="G2195" s="12">
        <f>EXP(-Assumptions!$B$8*B2195)</f>
        <v>0.33504179290433739</v>
      </c>
      <c r="H2195" s="12">
        <f t="shared" si="103"/>
        <v>0.17382635554646911</v>
      </c>
      <c r="I2195" s="12">
        <f t="shared" si="104"/>
        <v>6.1604045754523981E-2</v>
      </c>
      <c r="J2195" s="12">
        <f>G2195*(D2195*Assumptions!$B$6+E2195*Assumptions!$B$7)</f>
        <v>4.8184658431908904E-3</v>
      </c>
    </row>
    <row r="2196" spans="1:10" x14ac:dyDescent="0.2">
      <c r="A2196" s="2">
        <v>2188</v>
      </c>
      <c r="B2196" s="14">
        <f>A2196*Assumptions!$B$12</f>
        <v>21.88</v>
      </c>
      <c r="C2196" s="15">
        <f>IF(A2196&lt;=Assumptions!$B$13,IF(OR(A2196=0,A2196=Assumptions!$B$13),0.5,1),0)*Assumptions!$B$12</f>
        <v>0</v>
      </c>
      <c r="D2196" s="12">
        <f>D2195*(1-Assumptions!$B$12*(Assumptions!$B$5+Assumptions!$B$6))</f>
        <v>0.51866427209999422</v>
      </c>
      <c r="E2196" s="12">
        <f>E2195+Assumptions!$B$12*(D2195*Assumptions!$B$5-E2195*Assumptions!$B$7)</f>
        <v>0.18388156435261974</v>
      </c>
      <c r="F2196" s="12">
        <f t="shared" si="102"/>
        <v>0.29745416354738607</v>
      </c>
      <c r="G2196" s="12">
        <f>EXP(-Assumptions!$B$8*B2196)</f>
        <v>0.3348743138811302</v>
      </c>
      <c r="H2196" s="12">
        <f t="shared" si="103"/>
        <v>0.1736873422541414</v>
      </c>
      <c r="I2196" s="12">
        <f t="shared" si="104"/>
        <v>6.1577212697972422E-2</v>
      </c>
      <c r="J2196" s="12">
        <f>G2196*(D2196*Assumptions!$B$6+E2196*Assumptions!$B$7)</f>
        <v>4.8157340574400348E-3</v>
      </c>
    </row>
    <row r="2197" spans="1:10" x14ac:dyDescent="0.2">
      <c r="A2197" s="2">
        <v>2189</v>
      </c>
      <c r="B2197" s="14">
        <f>A2197*Assumptions!$B$12</f>
        <v>21.89</v>
      </c>
      <c r="C2197" s="15">
        <f>IF(A2197&lt;=Assumptions!$B$13,IF(OR(A2197=0,A2197=Assumptions!$B$13),0.5,1),0)*Assumptions!$B$12</f>
        <v>0</v>
      </c>
      <c r="D2197" s="12">
        <f>D2196*(1-Assumptions!$B$12*(Assumptions!$B$5+Assumptions!$B$6))</f>
        <v>0.51850867281836421</v>
      </c>
      <c r="E2197" s="12">
        <f>E2196+Assumptions!$B$12*(D2196*Assumptions!$B$5-E2196*Assumptions!$B$7)</f>
        <v>0.18389335642486343</v>
      </c>
      <c r="F2197" s="12">
        <f t="shared" si="102"/>
        <v>0.29759797075677236</v>
      </c>
      <c r="G2197" s="12">
        <f>EXP(-Assumptions!$B$8*B2197)</f>
        <v>0.3347069185765032</v>
      </c>
      <c r="H2197" s="12">
        <f t="shared" si="103"/>
        <v>0.17354844013422696</v>
      </c>
      <c r="I2197" s="12">
        <f t="shared" si="104"/>
        <v>6.1550378675656645E-2</v>
      </c>
      <c r="J2197" s="12">
        <f>G2197*(D2197*Assumptions!$B$6+E2197*Assumptions!$B$7)</f>
        <v>4.8130033351251019E-3</v>
      </c>
    </row>
    <row r="2198" spans="1:10" x14ac:dyDescent="0.2">
      <c r="A2198" s="2">
        <v>2190</v>
      </c>
      <c r="B2198" s="14">
        <f>A2198*Assumptions!$B$12</f>
        <v>21.900000000000002</v>
      </c>
      <c r="C2198" s="15">
        <f>IF(A2198&lt;=Assumptions!$B$13,IF(OR(A2198=0,A2198=Assumptions!$B$13),0.5,1),0)*Assumptions!$B$12</f>
        <v>0</v>
      </c>
      <c r="D2198" s="12">
        <f>D2197*(1-Assumptions!$B$12*(Assumptions!$B$5+Assumptions!$B$6))</f>
        <v>0.51835312021651869</v>
      </c>
      <c r="E2198" s="12">
        <f>E2197+Assumptions!$B$12*(D2197*Assumptions!$B$5-E2197*Assumptions!$B$7)</f>
        <v>0.18390511148121466</v>
      </c>
      <c r="F2198" s="12">
        <f t="shared" si="102"/>
        <v>0.29774176830226662</v>
      </c>
      <c r="G2198" s="12">
        <f>EXP(-Assumptions!$B$8*B2198)</f>
        <v>0.33453960694860757</v>
      </c>
      <c r="H2198" s="12">
        <f t="shared" si="103"/>
        <v>0.1734096490978185</v>
      </c>
      <c r="I2198" s="12">
        <f t="shared" si="104"/>
        <v>6.1523543710765412E-2</v>
      </c>
      <c r="J2198" s="12">
        <f>G2198*(D2198*Assumptions!$B$6+E2198*Assumptions!$B$7)</f>
        <v>4.810273676516456E-3</v>
      </c>
    </row>
    <row r="2199" spans="1:10" x14ac:dyDescent="0.2">
      <c r="A2199" s="2">
        <v>2191</v>
      </c>
      <c r="B2199" s="14">
        <f>A2199*Assumptions!$B$12</f>
        <v>21.91</v>
      </c>
      <c r="C2199" s="15">
        <f>IF(A2199&lt;=Assumptions!$B$13,IF(OR(A2199=0,A2199=Assumptions!$B$13),0.5,1),0)*Assumptions!$B$12</f>
        <v>0</v>
      </c>
      <c r="D2199" s="12">
        <f>D2198*(1-Assumptions!$B$12*(Assumptions!$B$5+Assumptions!$B$6))</f>
        <v>0.51819761428045374</v>
      </c>
      <c r="E2199" s="12">
        <f>E2198+Assumptions!$B$12*(D2198*Assumptions!$B$5-E2198*Assumptions!$B$7)</f>
        <v>0.18391682954951735</v>
      </c>
      <c r="F2199" s="12">
        <f t="shared" si="102"/>
        <v>0.29788555617002888</v>
      </c>
      <c r="G2199" s="12">
        <f>EXP(-Assumptions!$B$8*B2199)</f>
        <v>0.33437237895561545</v>
      </c>
      <c r="H2199" s="12">
        <f t="shared" si="103"/>
        <v>0.17327096905607972</v>
      </c>
      <c r="I2199" s="12">
        <f t="shared" si="104"/>
        <v>6.1496707826446548E-2</v>
      </c>
      <c r="J2199" s="12">
        <f>G2199*(D2199*Assumptions!$B$6+E2199*Assumptions!$B$7)</f>
        <v>4.8075450818831243E-3</v>
      </c>
    </row>
    <row r="2200" spans="1:10" x14ac:dyDescent="0.2">
      <c r="A2200" s="2">
        <v>2192</v>
      </c>
      <c r="B2200" s="14">
        <f>A2200*Assumptions!$B$12</f>
        <v>21.92</v>
      </c>
      <c r="C2200" s="15">
        <f>IF(A2200&lt;=Assumptions!$B$13,IF(OR(A2200=0,A2200=Assumptions!$B$13),0.5,1),0)*Assumptions!$B$12</f>
        <v>0</v>
      </c>
      <c r="D2200" s="12">
        <f>D2199*(1-Assumptions!$B$12*(Assumptions!$B$5+Assumptions!$B$6))</f>
        <v>0.51804215499616968</v>
      </c>
      <c r="E2200" s="12">
        <f>E2199+Assumptions!$B$12*(D2199*Assumptions!$B$5-E2199*Assumptions!$B$7)</f>
        <v>0.18392851065759869</v>
      </c>
      <c r="F2200" s="12">
        <f t="shared" si="102"/>
        <v>0.29802933434623163</v>
      </c>
      <c r="G2200" s="12">
        <f>EXP(-Assumptions!$B$8*B2200)</f>
        <v>0.33420523455571977</v>
      </c>
      <c r="H2200" s="12">
        <f t="shared" si="103"/>
        <v>0.17313239992024543</v>
      </c>
      <c r="I2200" s="12">
        <f t="shared" si="104"/>
        <v>6.1469871045806972E-2</v>
      </c>
      <c r="J2200" s="12">
        <f>G2200*(D2200*Assumptions!$B$6+E2200*Assumptions!$B$7)</f>
        <v>4.8048175514928031E-3</v>
      </c>
    </row>
    <row r="2201" spans="1:10" x14ac:dyDescent="0.2">
      <c r="A2201" s="2">
        <v>2193</v>
      </c>
      <c r="B2201" s="14">
        <f>A2201*Assumptions!$B$12</f>
        <v>21.93</v>
      </c>
      <c r="C2201" s="15">
        <f>IF(A2201&lt;=Assumptions!$B$13,IF(OR(A2201=0,A2201=Assumptions!$B$13),0.5,1),0)*Assumptions!$B$12</f>
        <v>0</v>
      </c>
      <c r="D2201" s="12">
        <f>D2200*(1-Assumptions!$B$12*(Assumptions!$B$5+Assumptions!$B$6))</f>
        <v>0.5178867423496708</v>
      </c>
      <c r="E2201" s="12">
        <f>E2200+Assumptions!$B$12*(D2200*Assumptions!$B$5-E2200*Assumptions!$B$7)</f>
        <v>0.18394015483326911</v>
      </c>
      <c r="F2201" s="12">
        <f t="shared" si="102"/>
        <v>0.29817310281706011</v>
      </c>
      <c r="G2201" s="12">
        <f>EXP(-Assumptions!$B$8*B2201)</f>
        <v>0.33403817370713451</v>
      </c>
      <c r="H2201" s="12">
        <f t="shared" si="103"/>
        <v>0.17299394160162135</v>
      </c>
      <c r="I2201" s="12">
        <f t="shared" si="104"/>
        <v>6.1443033391912767E-2</v>
      </c>
      <c r="J2201" s="12">
        <f>G2201*(D2201*Assumptions!$B$6+E2201*Assumptions!$B$7)</f>
        <v>4.8020910856118523E-3</v>
      </c>
    </row>
    <row r="2202" spans="1:10" x14ac:dyDescent="0.2">
      <c r="A2202" s="2">
        <v>2194</v>
      </c>
      <c r="B2202" s="14">
        <f>A2202*Assumptions!$B$12</f>
        <v>21.94</v>
      </c>
      <c r="C2202" s="15">
        <f>IF(A2202&lt;=Assumptions!$B$13,IF(OR(A2202=0,A2202=Assumptions!$B$13),0.5,1),0)*Assumptions!$B$12</f>
        <v>0</v>
      </c>
      <c r="D2202" s="12">
        <f>D2201*(1-Assumptions!$B$12*(Assumptions!$B$5+Assumptions!$B$6))</f>
        <v>0.51773137632696586</v>
      </c>
      <c r="E2202" s="12">
        <f>E2201+Assumptions!$B$12*(D2201*Assumptions!$B$5-E2201*Assumptions!$B$7)</f>
        <v>0.1839517621043224</v>
      </c>
      <c r="F2202" s="12">
        <f t="shared" si="102"/>
        <v>0.29831686156871173</v>
      </c>
      <c r="G2202" s="12">
        <f>EXP(-Assumptions!$B$8*B2202)</f>
        <v>0.33387119636809437</v>
      </c>
      <c r="H2202" s="12">
        <f t="shared" si="103"/>
        <v>0.17285559401158418</v>
      </c>
      <c r="I2202" s="12">
        <f t="shared" si="104"/>
        <v>6.1416194887789204E-2</v>
      </c>
      <c r="J2202" s="12">
        <f>G2202*(D2202*Assumptions!$B$6+E2202*Assumptions!$B$7)</f>
        <v>4.7993656845053021E-3</v>
      </c>
    </row>
    <row r="2203" spans="1:10" x14ac:dyDescent="0.2">
      <c r="A2203" s="2">
        <v>2195</v>
      </c>
      <c r="B2203" s="14">
        <f>A2203*Assumptions!$B$12</f>
        <v>21.95</v>
      </c>
      <c r="C2203" s="15">
        <f>IF(A2203&lt;=Assumptions!$B$13,IF(OR(A2203=0,A2203=Assumptions!$B$13),0.5,1),0)*Assumptions!$B$12</f>
        <v>0</v>
      </c>
      <c r="D2203" s="12">
        <f>D2202*(1-Assumptions!$B$12*(Assumptions!$B$5+Assumptions!$B$6))</f>
        <v>0.51757605691406783</v>
      </c>
      <c r="E2203" s="12">
        <f>E2202+Assumptions!$B$12*(D2202*Assumptions!$B$5-E2202*Assumptions!$B$7)</f>
        <v>0.18396333249853564</v>
      </c>
      <c r="F2203" s="12">
        <f t="shared" si="102"/>
        <v>0.29846061058739654</v>
      </c>
      <c r="G2203" s="12">
        <f>EXP(-Assumptions!$B$8*B2203)</f>
        <v>0.33370430249685518</v>
      </c>
      <c r="H2203" s="12">
        <f t="shared" si="103"/>
        <v>0.17271735706158162</v>
      </c>
      <c r="I2203" s="12">
        <f t="shared" si="104"/>
        <v>6.1389355556420881E-2</v>
      </c>
      <c r="J2203" s="12">
        <f>G2203*(D2203*Assumptions!$B$6+E2203*Assumptions!$B$7)</f>
        <v>4.7966413484368609E-3</v>
      </c>
    </row>
    <row r="2204" spans="1:10" x14ac:dyDescent="0.2">
      <c r="A2204" s="2">
        <v>2196</v>
      </c>
      <c r="B2204" s="14">
        <f>A2204*Assumptions!$B$12</f>
        <v>21.96</v>
      </c>
      <c r="C2204" s="15">
        <f>IF(A2204&lt;=Assumptions!$B$13,IF(OR(A2204=0,A2204=Assumptions!$B$13),0.5,1),0)*Assumptions!$B$12</f>
        <v>0</v>
      </c>
      <c r="D2204" s="12">
        <f>D2203*(1-Assumptions!$B$12*(Assumptions!$B$5+Assumptions!$B$6))</f>
        <v>0.51742078409699366</v>
      </c>
      <c r="E2204" s="12">
        <f>E2203+Assumptions!$B$12*(D2203*Assumptions!$B$5-E2203*Assumptions!$B$7)</f>
        <v>0.18397486604366919</v>
      </c>
      <c r="F2204" s="12">
        <f t="shared" si="102"/>
        <v>0.29860434985933715</v>
      </c>
      <c r="G2204" s="12">
        <f>EXP(-Assumptions!$B$8*B2204)</f>
        <v>0.3335374920516932</v>
      </c>
      <c r="H2204" s="12">
        <f t="shared" si="103"/>
        <v>0.17257923066313188</v>
      </c>
      <c r="I2204" s="12">
        <f t="shared" si="104"/>
        <v>6.1362515420751634E-2</v>
      </c>
      <c r="J2204" s="12">
        <f>G2204*(D2204*Assumptions!$B$6+E2204*Assumptions!$B$7)</f>
        <v>4.7939180776689011E-3</v>
      </c>
    </row>
    <row r="2205" spans="1:10" x14ac:dyDescent="0.2">
      <c r="A2205" s="2">
        <v>2197</v>
      </c>
      <c r="B2205" s="14">
        <f>A2205*Assumptions!$B$12</f>
        <v>21.97</v>
      </c>
      <c r="C2205" s="15">
        <f>IF(A2205&lt;=Assumptions!$B$13,IF(OR(A2205=0,A2205=Assumptions!$B$13),0.5,1),0)*Assumptions!$B$12</f>
        <v>0</v>
      </c>
      <c r="D2205" s="12">
        <f>D2204*(1-Assumptions!$B$12*(Assumptions!$B$5+Assumptions!$B$6))</f>
        <v>0.51726555786176454</v>
      </c>
      <c r="E2205" s="12">
        <f>E2204+Assumptions!$B$12*(D2204*Assumptions!$B$5-E2204*Assumptions!$B$7)</f>
        <v>0.18398636276746677</v>
      </c>
      <c r="F2205" s="12">
        <f t="shared" si="102"/>
        <v>0.29874807937076869</v>
      </c>
      <c r="G2205" s="12">
        <f>EXP(-Assumptions!$B$8*B2205)</f>
        <v>0.33337076499090607</v>
      </c>
      <c r="H2205" s="12">
        <f t="shared" si="103"/>
        <v>0.17244121472782423</v>
      </c>
      <c r="I2205" s="12">
        <f t="shared" si="104"/>
        <v>6.1335674503684753E-2</v>
      </c>
      <c r="J2205" s="12">
        <f>G2205*(D2205*Assumptions!$B$6+E2205*Assumptions!$B$7)</f>
        <v>4.7911958724624797E-3</v>
      </c>
    </row>
    <row r="2206" spans="1:10" x14ac:dyDescent="0.2">
      <c r="A2206" s="2">
        <v>2198</v>
      </c>
      <c r="B2206" s="14">
        <f>A2206*Assumptions!$B$12</f>
        <v>21.98</v>
      </c>
      <c r="C2206" s="15">
        <f>IF(A2206&lt;=Assumptions!$B$13,IF(OR(A2206=0,A2206=Assumptions!$B$13),0.5,1),0)*Assumptions!$B$12</f>
        <v>0</v>
      </c>
      <c r="D2206" s="12">
        <f>D2205*(1-Assumptions!$B$12*(Assumptions!$B$5+Assumptions!$B$6))</f>
        <v>0.51711037819440597</v>
      </c>
      <c r="E2206" s="12">
        <f>E2205+Assumptions!$B$12*(D2205*Assumptions!$B$5-E2205*Assumptions!$B$7)</f>
        <v>0.18399782269765538</v>
      </c>
      <c r="F2206" s="12">
        <f t="shared" si="102"/>
        <v>0.29889179910793862</v>
      </c>
      <c r="G2206" s="12">
        <f>EXP(-Assumptions!$B$8*B2206)</f>
        <v>0.33320412127281185</v>
      </c>
      <c r="H2206" s="12">
        <f t="shared" si="103"/>
        <v>0.17230330916731845</v>
      </c>
      <c r="I2206" s="12">
        <f t="shared" si="104"/>
        <v>6.1308832828082895E-2</v>
      </c>
      <c r="J2206" s="12">
        <f>G2206*(D2206*Assumptions!$B$6+E2206*Assumptions!$B$7)</f>
        <v>4.7884747330773298E-3</v>
      </c>
    </row>
    <row r="2207" spans="1:10" x14ac:dyDescent="0.2">
      <c r="A2207" s="2">
        <v>2199</v>
      </c>
      <c r="B2207" s="14">
        <f>A2207*Assumptions!$B$12</f>
        <v>21.990000000000002</v>
      </c>
      <c r="C2207" s="15">
        <f>IF(A2207&lt;=Assumptions!$B$13,IF(OR(A2207=0,A2207=Assumptions!$B$13),0.5,1),0)*Assumptions!$B$12</f>
        <v>0</v>
      </c>
      <c r="D2207" s="12">
        <f>D2206*(1-Assumptions!$B$12*(Assumptions!$B$5+Assumptions!$B$6))</f>
        <v>0.5169552450809477</v>
      </c>
      <c r="E2207" s="12">
        <f>E2206+Assumptions!$B$12*(D2206*Assumptions!$B$5-E2206*Assumptions!$B$7)</f>
        <v>0.18400924586194545</v>
      </c>
      <c r="F2207" s="12">
        <f t="shared" si="102"/>
        <v>0.29903550905710685</v>
      </c>
      <c r="G2207" s="12">
        <f>EXP(-Assumptions!$B$8*B2207)</f>
        <v>0.3330375608557497</v>
      </c>
      <c r="H2207" s="12">
        <f t="shared" si="103"/>
        <v>0.17216551389334511</v>
      </c>
      <c r="I2207" s="12">
        <f t="shared" si="104"/>
        <v>6.1281990416768267E-2</v>
      </c>
      <c r="J2207" s="12">
        <f>G2207*(D2207*Assumptions!$B$6+E2207*Assumptions!$B$7)</f>
        <v>4.7857546597718653E-3</v>
      </c>
    </row>
    <row r="2208" spans="1:10" x14ac:dyDescent="0.2">
      <c r="A2208" s="2">
        <v>2200</v>
      </c>
      <c r="B2208" s="14">
        <f>A2208*Assumptions!$B$12</f>
        <v>22</v>
      </c>
      <c r="C2208" s="15">
        <f>IF(A2208&lt;=Assumptions!$B$13,IF(OR(A2208=0,A2208=Assumptions!$B$13),0.5,1),0)*Assumptions!$B$12</f>
        <v>0</v>
      </c>
      <c r="D2208" s="12">
        <f>D2207*(1-Assumptions!$B$12*(Assumptions!$B$5+Assumptions!$B$6))</f>
        <v>0.51680015850742345</v>
      </c>
      <c r="E2208" s="12">
        <f>E2207+Assumptions!$B$12*(D2207*Assumptions!$B$5-E2207*Assumptions!$B$7)</f>
        <v>0.18402063228803067</v>
      </c>
      <c r="F2208" s="12">
        <f t="shared" si="102"/>
        <v>0.29917920920454588</v>
      </c>
      <c r="G2208" s="12">
        <f>EXP(-Assumptions!$B$8*B2208)</f>
        <v>0.33287108369807955</v>
      </c>
      <c r="H2208" s="12">
        <f t="shared" si="103"/>
        <v>0.17202782881770534</v>
      </c>
      <c r="I2208" s="12">
        <f t="shared" si="104"/>
        <v>6.1255147292522578E-2</v>
      </c>
      <c r="J2208" s="12">
        <f>G2208*(D2208*Assumptions!$B$6+E2208*Assumptions!$B$7)</f>
        <v>4.7830356528031828E-3</v>
      </c>
    </row>
    <row r="2209" spans="1:10" x14ac:dyDescent="0.2">
      <c r="A2209" s="2">
        <v>2201</v>
      </c>
      <c r="B2209" s="14">
        <f>A2209*Assumptions!$B$12</f>
        <v>22.01</v>
      </c>
      <c r="C2209" s="15">
        <f>IF(A2209&lt;=Assumptions!$B$13,IF(OR(A2209=0,A2209=Assumptions!$B$13),0.5,1),0)*Assumptions!$B$12</f>
        <v>0</v>
      </c>
      <c r="D2209" s="12">
        <f>D2208*(1-Assumptions!$B$12*(Assumptions!$B$5+Assumptions!$B$6))</f>
        <v>0.51664511845987127</v>
      </c>
      <c r="E2209" s="12">
        <f>E2208+Assumptions!$B$12*(D2208*Assumptions!$B$5-E2208*Assumptions!$B$7)</f>
        <v>0.18403198200358814</v>
      </c>
      <c r="F2209" s="12">
        <f t="shared" si="102"/>
        <v>0.29932289953654057</v>
      </c>
      <c r="G2209" s="12">
        <f>EXP(-Assumptions!$B$8*B2209)</f>
        <v>0.33270468975818202</v>
      </c>
      <c r="H2209" s="12">
        <f t="shared" si="103"/>
        <v>0.17189025385227066</v>
      </c>
      <c r="I2209" s="12">
        <f t="shared" si="104"/>
        <v>6.122830347808713E-2</v>
      </c>
      <c r="J2209" s="12">
        <f>G2209*(D2209*Assumptions!$B$6+E2209*Assumptions!$B$7)</f>
        <v>4.7803177124270636E-3</v>
      </c>
    </row>
    <row r="2210" spans="1:10" x14ac:dyDescent="0.2">
      <c r="A2210" s="2">
        <v>2202</v>
      </c>
      <c r="B2210" s="14">
        <f>A2210*Assumptions!$B$12</f>
        <v>22.02</v>
      </c>
      <c r="C2210" s="15">
        <f>IF(A2210&lt;=Assumptions!$B$13,IF(OR(A2210=0,A2210=Assumptions!$B$13),0.5,1),0)*Assumptions!$B$12</f>
        <v>0</v>
      </c>
      <c r="D2210" s="12">
        <f>D2209*(1-Assumptions!$B$12*(Assumptions!$B$5+Assumptions!$B$6))</f>
        <v>0.51649012492433333</v>
      </c>
      <c r="E2210" s="12">
        <f>E2209+Assumptions!$B$12*(D2209*Assumptions!$B$5-E2209*Assumptions!$B$7)</f>
        <v>0.18404329503627831</v>
      </c>
      <c r="F2210" s="12">
        <f t="shared" si="102"/>
        <v>0.29946658003938836</v>
      </c>
      <c r="G2210" s="12">
        <f>EXP(-Assumptions!$B$8*B2210)</f>
        <v>0.33253837899445871</v>
      </c>
      <c r="H2210" s="12">
        <f t="shared" si="103"/>
        <v>0.17175278890898327</v>
      </c>
      <c r="I2210" s="12">
        <f t="shared" si="104"/>
        <v>6.1201458996162895E-2</v>
      </c>
      <c r="J2210" s="12">
        <f>G2210*(D2210*Assumptions!$B$6+E2210*Assumptions!$B$7)</f>
        <v>4.7776008388979779E-3</v>
      </c>
    </row>
    <row r="2211" spans="1:10" x14ac:dyDescent="0.2">
      <c r="A2211" s="2">
        <v>2203</v>
      </c>
      <c r="B2211" s="14">
        <f>A2211*Assumptions!$B$12</f>
        <v>22.03</v>
      </c>
      <c r="C2211" s="15">
        <f>IF(A2211&lt;=Assumptions!$B$13,IF(OR(A2211=0,A2211=Assumptions!$B$13),0.5,1),0)*Assumptions!$B$12</f>
        <v>0</v>
      </c>
      <c r="D2211" s="12">
        <f>D2210*(1-Assumptions!$B$12*(Assumptions!$B$5+Assumptions!$B$6))</f>
        <v>0.51633517788685601</v>
      </c>
      <c r="E2211" s="12">
        <f>E2210+Assumptions!$B$12*(D2210*Assumptions!$B$5-E2210*Assumptions!$B$7)</f>
        <v>0.18405457141374504</v>
      </c>
      <c r="F2211" s="12">
        <f t="shared" si="102"/>
        <v>0.29961025069939895</v>
      </c>
      <c r="G2211" s="12">
        <f>EXP(-Assumptions!$B$8*B2211)</f>
        <v>0.33237215136533177</v>
      </c>
      <c r="H2211" s="12">
        <f t="shared" si="103"/>
        <v>0.17161543389985562</v>
      </c>
      <c r="I2211" s="12">
        <f t="shared" si="104"/>
        <v>6.1174613869410532E-2</v>
      </c>
      <c r="J2211" s="12">
        <f>G2211*(D2211*Assumptions!$B$6+E2211*Assumptions!$B$7)</f>
        <v>4.7748850324690834E-3</v>
      </c>
    </row>
    <row r="2212" spans="1:10" x14ac:dyDescent="0.2">
      <c r="A2212" s="2">
        <v>2204</v>
      </c>
      <c r="B2212" s="14">
        <f>A2212*Assumptions!$B$12</f>
        <v>22.04</v>
      </c>
      <c r="C2212" s="15">
        <f>IF(A2212&lt;=Assumptions!$B$13,IF(OR(A2212=0,A2212=Assumptions!$B$13),0.5,1),0)*Assumptions!$B$12</f>
        <v>0</v>
      </c>
      <c r="D2212" s="12">
        <f>D2211*(1-Assumptions!$B$12*(Assumptions!$B$5+Assumptions!$B$6))</f>
        <v>0.51618027733348992</v>
      </c>
      <c r="E2212" s="12">
        <f>E2211+Assumptions!$B$12*(D2211*Assumptions!$B$5-E2211*Assumptions!$B$7)</f>
        <v>0.18406581116361553</v>
      </c>
      <c r="F2212" s="12">
        <f t="shared" si="102"/>
        <v>0.29975391150289454</v>
      </c>
      <c r="G2212" s="12">
        <f>EXP(-Assumptions!$B$8*B2212)</f>
        <v>0.33220600682924445</v>
      </c>
      <c r="H2212" s="12">
        <f t="shared" si="103"/>
        <v>0.17147818873697065</v>
      </c>
      <c r="I2212" s="12">
        <f t="shared" si="104"/>
        <v>6.1147768120450481E-2</v>
      </c>
      <c r="J2212" s="12">
        <f>G2212*(D2212*Assumptions!$B$6+E2212*Assumptions!$B$7)</f>
        <v>4.7721702933922307E-3</v>
      </c>
    </row>
    <row r="2213" spans="1:10" x14ac:dyDescent="0.2">
      <c r="A2213" s="2">
        <v>2205</v>
      </c>
      <c r="B2213" s="14">
        <f>A2213*Assumptions!$B$12</f>
        <v>22.05</v>
      </c>
      <c r="C2213" s="15">
        <f>IF(A2213&lt;=Assumptions!$B$13,IF(OR(A2213=0,A2213=Assumptions!$B$13),0.5,1),0)*Assumptions!$B$12</f>
        <v>0</v>
      </c>
      <c r="D2213" s="12">
        <f>D2212*(1-Assumptions!$B$12*(Assumptions!$B$5+Assumptions!$B$6))</f>
        <v>0.51602542325028988</v>
      </c>
      <c r="E2213" s="12">
        <f>E2212+Assumptions!$B$12*(D2212*Assumptions!$B$5-E2212*Assumptions!$B$7)</f>
        <v>0.18407701431350043</v>
      </c>
      <c r="F2213" s="12">
        <f t="shared" si="102"/>
        <v>0.29989756243620969</v>
      </c>
      <c r="G2213" s="12">
        <f>EXP(-Assumptions!$B$8*B2213)</f>
        <v>0.33203994534466064</v>
      </c>
      <c r="H2213" s="12">
        <f t="shared" si="103"/>
        <v>0.17134105333248162</v>
      </c>
      <c r="I2213" s="12">
        <f t="shared" si="104"/>
        <v>6.1120921771862999E-2</v>
      </c>
      <c r="J2213" s="12">
        <f>G2213*(D2213*Assumptions!$B$6+E2213*Assumptions!$B$7)</f>
        <v>4.769456621917966E-3</v>
      </c>
    </row>
    <row r="2214" spans="1:10" x14ac:dyDescent="0.2">
      <c r="A2214" s="2">
        <v>2206</v>
      </c>
      <c r="B2214" s="14">
        <f>A2214*Assumptions!$B$12</f>
        <v>22.06</v>
      </c>
      <c r="C2214" s="15">
        <f>IF(A2214&lt;=Assumptions!$B$13,IF(OR(A2214=0,A2214=Assumptions!$B$13),0.5,1),0)*Assumptions!$B$12</f>
        <v>0</v>
      </c>
      <c r="D2214" s="12">
        <f>D2213*(1-Assumptions!$B$12*(Assumptions!$B$5+Assumptions!$B$6))</f>
        <v>0.51587061562331482</v>
      </c>
      <c r="E2214" s="12">
        <f>E2213+Assumptions!$B$12*(D2213*Assumptions!$B$5-E2213*Assumptions!$B$7)</f>
        <v>0.18408818089099374</v>
      </c>
      <c r="F2214" s="12">
        <f t="shared" si="102"/>
        <v>0.30004120348569141</v>
      </c>
      <c r="G2214" s="12">
        <f>EXP(-Assumptions!$B$8*B2214)</f>
        <v>0.33187396687006487</v>
      </c>
      <c r="H2214" s="12">
        <f t="shared" si="103"/>
        <v>0.17120402759861195</v>
      </c>
      <c r="I2214" s="12">
        <f t="shared" si="104"/>
        <v>6.1094074846188166E-2</v>
      </c>
      <c r="J2214" s="12">
        <f>G2214*(D2214*Assumptions!$B$6+E2214*Assumptions!$B$7)</f>
        <v>4.7667440182955281E-3</v>
      </c>
    </row>
    <row r="2215" spans="1:10" x14ac:dyDescent="0.2">
      <c r="A2215" s="2">
        <v>2207</v>
      </c>
      <c r="B2215" s="14">
        <f>A2215*Assumptions!$B$12</f>
        <v>22.07</v>
      </c>
      <c r="C2215" s="15">
        <f>IF(A2215&lt;=Assumptions!$B$13,IF(OR(A2215=0,A2215=Assumptions!$B$13),0.5,1),0)*Assumptions!$B$12</f>
        <v>0</v>
      </c>
      <c r="D2215" s="12">
        <f>D2214*(1-Assumptions!$B$12*(Assumptions!$B$5+Assumptions!$B$6))</f>
        <v>0.51571585443862789</v>
      </c>
      <c r="E2215" s="12">
        <f>E2214+Assumptions!$B$12*(D2214*Assumptions!$B$5-E2214*Assumptions!$B$7)</f>
        <v>0.1840993109236729</v>
      </c>
      <c r="F2215" s="12">
        <f t="shared" si="102"/>
        <v>0.30018483463769918</v>
      </c>
      <c r="G2215" s="12">
        <f>EXP(-Assumptions!$B$8*B2215)</f>
        <v>0.33170807136396246</v>
      </c>
      <c r="H2215" s="12">
        <f t="shared" si="103"/>
        <v>0.17106711144765527</v>
      </c>
      <c r="I2215" s="12">
        <f t="shared" si="104"/>
        <v>6.1067227365926006E-2</v>
      </c>
      <c r="J2215" s="12">
        <f>G2215*(D2215*Assumptions!$B$6+E2215*Assumptions!$B$7)</f>
        <v>4.7640324827728535E-3</v>
      </c>
    </row>
    <row r="2216" spans="1:10" x14ac:dyDescent="0.2">
      <c r="A2216" s="2">
        <v>2208</v>
      </c>
      <c r="B2216" s="14">
        <f>A2216*Assumptions!$B$12</f>
        <v>22.080000000000002</v>
      </c>
      <c r="C2216" s="15">
        <f>IF(A2216&lt;=Assumptions!$B$13,IF(OR(A2216=0,A2216=Assumptions!$B$13),0.5,1),0)*Assumptions!$B$12</f>
        <v>0</v>
      </c>
      <c r="D2216" s="12">
        <f>D2215*(1-Assumptions!$B$12*(Assumptions!$B$5+Assumptions!$B$6))</f>
        <v>0.51556113968229633</v>
      </c>
      <c r="E2216" s="12">
        <f>E2215+Assumptions!$B$12*(D2215*Assumptions!$B$5-E2215*Assumptions!$B$7)</f>
        <v>0.18411040443909879</v>
      </c>
      <c r="F2216" s="12">
        <f t="shared" si="102"/>
        <v>0.30032845587860491</v>
      </c>
      <c r="G2216" s="12">
        <f>EXP(-Assumptions!$B$8*B2216)</f>
        <v>0.3315422587848797</v>
      </c>
      <c r="H2216" s="12">
        <f t="shared" si="103"/>
        <v>0.17093030479197541</v>
      </c>
      <c r="I2216" s="12">
        <f t="shared" si="104"/>
        <v>6.1040379353536553E-2</v>
      </c>
      <c r="J2216" s="12">
        <f>G2216*(D2216*Assumptions!$B$6+E2216*Assumptions!$B$7)</f>
        <v>4.7613220155965814E-3</v>
      </c>
    </row>
    <row r="2217" spans="1:10" x14ac:dyDescent="0.2">
      <c r="A2217" s="2">
        <v>2209</v>
      </c>
      <c r="B2217" s="14">
        <f>A2217*Assumptions!$B$12</f>
        <v>22.09</v>
      </c>
      <c r="C2217" s="15">
        <f>IF(A2217&lt;=Assumptions!$B$13,IF(OR(A2217=0,A2217=Assumptions!$B$13),0.5,1),0)*Assumptions!$B$12</f>
        <v>0</v>
      </c>
      <c r="D2217" s="12">
        <f>D2216*(1-Assumptions!$B$12*(Assumptions!$B$5+Assumptions!$B$6))</f>
        <v>0.51540647134039164</v>
      </c>
      <c r="E2217" s="12">
        <f>E2216+Assumptions!$B$12*(D2216*Assumptions!$B$5-E2216*Assumptions!$B$7)</f>
        <v>0.1841214614648157</v>
      </c>
      <c r="F2217" s="12">
        <f t="shared" si="102"/>
        <v>0.30047206719479269</v>
      </c>
      <c r="G2217" s="12">
        <f>EXP(-Assumptions!$B$8*B2217)</f>
        <v>0.33137652909136334</v>
      </c>
      <c r="H2217" s="12">
        <f t="shared" si="103"/>
        <v>0.17079360754400622</v>
      </c>
      <c r="I2217" s="12">
        <f t="shared" si="104"/>
        <v>6.101353083143983E-2</v>
      </c>
      <c r="J2217" s="12">
        <f>G2217*(D2217*Assumptions!$B$6+E2217*Assumptions!$B$7)</f>
        <v>4.758612617012054E-3</v>
      </c>
    </row>
    <row r="2218" spans="1:10" x14ac:dyDescent="0.2">
      <c r="A2218" s="2">
        <v>2210</v>
      </c>
      <c r="B2218" s="14">
        <f>A2218*Assumptions!$B$12</f>
        <v>22.1</v>
      </c>
      <c r="C2218" s="15">
        <f>IF(A2218&lt;=Assumptions!$B$13,IF(OR(A2218=0,A2218=Assumptions!$B$13),0.5,1),0)*Assumptions!$B$12</f>
        <v>0</v>
      </c>
      <c r="D2218" s="12">
        <f>D2217*(1-Assumptions!$B$12*(Assumptions!$B$5+Assumptions!$B$6))</f>
        <v>0.51525184939898949</v>
      </c>
      <c r="E2218" s="12">
        <f>E2217+Assumptions!$B$12*(D2217*Assumptions!$B$5-E2217*Assumptions!$B$7)</f>
        <v>0.18413248202835136</v>
      </c>
      <c r="F2218" s="12">
        <f t="shared" si="102"/>
        <v>0.30061566857265914</v>
      </c>
      <c r="G2218" s="12">
        <f>EXP(-Assumptions!$B$8*B2218)</f>
        <v>0.33121088224198092</v>
      </c>
      <c r="H2218" s="12">
        <f t="shared" si="103"/>
        <v>0.1706570196162516</v>
      </c>
      <c r="I2218" s="12">
        <f t="shared" si="104"/>
        <v>6.0986681822015949E-2</v>
      </c>
      <c r="J2218" s="12">
        <f>G2218*(D2218*Assumptions!$B$6+E2218*Assumptions!$B$7)</f>
        <v>4.7559042872633139E-3</v>
      </c>
    </row>
    <row r="2219" spans="1:10" x14ac:dyDescent="0.2">
      <c r="A2219" s="2">
        <v>2211</v>
      </c>
      <c r="B2219" s="14">
        <f>A2219*Assumptions!$B$12</f>
        <v>22.11</v>
      </c>
      <c r="C2219" s="15">
        <f>IF(A2219&lt;=Assumptions!$B$13,IF(OR(A2219=0,A2219=Assumptions!$B$13),0.5,1),0)*Assumptions!$B$12</f>
        <v>0</v>
      </c>
      <c r="D2219" s="12">
        <f>D2218*(1-Assumptions!$B$12*(Assumptions!$B$5+Assumptions!$B$6))</f>
        <v>0.51509727384416981</v>
      </c>
      <c r="E2219" s="12">
        <f>E2218+Assumptions!$B$12*(D2218*Assumptions!$B$5-E2218*Assumptions!$B$7)</f>
        <v>0.184143466157217</v>
      </c>
      <c r="F2219" s="12">
        <f t="shared" si="102"/>
        <v>0.30075925999861319</v>
      </c>
      <c r="G2219" s="12">
        <f>EXP(-Assumptions!$B$8*B2219)</f>
        <v>0.33104531819532096</v>
      </c>
      <c r="H2219" s="12">
        <f t="shared" si="103"/>
        <v>0.17052054092128557</v>
      </c>
      <c r="I2219" s="12">
        <f t="shared" si="104"/>
        <v>6.0959832347605214E-2</v>
      </c>
      <c r="J2219" s="12">
        <f>G2219*(D2219*Assumptions!$B$6+E2219*Assumptions!$B$7)</f>
        <v>4.7531970265931173E-3</v>
      </c>
    </row>
    <row r="2220" spans="1:10" x14ac:dyDescent="0.2">
      <c r="A2220" s="2">
        <v>2212</v>
      </c>
      <c r="B2220" s="14">
        <f>A2220*Assumptions!$B$12</f>
        <v>22.12</v>
      </c>
      <c r="C2220" s="15">
        <f>IF(A2220&lt;=Assumptions!$B$13,IF(OR(A2220=0,A2220=Assumptions!$B$13),0.5,1),0)*Assumptions!$B$12</f>
        <v>0</v>
      </c>
      <c r="D2220" s="12">
        <f>D2219*(1-Assumptions!$B$12*(Assumptions!$B$5+Assumptions!$B$6))</f>
        <v>0.51494274466201662</v>
      </c>
      <c r="E2220" s="12">
        <f>E2219+Assumptions!$B$12*(D2219*Assumptions!$B$5-E2219*Assumptions!$B$7)</f>
        <v>0.18415441387890721</v>
      </c>
      <c r="F2220" s="12">
        <f t="shared" si="102"/>
        <v>0.3009028414590762</v>
      </c>
      <c r="G2220" s="12">
        <f>EXP(-Assumptions!$B$8*B2220)</f>
        <v>0.33087983690999206</v>
      </c>
      <c r="H2220" s="12">
        <f t="shared" si="103"/>
        <v>0.17038417137175174</v>
      </c>
      <c r="I2220" s="12">
        <f t="shared" si="104"/>
        <v>6.0932982430508001E-2</v>
      </c>
      <c r="J2220" s="12">
        <f>G2220*(D2220*Assumptions!$B$6+E2220*Assumptions!$B$7)</f>
        <v>4.7504908352429169E-3</v>
      </c>
    </row>
    <row r="2221" spans="1:10" x14ac:dyDescent="0.2">
      <c r="A2221" s="2">
        <v>2213</v>
      </c>
      <c r="B2221" s="14">
        <f>A2221*Assumptions!$B$12</f>
        <v>22.13</v>
      </c>
      <c r="C2221" s="15">
        <f>IF(A2221&lt;=Assumptions!$B$13,IF(OR(A2221=0,A2221=Assumptions!$B$13),0.5,1),0)*Assumptions!$B$12</f>
        <v>0</v>
      </c>
      <c r="D2221" s="12">
        <f>D2220*(1-Assumptions!$B$12*(Assumptions!$B$5+Assumptions!$B$6))</f>
        <v>0.51478826183861803</v>
      </c>
      <c r="E2221" s="12">
        <f>E2220+Assumptions!$B$12*(D2220*Assumptions!$B$5-E2220*Assumptions!$B$7)</f>
        <v>0.18416532522090015</v>
      </c>
      <c r="F2221" s="12">
        <f t="shared" si="102"/>
        <v>0.30104641294048184</v>
      </c>
      <c r="G2221" s="12">
        <f>EXP(-Assumptions!$B$8*B2221)</f>
        <v>0.33071443834462427</v>
      </c>
      <c r="H2221" s="12">
        <f t="shared" si="103"/>
        <v>0.17024791088036395</v>
      </c>
      <c r="I2221" s="12">
        <f t="shared" si="104"/>
        <v>6.0906132092985059E-2</v>
      </c>
      <c r="J2221" s="12">
        <f>G2221*(D2221*Assumptions!$B$6+E2221*Assumptions!$B$7)</f>
        <v>4.7477857134528923E-3</v>
      </c>
    </row>
    <row r="2222" spans="1:10" x14ac:dyDescent="0.2">
      <c r="A2222" s="2">
        <v>2214</v>
      </c>
      <c r="B2222" s="14">
        <f>A2222*Assumptions!$B$12</f>
        <v>22.14</v>
      </c>
      <c r="C2222" s="15">
        <f>IF(A2222&lt;=Assumptions!$B$13,IF(OR(A2222=0,A2222=Assumptions!$B$13),0.5,1),0)*Assumptions!$B$12</f>
        <v>0</v>
      </c>
      <c r="D2222" s="12">
        <f>D2221*(1-Assumptions!$B$12*(Assumptions!$B$5+Assumptions!$B$6))</f>
        <v>0.51463382536006641</v>
      </c>
      <c r="E2222" s="12">
        <f>E2221+Assumptions!$B$12*(D2221*Assumptions!$B$5-E2221*Assumptions!$B$7)</f>
        <v>0.18417620021065742</v>
      </c>
      <c r="F2222" s="12">
        <f t="shared" si="102"/>
        <v>0.3011899744292762</v>
      </c>
      <c r="G2222" s="12">
        <f>EXP(-Assumptions!$B$8*B2222)</f>
        <v>0.33054912245786772</v>
      </c>
      <c r="H2222" s="12">
        <f t="shared" si="103"/>
        <v>0.1701117593599055</v>
      </c>
      <c r="I2222" s="12">
        <f t="shared" si="104"/>
        <v>6.0879281357257363E-2</v>
      </c>
      <c r="J2222" s="12">
        <f>G2222*(D2222*Assumptions!$B$6+E2222*Assumptions!$B$7)</f>
        <v>4.7450816614619234E-3</v>
      </c>
    </row>
    <row r="2223" spans="1:10" x14ac:dyDescent="0.2">
      <c r="A2223" s="2">
        <v>2215</v>
      </c>
      <c r="B2223" s="14">
        <f>A2223*Assumptions!$B$12</f>
        <v>22.150000000000002</v>
      </c>
      <c r="C2223" s="15">
        <f>IF(A2223&lt;=Assumptions!$B$13,IF(OR(A2223=0,A2223=Assumptions!$B$13),0.5,1),0)*Assumptions!$B$12</f>
        <v>0</v>
      </c>
      <c r="D2223" s="12">
        <f>D2222*(1-Assumptions!$B$12*(Assumptions!$B$5+Assumptions!$B$6))</f>
        <v>0.51447943521245842</v>
      </c>
      <c r="E2223" s="12">
        <f>E2222+Assumptions!$B$12*(D2222*Assumptions!$B$5-E2222*Assumptions!$B$7)</f>
        <v>0.1841870388756241</v>
      </c>
      <c r="F2223" s="12">
        <f t="shared" si="102"/>
        <v>0.30133352591191748</v>
      </c>
      <c r="G2223" s="12">
        <f>EXP(-Assumptions!$B$8*B2223)</f>
        <v>0.33038388920839346</v>
      </c>
      <c r="H2223" s="12">
        <f t="shared" si="103"/>
        <v>0.1699757167232297</v>
      </c>
      <c r="I2223" s="12">
        <f t="shared" si="104"/>
        <v>6.0852430245506253E-2</v>
      </c>
      <c r="J2223" s="12">
        <f>G2223*(D2223*Assumptions!$B$6+E2223*Assumptions!$B$7)</f>
        <v>4.7423786795076093E-3</v>
      </c>
    </row>
    <row r="2224" spans="1:10" x14ac:dyDescent="0.2">
      <c r="A2224" s="2">
        <v>2216</v>
      </c>
      <c r="B2224" s="14">
        <f>A2224*Assumptions!$B$12</f>
        <v>22.16</v>
      </c>
      <c r="C2224" s="15">
        <f>IF(A2224&lt;=Assumptions!$B$13,IF(OR(A2224=0,A2224=Assumptions!$B$13),0.5,1),0)*Assumptions!$B$12</f>
        <v>0</v>
      </c>
      <c r="D2224" s="12">
        <f>D2223*(1-Assumptions!$B$12*(Assumptions!$B$5+Assumptions!$B$6))</f>
        <v>0.51432509138189475</v>
      </c>
      <c r="E2224" s="12">
        <f>E2223+Assumptions!$B$12*(D2223*Assumptions!$B$5-E2223*Assumptions!$B$7)</f>
        <v>0.18419784124322877</v>
      </c>
      <c r="F2224" s="12">
        <f t="shared" si="102"/>
        <v>0.30147706737487645</v>
      </c>
      <c r="G2224" s="12">
        <f>EXP(-Assumptions!$B$8*B2224)</f>
        <v>0.33021873855489331</v>
      </c>
      <c r="H2224" s="12">
        <f t="shared" si="103"/>
        <v>0.16983978288325952</v>
      </c>
      <c r="I2224" s="12">
        <f t="shared" si="104"/>
        <v>6.0825578779873504E-2</v>
      </c>
      <c r="J2224" s="12">
        <f>G2224*(D2224*Assumptions!$B$6+E2224*Assumptions!$B$7)</f>
        <v>4.7396767678262704E-3</v>
      </c>
    </row>
    <row r="2225" spans="1:10" x14ac:dyDescent="0.2">
      <c r="A2225" s="2">
        <v>2217</v>
      </c>
      <c r="B2225" s="14">
        <f>A2225*Assumptions!$B$12</f>
        <v>22.17</v>
      </c>
      <c r="C2225" s="15">
        <f>IF(A2225&lt;=Assumptions!$B$13,IF(OR(A2225=0,A2225=Assumptions!$B$13),0.5,1),0)*Assumptions!$B$12</f>
        <v>0</v>
      </c>
      <c r="D2225" s="12">
        <f>D2224*(1-Assumptions!$B$12*(Assumptions!$B$5+Assumptions!$B$6))</f>
        <v>0.51417079385448017</v>
      </c>
      <c r="E2225" s="12">
        <f>E2224+Assumptions!$B$12*(D2224*Assumptions!$B$5-E2224*Assumptions!$B$7)</f>
        <v>0.18420860734088354</v>
      </c>
      <c r="F2225" s="12">
        <f t="shared" si="102"/>
        <v>0.30162059880463632</v>
      </c>
      <c r="G2225" s="12">
        <f>EXP(-Assumptions!$B$8*B2225)</f>
        <v>0.33005367045607947</v>
      </c>
      <c r="H2225" s="12">
        <f t="shared" si="103"/>
        <v>0.16970395775298738</v>
      </c>
      <c r="I2225" s="12">
        <f t="shared" si="104"/>
        <v>6.0798726982461318E-2</v>
      </c>
      <c r="J2225" s="12">
        <f>G2225*(D2225*Assumptions!$B$6+E2225*Assumptions!$B$7)</f>
        <v>4.7369759266529393E-3</v>
      </c>
    </row>
    <row r="2226" spans="1:10" x14ac:dyDescent="0.2">
      <c r="A2226" s="2">
        <v>2218</v>
      </c>
      <c r="B2226" s="14">
        <f>A2226*Assumptions!$B$12</f>
        <v>22.18</v>
      </c>
      <c r="C2226" s="15">
        <f>IF(A2226&lt;=Assumptions!$B$13,IF(OR(A2226=0,A2226=Assumptions!$B$13),0.5,1),0)*Assumptions!$B$12</f>
        <v>0</v>
      </c>
      <c r="D2226" s="12">
        <f>D2225*(1-Assumptions!$B$12*(Assumptions!$B$5+Assumptions!$B$6))</f>
        <v>0.51401654261632379</v>
      </c>
      <c r="E2226" s="12">
        <f>E2225+Assumptions!$B$12*(D2225*Assumptions!$B$5-E2225*Assumptions!$B$7)</f>
        <v>0.18421933719598399</v>
      </c>
      <c r="F2226" s="12">
        <f t="shared" si="102"/>
        <v>0.30176412018769222</v>
      </c>
      <c r="G2226" s="12">
        <f>EXP(-Assumptions!$B$8*B2226)</f>
        <v>0.32988868487068501</v>
      </c>
      <c r="H2226" s="12">
        <f t="shared" si="103"/>
        <v>0.16956824124547548</v>
      </c>
      <c r="I2226" s="12">
        <f t="shared" si="104"/>
        <v>6.0771874875332421E-2</v>
      </c>
      <c r="J2226" s="12">
        <f>G2226*(D2226*Assumptions!$B$6+E2226*Assumptions!$B$7)</f>
        <v>4.734276156221376E-3</v>
      </c>
    </row>
    <row r="2227" spans="1:10" x14ac:dyDescent="0.2">
      <c r="A2227" s="2">
        <v>2219</v>
      </c>
      <c r="B2227" s="14">
        <f>A2227*Assumptions!$B$12</f>
        <v>22.19</v>
      </c>
      <c r="C2227" s="15">
        <f>IF(A2227&lt;=Assumptions!$B$13,IF(OR(A2227=0,A2227=Assumptions!$B$13),0.5,1),0)*Assumptions!$B$12</f>
        <v>0</v>
      </c>
      <c r="D2227" s="12">
        <f>D2226*(1-Assumptions!$B$12*(Assumptions!$B$5+Assumptions!$B$6))</f>
        <v>0.51386233765353895</v>
      </c>
      <c r="E2227" s="12">
        <f>E2226+Assumptions!$B$12*(D2226*Assumptions!$B$5-E2226*Assumptions!$B$7)</f>
        <v>0.18423003083590928</v>
      </c>
      <c r="F2227" s="12">
        <f t="shared" si="102"/>
        <v>0.30190763151055178</v>
      </c>
      <c r="G2227" s="12">
        <f>EXP(-Assumptions!$B$8*B2227)</f>
        <v>0.32972378175746342</v>
      </c>
      <c r="H2227" s="12">
        <f t="shared" si="103"/>
        <v>0.16943263327385547</v>
      </c>
      <c r="I2227" s="12">
        <f t="shared" si="104"/>
        <v>6.0745022480510107E-2</v>
      </c>
      <c r="J2227" s="12">
        <f>G2227*(D2227*Assumptions!$B$6+E2227*Assumptions!$B$7)</f>
        <v>4.7315774567640604E-3</v>
      </c>
    </row>
    <row r="2228" spans="1:10" x14ac:dyDescent="0.2">
      <c r="A2228" s="2">
        <v>2220</v>
      </c>
      <c r="B2228" s="14">
        <f>A2228*Assumptions!$B$12</f>
        <v>22.2</v>
      </c>
      <c r="C2228" s="15">
        <f>IF(A2228&lt;=Assumptions!$B$13,IF(OR(A2228=0,A2228=Assumptions!$B$13),0.5,1),0)*Assumptions!$B$12</f>
        <v>0</v>
      </c>
      <c r="D2228" s="12">
        <f>D2227*(1-Assumptions!$B$12*(Assumptions!$B$5+Assumptions!$B$6))</f>
        <v>0.51370817895224286</v>
      </c>
      <c r="E2228" s="12">
        <f>E2227+Assumptions!$B$12*(D2227*Assumptions!$B$5-E2227*Assumptions!$B$7)</f>
        <v>0.18424068828802204</v>
      </c>
      <c r="F2228" s="12">
        <f t="shared" si="102"/>
        <v>0.30205113275973511</v>
      </c>
      <c r="G2228" s="12">
        <f>EXP(-Assumptions!$B$8*B2228)</f>
        <v>0.32955896107518906</v>
      </c>
      <c r="H2228" s="12">
        <f t="shared" si="103"/>
        <v>0.16929713375132846</v>
      </c>
      <c r="I2228" s="12">
        <f t="shared" si="104"/>
        <v>6.0718169819978296E-2</v>
      </c>
      <c r="J2228" s="12">
        <f>G2228*(D2228*Assumptions!$B$6+E2228*Assumptions!$B$7)</f>
        <v>4.7288798285121999E-3</v>
      </c>
    </row>
    <row r="2229" spans="1:10" x14ac:dyDescent="0.2">
      <c r="A2229" s="2">
        <v>2221</v>
      </c>
      <c r="B2229" s="14">
        <f>A2229*Assumptions!$B$12</f>
        <v>22.21</v>
      </c>
      <c r="C2229" s="15">
        <f>IF(A2229&lt;=Assumptions!$B$13,IF(OR(A2229=0,A2229=Assumptions!$B$13),0.5,1),0)*Assumptions!$B$12</f>
        <v>0</v>
      </c>
      <c r="D2229" s="12">
        <f>D2228*(1-Assumptions!$B$12*(Assumptions!$B$5+Assumptions!$B$6))</f>
        <v>0.51355406649855717</v>
      </c>
      <c r="E2229" s="12">
        <f>E2228+Assumptions!$B$12*(D2228*Assumptions!$B$5-E2228*Assumptions!$B$7)</f>
        <v>0.18425130957966848</v>
      </c>
      <c r="F2229" s="12">
        <f t="shared" si="102"/>
        <v>0.30219462392177432</v>
      </c>
      <c r="G2229" s="12">
        <f>EXP(-Assumptions!$B$8*B2229)</f>
        <v>0.32939422278265662</v>
      </c>
      <c r="H2229" s="12">
        <f t="shared" si="103"/>
        <v>0.16916174259116498</v>
      </c>
      <c r="I2229" s="12">
        <f t="shared" si="104"/>
        <v>6.0691316915681554E-2</v>
      </c>
      <c r="J2229" s="12">
        <f>G2229*(D2229*Assumptions!$B$6+E2229*Assumptions!$B$7)</f>
        <v>4.7261832716957277E-3</v>
      </c>
    </row>
    <row r="2230" spans="1:10" x14ac:dyDescent="0.2">
      <c r="A2230" s="2">
        <v>2222</v>
      </c>
      <c r="B2230" s="14">
        <f>A2230*Assumptions!$B$12</f>
        <v>22.22</v>
      </c>
      <c r="C2230" s="15">
        <f>IF(A2230&lt;=Assumptions!$B$13,IF(OR(A2230=0,A2230=Assumptions!$B$13),0.5,1),0)*Assumptions!$B$12</f>
        <v>0</v>
      </c>
      <c r="D2230" s="12">
        <f>D2229*(1-Assumptions!$B$12*(Assumptions!$B$5+Assumptions!$B$6))</f>
        <v>0.51340000027860766</v>
      </c>
      <c r="E2230" s="12">
        <f>E2229+Assumptions!$B$12*(D2229*Assumptions!$B$5-E2229*Assumptions!$B$7)</f>
        <v>0.18426189473817836</v>
      </c>
      <c r="F2230" s="12">
        <f t="shared" si="102"/>
        <v>0.30233810498321401</v>
      </c>
      <c r="G2230" s="12">
        <f>EXP(-Assumptions!$B$8*B2230)</f>
        <v>0.32922956683868165</v>
      </c>
      <c r="H2230" s="12">
        <f t="shared" si="103"/>
        <v>0.16902645970670505</v>
      </c>
      <c r="I2230" s="12">
        <f t="shared" si="104"/>
        <v>6.0664463789525218E-2</v>
      </c>
      <c r="J2230" s="12">
        <f>G2230*(D2230*Assumptions!$B$6+E2230*Assumptions!$B$7)</f>
        <v>4.7234877865433116E-3</v>
      </c>
    </row>
    <row r="2231" spans="1:10" x14ac:dyDescent="0.2">
      <c r="A2231" s="2">
        <v>2223</v>
      </c>
      <c r="B2231" s="14">
        <f>A2231*Assumptions!$B$12</f>
        <v>22.23</v>
      </c>
      <c r="C2231" s="15">
        <f>IF(A2231&lt;=Assumptions!$B$13,IF(OR(A2231=0,A2231=Assumptions!$B$13),0.5,1),0)*Assumptions!$B$12</f>
        <v>0</v>
      </c>
      <c r="D2231" s="12">
        <f>D2230*(1-Assumptions!$B$12*(Assumptions!$B$5+Assumptions!$B$6))</f>
        <v>0.51324598027852408</v>
      </c>
      <c r="E2231" s="12">
        <f>E2230+Assumptions!$B$12*(D2230*Assumptions!$B$5-E2230*Assumptions!$B$7)</f>
        <v>0.18427244379086499</v>
      </c>
      <c r="F2231" s="12">
        <f t="shared" si="102"/>
        <v>0.30248157593061092</v>
      </c>
      <c r="G2231" s="12">
        <f>EXP(-Assumptions!$B$8*B2231)</f>
        <v>0.32906499320210003</v>
      </c>
      <c r="H2231" s="12">
        <f t="shared" si="103"/>
        <v>0.16889128501135769</v>
      </c>
      <c r="I2231" s="12">
        <f t="shared" si="104"/>
        <v>6.0637610463375347E-2</v>
      </c>
      <c r="J2231" s="12">
        <f>G2231*(D2231*Assumptions!$B$6+E2231*Assumptions!$B$7)</f>
        <v>4.7207933732823443E-3</v>
      </c>
    </row>
    <row r="2232" spans="1:10" x14ac:dyDescent="0.2">
      <c r="A2232" s="2">
        <v>2224</v>
      </c>
      <c r="B2232" s="14">
        <f>A2232*Assumptions!$B$12</f>
        <v>22.240000000000002</v>
      </c>
      <c r="C2232" s="15">
        <f>IF(A2232&lt;=Assumptions!$B$13,IF(OR(A2232=0,A2232=Assumptions!$B$13),0.5,1),0)*Assumptions!$B$12</f>
        <v>0</v>
      </c>
      <c r="D2232" s="12">
        <f>D2231*(1-Assumptions!$B$12*(Assumptions!$B$5+Assumptions!$B$6))</f>
        <v>0.51309200648444053</v>
      </c>
      <c r="E2232" s="12">
        <f>E2231+Assumptions!$B$12*(D2231*Assumptions!$B$5-E2231*Assumptions!$B$7)</f>
        <v>0.18428295676502526</v>
      </c>
      <c r="F2232" s="12">
        <f t="shared" si="102"/>
        <v>0.3026250367505342</v>
      </c>
      <c r="G2232" s="12">
        <f>EXP(-Assumptions!$B$8*B2232)</f>
        <v>0.3289005018317685</v>
      </c>
      <c r="H2232" s="12">
        <f t="shared" si="103"/>
        <v>0.1687562184186015</v>
      </c>
      <c r="I2232" s="12">
        <f t="shared" si="104"/>
        <v>6.0610756959058903E-2</v>
      </c>
      <c r="J2232" s="12">
        <f>G2232*(D2232*Assumptions!$B$6+E2232*Assumptions!$B$7)</f>
        <v>4.718100032138961E-3</v>
      </c>
    </row>
    <row r="2233" spans="1:10" x14ac:dyDescent="0.2">
      <c r="A2233" s="2">
        <v>2225</v>
      </c>
      <c r="B2233" s="14">
        <f>A2233*Assumptions!$B$12</f>
        <v>22.25</v>
      </c>
      <c r="C2233" s="15">
        <f>IF(A2233&lt;=Assumptions!$B$13,IF(OR(A2233=0,A2233=Assumptions!$B$13),0.5,1),0)*Assumptions!$B$12</f>
        <v>0</v>
      </c>
      <c r="D2233" s="12">
        <f>D2232*(1-Assumptions!$B$12*(Assumptions!$B$5+Assumptions!$B$6))</f>
        <v>0.51293807888249521</v>
      </c>
      <c r="E2233" s="12">
        <f>E2232+Assumptions!$B$12*(D2232*Assumptions!$B$5-E2232*Assumptions!$B$7)</f>
        <v>0.18429343368793963</v>
      </c>
      <c r="F2233" s="12">
        <f t="shared" si="102"/>
        <v>0.30276848742956519</v>
      </c>
      <c r="G2233" s="12">
        <f>EXP(-Assumptions!$B$8*B2233)</f>
        <v>0.32873609268656412</v>
      </c>
      <c r="H2233" s="12">
        <f t="shared" si="103"/>
        <v>0.16862125984198409</v>
      </c>
      <c r="I2233" s="12">
        <f t="shared" si="104"/>
        <v>6.0583903298363682E-2</v>
      </c>
      <c r="J2233" s="12">
        <f>G2233*(D2233*Assumptions!$B$6+E2233*Assumptions!$B$7)</f>
        <v>4.7154077633380252E-3</v>
      </c>
    </row>
    <row r="2234" spans="1:10" x14ac:dyDescent="0.2">
      <c r="A2234" s="2">
        <v>2226</v>
      </c>
      <c r="B2234" s="14">
        <f>A2234*Assumptions!$B$12</f>
        <v>22.26</v>
      </c>
      <c r="C2234" s="15">
        <f>IF(A2234&lt;=Assumptions!$B$13,IF(OR(A2234=0,A2234=Assumptions!$B$13),0.5,1),0)*Assumptions!$B$12</f>
        <v>0</v>
      </c>
      <c r="D2234" s="12">
        <f>D2233*(1-Assumptions!$B$12*(Assumptions!$B$5+Assumptions!$B$6))</f>
        <v>0.51278419745883053</v>
      </c>
      <c r="E2234" s="12">
        <f>E2233+Assumptions!$B$12*(D2233*Assumptions!$B$5-E2233*Assumptions!$B$7)</f>
        <v>0.18430387458687217</v>
      </c>
      <c r="F2234" s="12">
        <f t="shared" si="102"/>
        <v>0.30291192795429733</v>
      </c>
      <c r="G2234" s="12">
        <f>EXP(-Assumptions!$B$8*B2234)</f>
        <v>0.32857176572538455</v>
      </c>
      <c r="H2234" s="12">
        <f t="shared" si="103"/>
        <v>0.1684864091951222</v>
      </c>
      <c r="I2234" s="12">
        <f t="shared" si="104"/>
        <v>6.0557049503038418E-2</v>
      </c>
      <c r="J2234" s="12">
        <f>G2234*(D2234*Assumptions!$B$6+E2234*Assumptions!$B$7)</f>
        <v>4.7127165671031427E-3</v>
      </c>
    </row>
    <row r="2235" spans="1:10" x14ac:dyDescent="0.2">
      <c r="A2235" s="2">
        <v>2227</v>
      </c>
      <c r="B2235" s="14">
        <f>A2235*Assumptions!$B$12</f>
        <v>22.27</v>
      </c>
      <c r="C2235" s="15">
        <f>IF(A2235&lt;=Assumptions!$B$13,IF(OR(A2235=0,A2235=Assumptions!$B$13),0.5,1),0)*Assumptions!$B$12</f>
        <v>0</v>
      </c>
      <c r="D2235" s="12">
        <f>D2234*(1-Assumptions!$B$12*(Assumptions!$B$5+Assumptions!$B$6))</f>
        <v>0.5126303621995929</v>
      </c>
      <c r="E2235" s="12">
        <f>E2234+Assumptions!$B$12*(D2234*Assumptions!$B$5-E2234*Assumptions!$B$7)</f>
        <v>0.1843142794890705</v>
      </c>
      <c r="F2235" s="12">
        <f t="shared" si="102"/>
        <v>0.30305535831133656</v>
      </c>
      <c r="G2235" s="12">
        <f>EXP(-Assumptions!$B$8*B2235)</f>
        <v>0.32840752090714825</v>
      </c>
      <c r="H2235" s="12">
        <f t="shared" si="103"/>
        <v>0.16835166639170179</v>
      </c>
      <c r="I2235" s="12">
        <f t="shared" si="104"/>
        <v>6.053019559479289E-2</v>
      </c>
      <c r="J2235" s="12">
        <f>G2235*(D2235*Assumptions!$B$6+E2235*Assumptions!$B$7)</f>
        <v>4.7100264436566626E-3</v>
      </c>
    </row>
    <row r="2236" spans="1:10" x14ac:dyDescent="0.2">
      <c r="A2236" s="2">
        <v>2228</v>
      </c>
      <c r="B2236" s="14">
        <f>A2236*Assumptions!$B$12</f>
        <v>22.28</v>
      </c>
      <c r="C2236" s="15">
        <f>IF(A2236&lt;=Assumptions!$B$13,IF(OR(A2236=0,A2236=Assumptions!$B$13),0.5,1),0)*Assumptions!$B$12</f>
        <v>0</v>
      </c>
      <c r="D2236" s="12">
        <f>D2235*(1-Assumptions!$B$12*(Assumptions!$B$5+Assumptions!$B$6))</f>
        <v>0.51247657309093309</v>
      </c>
      <c r="E2236" s="12">
        <f>E2235+Assumptions!$B$12*(D2235*Assumptions!$B$5-E2235*Assumptions!$B$7)</f>
        <v>0.18432464842176588</v>
      </c>
      <c r="F2236" s="12">
        <f t="shared" si="102"/>
        <v>0.30319877848730103</v>
      </c>
      <c r="G2236" s="12">
        <f>EXP(-Assumptions!$B$8*B2236)</f>
        <v>0.32824335819079375</v>
      </c>
      <c r="H2236" s="12">
        <f t="shared" si="103"/>
        <v>0.16821703134547764</v>
      </c>
      <c r="I2236" s="12">
        <f t="shared" si="104"/>
        <v>6.0503341595297827E-2</v>
      </c>
      <c r="J2236" s="12">
        <f>G2236*(D2236*Assumptions!$B$6+E2236*Assumptions!$B$7)</f>
        <v>4.7073373932196676E-3</v>
      </c>
    </row>
    <row r="2237" spans="1:10" x14ac:dyDescent="0.2">
      <c r="A2237" s="2">
        <v>2229</v>
      </c>
      <c r="B2237" s="14">
        <f>A2237*Assumptions!$B$12</f>
        <v>22.29</v>
      </c>
      <c r="C2237" s="15">
        <f>IF(A2237&lt;=Assumptions!$B$13,IF(OR(A2237=0,A2237=Assumptions!$B$13),0.5,1),0)*Assumptions!$B$12</f>
        <v>0</v>
      </c>
      <c r="D2237" s="12">
        <f>D2236*(1-Assumptions!$B$12*(Assumptions!$B$5+Assumptions!$B$6))</f>
        <v>0.51232283011900581</v>
      </c>
      <c r="E2237" s="12">
        <f>E2236+Assumptions!$B$12*(D2236*Assumptions!$B$5-E2236*Assumptions!$B$7)</f>
        <v>0.18433498141217319</v>
      </c>
      <c r="F2237" s="12">
        <f t="shared" si="102"/>
        <v>0.30334218846882099</v>
      </c>
      <c r="G2237" s="12">
        <f>EXP(-Assumptions!$B$8*B2237)</f>
        <v>0.3280792775352806</v>
      </c>
      <c r="H2237" s="12">
        <f t="shared" si="103"/>
        <v>0.16808250397027372</v>
      </c>
      <c r="I2237" s="12">
        <f t="shared" si="104"/>
        <v>6.047648752618516E-2</v>
      </c>
      <c r="J2237" s="12">
        <f>G2237*(D2237*Assumptions!$B$6+E2237*Assumptions!$B$7)</f>
        <v>4.7046494160119948E-3</v>
      </c>
    </row>
    <row r="2238" spans="1:10" x14ac:dyDescent="0.2">
      <c r="A2238" s="2">
        <v>2230</v>
      </c>
      <c r="B2238" s="14">
        <f>A2238*Assumptions!$B$12</f>
        <v>22.3</v>
      </c>
      <c r="C2238" s="15">
        <f>IF(A2238&lt;=Assumptions!$B$13,IF(OR(A2238=0,A2238=Assumptions!$B$13),0.5,1),0)*Assumptions!$B$12</f>
        <v>0</v>
      </c>
      <c r="D2238" s="12">
        <f>D2237*(1-Assumptions!$B$12*(Assumptions!$B$5+Assumptions!$B$6))</f>
        <v>0.51216913326997016</v>
      </c>
      <c r="E2238" s="12">
        <f>E2237+Assumptions!$B$12*(D2237*Assumptions!$B$5-E2237*Assumptions!$B$7)</f>
        <v>0.18434527848749091</v>
      </c>
      <c r="F2238" s="12">
        <f t="shared" si="102"/>
        <v>0.30348558824253891</v>
      </c>
      <c r="G2238" s="12">
        <f>EXP(-Assumptions!$B$8*B2238)</f>
        <v>0.32791527889958855</v>
      </c>
      <c r="H2238" s="12">
        <f t="shared" si="103"/>
        <v>0.1679480841799828</v>
      </c>
      <c r="I2238" s="12">
        <f t="shared" si="104"/>
        <v>6.0449633409047902E-2</v>
      </c>
      <c r="J2238" s="12">
        <f>G2238*(D2238*Assumptions!$B$6+E2238*Assumptions!$B$7)</f>
        <v>4.7019625122522229E-3</v>
      </c>
    </row>
    <row r="2239" spans="1:10" x14ac:dyDescent="0.2">
      <c r="A2239" s="2">
        <v>2231</v>
      </c>
      <c r="B2239" s="14">
        <f>A2239*Assumptions!$B$12</f>
        <v>22.31</v>
      </c>
      <c r="C2239" s="15">
        <f>IF(A2239&lt;=Assumptions!$B$13,IF(OR(A2239=0,A2239=Assumptions!$B$13),0.5,1),0)*Assumptions!$B$12</f>
        <v>0</v>
      </c>
      <c r="D2239" s="12">
        <f>D2238*(1-Assumptions!$B$12*(Assumptions!$B$5+Assumptions!$B$6))</f>
        <v>0.51201548252998919</v>
      </c>
      <c r="E2239" s="12">
        <f>E2238+Assumptions!$B$12*(D2238*Assumptions!$B$5-E2238*Assumptions!$B$7)</f>
        <v>0.18435553967490115</v>
      </c>
      <c r="F2239" s="12">
        <f t="shared" si="102"/>
        <v>0.30362897779510967</v>
      </c>
      <c r="G2239" s="12">
        <f>EXP(-Assumptions!$B$8*B2239)</f>
        <v>0.32775136224271795</v>
      </c>
      <c r="H2239" s="12">
        <f t="shared" si="103"/>
        <v>0.1678137718885665</v>
      </c>
      <c r="I2239" s="12">
        <f t="shared" si="104"/>
        <v>6.0422779265440284E-2</v>
      </c>
      <c r="J2239" s="12">
        <f>G2239*(D2239*Assumptions!$B$6+E2239*Assumptions!$B$7)</f>
        <v>4.6992766821576798E-3</v>
      </c>
    </row>
    <row r="2240" spans="1:10" x14ac:dyDescent="0.2">
      <c r="A2240" s="2">
        <v>2232</v>
      </c>
      <c r="B2240" s="14">
        <f>A2240*Assumptions!$B$12</f>
        <v>22.32</v>
      </c>
      <c r="C2240" s="15">
        <f>IF(A2240&lt;=Assumptions!$B$13,IF(OR(A2240=0,A2240=Assumptions!$B$13),0.5,1),0)*Assumptions!$B$12</f>
        <v>0</v>
      </c>
      <c r="D2240" s="12">
        <f>D2239*(1-Assumptions!$B$12*(Assumptions!$B$5+Assumptions!$B$6))</f>
        <v>0.51186187788523019</v>
      </c>
      <c r="E2240" s="12">
        <f>E2239+Assumptions!$B$12*(D2239*Assumptions!$B$5-E2239*Assumptions!$B$7)</f>
        <v>0.1843657650015697</v>
      </c>
      <c r="F2240" s="12">
        <f t="shared" si="102"/>
        <v>0.30377235711320011</v>
      </c>
      <c r="G2240" s="12">
        <f>EXP(-Assumptions!$B$8*B2240)</f>
        <v>0.32758752752368953</v>
      </c>
      <c r="H2240" s="12">
        <f t="shared" si="103"/>
        <v>0.16767956701005526</v>
      </c>
      <c r="I2240" s="12">
        <f t="shared" si="104"/>
        <v>6.0395925116877788E-2</v>
      </c>
      <c r="J2240" s="12">
        <f>G2240*(D2240*Assumptions!$B$6+E2240*Assumptions!$B$7)</f>
        <v>4.6965919259444426E-3</v>
      </c>
    </row>
    <row r="2241" spans="1:10" x14ac:dyDescent="0.2">
      <c r="A2241" s="2">
        <v>2233</v>
      </c>
      <c r="B2241" s="14">
        <f>A2241*Assumptions!$B$12</f>
        <v>22.330000000000002</v>
      </c>
      <c r="C2241" s="15">
        <f>IF(A2241&lt;=Assumptions!$B$13,IF(OR(A2241=0,A2241=Assumptions!$B$13),0.5,1),0)*Assumptions!$B$12</f>
        <v>0</v>
      </c>
      <c r="D2241" s="12">
        <f>D2240*(1-Assumptions!$B$12*(Assumptions!$B$5+Assumptions!$B$6))</f>
        <v>0.51170831932186467</v>
      </c>
      <c r="E2241" s="12">
        <f>E2240+Assumptions!$B$12*(D2240*Assumptions!$B$5-E2240*Assumptions!$B$7)</f>
        <v>0.18437595449464597</v>
      </c>
      <c r="F2241" s="12">
        <f t="shared" si="102"/>
        <v>0.30391572618348939</v>
      </c>
      <c r="G2241" s="12">
        <f>EXP(-Assumptions!$B$8*B2241)</f>
        <v>0.32742377470154471</v>
      </c>
      <c r="H2241" s="12">
        <f t="shared" si="103"/>
        <v>0.16754546945854831</v>
      </c>
      <c r="I2241" s="12">
        <f t="shared" si="104"/>
        <v>6.0369070984837223E-2</v>
      </c>
      <c r="J2241" s="12">
        <f>G2241*(D2241*Assumptions!$B$6+E2241*Assumptions!$B$7)</f>
        <v>4.6939082438273447E-3</v>
      </c>
    </row>
    <row r="2242" spans="1:10" x14ac:dyDescent="0.2">
      <c r="A2242" s="2">
        <v>2234</v>
      </c>
      <c r="B2242" s="14">
        <f>A2242*Assumptions!$B$12</f>
        <v>22.34</v>
      </c>
      <c r="C2242" s="15">
        <f>IF(A2242&lt;=Assumptions!$B$13,IF(OR(A2242=0,A2242=Assumptions!$B$13),0.5,1),0)*Assumptions!$B$12</f>
        <v>0</v>
      </c>
      <c r="D2242" s="12">
        <f>D2241*(1-Assumptions!$B$12*(Assumptions!$B$5+Assumptions!$B$6))</f>
        <v>0.51155480682606813</v>
      </c>
      <c r="E2242" s="12">
        <f>E2241+Assumptions!$B$12*(D2241*Assumptions!$B$5-E2241*Assumptions!$B$7)</f>
        <v>0.18438610818126303</v>
      </c>
      <c r="F2242" s="12">
        <f t="shared" si="102"/>
        <v>0.30405908499266887</v>
      </c>
      <c r="G2242" s="12">
        <f>EXP(-Assumptions!$B$8*B2242)</f>
        <v>0.32726010373534531</v>
      </c>
      <c r="H2242" s="12">
        <f t="shared" si="103"/>
        <v>0.16741147914821358</v>
      </c>
      <c r="I2242" s="12">
        <f t="shared" si="104"/>
        <v>6.0342216890756743E-2</v>
      </c>
      <c r="J2242" s="12">
        <f>G2242*(D2242*Assumptions!$B$6+E2242*Assumptions!$B$7)</f>
        <v>4.6912256360199731E-3</v>
      </c>
    </row>
    <row r="2243" spans="1:10" x14ac:dyDescent="0.2">
      <c r="A2243" s="2">
        <v>2235</v>
      </c>
      <c r="B2243" s="14">
        <f>A2243*Assumptions!$B$12</f>
        <v>22.35</v>
      </c>
      <c r="C2243" s="15">
        <f>IF(A2243&lt;=Assumptions!$B$13,IF(OR(A2243=0,A2243=Assumptions!$B$13),0.5,1),0)*Assumptions!$B$12</f>
        <v>0</v>
      </c>
      <c r="D2243" s="12">
        <f>D2242*(1-Assumptions!$B$12*(Assumptions!$B$5+Assumptions!$B$6))</f>
        <v>0.5114013403840203</v>
      </c>
      <c r="E2243" s="12">
        <f>E2242+Assumptions!$B$12*(D2242*Assumptions!$B$5-E2242*Assumptions!$B$7)</f>
        <v>0.18439622608853762</v>
      </c>
      <c r="F2243" s="12">
        <f t="shared" si="102"/>
        <v>0.30420243352744208</v>
      </c>
      <c r="G2243" s="12">
        <f>EXP(-Assumptions!$B$8*B2243)</f>
        <v>0.32709651458417349</v>
      </c>
      <c r="H2243" s="12">
        <f t="shared" si="103"/>
        <v>0.16727759599328756</v>
      </c>
      <c r="I2243" s="12">
        <f t="shared" si="104"/>
        <v>6.0315362856035899E-2</v>
      </c>
      <c r="J2243" s="12">
        <f>G2243*(D2243*Assumptions!$B$6+E2243*Assumptions!$B$7)</f>
        <v>4.6885441027346708E-3</v>
      </c>
    </row>
    <row r="2244" spans="1:10" x14ac:dyDescent="0.2">
      <c r="A2244" s="2">
        <v>2236</v>
      </c>
      <c r="B2244" s="14">
        <f>A2244*Assumptions!$B$12</f>
        <v>22.36</v>
      </c>
      <c r="C2244" s="15">
        <f>IF(A2244&lt;=Assumptions!$B$13,IF(OR(A2244=0,A2244=Assumptions!$B$13),0.5,1),0)*Assumptions!$B$12</f>
        <v>0</v>
      </c>
      <c r="D2244" s="12">
        <f>D2243*(1-Assumptions!$B$12*(Assumptions!$B$5+Assumptions!$B$6))</f>
        <v>0.51124791998190511</v>
      </c>
      <c r="E2244" s="12">
        <f>E2243+Assumptions!$B$12*(D2243*Assumptions!$B$5-E2243*Assumptions!$B$7)</f>
        <v>0.18440630824357016</v>
      </c>
      <c r="F2244" s="12">
        <f t="shared" si="102"/>
        <v>0.30434577177452471</v>
      </c>
      <c r="G2244" s="12">
        <f>EXP(-Assumptions!$B$8*B2244)</f>
        <v>0.32693300720713209</v>
      </c>
      <c r="H2244" s="12">
        <f t="shared" si="103"/>
        <v>0.16714381990807547</v>
      </c>
      <c r="I2244" s="12">
        <f t="shared" si="104"/>
        <v>6.0288508902035742E-2</v>
      </c>
      <c r="J2244" s="12">
        <f>G2244*(D2244*Assumptions!$B$6+E2244*Assumptions!$B$7)</f>
        <v>4.6858636441825417E-3</v>
      </c>
    </row>
    <row r="2245" spans="1:10" x14ac:dyDescent="0.2">
      <c r="A2245" s="2">
        <v>2237</v>
      </c>
      <c r="B2245" s="14">
        <f>A2245*Assumptions!$B$12</f>
        <v>22.37</v>
      </c>
      <c r="C2245" s="15">
        <f>IF(A2245&lt;=Assumptions!$B$13,IF(OR(A2245=0,A2245=Assumptions!$B$13),0.5,1),0)*Assumptions!$B$12</f>
        <v>0</v>
      </c>
      <c r="D2245" s="12">
        <f>D2244*(1-Assumptions!$B$12*(Assumptions!$B$5+Assumptions!$B$6))</f>
        <v>0.5110945456059105</v>
      </c>
      <c r="E2245" s="12">
        <f>E2244+Assumptions!$B$12*(D2244*Assumptions!$B$5-E2244*Assumptions!$B$7)</f>
        <v>0.18441635467344475</v>
      </c>
      <c r="F2245" s="12">
        <f t="shared" si="102"/>
        <v>0.30448909972064475</v>
      </c>
      <c r="G2245" s="12">
        <f>EXP(-Assumptions!$B$8*B2245)</f>
        <v>0.32676958156334418</v>
      </c>
      <c r="H2245" s="12">
        <f t="shared" si="103"/>
        <v>0.16701015080695089</v>
      </c>
      <c r="I2245" s="12">
        <f t="shared" si="104"/>
        <v>6.0261655050078813E-2</v>
      </c>
      <c r="J2245" s="12">
        <f>G2245*(D2245*Assumptions!$B$6+E2245*Assumptions!$B$7)</f>
        <v>4.6831842605734499E-3</v>
      </c>
    </row>
    <row r="2246" spans="1:10" x14ac:dyDescent="0.2">
      <c r="A2246" s="2">
        <v>2238</v>
      </c>
      <c r="B2246" s="14">
        <f>A2246*Assumptions!$B$12</f>
        <v>22.38</v>
      </c>
      <c r="C2246" s="15">
        <f>IF(A2246&lt;=Assumptions!$B$13,IF(OR(A2246=0,A2246=Assumptions!$B$13),0.5,1),0)*Assumptions!$B$12</f>
        <v>0</v>
      </c>
      <c r="D2246" s="12">
        <f>D2245*(1-Assumptions!$B$12*(Assumptions!$B$5+Assumptions!$B$6))</f>
        <v>0.51094121724222874</v>
      </c>
      <c r="E2246" s="12">
        <f>E2245+Assumptions!$B$12*(D2245*Assumptions!$B$5-E2245*Assumptions!$B$7)</f>
        <v>0.18442636540522922</v>
      </c>
      <c r="F2246" s="12">
        <f t="shared" si="102"/>
        <v>0.30463241735254204</v>
      </c>
      <c r="G2246" s="12">
        <f>EXP(-Assumptions!$B$8*B2246)</f>
        <v>0.3266062376119534</v>
      </c>
      <c r="H2246" s="12">
        <f t="shared" si="103"/>
        <v>0.16687658860435606</v>
      </c>
      <c r="I2246" s="12">
        <f t="shared" si="104"/>
        <v>6.023480132144924E-2</v>
      </c>
      <c r="J2246" s="12">
        <f>G2246*(D2246*Assumptions!$B$6+E2246*Assumptions!$B$7)</f>
        <v>4.6805059521160229E-3</v>
      </c>
    </row>
    <row r="2247" spans="1:10" x14ac:dyDescent="0.2">
      <c r="A2247" s="2">
        <v>2239</v>
      </c>
      <c r="B2247" s="14">
        <f>A2247*Assumptions!$B$12</f>
        <v>22.39</v>
      </c>
      <c r="C2247" s="15">
        <f>IF(A2247&lt;=Assumptions!$B$13,IF(OR(A2247=0,A2247=Assumptions!$B$13),0.5,1),0)*Assumptions!$B$12</f>
        <v>0</v>
      </c>
      <c r="D2247" s="12">
        <f>D2246*(1-Assumptions!$B$12*(Assumptions!$B$5+Assumptions!$B$6))</f>
        <v>0.51078793487705609</v>
      </c>
      <c r="E2247" s="12">
        <f>E2246+Assumptions!$B$12*(D2246*Assumptions!$B$5-E2246*Assumptions!$B$7)</f>
        <v>0.18443634046597504</v>
      </c>
      <c r="F2247" s="12">
        <f t="shared" si="102"/>
        <v>0.30477572465696889</v>
      </c>
      <c r="G2247" s="12">
        <f>EXP(-Assumptions!$B$8*B2247)</f>
        <v>0.32644297531212363</v>
      </c>
      <c r="H2247" s="12">
        <f t="shared" si="103"/>
        <v>0.16674313321480144</v>
      </c>
      <c r="I2247" s="12">
        <f t="shared" si="104"/>
        <v>6.0207947737392721E-2</v>
      </c>
      <c r="J2247" s="12">
        <f>G2247*(D2247*Assumptions!$B$6+E2247*Assumptions!$B$7)</f>
        <v>4.6778287190176503E-3</v>
      </c>
    </row>
    <row r="2248" spans="1:10" x14ac:dyDescent="0.2">
      <c r="A2248" s="2">
        <v>2240</v>
      </c>
      <c r="B2248" s="14">
        <f>A2248*Assumptions!$B$12</f>
        <v>22.400000000000002</v>
      </c>
      <c r="C2248" s="15">
        <f>IF(A2248&lt;=Assumptions!$B$13,IF(OR(A2248=0,A2248=Assumptions!$B$13),0.5,1),0)*Assumptions!$B$12</f>
        <v>0</v>
      </c>
      <c r="D2248" s="12">
        <f>D2247*(1-Assumptions!$B$12*(Assumptions!$B$5+Assumptions!$B$6))</f>
        <v>0.51063469849659304</v>
      </c>
      <c r="E2248" s="12">
        <f>E2247+Assumptions!$B$12*(D2247*Assumptions!$B$5-E2247*Assumptions!$B$7)</f>
        <v>0.18444627988271747</v>
      </c>
      <c r="F2248" s="12">
        <f t="shared" ref="F2248:F2311" si="105">1-D2248-E2248</f>
        <v>0.30491902162068951</v>
      </c>
      <c r="G2248" s="12">
        <f>EXP(-Assumptions!$B$8*B2248)</f>
        <v>0.32627979462303947</v>
      </c>
      <c r="H2248" s="12">
        <f t="shared" ref="H2248:H2311" si="106">G2248*D2248</f>
        <v>0.16660978455286607</v>
      </c>
      <c r="I2248" s="12">
        <f t="shared" ref="I2248:I2311" si="107">G2248*E2248</f>
        <v>6.018109431911671E-2</v>
      </c>
      <c r="J2248" s="12">
        <f>G2248*(D2248*Assumptions!$B$6+E2248*Assumptions!$B$7)</f>
        <v>4.6751525614844962E-3</v>
      </c>
    </row>
    <row r="2249" spans="1:10" x14ac:dyDescent="0.2">
      <c r="A2249" s="2">
        <v>2241</v>
      </c>
      <c r="B2249" s="14">
        <f>A2249*Assumptions!$B$12</f>
        <v>22.41</v>
      </c>
      <c r="C2249" s="15">
        <f>IF(A2249&lt;=Assumptions!$B$13,IF(OR(A2249=0,A2249=Assumptions!$B$13),0.5,1),0)*Assumptions!$B$12</f>
        <v>0</v>
      </c>
      <c r="D2249" s="12">
        <f>D2248*(1-Assumptions!$B$12*(Assumptions!$B$5+Assumptions!$B$6))</f>
        <v>0.51048150808704407</v>
      </c>
      <c r="E2249" s="12">
        <f>E2248+Assumptions!$B$12*(D2248*Assumptions!$B$5-E2248*Assumptions!$B$7)</f>
        <v>0.18445618368247543</v>
      </c>
      <c r="F2249" s="12">
        <f t="shared" si="105"/>
        <v>0.30506230823048053</v>
      </c>
      <c r="G2249" s="12">
        <f>EXP(-Assumptions!$B$8*B2249)</f>
        <v>0.32611669550390565</v>
      </c>
      <c r="H2249" s="12">
        <f t="shared" si="106"/>
        <v>0.1664765425331971</v>
      </c>
      <c r="I2249" s="12">
        <f t="shared" si="107"/>
        <v>6.0154241087790328E-2</v>
      </c>
      <c r="J2249" s="12">
        <f>G2249*(D2249*Assumptions!$B$6+E2249*Assumptions!$B$7)</f>
        <v>4.6724774797214878E-3</v>
      </c>
    </row>
    <row r="2250" spans="1:10" x14ac:dyDescent="0.2">
      <c r="A2250" s="2">
        <v>2242</v>
      </c>
      <c r="B2250" s="14">
        <f>A2250*Assumptions!$B$12</f>
        <v>22.42</v>
      </c>
      <c r="C2250" s="15">
        <f>IF(A2250&lt;=Assumptions!$B$13,IF(OR(A2250=0,A2250=Assumptions!$B$13),0.5,1),0)*Assumptions!$B$12</f>
        <v>0</v>
      </c>
      <c r="D2250" s="12">
        <f>D2249*(1-Assumptions!$B$12*(Assumptions!$B$5+Assumptions!$B$6))</f>
        <v>0.51032836363461798</v>
      </c>
      <c r="E2250" s="12">
        <f>E2249+Assumptions!$B$12*(D2249*Assumptions!$B$5-E2249*Assumptions!$B$7)</f>
        <v>0.1844660518922516</v>
      </c>
      <c r="F2250" s="12">
        <f t="shared" si="105"/>
        <v>0.3052055844731304</v>
      </c>
      <c r="G2250" s="12">
        <f>EXP(-Assumptions!$B$8*B2250)</f>
        <v>0.3259536779139473</v>
      </c>
      <c r="H2250" s="12">
        <f t="shared" si="106"/>
        <v>0.16634340707051004</v>
      </c>
      <c r="I2250" s="12">
        <f t="shared" si="107"/>
        <v>6.0127388064544464E-2</v>
      </c>
      <c r="J2250" s="12">
        <f>G2250*(D2250*Assumptions!$B$6+E2250*Assumptions!$B$7)</f>
        <v>4.6698034739323241E-3</v>
      </c>
    </row>
    <row r="2251" spans="1:10" x14ac:dyDescent="0.2">
      <c r="A2251" s="2">
        <v>2243</v>
      </c>
      <c r="B2251" s="14">
        <f>A2251*Assumptions!$B$12</f>
        <v>22.43</v>
      </c>
      <c r="C2251" s="15">
        <f>IF(A2251&lt;=Assumptions!$B$13,IF(OR(A2251=0,A2251=Assumptions!$B$13),0.5,1),0)*Assumptions!$B$12</f>
        <v>0</v>
      </c>
      <c r="D2251" s="12">
        <f>D2250*(1-Assumptions!$B$12*(Assumptions!$B$5+Assumptions!$B$6))</f>
        <v>0.51017526512552758</v>
      </c>
      <c r="E2251" s="12">
        <f>E2250+Assumptions!$B$12*(D2250*Assumptions!$B$5-E2250*Assumptions!$B$7)</f>
        <v>0.18447588453903241</v>
      </c>
      <c r="F2251" s="12">
        <f t="shared" si="105"/>
        <v>0.30534885033544001</v>
      </c>
      <c r="G2251" s="12">
        <f>EXP(-Assumptions!$B$8*B2251)</f>
        <v>0.3257907418124103</v>
      </c>
      <c r="H2251" s="12">
        <f t="shared" si="106"/>
        <v>0.16621037807958872</v>
      </c>
      <c r="I2251" s="12">
        <f t="shared" si="107"/>
        <v>6.0100535270471919E-2</v>
      </c>
      <c r="J2251" s="12">
        <f>G2251*(D2251*Assumptions!$B$6+E2251*Assumptions!$B$7)</f>
        <v>4.6671305443194838E-3</v>
      </c>
    </row>
    <row r="2252" spans="1:10" x14ac:dyDescent="0.2">
      <c r="A2252" s="2">
        <v>2244</v>
      </c>
      <c r="B2252" s="14">
        <f>A2252*Assumptions!$B$12</f>
        <v>22.44</v>
      </c>
      <c r="C2252" s="15">
        <f>IF(A2252&lt;=Assumptions!$B$13,IF(OR(A2252=0,A2252=Assumptions!$B$13),0.5,1),0)*Assumptions!$B$12</f>
        <v>0</v>
      </c>
      <c r="D2252" s="12">
        <f>D2251*(1-Assumptions!$B$12*(Assumptions!$B$5+Assumptions!$B$6))</f>
        <v>0.51002221254598989</v>
      </c>
      <c r="E2252" s="12">
        <f>E2251+Assumptions!$B$12*(D2251*Assumptions!$B$5-E2251*Assumptions!$B$7)</f>
        <v>0.18448568164978799</v>
      </c>
      <c r="F2252" s="12">
        <f t="shared" si="105"/>
        <v>0.30549210580422215</v>
      </c>
      <c r="G2252" s="12">
        <f>EXP(-Assumptions!$B$8*B2252)</f>
        <v>0.32562788715856034</v>
      </c>
      <c r="H2252" s="12">
        <f t="shared" si="106"/>
        <v>0.16607745547528488</v>
      </c>
      <c r="I2252" s="12">
        <f t="shared" si="107"/>
        <v>6.0073682726627248E-2</v>
      </c>
      <c r="J2252" s="12">
        <f>G2252*(D2252*Assumptions!$B$6+E2252*Assumptions!$B$7)</f>
        <v>4.6644586910842114E-3</v>
      </c>
    </row>
    <row r="2253" spans="1:10" x14ac:dyDescent="0.2">
      <c r="A2253" s="2">
        <v>2245</v>
      </c>
      <c r="B2253" s="14">
        <f>A2253*Assumptions!$B$12</f>
        <v>22.45</v>
      </c>
      <c r="C2253" s="15">
        <f>IF(A2253&lt;=Assumptions!$B$13,IF(OR(A2253=0,A2253=Assumptions!$B$13),0.5,1),0)*Assumptions!$B$12</f>
        <v>0</v>
      </c>
      <c r="D2253" s="12">
        <f>D2252*(1-Assumptions!$B$12*(Assumptions!$B$5+Assumptions!$B$6))</f>
        <v>0.50986920588222606</v>
      </c>
      <c r="E2253" s="12">
        <f>E2252+Assumptions!$B$12*(D2252*Assumptions!$B$5-E2252*Assumptions!$B$7)</f>
        <v>0.1844954432514723</v>
      </c>
      <c r="F2253" s="12">
        <f t="shared" si="105"/>
        <v>0.30563535086630167</v>
      </c>
      <c r="G2253" s="12">
        <f>EXP(-Assumptions!$B$8*B2253)</f>
        <v>0.32546511391168387</v>
      </c>
      <c r="H2253" s="12">
        <f t="shared" si="106"/>
        <v>0.1659446391725185</v>
      </c>
      <c r="I2253" s="12">
        <f t="shared" si="107"/>
        <v>6.0046830454027041E-2</v>
      </c>
      <c r="J2253" s="12">
        <f>G2253*(D2253*Assumptions!$B$6+E2253*Assumptions!$B$7)</f>
        <v>4.6617879144265368E-3</v>
      </c>
    </row>
    <row r="2254" spans="1:10" x14ac:dyDescent="0.2">
      <c r="A2254" s="2">
        <v>2246</v>
      </c>
      <c r="B2254" s="14">
        <f>A2254*Assumptions!$B$12</f>
        <v>22.46</v>
      </c>
      <c r="C2254" s="15">
        <f>IF(A2254&lt;=Assumptions!$B$13,IF(OR(A2254=0,A2254=Assumptions!$B$13),0.5,1),0)*Assumptions!$B$12</f>
        <v>0</v>
      </c>
      <c r="D2254" s="12">
        <f>D2253*(1-Assumptions!$B$12*(Assumptions!$B$5+Assumptions!$B$6))</f>
        <v>0.50971624512046143</v>
      </c>
      <c r="E2254" s="12">
        <f>E2253+Assumptions!$B$12*(D2253*Assumptions!$B$5-E2253*Assumptions!$B$7)</f>
        <v>0.18450516937102301</v>
      </c>
      <c r="F2254" s="12">
        <f t="shared" si="105"/>
        <v>0.30577858550851555</v>
      </c>
      <c r="G2254" s="12">
        <f>EXP(-Assumptions!$B$8*B2254)</f>
        <v>0.32530242203108761</v>
      </c>
      <c r="H2254" s="12">
        <f t="shared" si="106"/>
        <v>0.16581192908627765</v>
      </c>
      <c r="I2254" s="12">
        <f t="shared" si="107"/>
        <v>6.0019978473649829E-2</v>
      </c>
      <c r="J2254" s="12">
        <f>G2254*(D2254*Assumptions!$B$6+E2254*Assumptions!$B$7)</f>
        <v>4.6591182145452681E-3</v>
      </c>
    </row>
    <row r="2255" spans="1:10" x14ac:dyDescent="0.2">
      <c r="A2255" s="2">
        <v>2247</v>
      </c>
      <c r="B2255" s="14">
        <f>A2255*Assumptions!$B$12</f>
        <v>22.47</v>
      </c>
      <c r="C2255" s="15">
        <f>IF(A2255&lt;=Assumptions!$B$13,IF(OR(A2255=0,A2255=Assumptions!$B$13),0.5,1),0)*Assumptions!$B$12</f>
        <v>0</v>
      </c>
      <c r="D2255" s="12">
        <f>D2254*(1-Assumptions!$B$12*(Assumptions!$B$5+Assumptions!$B$6))</f>
        <v>0.50956333024692535</v>
      </c>
      <c r="E2255" s="12">
        <f>E2254+Assumptions!$B$12*(D2254*Assumptions!$B$5-E2254*Assumptions!$B$7)</f>
        <v>0.18451486003536161</v>
      </c>
      <c r="F2255" s="12">
        <f t="shared" si="105"/>
        <v>0.30592180971771304</v>
      </c>
      <c r="G2255" s="12">
        <f>EXP(-Assumptions!$B$8*B2255)</f>
        <v>0.32513981147609855</v>
      </c>
      <c r="H2255" s="12">
        <f t="shared" si="106"/>
        <v>0.16567932513161826</v>
      </c>
      <c r="I2255" s="12">
        <f t="shared" si="107"/>
        <v>5.9993126806436183E-2</v>
      </c>
      <c r="J2255" s="12">
        <f>G2255*(D2255*Assumptions!$B$6+E2255*Assumptions!$B$7)</f>
        <v>4.6564495916379912E-3</v>
      </c>
    </row>
    <row r="2256" spans="1:10" x14ac:dyDescent="0.2">
      <c r="A2256" s="2">
        <v>2248</v>
      </c>
      <c r="B2256" s="14">
        <f>A2256*Assumptions!$B$12</f>
        <v>22.48</v>
      </c>
      <c r="C2256" s="15">
        <f>IF(A2256&lt;=Assumptions!$B$13,IF(OR(A2256=0,A2256=Assumptions!$B$13),0.5,1),0)*Assumptions!$B$12</f>
        <v>0</v>
      </c>
      <c r="D2256" s="12">
        <f>D2255*(1-Assumptions!$B$12*(Assumptions!$B$5+Assumptions!$B$6))</f>
        <v>0.50941046124785128</v>
      </c>
      <c r="E2256" s="12">
        <f>E2255+Assumptions!$B$12*(D2255*Assumptions!$B$5-E2255*Assumptions!$B$7)</f>
        <v>0.1845245152713933</v>
      </c>
      <c r="F2256" s="12">
        <f t="shared" si="105"/>
        <v>0.30606502348075543</v>
      </c>
      <c r="G2256" s="12">
        <f>EXP(-Assumptions!$B$8*B2256)</f>
        <v>0.32497728220606398</v>
      </c>
      <c r="H2256" s="12">
        <f t="shared" si="106"/>
        <v>0.16554682722366418</v>
      </c>
      <c r="I2256" s="12">
        <f t="shared" si="107"/>
        <v>5.9966275473288741E-2</v>
      </c>
      <c r="J2256" s="12">
        <f>G2256*(D2256*Assumptions!$B$6+E2256*Assumptions!$B$7)</f>
        <v>4.6537820459010793E-3</v>
      </c>
    </row>
    <row r="2257" spans="1:10" x14ac:dyDescent="0.2">
      <c r="A2257" s="2">
        <v>2249</v>
      </c>
      <c r="B2257" s="14">
        <f>A2257*Assumptions!$B$12</f>
        <v>22.490000000000002</v>
      </c>
      <c r="C2257" s="15">
        <f>IF(A2257&lt;=Assumptions!$B$13,IF(OR(A2257=0,A2257=Assumptions!$B$13),0.5,1),0)*Assumptions!$B$12</f>
        <v>0</v>
      </c>
      <c r="D2257" s="12">
        <f>D2256*(1-Assumptions!$B$12*(Assumptions!$B$5+Assumptions!$B$6))</f>
        <v>0.50925763810947688</v>
      </c>
      <c r="E2257" s="12">
        <f>E2256+Assumptions!$B$12*(D2256*Assumptions!$B$5-E2256*Assumptions!$B$7)</f>
        <v>0.18453413510600716</v>
      </c>
      <c r="F2257" s="12">
        <f t="shared" si="105"/>
        <v>0.30620822678451598</v>
      </c>
      <c r="G2257" s="12">
        <f>EXP(-Assumptions!$B$8*B2257)</f>
        <v>0.32481483418035173</v>
      </c>
      <c r="H2257" s="12">
        <f t="shared" si="106"/>
        <v>0.1654144352776073</v>
      </c>
      <c r="I2257" s="12">
        <f t="shared" si="107"/>
        <v>5.9939424495072342E-2</v>
      </c>
      <c r="J2257" s="12">
        <f>G2257*(D2257*Assumptions!$B$6+E2257*Assumptions!$B$7)</f>
        <v>4.6511155775296898E-3</v>
      </c>
    </row>
    <row r="2258" spans="1:10" x14ac:dyDescent="0.2">
      <c r="A2258" s="2">
        <v>2250</v>
      </c>
      <c r="B2258" s="14">
        <f>A2258*Assumptions!$B$12</f>
        <v>22.5</v>
      </c>
      <c r="C2258" s="15">
        <f>IF(A2258&lt;=Assumptions!$B$13,IF(OR(A2258=0,A2258=Assumptions!$B$13),0.5,1),0)*Assumptions!$B$12</f>
        <v>0</v>
      </c>
      <c r="D2258" s="12">
        <f>D2257*(1-Assumptions!$B$12*(Assumptions!$B$5+Assumptions!$B$6))</f>
        <v>0.50910486081804407</v>
      </c>
      <c r="E2258" s="12">
        <f>E2257+Assumptions!$B$12*(D2257*Assumptions!$B$5-E2257*Assumptions!$B$7)</f>
        <v>0.18454371956607604</v>
      </c>
      <c r="F2258" s="12">
        <f t="shared" si="105"/>
        <v>0.30635141961587986</v>
      </c>
      <c r="G2258" s="12">
        <f>EXP(-Assumptions!$B$8*B2258)</f>
        <v>0.32465246735834974</v>
      </c>
      <c r="H2258" s="12">
        <f t="shared" si="106"/>
        <v>0.16528214920870724</v>
      </c>
      <c r="I2258" s="12">
        <f t="shared" si="107"/>
        <v>5.9912573892613952E-2</v>
      </c>
      <c r="J2258" s="12">
        <f>G2258*(D2258*Assumptions!$B$6+E2258*Assumptions!$B$7)</f>
        <v>4.6484501867177699E-3</v>
      </c>
    </row>
    <row r="2259" spans="1:10" x14ac:dyDescent="0.2">
      <c r="A2259" s="2">
        <v>2251</v>
      </c>
      <c r="B2259" s="14">
        <f>A2259*Assumptions!$B$12</f>
        <v>22.51</v>
      </c>
      <c r="C2259" s="15">
        <f>IF(A2259&lt;=Assumptions!$B$13,IF(OR(A2259=0,A2259=Assumptions!$B$13),0.5,1),0)*Assumptions!$B$12</f>
        <v>0</v>
      </c>
      <c r="D2259" s="12">
        <f>D2258*(1-Assumptions!$B$12*(Assumptions!$B$5+Assumptions!$B$6))</f>
        <v>0.50895212935979872</v>
      </c>
      <c r="E2259" s="12">
        <f>E2258+Assumptions!$B$12*(D2258*Assumptions!$B$5-E2258*Assumptions!$B$7)</f>
        <v>0.18455326867845662</v>
      </c>
      <c r="F2259" s="12">
        <f t="shared" si="105"/>
        <v>0.30649460196174466</v>
      </c>
      <c r="G2259" s="12">
        <f>EXP(-Assumptions!$B$8*B2259)</f>
        <v>0.3244901816994662</v>
      </c>
      <c r="H2259" s="12">
        <f t="shared" si="106"/>
        <v>0.16514996893229131</v>
      </c>
      <c r="I2259" s="12">
        <f t="shared" si="107"/>
        <v>5.9885723686702794E-2</v>
      </c>
      <c r="J2259" s="12">
        <f>G2259*(D2259*Assumptions!$B$6+E2259*Assumptions!$B$7)</f>
        <v>4.6457858736580525E-3</v>
      </c>
    </row>
    <row r="2260" spans="1:10" x14ac:dyDescent="0.2">
      <c r="A2260" s="2">
        <v>2252</v>
      </c>
      <c r="B2260" s="14">
        <f>A2260*Assumptions!$B$12</f>
        <v>22.52</v>
      </c>
      <c r="C2260" s="15">
        <f>IF(A2260&lt;=Assumptions!$B$13,IF(OR(A2260=0,A2260=Assumptions!$B$13),0.5,1),0)*Assumptions!$B$12</f>
        <v>0</v>
      </c>
      <c r="D2260" s="12">
        <f>D2259*(1-Assumptions!$B$12*(Assumptions!$B$5+Assumptions!$B$6))</f>
        <v>0.50879944372099084</v>
      </c>
      <c r="E2260" s="12">
        <f>E2259+Assumptions!$B$12*(D2259*Assumptions!$B$5-E2259*Assumptions!$B$7)</f>
        <v>0.18456278246998936</v>
      </c>
      <c r="F2260" s="12">
        <f t="shared" si="105"/>
        <v>0.3066377738090198</v>
      </c>
      <c r="G2260" s="12">
        <f>EXP(-Assumptions!$B$8*B2260)</f>
        <v>0.32432797716312978</v>
      </c>
      <c r="H2260" s="12">
        <f t="shared" si="106"/>
        <v>0.16501789436375466</v>
      </c>
      <c r="I2260" s="12">
        <f t="shared" si="107"/>
        <v>5.9858873898090401E-2</v>
      </c>
      <c r="J2260" s="12">
        <f>G2260*(D2260*Assumptions!$B$6+E2260*Assumptions!$B$7)</f>
        <v>4.6431226385420668E-3</v>
      </c>
    </row>
    <row r="2261" spans="1:10" x14ac:dyDescent="0.2">
      <c r="A2261" s="2">
        <v>2253</v>
      </c>
      <c r="B2261" s="14">
        <f>A2261*Assumptions!$B$12</f>
        <v>22.53</v>
      </c>
      <c r="C2261" s="15">
        <f>IF(A2261&lt;=Assumptions!$B$13,IF(OR(A2261=0,A2261=Assumptions!$B$13),0.5,1),0)*Assumptions!$B$12</f>
        <v>0</v>
      </c>
      <c r="D2261" s="12">
        <f>D2260*(1-Assumptions!$B$12*(Assumptions!$B$5+Assumptions!$B$6))</f>
        <v>0.50864680388787453</v>
      </c>
      <c r="E2261" s="12">
        <f>E2260+Assumptions!$B$12*(D2260*Assumptions!$B$5-E2260*Assumptions!$B$7)</f>
        <v>0.18457226096749857</v>
      </c>
      <c r="F2261" s="12">
        <f t="shared" si="105"/>
        <v>0.3067809351446269</v>
      </c>
      <c r="G2261" s="12">
        <f>EXP(-Assumptions!$B$8*B2261)</f>
        <v>0.32416585370878942</v>
      </c>
      <c r="H2261" s="12">
        <f t="shared" si="106"/>
        <v>0.16488592541856004</v>
      </c>
      <c r="I2261" s="12">
        <f t="shared" si="107"/>
        <v>5.9832024547490648E-2</v>
      </c>
      <c r="J2261" s="12">
        <f>G2261*(D2261*Assumptions!$B$6+E2261*Assumptions!$B$7)</f>
        <v>4.6404604815601328E-3</v>
      </c>
    </row>
    <row r="2262" spans="1:10" x14ac:dyDescent="0.2">
      <c r="A2262" s="2">
        <v>2254</v>
      </c>
      <c r="B2262" s="14">
        <f>A2262*Assumptions!$B$12</f>
        <v>22.54</v>
      </c>
      <c r="C2262" s="15">
        <f>IF(A2262&lt;=Assumptions!$B$13,IF(OR(A2262=0,A2262=Assumptions!$B$13),0.5,1),0)*Assumptions!$B$12</f>
        <v>0</v>
      </c>
      <c r="D2262" s="12">
        <f>D2261*(1-Assumptions!$B$12*(Assumptions!$B$5+Assumptions!$B$6))</f>
        <v>0.50849420984670823</v>
      </c>
      <c r="E2262" s="12">
        <f>E2261+Assumptions!$B$12*(D2261*Assumptions!$B$5-E2261*Assumptions!$B$7)</f>
        <v>0.18458170419779241</v>
      </c>
      <c r="F2262" s="12">
        <f t="shared" si="105"/>
        <v>0.30692408595549936</v>
      </c>
      <c r="G2262" s="12">
        <f>EXP(-Assumptions!$B$8*B2262)</f>
        <v>0.32400381129591416</v>
      </c>
      <c r="H2262" s="12">
        <f t="shared" si="106"/>
        <v>0.16475406201223783</v>
      </c>
      <c r="I2262" s="12">
        <f t="shared" si="107"/>
        <v>5.980517565557978E-2</v>
      </c>
      <c r="J2262" s="12">
        <f>G2262*(D2262*Assumptions!$B$6+E2262*Assumptions!$B$7)</f>
        <v>4.6377994029013674E-3</v>
      </c>
    </row>
    <row r="2263" spans="1:10" x14ac:dyDescent="0.2">
      <c r="A2263" s="2">
        <v>2255</v>
      </c>
      <c r="B2263" s="14">
        <f>A2263*Assumptions!$B$12</f>
        <v>22.55</v>
      </c>
      <c r="C2263" s="15">
        <f>IF(A2263&lt;=Assumptions!$B$13,IF(OR(A2263=0,A2263=Assumptions!$B$13),0.5,1),0)*Assumptions!$B$12</f>
        <v>0</v>
      </c>
      <c r="D2263" s="12">
        <f>D2262*(1-Assumptions!$B$12*(Assumptions!$B$5+Assumptions!$B$6))</f>
        <v>0.50834166158375427</v>
      </c>
      <c r="E2263" s="12">
        <f>E2262+Assumptions!$B$12*(D2262*Assumptions!$B$5-E2262*Assumptions!$B$7)</f>
        <v>0.18459111218766286</v>
      </c>
      <c r="F2263" s="12">
        <f t="shared" si="105"/>
        <v>0.30706722622858285</v>
      </c>
      <c r="G2263" s="12">
        <f>EXP(-Assumptions!$B$8*B2263)</f>
        <v>0.32384184988399328</v>
      </c>
      <c r="H2263" s="12">
        <f t="shared" si="106"/>
        <v>0.16462230406038586</v>
      </c>
      <c r="I2263" s="12">
        <f t="shared" si="107"/>
        <v>5.9778327242996476E-2</v>
      </c>
      <c r="J2263" s="12">
        <f>G2263*(D2263*Assumptions!$B$6+E2263*Assumptions!$B$7)</f>
        <v>4.6351394027536828E-3</v>
      </c>
    </row>
    <row r="2264" spans="1:10" x14ac:dyDescent="0.2">
      <c r="A2264" s="2">
        <v>2256</v>
      </c>
      <c r="B2264" s="14">
        <f>A2264*Assumptions!$B$12</f>
        <v>22.56</v>
      </c>
      <c r="C2264" s="15">
        <f>IF(A2264&lt;=Assumptions!$B$13,IF(OR(A2264=0,A2264=Assumptions!$B$13),0.5,1),0)*Assumptions!$B$12</f>
        <v>0</v>
      </c>
      <c r="D2264" s="12">
        <f>D2263*(1-Assumptions!$B$12*(Assumptions!$B$5+Assumptions!$B$6))</f>
        <v>0.50818915908527917</v>
      </c>
      <c r="E2264" s="12">
        <f>E2263+Assumptions!$B$12*(D2263*Assumptions!$B$5-E2263*Assumptions!$B$7)</f>
        <v>0.18460048496388579</v>
      </c>
      <c r="F2264" s="12">
        <f t="shared" si="105"/>
        <v>0.30721035595083501</v>
      </c>
      <c r="G2264" s="12">
        <f>EXP(-Assumptions!$B$8*B2264)</f>
        <v>0.3236799694325368</v>
      </c>
      <c r="H2264" s="12">
        <f t="shared" si="106"/>
        <v>0.16449065147866973</v>
      </c>
      <c r="I2264" s="12">
        <f t="shared" si="107"/>
        <v>5.9751479330342021E-2</v>
      </c>
      <c r="J2264" s="12">
        <f>G2264*(D2264*Assumptions!$B$6+E2264*Assumptions!$B$7)</f>
        <v>4.6324804813037985E-3</v>
      </c>
    </row>
    <row r="2265" spans="1:10" x14ac:dyDescent="0.2">
      <c r="A2265" s="2">
        <v>2257</v>
      </c>
      <c r="B2265" s="14">
        <f>A2265*Assumptions!$B$12</f>
        <v>22.57</v>
      </c>
      <c r="C2265" s="15">
        <f>IF(A2265&lt;=Assumptions!$B$13,IF(OR(A2265=0,A2265=Assumptions!$B$13),0.5,1),0)*Assumptions!$B$12</f>
        <v>0</v>
      </c>
      <c r="D2265" s="12">
        <f>D2264*(1-Assumptions!$B$12*(Assumptions!$B$5+Assumptions!$B$6))</f>
        <v>0.5080367023375536</v>
      </c>
      <c r="E2265" s="12">
        <f>E2264+Assumptions!$B$12*(D2264*Assumptions!$B$5-E2264*Assumptions!$B$7)</f>
        <v>0.18460982255322089</v>
      </c>
      <c r="F2265" s="12">
        <f t="shared" si="105"/>
        <v>0.3073534751092255</v>
      </c>
      <c r="G2265" s="12">
        <f>EXP(-Assumptions!$B$8*B2265)</f>
        <v>0.32351816990107413</v>
      </c>
      <c r="H2265" s="12">
        <f t="shared" si="106"/>
        <v>0.1643591041828221</v>
      </c>
      <c r="I2265" s="12">
        <f t="shared" si="107"/>
        <v>5.9724631938180062E-2</v>
      </c>
      <c r="J2265" s="12">
        <f>G2265*(D2265*Assumptions!$B$6+E2265*Assumptions!$B$7)</f>
        <v>4.6298226387372242E-3</v>
      </c>
    </row>
    <row r="2266" spans="1:10" x14ac:dyDescent="0.2">
      <c r="A2266" s="2">
        <v>2258</v>
      </c>
      <c r="B2266" s="14">
        <f>A2266*Assumptions!$B$12</f>
        <v>22.580000000000002</v>
      </c>
      <c r="C2266" s="15">
        <f>IF(A2266&lt;=Assumptions!$B$13,IF(OR(A2266=0,A2266=Assumptions!$B$13),0.5,1),0)*Assumptions!$B$12</f>
        <v>0</v>
      </c>
      <c r="D2266" s="12">
        <f>D2265*(1-Assumptions!$B$12*(Assumptions!$B$5+Assumptions!$B$6))</f>
        <v>0.50788429132685231</v>
      </c>
      <c r="E2266" s="12">
        <f>E2265+Assumptions!$B$12*(D2265*Assumptions!$B$5-E2265*Assumptions!$B$7)</f>
        <v>0.18461912498241179</v>
      </c>
      <c r="F2266" s="12">
        <f t="shared" si="105"/>
        <v>0.3074965836907359</v>
      </c>
      <c r="G2266" s="12">
        <f>EXP(-Assumptions!$B$8*B2266)</f>
        <v>0.32335645124915569</v>
      </c>
      <c r="H2266" s="12">
        <f t="shared" si="106"/>
        <v>0.16422766208864331</v>
      </c>
      <c r="I2266" s="12">
        <f t="shared" si="107"/>
        <v>5.969778508703702E-2</v>
      </c>
      <c r="J2266" s="12">
        <f>G2266*(D2266*Assumptions!$B$6+E2266*Assumptions!$B$7)</f>
        <v>4.6271658752382837E-3</v>
      </c>
    </row>
    <row r="2267" spans="1:10" x14ac:dyDescent="0.2">
      <c r="A2267" s="2">
        <v>2259</v>
      </c>
      <c r="B2267" s="14">
        <f>A2267*Assumptions!$B$12</f>
        <v>22.59</v>
      </c>
      <c r="C2267" s="15">
        <f>IF(A2267&lt;=Assumptions!$B$13,IF(OR(A2267=0,A2267=Assumptions!$B$13),0.5,1),0)*Assumptions!$B$12</f>
        <v>0</v>
      </c>
      <c r="D2267" s="12">
        <f>D2266*(1-Assumptions!$B$12*(Assumptions!$B$5+Assumptions!$B$6))</f>
        <v>0.50773192603945427</v>
      </c>
      <c r="E2267" s="12">
        <f>E2266+Assumptions!$B$12*(D2266*Assumptions!$B$5-E2266*Assumptions!$B$7)</f>
        <v>0.18462839227818595</v>
      </c>
      <c r="F2267" s="12">
        <f t="shared" si="105"/>
        <v>0.30763968168235978</v>
      </c>
      <c r="G2267" s="12">
        <f>EXP(-Assumptions!$B$8*B2267)</f>
        <v>0.32319481343635181</v>
      </c>
      <c r="H2267" s="12">
        <f t="shared" si="106"/>
        <v>0.16409632511200101</v>
      </c>
      <c r="I2267" s="12">
        <f t="shared" si="107"/>
        <v>5.9670938797401887E-2</v>
      </c>
      <c r="J2267" s="12">
        <f>G2267*(D2267*Assumptions!$B$6+E2267*Assumptions!$B$7)</f>
        <v>4.6245101909901049E-3</v>
      </c>
    </row>
    <row r="2268" spans="1:10" x14ac:dyDescent="0.2">
      <c r="A2268" s="2">
        <v>2260</v>
      </c>
      <c r="B2268" s="14">
        <f>A2268*Assumptions!$B$12</f>
        <v>22.6</v>
      </c>
      <c r="C2268" s="15">
        <f>IF(A2268&lt;=Assumptions!$B$13,IF(OR(A2268=0,A2268=Assumptions!$B$13),0.5,1),0)*Assumptions!$B$12</f>
        <v>0</v>
      </c>
      <c r="D2268" s="12">
        <f>D2267*(1-Assumptions!$B$12*(Assumptions!$B$5+Assumptions!$B$6))</f>
        <v>0.50757960646164246</v>
      </c>
      <c r="E2268" s="12">
        <f>E2267+Assumptions!$B$12*(D2267*Assumptions!$B$5-E2267*Assumptions!$B$7)</f>
        <v>0.18463762446725474</v>
      </c>
      <c r="F2268" s="12">
        <f t="shared" si="105"/>
        <v>0.3077827690711028</v>
      </c>
      <c r="G2268" s="12">
        <f>EXP(-Assumptions!$B$8*B2268)</f>
        <v>0.32303325642225289</v>
      </c>
      <c r="H2268" s="12">
        <f t="shared" si="106"/>
        <v>0.16396509316882996</v>
      </c>
      <c r="I2268" s="12">
        <f t="shared" si="107"/>
        <v>5.9644093089726333E-2</v>
      </c>
      <c r="J2268" s="12">
        <f>G2268*(D2268*Assumptions!$B$6+E2268*Assumptions!$B$7)</f>
        <v>4.6218555861746169E-3</v>
      </c>
    </row>
    <row r="2269" spans="1:10" x14ac:dyDescent="0.2">
      <c r="A2269" s="2">
        <v>2261</v>
      </c>
      <c r="B2269" s="14">
        <f>A2269*Assumptions!$B$12</f>
        <v>22.61</v>
      </c>
      <c r="C2269" s="15">
        <f>IF(A2269&lt;=Assumptions!$B$13,IF(OR(A2269=0,A2269=Assumptions!$B$13),0.5,1),0)*Assumptions!$B$12</f>
        <v>0</v>
      </c>
      <c r="D2269" s="12">
        <f>D2268*(1-Assumptions!$B$12*(Assumptions!$B$5+Assumptions!$B$6))</f>
        <v>0.50742733257970396</v>
      </c>
      <c r="E2269" s="12">
        <f>E2268+Assumptions!$B$12*(D2268*Assumptions!$B$5-E2268*Assumptions!$B$7)</f>
        <v>0.18464682157631343</v>
      </c>
      <c r="F2269" s="12">
        <f t="shared" si="105"/>
        <v>0.30792584584398264</v>
      </c>
      <c r="G2269" s="12">
        <f>EXP(-Assumptions!$B$8*B2269)</f>
        <v>0.32287178016646984</v>
      </c>
      <c r="H2269" s="12">
        <f t="shared" si="106"/>
        <v>0.16383396617513235</v>
      </c>
      <c r="I2269" s="12">
        <f t="shared" si="107"/>
        <v>5.9617247984424852E-2</v>
      </c>
      <c r="J2269" s="12">
        <f>G2269*(D2269*Assumptions!$B$6+E2269*Assumptions!$B$7)</f>
        <v>4.6192020609725666E-3</v>
      </c>
    </row>
    <row r="2270" spans="1:10" x14ac:dyDescent="0.2">
      <c r="A2270" s="2">
        <v>2262</v>
      </c>
      <c r="B2270" s="14">
        <f>A2270*Assumptions!$B$12</f>
        <v>22.62</v>
      </c>
      <c r="C2270" s="15">
        <f>IF(A2270&lt;=Assumptions!$B$13,IF(OR(A2270=0,A2270=Assumptions!$B$13),0.5,1),0)*Assumptions!$B$12</f>
        <v>0</v>
      </c>
      <c r="D2270" s="12">
        <f>D2269*(1-Assumptions!$B$12*(Assumptions!$B$5+Assumptions!$B$6))</f>
        <v>0.50727510437993006</v>
      </c>
      <c r="E2270" s="12">
        <f>E2269+Assumptions!$B$12*(D2269*Assumptions!$B$5-E2269*Assumptions!$B$7)</f>
        <v>0.18465598363204122</v>
      </c>
      <c r="F2270" s="12">
        <f t="shared" si="105"/>
        <v>0.30806891198802872</v>
      </c>
      <c r="G2270" s="12">
        <f>EXP(-Assumptions!$B$8*B2270)</f>
        <v>0.3227103846286335</v>
      </c>
      <c r="H2270" s="12">
        <f t="shared" si="106"/>
        <v>0.16370294404697744</v>
      </c>
      <c r="I2270" s="12">
        <f t="shared" si="107"/>
        <v>5.9590403501874674E-2</v>
      </c>
      <c r="J2270" s="12">
        <f>G2270*(D2270*Assumptions!$B$6+E2270*Assumptions!$B$7)</f>
        <v>4.6165496155635075E-3</v>
      </c>
    </row>
    <row r="2271" spans="1:10" x14ac:dyDescent="0.2">
      <c r="A2271" s="2">
        <v>2263</v>
      </c>
      <c r="B2271" s="14">
        <f>A2271*Assumptions!$B$12</f>
        <v>22.63</v>
      </c>
      <c r="C2271" s="15">
        <f>IF(A2271&lt;=Assumptions!$B$13,IF(OR(A2271=0,A2271=Assumptions!$B$13),0.5,1),0)*Assumptions!$B$12</f>
        <v>0</v>
      </c>
      <c r="D2271" s="12">
        <f>D2270*(1-Assumptions!$B$12*(Assumptions!$B$5+Assumptions!$B$6))</f>
        <v>0.50712292184861607</v>
      </c>
      <c r="E2271" s="12">
        <f>E2270+Assumptions!$B$12*(D2270*Assumptions!$B$5-E2270*Assumptions!$B$7)</f>
        <v>0.18466511066110119</v>
      </c>
      <c r="F2271" s="12">
        <f t="shared" si="105"/>
        <v>0.30821196749028273</v>
      </c>
      <c r="G2271" s="12">
        <f>EXP(-Assumptions!$B$8*B2271)</f>
        <v>0.32254906976839498</v>
      </c>
      <c r="H2271" s="12">
        <f t="shared" si="106"/>
        <v>0.16357202670050158</v>
      </c>
      <c r="I2271" s="12">
        <f t="shared" si="107"/>
        <v>5.9563559662415909E-2</v>
      </c>
      <c r="J2271" s="12">
        <f>G2271*(D2271*Assumptions!$B$6+E2271*Assumptions!$B$7)</f>
        <v>4.6138982501258115E-3</v>
      </c>
    </row>
    <row r="2272" spans="1:10" x14ac:dyDescent="0.2">
      <c r="A2272" s="2">
        <v>2264</v>
      </c>
      <c r="B2272" s="14">
        <f>A2272*Assumptions!$B$12</f>
        <v>22.64</v>
      </c>
      <c r="C2272" s="15">
        <f>IF(A2272&lt;=Assumptions!$B$13,IF(OR(A2272=0,A2272=Assumptions!$B$13),0.5,1),0)*Assumptions!$B$12</f>
        <v>0</v>
      </c>
      <c r="D2272" s="12">
        <f>D2271*(1-Assumptions!$B$12*(Assumptions!$B$5+Assumptions!$B$6))</f>
        <v>0.50697078497206149</v>
      </c>
      <c r="E2272" s="12">
        <f>E2271+Assumptions!$B$12*(D2271*Assumptions!$B$5-E2271*Assumptions!$B$7)</f>
        <v>0.18467420269014037</v>
      </c>
      <c r="F2272" s="12">
        <f t="shared" si="105"/>
        <v>0.30835501233779816</v>
      </c>
      <c r="G2272" s="12">
        <f>EXP(-Assumptions!$B$8*B2272)</f>
        <v>0.32238783554542549</v>
      </c>
      <c r="H2272" s="12">
        <f t="shared" si="106"/>
        <v>0.16344121405190823</v>
      </c>
      <c r="I2272" s="12">
        <f t="shared" si="107"/>
        <v>5.9536716486351546E-2</v>
      </c>
      <c r="J2272" s="12">
        <f>G2272*(D2272*Assumptions!$B$6+E2272*Assumptions!$B$7)</f>
        <v>4.61124796483666E-3</v>
      </c>
    </row>
    <row r="2273" spans="1:10" x14ac:dyDescent="0.2">
      <c r="A2273" s="2">
        <v>2265</v>
      </c>
      <c r="B2273" s="14">
        <f>A2273*Assumptions!$B$12</f>
        <v>22.650000000000002</v>
      </c>
      <c r="C2273" s="15">
        <f>IF(A2273&lt;=Assumptions!$B$13,IF(OR(A2273=0,A2273=Assumptions!$B$13),0.5,1),0)*Assumptions!$B$12</f>
        <v>0</v>
      </c>
      <c r="D2273" s="12">
        <f>D2272*(1-Assumptions!$B$12*(Assumptions!$B$5+Assumptions!$B$6))</f>
        <v>0.50681869373656985</v>
      </c>
      <c r="E2273" s="12">
        <f>E2272+Assumptions!$B$12*(D2272*Assumptions!$B$5-E2272*Assumptions!$B$7)</f>
        <v>0.18468325974578972</v>
      </c>
      <c r="F2273" s="12">
        <f t="shared" si="105"/>
        <v>0.30849804651764046</v>
      </c>
      <c r="G2273" s="12">
        <f>EXP(-Assumptions!$B$8*B2273)</f>
        <v>0.32222668191941667</v>
      </c>
      <c r="H2273" s="12">
        <f t="shared" si="106"/>
        <v>0.16331050601746794</v>
      </c>
      <c r="I2273" s="12">
        <f t="shared" si="107"/>
        <v>5.9509873993947596E-2</v>
      </c>
      <c r="J2273" s="12">
        <f>G2273*(D2273*Assumptions!$B$6+E2273*Assumptions!$B$7)</f>
        <v>4.6085987598720596E-3</v>
      </c>
    </row>
    <row r="2274" spans="1:10" x14ac:dyDescent="0.2">
      <c r="A2274" s="2">
        <v>2266</v>
      </c>
      <c r="B2274" s="14">
        <f>A2274*Assumptions!$B$12</f>
        <v>22.66</v>
      </c>
      <c r="C2274" s="15">
        <f>IF(A2274&lt;=Assumptions!$B$13,IF(OR(A2274=0,A2274=Assumptions!$B$13),0.5,1),0)*Assumptions!$B$12</f>
        <v>0</v>
      </c>
      <c r="D2274" s="12">
        <f>D2273*(1-Assumptions!$B$12*(Assumptions!$B$5+Assumptions!$B$6))</f>
        <v>0.50666664812844886</v>
      </c>
      <c r="E2274" s="12">
        <f>E2273+Assumptions!$B$12*(D2273*Assumptions!$B$5-E2273*Assumptions!$B$7)</f>
        <v>0.18469228185466413</v>
      </c>
      <c r="F2274" s="12">
        <f t="shared" si="105"/>
        <v>0.30864107001688701</v>
      </c>
      <c r="G2274" s="12">
        <f>EXP(-Assumptions!$B$8*B2274)</f>
        <v>0.32206560885008001</v>
      </c>
      <c r="H2274" s="12">
        <f t="shared" si="106"/>
        <v>0.16317990251351813</v>
      </c>
      <c r="I2274" s="12">
        <f t="shared" si="107"/>
        <v>5.9483032205432988E-2</v>
      </c>
      <c r="J2274" s="12">
        <f>G2274*(D2274*Assumptions!$B$6+E2274*Assumptions!$B$7)</f>
        <v>4.6059506354068306E-3</v>
      </c>
    </row>
    <row r="2275" spans="1:10" x14ac:dyDescent="0.2">
      <c r="A2275" s="2">
        <v>2267</v>
      </c>
      <c r="B2275" s="14">
        <f>A2275*Assumptions!$B$12</f>
        <v>22.67</v>
      </c>
      <c r="C2275" s="15">
        <f>IF(A2275&lt;=Assumptions!$B$13,IF(OR(A2275=0,A2275=Assumptions!$B$13),0.5,1),0)*Assumptions!$B$12</f>
        <v>0</v>
      </c>
      <c r="D2275" s="12">
        <f>D2274*(1-Assumptions!$B$12*(Assumptions!$B$5+Assumptions!$B$6))</f>
        <v>0.50651464813401037</v>
      </c>
      <c r="E2275" s="12">
        <f>E2274+Assumptions!$B$12*(D2274*Assumptions!$B$5-E2274*Assumptions!$B$7)</f>
        <v>0.18470126904336248</v>
      </c>
      <c r="F2275" s="12">
        <f t="shared" si="105"/>
        <v>0.30878408282262715</v>
      </c>
      <c r="G2275" s="12">
        <f>EXP(-Assumptions!$B$8*B2275)</f>
        <v>0.32190461629714717</v>
      </c>
      <c r="H2275" s="12">
        <f t="shared" si="106"/>
        <v>0.16304940345646313</v>
      </c>
      <c r="I2275" s="12">
        <f t="shared" si="107"/>
        <v>5.9456191140999745E-2</v>
      </c>
      <c r="J2275" s="12">
        <f>G2275*(D2275*Assumptions!$B$6+E2275*Assumptions!$B$7)</f>
        <v>4.603303591614618E-3</v>
      </c>
    </row>
    <row r="2276" spans="1:10" x14ac:dyDescent="0.2">
      <c r="A2276" s="2">
        <v>2268</v>
      </c>
      <c r="B2276" s="14">
        <f>A2276*Assumptions!$B$12</f>
        <v>22.68</v>
      </c>
      <c r="C2276" s="15">
        <f>IF(A2276&lt;=Assumptions!$B$13,IF(OR(A2276=0,A2276=Assumptions!$B$13),0.5,1),0)*Assumptions!$B$12</f>
        <v>0</v>
      </c>
      <c r="D2276" s="12">
        <f>D2275*(1-Assumptions!$B$12*(Assumptions!$B$5+Assumptions!$B$6))</f>
        <v>0.50636269373957021</v>
      </c>
      <c r="E2276" s="12">
        <f>E2275+Assumptions!$B$12*(D2275*Assumptions!$B$5-E2275*Assumptions!$B$7)</f>
        <v>0.1847102213384676</v>
      </c>
      <c r="F2276" s="12">
        <f t="shared" si="105"/>
        <v>0.30892708492196219</v>
      </c>
      <c r="G2276" s="12">
        <f>EXP(-Assumptions!$B$8*B2276)</f>
        <v>0.32174370422037013</v>
      </c>
      <c r="H2276" s="12">
        <f t="shared" si="106"/>
        <v>0.16291900876277415</v>
      </c>
      <c r="I2276" s="12">
        <f t="shared" si="107"/>
        <v>5.9429350820803015E-2</v>
      </c>
      <c r="J2276" s="12">
        <f>G2276*(D2276*Assumptions!$B$6+E2276*Assumptions!$B$7)</f>
        <v>4.6006576286678922E-3</v>
      </c>
    </row>
    <row r="2277" spans="1:10" x14ac:dyDescent="0.2">
      <c r="A2277" s="2">
        <v>2269</v>
      </c>
      <c r="B2277" s="14">
        <f>A2277*Assumptions!$B$12</f>
        <v>22.69</v>
      </c>
      <c r="C2277" s="15">
        <f>IF(A2277&lt;=Assumptions!$B$13,IF(OR(A2277=0,A2277=Assumptions!$B$13),0.5,1),0)*Assumptions!$B$12</f>
        <v>0</v>
      </c>
      <c r="D2277" s="12">
        <f>D2276*(1-Assumptions!$B$12*(Assumptions!$B$5+Assumptions!$B$6))</f>
        <v>0.50621078493144833</v>
      </c>
      <c r="E2277" s="12">
        <f>E2276+Assumptions!$B$12*(D2276*Assumptions!$B$5-E2276*Assumptions!$B$7)</f>
        <v>0.18471913876654628</v>
      </c>
      <c r="F2277" s="12">
        <f t="shared" si="105"/>
        <v>0.30907007630200539</v>
      </c>
      <c r="G2277" s="12">
        <f>EXP(-Assumptions!$B$8*B2277)</f>
        <v>0.32158287257952084</v>
      </c>
      <c r="H2277" s="12">
        <f t="shared" si="106"/>
        <v>0.16278871834898917</v>
      </c>
      <c r="I2277" s="12">
        <f t="shared" si="107"/>
        <v>5.9402511264961079E-2</v>
      </c>
      <c r="J2277" s="12">
        <f>G2277*(D2277*Assumptions!$B$6+E2277*Assumptions!$B$7)</f>
        <v>4.5980127467379452E-3</v>
      </c>
    </row>
    <row r="2278" spans="1:10" x14ac:dyDescent="0.2">
      <c r="A2278" s="2">
        <v>2270</v>
      </c>
      <c r="B2278" s="14">
        <f>A2278*Assumptions!$B$12</f>
        <v>22.7</v>
      </c>
      <c r="C2278" s="15">
        <f>IF(A2278&lt;=Assumptions!$B$13,IF(OR(A2278=0,A2278=Assumptions!$B$13),0.5,1),0)*Assumptions!$B$12</f>
        <v>0</v>
      </c>
      <c r="D2278" s="12">
        <f>D2277*(1-Assumptions!$B$12*(Assumptions!$B$5+Assumptions!$B$6))</f>
        <v>0.50605892169596889</v>
      </c>
      <c r="E2278" s="12">
        <f>E2277+Assumptions!$B$12*(D2277*Assumptions!$B$5-E2277*Assumptions!$B$7)</f>
        <v>0.18472802135414929</v>
      </c>
      <c r="F2278" s="12">
        <f t="shared" si="105"/>
        <v>0.30921305694988183</v>
      </c>
      <c r="G2278" s="12">
        <f>EXP(-Assumptions!$B$8*B2278)</f>
        <v>0.32142212133439135</v>
      </c>
      <c r="H2278" s="12">
        <f t="shared" si="106"/>
        <v>0.16265853213171297</v>
      </c>
      <c r="I2278" s="12">
        <f t="shared" si="107"/>
        <v>5.9375672493555409E-2</v>
      </c>
      <c r="J2278" s="12">
        <f>G2278*(D2278*Assumptions!$B$6+E2278*Assumptions!$B$7)</f>
        <v>4.5953689459949003E-3</v>
      </c>
    </row>
    <row r="2279" spans="1:10" x14ac:dyDescent="0.2">
      <c r="A2279" s="2">
        <v>2271</v>
      </c>
      <c r="B2279" s="14">
        <f>A2279*Assumptions!$B$12</f>
        <v>22.71</v>
      </c>
      <c r="C2279" s="15">
        <f>IF(A2279&lt;=Assumptions!$B$13,IF(OR(A2279=0,A2279=Assumptions!$B$13),0.5,1),0)*Assumptions!$B$12</f>
        <v>0</v>
      </c>
      <c r="D2279" s="12">
        <f>D2278*(1-Assumptions!$B$12*(Assumptions!$B$5+Assumptions!$B$6))</f>
        <v>0.50590710401946015</v>
      </c>
      <c r="E2279" s="12">
        <f>E2278+Assumptions!$B$12*(D2278*Assumptions!$B$5-E2278*Assumptions!$B$7)</f>
        <v>0.1847368691278114</v>
      </c>
      <c r="F2279" s="12">
        <f t="shared" si="105"/>
        <v>0.30935602685272845</v>
      </c>
      <c r="G2279" s="12">
        <f>EXP(-Assumptions!$B$8*B2279)</f>
        <v>0.32126145044479382</v>
      </c>
      <c r="H2279" s="12">
        <f t="shared" si="106"/>
        <v>0.16252845002761696</v>
      </c>
      <c r="I2279" s="12">
        <f t="shared" si="107"/>
        <v>5.9348834526630742E-2</v>
      </c>
      <c r="J2279" s="12">
        <f>G2279*(D2279*Assumptions!$B$6+E2279*Assumptions!$B$7)</f>
        <v>4.5927262266077067E-3</v>
      </c>
    </row>
    <row r="2280" spans="1:10" x14ac:dyDescent="0.2">
      <c r="A2280" s="2">
        <v>2272</v>
      </c>
      <c r="B2280" s="14">
        <f>A2280*Assumptions!$B$12</f>
        <v>22.72</v>
      </c>
      <c r="C2280" s="15">
        <f>IF(A2280&lt;=Assumptions!$B$13,IF(OR(A2280=0,A2280=Assumptions!$B$13),0.5,1),0)*Assumptions!$B$12</f>
        <v>0</v>
      </c>
      <c r="D2280" s="12">
        <f>D2279*(1-Assumptions!$B$12*(Assumptions!$B$5+Assumptions!$B$6))</f>
        <v>0.50575533188825428</v>
      </c>
      <c r="E2280" s="12">
        <f>E2279+Assumptions!$B$12*(D2279*Assumptions!$B$5-E2279*Assumptions!$B$7)</f>
        <v>0.18474568211405137</v>
      </c>
      <c r="F2280" s="12">
        <f t="shared" si="105"/>
        <v>0.30949898599769432</v>
      </c>
      <c r="G2280" s="12">
        <f>EXP(-Assumptions!$B$8*B2280)</f>
        <v>0.3211008598705607</v>
      </c>
      <c r="H2280" s="12">
        <f t="shared" si="106"/>
        <v>0.16239847195343926</v>
      </c>
      <c r="I2280" s="12">
        <f t="shared" si="107"/>
        <v>5.9321997384195163E-2</v>
      </c>
      <c r="J2280" s="12">
        <f>G2280*(D2280*Assumptions!$B$6+E2280*Assumptions!$B$7)</f>
        <v>4.590084588744151E-3</v>
      </c>
    </row>
    <row r="2281" spans="1:10" x14ac:dyDescent="0.2">
      <c r="A2281" s="2">
        <v>2273</v>
      </c>
      <c r="B2281" s="14">
        <f>A2281*Assumptions!$B$12</f>
        <v>22.73</v>
      </c>
      <c r="C2281" s="15">
        <f>IF(A2281&lt;=Assumptions!$B$13,IF(OR(A2281=0,A2281=Assumptions!$B$13),0.5,1),0)*Assumptions!$B$12</f>
        <v>0</v>
      </c>
      <c r="D2281" s="12">
        <f>D2280*(1-Assumptions!$B$12*(Assumptions!$B$5+Assumptions!$B$6))</f>
        <v>0.50560360528868786</v>
      </c>
      <c r="E2281" s="12">
        <f>E2280+Assumptions!$B$12*(D2280*Assumptions!$B$5-E2280*Assumptions!$B$7)</f>
        <v>0.18475446033937201</v>
      </c>
      <c r="F2281" s="12">
        <f t="shared" si="105"/>
        <v>0.3096419343719401</v>
      </c>
      <c r="G2281" s="12">
        <f>EXP(-Assumptions!$B$8*B2281)</f>
        <v>0.3209403495715441</v>
      </c>
      <c r="H2281" s="12">
        <f t="shared" si="106"/>
        <v>0.16226859782598449</v>
      </c>
      <c r="I2281" s="12">
        <f t="shared" si="107"/>
        <v>5.9295161086220037E-2</v>
      </c>
      <c r="J2281" s="12">
        <f>G2281*(D2281*Assumptions!$B$6+E2281*Assumptions!$B$7)</f>
        <v>4.5874440325708466E-3</v>
      </c>
    </row>
    <row r="2282" spans="1:10" x14ac:dyDescent="0.2">
      <c r="A2282" s="2">
        <v>2274</v>
      </c>
      <c r="B2282" s="14">
        <f>A2282*Assumptions!$B$12</f>
        <v>22.740000000000002</v>
      </c>
      <c r="C2282" s="15">
        <f>IF(A2282&lt;=Assumptions!$B$13,IF(OR(A2282=0,A2282=Assumptions!$B$13),0.5,1),0)*Assumptions!$B$12</f>
        <v>0</v>
      </c>
      <c r="D2282" s="12">
        <f>D2281*(1-Assumptions!$B$12*(Assumptions!$B$5+Assumptions!$B$6))</f>
        <v>0.50545192420710128</v>
      </c>
      <c r="E2282" s="12">
        <f>E2281+Assumptions!$B$12*(D2281*Assumptions!$B$5-E2281*Assumptions!$B$7)</f>
        <v>0.18476320383026007</v>
      </c>
      <c r="F2282" s="12">
        <f t="shared" si="105"/>
        <v>0.30978487196263865</v>
      </c>
      <c r="G2282" s="12">
        <f>EXP(-Assumptions!$B$8*B2282)</f>
        <v>0.32077991950761653</v>
      </c>
      <c r="H2282" s="12">
        <f t="shared" si="106"/>
        <v>0.16213882756212383</v>
      </c>
      <c r="I2282" s="12">
        <f t="shared" si="107"/>
        <v>5.9268325652640168E-2</v>
      </c>
      <c r="J2282" s="12">
        <f>G2282*(D2282*Assumptions!$B$6+E2282*Assumptions!$B$7)</f>
        <v>4.5848045582532471E-3</v>
      </c>
    </row>
    <row r="2283" spans="1:10" x14ac:dyDescent="0.2">
      <c r="A2283" s="2">
        <v>2275</v>
      </c>
      <c r="B2283" s="14">
        <f>A2283*Assumptions!$B$12</f>
        <v>22.75</v>
      </c>
      <c r="C2283" s="15">
        <f>IF(A2283&lt;=Assumptions!$B$13,IF(OR(A2283=0,A2283=Assumptions!$B$13),0.5,1),0)*Assumptions!$B$12</f>
        <v>0</v>
      </c>
      <c r="D2283" s="12">
        <f>D2282*(1-Assumptions!$B$12*(Assumptions!$B$5+Assumptions!$B$6))</f>
        <v>0.50530028862983911</v>
      </c>
      <c r="E2283" s="12">
        <f>E2282+Assumptions!$B$12*(D2282*Assumptions!$B$5-E2282*Assumptions!$B$7)</f>
        <v>0.18477191261318637</v>
      </c>
      <c r="F2283" s="12">
        <f t="shared" si="105"/>
        <v>0.30992779875697452</v>
      </c>
      <c r="G2283" s="12">
        <f>EXP(-Assumptions!$B$8*B2283)</f>
        <v>0.32061956963867067</v>
      </c>
      <c r="H2283" s="12">
        <f t="shared" si="106"/>
        <v>0.16200916107879509</v>
      </c>
      <c r="I2283" s="12">
        <f t="shared" si="107"/>
        <v>5.9241491103353881E-2</v>
      </c>
      <c r="J2283" s="12">
        <f>G2283*(D2283*Assumptions!$B$6+E2283*Assumptions!$B$7)</f>
        <v>4.5821661659556446E-3</v>
      </c>
    </row>
    <row r="2284" spans="1:10" x14ac:dyDescent="0.2">
      <c r="A2284" s="2">
        <v>2276</v>
      </c>
      <c r="B2284" s="14">
        <f>A2284*Assumptions!$B$12</f>
        <v>22.76</v>
      </c>
      <c r="C2284" s="15">
        <f>IF(A2284&lt;=Assumptions!$B$13,IF(OR(A2284=0,A2284=Assumptions!$B$13),0.5,1),0)*Assumptions!$B$12</f>
        <v>0</v>
      </c>
      <c r="D2284" s="12">
        <f>D2283*(1-Assumptions!$B$12*(Assumptions!$B$5+Assumptions!$B$6))</f>
        <v>0.50514869854325017</v>
      </c>
      <c r="E2284" s="12">
        <f>E2283+Assumptions!$B$12*(D2283*Assumptions!$B$5-E2283*Assumptions!$B$7)</f>
        <v>0.18478058671460576</v>
      </c>
      <c r="F2284" s="12">
        <f t="shared" si="105"/>
        <v>0.31007071474214409</v>
      </c>
      <c r="G2284" s="12">
        <f>EXP(-Assumptions!$B$8*B2284)</f>
        <v>0.32045929992461875</v>
      </c>
      <c r="H2284" s="12">
        <f t="shared" si="106"/>
        <v>0.16187959829300222</v>
      </c>
      <c r="I2284" s="12">
        <f t="shared" si="107"/>
        <v>5.9214657458222866E-2</v>
      </c>
      <c r="J2284" s="12">
        <f>G2284*(D2284*Assumptions!$B$6+E2284*Assumptions!$B$7)</f>
        <v>4.5795288558411655E-3</v>
      </c>
    </row>
    <row r="2285" spans="1:10" x14ac:dyDescent="0.2">
      <c r="A2285" s="2">
        <v>2277</v>
      </c>
      <c r="B2285" s="14">
        <f>A2285*Assumptions!$B$12</f>
        <v>22.77</v>
      </c>
      <c r="C2285" s="15">
        <f>IF(A2285&lt;=Assumptions!$B$13,IF(OR(A2285=0,A2285=Assumptions!$B$13),0.5,1),0)*Assumptions!$B$12</f>
        <v>0</v>
      </c>
      <c r="D2285" s="12">
        <f>D2284*(1-Assumptions!$B$12*(Assumptions!$B$5+Assumptions!$B$6))</f>
        <v>0.50499715393368727</v>
      </c>
      <c r="E2285" s="12">
        <f>E2284+Assumptions!$B$12*(D2284*Assumptions!$B$5-E2284*Assumptions!$B$7)</f>
        <v>0.18478922616095711</v>
      </c>
      <c r="F2285" s="12">
        <f t="shared" si="105"/>
        <v>0.31021361990535562</v>
      </c>
      <c r="G2285" s="12">
        <f>EXP(-Assumptions!$B$8*B2285)</f>
        <v>0.32029911032539354</v>
      </c>
      <c r="H2285" s="12">
        <f t="shared" si="106"/>
        <v>0.16175013912181585</v>
      </c>
      <c r="I2285" s="12">
        <f t="shared" si="107"/>
        <v>5.91878247370725E-2</v>
      </c>
      <c r="J2285" s="12">
        <f>G2285*(D2285*Assumptions!$B$6+E2285*Assumptions!$B$7)</f>
        <v>4.5768926280717838E-3</v>
      </c>
    </row>
    <row r="2286" spans="1:10" x14ac:dyDescent="0.2">
      <c r="A2286" s="2">
        <v>2278</v>
      </c>
      <c r="B2286" s="14">
        <f>A2286*Assumptions!$B$12</f>
        <v>22.78</v>
      </c>
      <c r="C2286" s="15">
        <f>IF(A2286&lt;=Assumptions!$B$13,IF(OR(A2286=0,A2286=Assumptions!$B$13),0.5,1),0)*Assumptions!$B$12</f>
        <v>0</v>
      </c>
      <c r="D2286" s="12">
        <f>D2285*(1-Assumptions!$B$12*(Assumptions!$B$5+Assumptions!$B$6))</f>
        <v>0.5048456547875072</v>
      </c>
      <c r="E2286" s="12">
        <f>E2285+Assumptions!$B$12*(D2285*Assumptions!$B$5-E2285*Assumptions!$B$7)</f>
        <v>0.18479783097866337</v>
      </c>
      <c r="F2286" s="12">
        <f t="shared" si="105"/>
        <v>0.31035651423382943</v>
      </c>
      <c r="G2286" s="12">
        <f>EXP(-Assumptions!$B$8*B2286)</f>
        <v>0.32013900080094759</v>
      </c>
      <c r="H2286" s="12">
        <f t="shared" si="106"/>
        <v>0.16162078348237269</v>
      </c>
      <c r="I2286" s="12">
        <f t="shared" si="107"/>
        <v>5.916099295969169E-2</v>
      </c>
      <c r="J2286" s="12">
        <f>G2286*(D2286*Assumptions!$B$6+E2286*Assumptions!$B$7)</f>
        <v>4.5742574828083115E-3</v>
      </c>
    </row>
    <row r="2287" spans="1:10" x14ac:dyDescent="0.2">
      <c r="A2287" s="2">
        <v>2279</v>
      </c>
      <c r="B2287" s="14">
        <f>A2287*Assumptions!$B$12</f>
        <v>22.79</v>
      </c>
      <c r="C2287" s="15">
        <f>IF(A2287&lt;=Assumptions!$B$13,IF(OR(A2287=0,A2287=Assumptions!$B$13),0.5,1),0)*Assumptions!$B$12</f>
        <v>0</v>
      </c>
      <c r="D2287" s="12">
        <f>D2286*(1-Assumptions!$B$12*(Assumptions!$B$5+Assumptions!$B$6))</f>
        <v>0.50469420109107099</v>
      </c>
      <c r="E2287" s="12">
        <f>E2286+Assumptions!$B$12*(D2286*Assumptions!$B$5-E2286*Assumptions!$B$7)</f>
        <v>0.18480640119413153</v>
      </c>
      <c r="F2287" s="12">
        <f t="shared" si="105"/>
        <v>0.31049939771479751</v>
      </c>
      <c r="G2287" s="12">
        <f>EXP(-Assumptions!$B$8*B2287)</f>
        <v>0.31997897131125352</v>
      </c>
      <c r="H2287" s="12">
        <f t="shared" si="106"/>
        <v>0.16149153129187582</v>
      </c>
      <c r="I2287" s="12">
        <f t="shared" si="107"/>
        <v>5.9134162145833023E-2</v>
      </c>
      <c r="J2287" s="12">
        <f>G2287*(D2287*Assumptions!$B$6+E2287*Assumptions!$B$7)</f>
        <v>4.5716234202104094E-3</v>
      </c>
    </row>
    <row r="2288" spans="1:10" x14ac:dyDescent="0.2">
      <c r="A2288" s="2">
        <v>2280</v>
      </c>
      <c r="B2288" s="14">
        <f>A2288*Assumptions!$B$12</f>
        <v>22.8</v>
      </c>
      <c r="C2288" s="15">
        <f>IF(A2288&lt;=Assumptions!$B$13,IF(OR(A2288=0,A2288=Assumptions!$B$13),0.5,1),0)*Assumptions!$B$12</f>
        <v>0</v>
      </c>
      <c r="D2288" s="12">
        <f>D2287*(1-Assumptions!$B$12*(Assumptions!$B$5+Assumptions!$B$6))</f>
        <v>0.50454279283074366</v>
      </c>
      <c r="E2288" s="12">
        <f>E2287+Assumptions!$B$12*(D2287*Assumptions!$B$5-E2287*Assumptions!$B$7)</f>
        <v>0.18481493683375266</v>
      </c>
      <c r="F2288" s="12">
        <f t="shared" si="105"/>
        <v>0.31064227033550368</v>
      </c>
      <c r="G2288" s="12">
        <f>EXP(-Assumptions!$B$8*B2288)</f>
        <v>0.31981902181630384</v>
      </c>
      <c r="H2288" s="12">
        <f t="shared" si="106"/>
        <v>0.16136238246759446</v>
      </c>
      <c r="I2288" s="12">
        <f t="shared" si="107"/>
        <v>5.9107332315212757E-2</v>
      </c>
      <c r="J2288" s="12">
        <f>G2288*(D2288*Assumptions!$B$6+E2288*Assumptions!$B$7)</f>
        <v>4.5689904404365824E-3</v>
      </c>
    </row>
    <row r="2289" spans="1:10" x14ac:dyDescent="0.2">
      <c r="A2289" s="2">
        <v>2281</v>
      </c>
      <c r="B2289" s="14">
        <f>A2289*Assumptions!$B$12</f>
        <v>22.81</v>
      </c>
      <c r="C2289" s="15">
        <f>IF(A2289&lt;=Assumptions!$B$13,IF(OR(A2289=0,A2289=Assumptions!$B$13),0.5,1),0)*Assumptions!$B$12</f>
        <v>0</v>
      </c>
      <c r="D2289" s="12">
        <f>D2288*(1-Assumptions!$B$12*(Assumptions!$B$5+Assumptions!$B$6))</f>
        <v>0.50439142999289444</v>
      </c>
      <c r="E2289" s="12">
        <f>E2288+Assumptions!$B$12*(D2288*Assumptions!$B$5-E2288*Assumptions!$B$7)</f>
        <v>0.18482343792390193</v>
      </c>
      <c r="F2289" s="12">
        <f t="shared" si="105"/>
        <v>0.31078513208320363</v>
      </c>
      <c r="G2289" s="12">
        <f>EXP(-Assumptions!$B$8*B2289)</f>
        <v>0.31965915227611136</v>
      </c>
      <c r="H2289" s="12">
        <f t="shared" si="106"/>
        <v>0.1612333369268642</v>
      </c>
      <c r="I2289" s="12">
        <f t="shared" si="107"/>
        <v>5.9080503487510982E-2</v>
      </c>
      <c r="J2289" s="12">
        <f>G2289*(D2289*Assumptions!$B$6+E2289*Assumptions!$B$7)</f>
        <v>4.5663585436441917E-3</v>
      </c>
    </row>
    <row r="2290" spans="1:10" x14ac:dyDescent="0.2">
      <c r="A2290" s="2">
        <v>2282</v>
      </c>
      <c r="B2290" s="14">
        <f>A2290*Assumptions!$B$12</f>
        <v>22.82</v>
      </c>
      <c r="C2290" s="15">
        <f>IF(A2290&lt;=Assumptions!$B$13,IF(OR(A2290=0,A2290=Assumptions!$B$13),0.5,1),0)*Assumptions!$B$12</f>
        <v>0</v>
      </c>
      <c r="D2290" s="12">
        <f>D2289*(1-Assumptions!$B$12*(Assumptions!$B$5+Assumptions!$B$6))</f>
        <v>0.50424011256389656</v>
      </c>
      <c r="E2290" s="12">
        <f>E2289+Assumptions!$B$12*(D2289*Assumptions!$B$5-E2289*Assumptions!$B$7)</f>
        <v>0.18483190449093856</v>
      </c>
      <c r="F2290" s="12">
        <f t="shared" si="105"/>
        <v>0.31092798294516488</v>
      </c>
      <c r="G2290" s="12">
        <f>EXP(-Assumptions!$B$8*B2290)</f>
        <v>0.31949936265070866</v>
      </c>
      <c r="H2290" s="12">
        <f t="shared" si="106"/>
        <v>0.16110439458708653</v>
      </c>
      <c r="I2290" s="12">
        <f t="shared" si="107"/>
        <v>5.9053675682371527E-2</v>
      </c>
      <c r="J2290" s="12">
        <f>G2290*(D2290*Assumptions!$B$6+E2290*Assumptions!$B$7)</f>
        <v>4.5637277299894422E-3</v>
      </c>
    </row>
    <row r="2291" spans="1:10" x14ac:dyDescent="0.2">
      <c r="A2291" s="2">
        <v>2283</v>
      </c>
      <c r="B2291" s="14">
        <f>A2291*Assumptions!$B$12</f>
        <v>22.830000000000002</v>
      </c>
      <c r="C2291" s="15">
        <f>IF(A2291&lt;=Assumptions!$B$13,IF(OR(A2291=0,A2291=Assumptions!$B$13),0.5,1),0)*Assumptions!$B$12</f>
        <v>0</v>
      </c>
      <c r="D2291" s="12">
        <f>D2290*(1-Assumptions!$B$12*(Assumptions!$B$5+Assumptions!$B$6))</f>
        <v>0.50408884053012737</v>
      </c>
      <c r="E2291" s="12">
        <f>E2290+Assumptions!$B$12*(D2290*Assumptions!$B$5-E2290*Assumptions!$B$7)</f>
        <v>0.18484033656120588</v>
      </c>
      <c r="F2291" s="12">
        <f t="shared" si="105"/>
        <v>0.31107082290866672</v>
      </c>
      <c r="G2291" s="12">
        <f>EXP(-Assumptions!$B$8*B2291)</f>
        <v>0.31933965290014815</v>
      </c>
      <c r="H2291" s="12">
        <f t="shared" si="106"/>
        <v>0.160975555365729</v>
      </c>
      <c r="I2291" s="12">
        <f t="shared" si="107"/>
        <v>5.9026848919402047E-2</v>
      </c>
      <c r="J2291" s="12">
        <f>G2291*(D2291*Assumptions!$B$6+E2291*Assumptions!$B$7)</f>
        <v>4.5610979996273931E-3</v>
      </c>
    </row>
    <row r="2292" spans="1:10" x14ac:dyDescent="0.2">
      <c r="A2292" s="2">
        <v>2284</v>
      </c>
      <c r="B2292" s="14">
        <f>A2292*Assumptions!$B$12</f>
        <v>22.84</v>
      </c>
      <c r="C2292" s="15">
        <f>IF(A2292&lt;=Assumptions!$B$13,IF(OR(A2292=0,A2292=Assumptions!$B$13),0.5,1),0)*Assumptions!$B$12</f>
        <v>0</v>
      </c>
      <c r="D2292" s="12">
        <f>D2291*(1-Assumptions!$B$12*(Assumptions!$B$5+Assumptions!$B$6))</f>
        <v>0.50393761387796832</v>
      </c>
      <c r="E2292" s="12">
        <f>E2291+Assumptions!$B$12*(D2291*Assumptions!$B$5-E2291*Assumptions!$B$7)</f>
        <v>0.18484873416103131</v>
      </c>
      <c r="F2292" s="12">
        <f t="shared" si="105"/>
        <v>0.31121365196100037</v>
      </c>
      <c r="G2292" s="12">
        <f>EXP(-Assumptions!$B$8*B2292)</f>
        <v>0.31918002298450265</v>
      </c>
      <c r="H2292" s="12">
        <f t="shared" si="106"/>
        <v>0.16084681918032534</v>
      </c>
      <c r="I2292" s="12">
        <f t="shared" si="107"/>
        <v>5.9000023218174193E-2</v>
      </c>
      <c r="J2292" s="12">
        <f>G2292*(D2292*Assumptions!$B$6+E2292*Assumptions!$B$7)</f>
        <v>4.5584693527119637E-3</v>
      </c>
    </row>
    <row r="2293" spans="1:10" x14ac:dyDescent="0.2">
      <c r="A2293" s="2">
        <v>2285</v>
      </c>
      <c r="B2293" s="14">
        <f>A2293*Assumptions!$B$12</f>
        <v>22.85</v>
      </c>
      <c r="C2293" s="15">
        <f>IF(A2293&lt;=Assumptions!$B$13,IF(OR(A2293=0,A2293=Assumptions!$B$13),0.5,1),0)*Assumptions!$B$12</f>
        <v>0</v>
      </c>
      <c r="D2293" s="12">
        <f>D2292*(1-Assumptions!$B$12*(Assumptions!$B$5+Assumptions!$B$6))</f>
        <v>0.50378643259380496</v>
      </c>
      <c r="E2293" s="12">
        <f>E2292+Assumptions!$B$12*(D2292*Assumptions!$B$5-E2292*Assumptions!$B$7)</f>
        <v>0.18485709731672639</v>
      </c>
      <c r="F2293" s="12">
        <f t="shared" si="105"/>
        <v>0.31135647008946865</v>
      </c>
      <c r="G2293" s="12">
        <f>EXP(-Assumptions!$B$8*B2293)</f>
        <v>0.31902047286386453</v>
      </c>
      <c r="H2293" s="12">
        <f t="shared" si="106"/>
        <v>0.16071818594847506</v>
      </c>
      <c r="I2293" s="12">
        <f t="shared" si="107"/>
        <v>5.8973198598223475E-2</v>
      </c>
      <c r="J2293" s="12">
        <f>G2293*(D2293*Assumptions!$B$6+E2293*Assumptions!$B$7)</f>
        <v>4.5558417893959242E-3</v>
      </c>
    </row>
    <row r="2294" spans="1:10" x14ac:dyDescent="0.2">
      <c r="A2294" s="2">
        <v>2286</v>
      </c>
      <c r="B2294" s="14">
        <f>A2294*Assumptions!$B$12</f>
        <v>22.86</v>
      </c>
      <c r="C2294" s="15">
        <f>IF(A2294&lt;=Assumptions!$B$13,IF(OR(A2294=0,A2294=Assumptions!$B$13),0.5,1),0)*Assumptions!$B$12</f>
        <v>0</v>
      </c>
      <c r="D2294" s="12">
        <f>D2293*(1-Assumptions!$B$12*(Assumptions!$B$5+Assumptions!$B$6))</f>
        <v>0.50363529666402684</v>
      </c>
      <c r="E2294" s="12">
        <f>E2293+Assumptions!$B$12*(D2293*Assumptions!$B$5-E2293*Assumptions!$B$7)</f>
        <v>0.18486542605458678</v>
      </c>
      <c r="F2294" s="12">
        <f t="shared" si="105"/>
        <v>0.31149927728138638</v>
      </c>
      <c r="G2294" s="12">
        <f>EXP(-Assumptions!$B$8*B2294)</f>
        <v>0.31886100249834631</v>
      </c>
      <c r="H2294" s="12">
        <f t="shared" si="106"/>
        <v>0.16058965558784366</v>
      </c>
      <c r="I2294" s="12">
        <f t="shared" si="107"/>
        <v>5.894637507904945E-2</v>
      </c>
      <c r="J2294" s="12">
        <f>G2294*(D2294*Assumptions!$B$6+E2294*Assumptions!$B$7)</f>
        <v>4.5532153098309094E-3</v>
      </c>
    </row>
    <row r="2295" spans="1:10" x14ac:dyDescent="0.2">
      <c r="A2295" s="2">
        <v>2287</v>
      </c>
      <c r="B2295" s="14">
        <f>A2295*Assumptions!$B$12</f>
        <v>22.87</v>
      </c>
      <c r="C2295" s="15">
        <f>IF(A2295&lt;=Assumptions!$B$13,IF(OR(A2295=0,A2295=Assumptions!$B$13),0.5,1),0)*Assumptions!$B$12</f>
        <v>0</v>
      </c>
      <c r="D2295" s="12">
        <f>D2294*(1-Assumptions!$B$12*(Assumptions!$B$5+Assumptions!$B$6))</f>
        <v>0.50348420607502764</v>
      </c>
      <c r="E2295" s="12">
        <f>E2294+Assumptions!$B$12*(D2294*Assumptions!$B$5-E2294*Assumptions!$B$7)</f>
        <v>0.18487372040089228</v>
      </c>
      <c r="F2295" s="12">
        <f t="shared" si="105"/>
        <v>0.31164207352408008</v>
      </c>
      <c r="G2295" s="12">
        <f>EXP(-Assumptions!$B$8*B2295)</f>
        <v>0.31870161184808027</v>
      </c>
      <c r="H2295" s="12">
        <f t="shared" si="106"/>
        <v>0.16046122801616231</v>
      </c>
      <c r="I2295" s="12">
        <f t="shared" si="107"/>
        <v>5.8919552680115693E-2</v>
      </c>
      <c r="J2295" s="12">
        <f>G2295*(D2295*Assumptions!$B$6+E2295*Assumptions!$B$7)</f>
        <v>4.5505899141674074E-3</v>
      </c>
    </row>
    <row r="2296" spans="1:10" x14ac:dyDescent="0.2">
      <c r="A2296" s="2">
        <v>2288</v>
      </c>
      <c r="B2296" s="14">
        <f>A2296*Assumptions!$B$12</f>
        <v>22.88</v>
      </c>
      <c r="C2296" s="15">
        <f>IF(A2296&lt;=Assumptions!$B$13,IF(OR(A2296=0,A2296=Assumptions!$B$13),0.5,1),0)*Assumptions!$B$12</f>
        <v>0</v>
      </c>
      <c r="D2296" s="12">
        <f>D2295*(1-Assumptions!$B$12*(Assumptions!$B$5+Assumptions!$B$6))</f>
        <v>0.50333316081320512</v>
      </c>
      <c r="E2296" s="12">
        <f>E2295+Assumptions!$B$12*(D2295*Assumptions!$B$5-E2295*Assumptions!$B$7)</f>
        <v>0.18488198038190684</v>
      </c>
      <c r="F2296" s="12">
        <f t="shared" si="105"/>
        <v>0.31178485880488804</v>
      </c>
      <c r="G2296" s="12">
        <f>EXP(-Assumptions!$B$8*B2296)</f>
        <v>0.318542300873219</v>
      </c>
      <c r="H2296" s="12">
        <f t="shared" si="106"/>
        <v>0.16033290315122831</v>
      </c>
      <c r="I2296" s="12">
        <f t="shared" si="107"/>
        <v>5.8892731420849942E-2</v>
      </c>
      <c r="J2296" s="12">
        <f>G2296*(D2296*Assumptions!$B$6+E2296*Assumptions!$B$7)</f>
        <v>4.5479656025547797E-3</v>
      </c>
    </row>
    <row r="2297" spans="1:10" x14ac:dyDescent="0.2">
      <c r="A2297" s="2">
        <v>2289</v>
      </c>
      <c r="B2297" s="14">
        <f>A2297*Assumptions!$B$12</f>
        <v>22.89</v>
      </c>
      <c r="C2297" s="15">
        <f>IF(A2297&lt;=Assumptions!$B$13,IF(OR(A2297=0,A2297=Assumptions!$B$13),0.5,1),0)*Assumptions!$B$12</f>
        <v>0</v>
      </c>
      <c r="D2297" s="12">
        <f>D2296*(1-Assumptions!$B$12*(Assumptions!$B$5+Assumptions!$B$6))</f>
        <v>0.50318216086496115</v>
      </c>
      <c r="E2297" s="12">
        <f>E2296+Assumptions!$B$12*(D2296*Assumptions!$B$5-E2296*Assumptions!$B$7)</f>
        <v>0.18489020602387854</v>
      </c>
      <c r="F2297" s="12">
        <f t="shared" si="105"/>
        <v>0.31192763311116034</v>
      </c>
      <c r="G2297" s="12">
        <f>EXP(-Assumptions!$B$8*B2297)</f>
        <v>0.31838306953393447</v>
      </c>
      <c r="H2297" s="12">
        <f t="shared" si="106"/>
        <v>0.16020468091090431</v>
      </c>
      <c r="I2297" s="12">
        <f t="shared" si="107"/>
        <v>5.886591132064399E-2</v>
      </c>
      <c r="J2297" s="12">
        <f>G2297*(D2297*Assumptions!$B$6+E2297*Assumptions!$B$7)</f>
        <v>4.5453423751412427E-3</v>
      </c>
    </row>
    <row r="2298" spans="1:10" x14ac:dyDescent="0.2">
      <c r="A2298" s="2">
        <v>2290</v>
      </c>
      <c r="B2298" s="14">
        <f>A2298*Assumptions!$B$12</f>
        <v>22.900000000000002</v>
      </c>
      <c r="C2298" s="15">
        <f>IF(A2298&lt;=Assumptions!$B$13,IF(OR(A2298=0,A2298=Assumptions!$B$13),0.5,1),0)*Assumptions!$B$12</f>
        <v>0</v>
      </c>
      <c r="D2298" s="12">
        <f>D2297*(1-Assumptions!$B$12*(Assumptions!$B$5+Assumptions!$B$6))</f>
        <v>0.50303120621670172</v>
      </c>
      <c r="E2298" s="12">
        <f>E2297+Assumptions!$B$12*(D2297*Assumptions!$B$5-E2297*Assumptions!$B$7)</f>
        <v>0.18489839735303959</v>
      </c>
      <c r="F2298" s="12">
        <f t="shared" si="105"/>
        <v>0.31207039643025869</v>
      </c>
      <c r="G2298" s="12">
        <f>EXP(-Assumptions!$B$8*B2298)</f>
        <v>0.31822391779041903</v>
      </c>
      <c r="H2298" s="12">
        <f t="shared" si="106"/>
        <v>0.160076561213119</v>
      </c>
      <c r="I2298" s="12">
        <f t="shared" si="107"/>
        <v>5.8839092398853904E-2</v>
      </c>
      <c r="J2298" s="12">
        <f>G2298*(D2298*Assumptions!$B$6+E2298*Assumptions!$B$7)</f>
        <v>4.5427202320738862E-3</v>
      </c>
    </row>
    <row r="2299" spans="1:10" x14ac:dyDescent="0.2">
      <c r="A2299" s="2">
        <v>2291</v>
      </c>
      <c r="B2299" s="14">
        <f>A2299*Assumptions!$B$12</f>
        <v>22.91</v>
      </c>
      <c r="C2299" s="15">
        <f>IF(A2299&lt;=Assumptions!$B$13,IF(OR(A2299=0,A2299=Assumptions!$B$13),0.5,1),0)*Assumptions!$B$12</f>
        <v>0</v>
      </c>
      <c r="D2299" s="12">
        <f>D2298*(1-Assumptions!$B$12*(Assumptions!$B$5+Assumptions!$B$6))</f>
        <v>0.50288029685483671</v>
      </c>
      <c r="E2299" s="12">
        <f>E2298+Assumptions!$B$12*(D2298*Assumptions!$B$5-E2298*Assumptions!$B$7)</f>
        <v>0.18490655439560641</v>
      </c>
      <c r="F2299" s="12">
        <f t="shared" si="105"/>
        <v>0.31221314874955686</v>
      </c>
      <c r="G2299" s="12">
        <f>EXP(-Assumptions!$B$8*B2299)</f>
        <v>0.31806484560288478</v>
      </c>
      <c r="H2299" s="12">
        <f t="shared" si="106"/>
        <v>0.1599485439758665</v>
      </c>
      <c r="I2299" s="12">
        <f t="shared" si="107"/>
        <v>5.8812274674799971E-2</v>
      </c>
      <c r="J2299" s="12">
        <f>G2299*(D2299*Assumptions!$B$6+E2299*Assumptions!$B$7)</f>
        <v>4.5400991734986639E-3</v>
      </c>
    </row>
    <row r="2300" spans="1:10" x14ac:dyDescent="0.2">
      <c r="A2300" s="2">
        <v>2292</v>
      </c>
      <c r="B2300" s="14">
        <f>A2300*Assumptions!$B$12</f>
        <v>22.92</v>
      </c>
      <c r="C2300" s="15">
        <f>IF(A2300&lt;=Assumptions!$B$13,IF(OR(A2300=0,A2300=Assumptions!$B$13),0.5,1),0)*Assumptions!$B$12</f>
        <v>0</v>
      </c>
      <c r="D2300" s="12">
        <f>D2299*(1-Assumptions!$B$12*(Assumptions!$B$5+Assumptions!$B$6))</f>
        <v>0.5027294327657803</v>
      </c>
      <c r="E2300" s="12">
        <f>E2299+Assumptions!$B$12*(D2299*Assumptions!$B$5-E2299*Assumptions!$B$7)</f>
        <v>0.18491467717777957</v>
      </c>
      <c r="F2300" s="12">
        <f t="shared" si="105"/>
        <v>0.31235589005644016</v>
      </c>
      <c r="G2300" s="12">
        <f>EXP(-Assumptions!$B$8*B2300)</f>
        <v>0.31790585293156348</v>
      </c>
      <c r="H2300" s="12">
        <f t="shared" si="106"/>
        <v>0.15982062911720649</v>
      </c>
      <c r="I2300" s="12">
        <f t="shared" si="107"/>
        <v>5.878545816776673E-2</v>
      </c>
      <c r="J2300" s="12">
        <f>G2300*(D2300*Assumptions!$B$6+E2300*Assumptions!$B$7)</f>
        <v>4.5374791995604017E-3</v>
      </c>
    </row>
    <row r="2301" spans="1:10" x14ac:dyDescent="0.2">
      <c r="A2301" s="2">
        <v>2293</v>
      </c>
      <c r="B2301" s="14">
        <f>A2301*Assumptions!$B$12</f>
        <v>22.93</v>
      </c>
      <c r="C2301" s="15">
        <f>IF(A2301&lt;=Assumptions!$B$13,IF(OR(A2301=0,A2301=Assumptions!$B$13),0.5,1),0)*Assumptions!$B$12</f>
        <v>0</v>
      </c>
      <c r="D2301" s="12">
        <f>D2300*(1-Assumptions!$B$12*(Assumptions!$B$5+Assumptions!$B$6))</f>
        <v>0.5025786139359506</v>
      </c>
      <c r="E2301" s="12">
        <f>E2300+Assumptions!$B$12*(D2300*Assumptions!$B$5-E2300*Assumptions!$B$7)</f>
        <v>0.18492276572574384</v>
      </c>
      <c r="F2301" s="12">
        <f t="shared" si="105"/>
        <v>0.31249862033830555</v>
      </c>
      <c r="G2301" s="12">
        <f>EXP(-Assumptions!$B$8*B2301)</f>
        <v>0.31774693973670709</v>
      </c>
      <c r="H2301" s="12">
        <f t="shared" si="106"/>
        <v>0.15969281655526427</v>
      </c>
      <c r="I2301" s="12">
        <f t="shared" si="107"/>
        <v>5.8758642897003131E-2</v>
      </c>
      <c r="J2301" s="12">
        <f>G2301*(D2301*Assumptions!$B$6+E2301*Assumptions!$B$7)</f>
        <v>4.5348603104027998E-3</v>
      </c>
    </row>
    <row r="2302" spans="1:10" x14ac:dyDescent="0.2">
      <c r="A2302" s="2">
        <v>2294</v>
      </c>
      <c r="B2302" s="14">
        <f>A2302*Assumptions!$B$12</f>
        <v>22.94</v>
      </c>
      <c r="C2302" s="15">
        <f>IF(A2302&lt;=Assumptions!$B$13,IF(OR(A2302=0,A2302=Assumptions!$B$13),0.5,1),0)*Assumptions!$B$12</f>
        <v>0</v>
      </c>
      <c r="D2302" s="12">
        <f>D2301*(1-Assumptions!$B$12*(Assumptions!$B$5+Assumptions!$B$6))</f>
        <v>0.50242784035176979</v>
      </c>
      <c r="E2302" s="12">
        <f>E2301+Assumptions!$B$12*(D2301*Assumptions!$B$5-E2301*Assumptions!$B$7)</f>
        <v>0.18493082006566816</v>
      </c>
      <c r="F2302" s="12">
        <f t="shared" si="105"/>
        <v>0.31264133958256202</v>
      </c>
      <c r="G2302" s="12">
        <f>EXP(-Assumptions!$B$8*B2302)</f>
        <v>0.31758810597858733</v>
      </c>
      <c r="H2302" s="12">
        <f t="shared" si="106"/>
        <v>0.15956510620823061</v>
      </c>
      <c r="I2302" s="12">
        <f t="shared" si="107"/>
        <v>5.8731828881722487E-2</v>
      </c>
      <c r="J2302" s="12">
        <f>G2302*(D2302*Assumptions!$B$6+E2302*Assumptions!$B$7)</f>
        <v>4.5322425061684306E-3</v>
      </c>
    </row>
    <row r="2303" spans="1:10" x14ac:dyDescent="0.2">
      <c r="A2303" s="2">
        <v>2295</v>
      </c>
      <c r="B2303" s="14">
        <f>A2303*Assumptions!$B$12</f>
        <v>22.95</v>
      </c>
      <c r="C2303" s="15">
        <f>IF(A2303&lt;=Assumptions!$B$13,IF(OR(A2303=0,A2303=Assumptions!$B$13),0.5,1),0)*Assumptions!$B$12</f>
        <v>0</v>
      </c>
      <c r="D2303" s="12">
        <f>D2302*(1-Assumptions!$B$12*(Assumptions!$B$5+Assumptions!$B$6))</f>
        <v>0.50227711199966429</v>
      </c>
      <c r="E2303" s="12">
        <f>E2302+Assumptions!$B$12*(D2302*Assumptions!$B$5-E2302*Assumptions!$B$7)</f>
        <v>0.18493884022370569</v>
      </c>
      <c r="F2303" s="12">
        <f t="shared" si="105"/>
        <v>0.31278404777663005</v>
      </c>
      <c r="G2303" s="12">
        <f>EXP(-Assumptions!$B$8*B2303)</f>
        <v>0.31742935161749569</v>
      </c>
      <c r="H2303" s="12">
        <f t="shared" si="106"/>
        <v>0.15943749799436172</v>
      </c>
      <c r="I2303" s="12">
        <f t="shared" si="107"/>
        <v>5.8705016141102531E-2</v>
      </c>
      <c r="J2303" s="12">
        <f>G2303*(D2303*Assumptions!$B$6+E2303*Assumptions!$B$7)</f>
        <v>4.5296257869987437E-3</v>
      </c>
    </row>
    <row r="2304" spans="1:10" x14ac:dyDescent="0.2">
      <c r="A2304" s="2">
        <v>2296</v>
      </c>
      <c r="B2304" s="14">
        <f>A2304*Assumptions!$B$12</f>
        <v>22.96</v>
      </c>
      <c r="C2304" s="15">
        <f>IF(A2304&lt;=Assumptions!$B$13,IF(OR(A2304=0,A2304=Assumptions!$B$13),0.5,1),0)*Assumptions!$B$12</f>
        <v>0</v>
      </c>
      <c r="D2304" s="12">
        <f>D2303*(1-Assumptions!$B$12*(Assumptions!$B$5+Assumptions!$B$6))</f>
        <v>0.5021264288660644</v>
      </c>
      <c r="E2304" s="12">
        <f>E2303+Assumptions!$B$12*(D2303*Assumptions!$B$5-E2303*Assumptions!$B$7)</f>
        <v>0.18494682622599376</v>
      </c>
      <c r="F2304" s="12">
        <f t="shared" si="105"/>
        <v>0.31292674490794181</v>
      </c>
      <c r="G2304" s="12">
        <f>EXP(-Assumptions!$B$8*B2304)</f>
        <v>0.31727067661374359</v>
      </c>
      <c r="H2304" s="12">
        <f t="shared" si="106"/>
        <v>0.15930999183197905</v>
      </c>
      <c r="I2304" s="12">
        <f t="shared" si="107"/>
        <v>5.8678204694285495E-2</v>
      </c>
      <c r="J2304" s="12">
        <f>G2304*(D2304*Assumptions!$B$6+E2304*Assumptions!$B$7)</f>
        <v>4.5270101530340652E-3</v>
      </c>
    </row>
    <row r="2305" spans="1:10" x14ac:dyDescent="0.2">
      <c r="A2305" s="2">
        <v>2297</v>
      </c>
      <c r="B2305" s="14">
        <f>A2305*Assumptions!$B$12</f>
        <v>22.97</v>
      </c>
      <c r="C2305" s="15">
        <f>IF(A2305&lt;=Assumptions!$B$13,IF(OR(A2305=0,A2305=Assumptions!$B$13),0.5,1),0)*Assumptions!$B$12</f>
        <v>0</v>
      </c>
      <c r="D2305" s="12">
        <f>D2304*(1-Assumptions!$B$12*(Assumptions!$B$5+Assumptions!$B$6))</f>
        <v>0.50197579093740463</v>
      </c>
      <c r="E2305" s="12">
        <f>E2304+Assumptions!$B$12*(D2304*Assumptions!$B$5-E2304*Assumptions!$B$7)</f>
        <v>0.18495477809865399</v>
      </c>
      <c r="F2305" s="12">
        <f t="shared" si="105"/>
        <v>0.31306943096394135</v>
      </c>
      <c r="G2305" s="12">
        <f>EXP(-Assumptions!$B$8*B2305)</f>
        <v>0.3171120809276623</v>
      </c>
      <c r="H2305" s="12">
        <f t="shared" si="106"/>
        <v>0.15918258763946955</v>
      </c>
      <c r="I2305" s="12">
        <f t="shared" si="107"/>
        <v>5.8651394560378184E-2</v>
      </c>
      <c r="J2305" s="12">
        <f>G2305*(D2305*Assumptions!$B$6+E2305*Assumptions!$B$7)</f>
        <v>4.5243956044136047E-3</v>
      </c>
    </row>
    <row r="2306" spans="1:10" x14ac:dyDescent="0.2">
      <c r="A2306" s="2">
        <v>2298</v>
      </c>
      <c r="B2306" s="14">
        <f>A2306*Assumptions!$B$12</f>
        <v>22.98</v>
      </c>
      <c r="C2306" s="15">
        <f>IF(A2306&lt;=Assumptions!$B$13,IF(OR(A2306=0,A2306=Assumptions!$B$13),0.5,1),0)*Assumptions!$B$12</f>
        <v>0</v>
      </c>
      <c r="D2306" s="12">
        <f>D2305*(1-Assumptions!$B$12*(Assumptions!$B$5+Assumptions!$B$6))</f>
        <v>0.50182519820012339</v>
      </c>
      <c r="E2306" s="12">
        <f>E2305+Assumptions!$B$12*(D2305*Assumptions!$B$5-E2305*Assumptions!$B$7)</f>
        <v>0.18496269586779215</v>
      </c>
      <c r="F2306" s="12">
        <f t="shared" si="105"/>
        <v>0.31321210593208448</v>
      </c>
      <c r="G2306" s="12">
        <f>EXP(-Assumptions!$B$8*B2306)</f>
        <v>0.31695356451960294</v>
      </c>
      <c r="H2306" s="12">
        <f t="shared" si="106"/>
        <v>0.15905528533528535</v>
      </c>
      <c r="I2306" s="12">
        <f t="shared" si="107"/>
        <v>5.8624585758451954E-2</v>
      </c>
      <c r="J2306" s="12">
        <f>G2306*(D2306*Assumptions!$B$6+E2306*Assumptions!$B$7)</f>
        <v>4.5217821412754508E-3</v>
      </c>
    </row>
    <row r="2307" spans="1:10" x14ac:dyDescent="0.2">
      <c r="A2307" s="2">
        <v>2299</v>
      </c>
      <c r="B2307" s="14">
        <f>A2307*Assumptions!$B$12</f>
        <v>22.990000000000002</v>
      </c>
      <c r="C2307" s="15">
        <f>IF(A2307&lt;=Assumptions!$B$13,IF(OR(A2307=0,A2307=Assumptions!$B$13),0.5,1),0)*Assumptions!$B$12</f>
        <v>0</v>
      </c>
      <c r="D2307" s="12">
        <f>D2306*(1-Assumptions!$B$12*(Assumptions!$B$5+Assumptions!$B$6))</f>
        <v>0.50167465064066341</v>
      </c>
      <c r="E2307" s="12">
        <f>E2306+Assumptions!$B$12*(D2306*Assumptions!$B$5-E2306*Assumptions!$B$7)</f>
        <v>0.18497057955949828</v>
      </c>
      <c r="F2307" s="12">
        <f t="shared" si="105"/>
        <v>0.31335476979983834</v>
      </c>
      <c r="G2307" s="12">
        <f>EXP(-Assumptions!$B$8*B2307)</f>
        <v>0.31679512734993626</v>
      </c>
      <c r="H2307" s="12">
        <f t="shared" si="106"/>
        <v>0.15892808483794374</v>
      </c>
      <c r="I2307" s="12">
        <f t="shared" si="107"/>
        <v>5.8597778307542772E-2</v>
      </c>
      <c r="J2307" s="12">
        <f>G2307*(D2307*Assumptions!$B$6+E2307*Assumptions!$B$7)</f>
        <v>4.5191697637565762E-3</v>
      </c>
    </row>
    <row r="2308" spans="1:10" x14ac:dyDescent="0.2">
      <c r="A2308" s="2">
        <v>2300</v>
      </c>
      <c r="B2308" s="14">
        <f>A2308*Assumptions!$B$12</f>
        <v>23</v>
      </c>
      <c r="C2308" s="15">
        <f>IF(A2308&lt;=Assumptions!$B$13,IF(OR(A2308=0,A2308=Assumptions!$B$13),0.5,1),0)*Assumptions!$B$12</f>
        <v>0</v>
      </c>
      <c r="D2308" s="12">
        <f>D2307*(1-Assumptions!$B$12*(Assumptions!$B$5+Assumptions!$B$6))</f>
        <v>0.5015241482454712</v>
      </c>
      <c r="E2308" s="12">
        <f>E2307+Assumptions!$B$12*(D2307*Assumptions!$B$5-E2307*Assumptions!$B$7)</f>
        <v>0.18497842919984667</v>
      </c>
      <c r="F2308" s="12">
        <f t="shared" si="105"/>
        <v>0.31349742255468216</v>
      </c>
      <c r="G2308" s="12">
        <f>EXP(-Assumptions!$B$8*B2308)</f>
        <v>0.31663676937905316</v>
      </c>
      <c r="H2308" s="12">
        <f t="shared" si="106"/>
        <v>0.15880098606602733</v>
      </c>
      <c r="I2308" s="12">
        <f t="shared" si="107"/>
        <v>5.8570972226651363E-2</v>
      </c>
      <c r="J2308" s="12">
        <f>G2308*(D2308*Assumptions!$B$6+E2308*Assumptions!$B$7)</f>
        <v>4.5165584719928419E-3</v>
      </c>
    </row>
    <row r="2309" spans="1:10" x14ac:dyDescent="0.2">
      <c r="A2309" s="2">
        <v>2301</v>
      </c>
      <c r="B2309" s="14">
        <f>A2309*Assumptions!$B$12</f>
        <v>23.01</v>
      </c>
      <c r="C2309" s="15">
        <f>IF(A2309&lt;=Assumptions!$B$13,IF(OR(A2309=0,A2309=Assumptions!$B$13),0.5,1),0)*Assumptions!$B$12</f>
        <v>0</v>
      </c>
      <c r="D2309" s="12">
        <f>D2308*(1-Assumptions!$B$12*(Assumptions!$B$5+Assumptions!$B$6))</f>
        <v>0.5013736910009976</v>
      </c>
      <c r="E2309" s="12">
        <f>E2308+Assumptions!$B$12*(D2308*Assumptions!$B$5-E2308*Assumptions!$B$7)</f>
        <v>0.18498624481489584</v>
      </c>
      <c r="F2309" s="12">
        <f t="shared" si="105"/>
        <v>0.31364006418410656</v>
      </c>
      <c r="G2309" s="12">
        <f>EXP(-Assumptions!$B$8*B2309)</f>
        <v>0.31647849056736405</v>
      </c>
      <c r="H2309" s="12">
        <f t="shared" si="106"/>
        <v>0.15867398893818371</v>
      </c>
      <c r="I2309" s="12">
        <f t="shared" si="107"/>
        <v>5.8544167534743112E-2</v>
      </c>
      <c r="J2309" s="12">
        <f>G2309*(D2309*Assumptions!$B$6+E2309*Assumptions!$B$7)</f>
        <v>4.5139482661189934E-3</v>
      </c>
    </row>
    <row r="2310" spans="1:10" x14ac:dyDescent="0.2">
      <c r="A2310" s="2">
        <v>2302</v>
      </c>
      <c r="B2310" s="14">
        <f>A2310*Assumptions!$B$12</f>
        <v>23.02</v>
      </c>
      <c r="C2310" s="15">
        <f>IF(A2310&lt;=Assumptions!$B$13,IF(OR(A2310=0,A2310=Assumptions!$B$13),0.5,1),0)*Assumptions!$B$12</f>
        <v>0</v>
      </c>
      <c r="D2310" s="12">
        <f>D2309*(1-Assumptions!$B$12*(Assumptions!$B$5+Assumptions!$B$6))</f>
        <v>0.50122327889369733</v>
      </c>
      <c r="E2310" s="12">
        <f>E2309+Assumptions!$B$12*(D2309*Assumptions!$B$5-E2309*Assumptions!$B$7)</f>
        <v>0.1849940264306886</v>
      </c>
      <c r="F2310" s="12">
        <f t="shared" si="105"/>
        <v>0.31378269467561404</v>
      </c>
      <c r="G2310" s="12">
        <f>EXP(-Assumptions!$B$8*B2310)</f>
        <v>0.31632029087529923</v>
      </c>
      <c r="H2310" s="12">
        <f t="shared" si="106"/>
        <v>0.15854709337312556</v>
      </c>
      <c r="I2310" s="12">
        <f t="shared" si="107"/>
        <v>5.8517364250748209E-2</v>
      </c>
      <c r="J2310" s="12">
        <f>G2310*(D2310*Assumptions!$B$6+E2310*Assumptions!$B$7)</f>
        <v>4.5113391462686661E-3</v>
      </c>
    </row>
    <row r="2311" spans="1:10" x14ac:dyDescent="0.2">
      <c r="A2311" s="2">
        <v>2303</v>
      </c>
      <c r="B2311" s="14">
        <f>A2311*Assumptions!$B$12</f>
        <v>23.03</v>
      </c>
      <c r="C2311" s="15">
        <f>IF(A2311&lt;=Assumptions!$B$13,IF(OR(A2311=0,A2311=Assumptions!$B$13),0.5,1),0)*Assumptions!$B$12</f>
        <v>0</v>
      </c>
      <c r="D2311" s="12">
        <f>D2310*(1-Assumptions!$B$12*(Assumptions!$B$5+Assumptions!$B$6))</f>
        <v>0.50107291191002923</v>
      </c>
      <c r="E2311" s="12">
        <f>E2310+Assumptions!$B$12*(D2310*Assumptions!$B$5-E2310*Assumptions!$B$7)</f>
        <v>0.185001774073252</v>
      </c>
      <c r="F2311" s="12">
        <f t="shared" si="105"/>
        <v>0.31392531401671875</v>
      </c>
      <c r="G2311" s="12">
        <f>EXP(-Assumptions!$B$8*B2311)</f>
        <v>0.31616217026330873</v>
      </c>
      <c r="H2311" s="12">
        <f t="shared" si="106"/>
        <v>0.15842029928963056</v>
      </c>
      <c r="I2311" s="12">
        <f t="shared" si="107"/>
        <v>5.8490562393561672E-2</v>
      </c>
      <c r="J2311" s="12">
        <f>G2311*(D2311*Assumptions!$B$6+E2311*Assumptions!$B$7)</f>
        <v>4.5087311125743892E-3</v>
      </c>
    </row>
    <row r="2312" spans="1:10" x14ac:dyDescent="0.2">
      <c r="A2312" s="2">
        <v>2304</v>
      </c>
      <c r="B2312" s="14">
        <f>A2312*Assumptions!$B$12</f>
        <v>23.04</v>
      </c>
      <c r="C2312" s="15">
        <f>IF(A2312&lt;=Assumptions!$B$13,IF(OR(A2312=0,A2312=Assumptions!$B$13),0.5,1),0)*Assumptions!$B$12</f>
        <v>0</v>
      </c>
      <c r="D2312" s="12">
        <f>D2311*(1-Assumptions!$B$12*(Assumptions!$B$5+Assumptions!$B$6))</f>
        <v>0.50092259003645623</v>
      </c>
      <c r="E2312" s="12">
        <f>E2311+Assumptions!$B$12*(D2311*Assumptions!$B$5-E2311*Assumptions!$B$7)</f>
        <v>0.18500948776859738</v>
      </c>
      <c r="F2312" s="12">
        <f t="shared" ref="F2312:F2375" si="108">1-D2312-E2312</f>
        <v>0.31406792219494639</v>
      </c>
      <c r="G2312" s="12">
        <f>EXP(-Assumptions!$B$8*B2312)</f>
        <v>0.31600412869186256</v>
      </c>
      <c r="H2312" s="12">
        <f t="shared" ref="H2312:H2375" si="109">G2312*D2312</f>
        <v>0.15829360660654143</v>
      </c>
      <c r="I2312" s="12">
        <f t="shared" ref="I2312:I2375" si="110">G2312*E2312</f>
        <v>5.8463761982043422E-2</v>
      </c>
      <c r="J2312" s="12">
        <f>G2312*(D2312*Assumptions!$B$6+E2312*Assumptions!$B$7)</f>
        <v>4.5061241651675856E-3</v>
      </c>
    </row>
    <row r="2313" spans="1:10" x14ac:dyDescent="0.2">
      <c r="A2313" s="2">
        <v>2305</v>
      </c>
      <c r="B2313" s="14">
        <f>A2313*Assumptions!$B$12</f>
        <v>23.05</v>
      </c>
      <c r="C2313" s="15">
        <f>IF(A2313&lt;=Assumptions!$B$13,IF(OR(A2313=0,A2313=Assumptions!$B$13),0.5,1),0)*Assumptions!$B$12</f>
        <v>0</v>
      </c>
      <c r="D2313" s="12">
        <f>D2312*(1-Assumptions!$B$12*(Assumptions!$B$5+Assumptions!$B$6))</f>
        <v>0.50077231325944527</v>
      </c>
      <c r="E2313" s="12">
        <f>E2312+Assumptions!$B$12*(D2312*Assumptions!$B$5-E2312*Assumptions!$B$7)</f>
        <v>0.18501716754272038</v>
      </c>
      <c r="F2313" s="12">
        <f t="shared" si="108"/>
        <v>0.31421051919783438</v>
      </c>
      <c r="G2313" s="12">
        <f>EXP(-Assumptions!$B$8*B2313)</f>
        <v>0.31584616612145006</v>
      </c>
      <c r="H2313" s="12">
        <f t="shared" si="109"/>
        <v>0.15816701524276558</v>
      </c>
      <c r="I2313" s="12">
        <f t="shared" si="110"/>
        <v>5.8436963035018219E-2</v>
      </c>
      <c r="J2313" s="12">
        <f>G2313*(D2313*Assumptions!$B$6+E2313*Assumptions!$B$7)</f>
        <v>4.5035183041785666E-3</v>
      </c>
    </row>
    <row r="2314" spans="1:10" x14ac:dyDescent="0.2">
      <c r="A2314" s="2">
        <v>2306</v>
      </c>
      <c r="B2314" s="14">
        <f>A2314*Assumptions!$B$12</f>
        <v>23.06</v>
      </c>
      <c r="C2314" s="15">
        <f>IF(A2314&lt;=Assumptions!$B$13,IF(OR(A2314=0,A2314=Assumptions!$B$13),0.5,1),0)*Assumptions!$B$12</f>
        <v>0</v>
      </c>
      <c r="D2314" s="12">
        <f>D2313*(1-Assumptions!$B$12*(Assumptions!$B$5+Assumptions!$B$6))</f>
        <v>0.5006220815654675</v>
      </c>
      <c r="E2314" s="12">
        <f>E2313+Assumptions!$B$12*(D2313*Assumptions!$B$5-E2313*Assumptions!$B$7)</f>
        <v>0.1850248134216009</v>
      </c>
      <c r="F2314" s="12">
        <f t="shared" si="108"/>
        <v>0.31435310501293157</v>
      </c>
      <c r="G2314" s="12">
        <f>EXP(-Assumptions!$B$8*B2314)</f>
        <v>0.3156882825125808</v>
      </c>
      <c r="H2314" s="12">
        <f t="shared" si="109"/>
        <v>0.15804052511727557</v>
      </c>
      <c r="I2314" s="12">
        <f t="shared" si="110"/>
        <v>5.8410165571275895E-2</v>
      </c>
      <c r="J2314" s="12">
        <f>G2314*(D2314*Assumptions!$B$6+E2314*Assumptions!$B$7)</f>
        <v>4.5009135297365511E-3</v>
      </c>
    </row>
    <row r="2315" spans="1:10" x14ac:dyDescent="0.2">
      <c r="A2315" s="2">
        <v>2307</v>
      </c>
      <c r="B2315" s="14">
        <f>A2315*Assumptions!$B$12</f>
        <v>23.07</v>
      </c>
      <c r="C2315" s="15">
        <f>IF(A2315&lt;=Assumptions!$B$13,IF(OR(A2315=0,A2315=Assumptions!$B$13),0.5,1),0)*Assumptions!$B$12</f>
        <v>0</v>
      </c>
      <c r="D2315" s="12">
        <f>D2314*(1-Assumptions!$B$12*(Assumptions!$B$5+Assumptions!$B$6))</f>
        <v>0.50047189494099786</v>
      </c>
      <c r="E2315" s="12">
        <f>E2314+Assumptions!$B$12*(D2314*Assumptions!$B$5-E2314*Assumptions!$B$7)</f>
        <v>0.18503242543120318</v>
      </c>
      <c r="F2315" s="12">
        <f t="shared" si="108"/>
        <v>0.31449567962779895</v>
      </c>
      <c r="G2315" s="12">
        <f>EXP(-Assumptions!$B$8*B2315)</f>
        <v>0.31553047782578381</v>
      </c>
      <c r="H2315" s="12">
        <f t="shared" si="109"/>
        <v>0.15791413614910854</v>
      </c>
      <c r="I2315" s="12">
        <f t="shared" si="110"/>
        <v>5.8383369609571252E-2</v>
      </c>
      <c r="J2315" s="12">
        <f>G2315*(D2315*Assumptions!$B$6+E2315*Assumptions!$B$7)</f>
        <v>4.4983098419696475E-3</v>
      </c>
    </row>
    <row r="2316" spans="1:10" x14ac:dyDescent="0.2">
      <c r="A2316" s="2">
        <v>2308</v>
      </c>
      <c r="B2316" s="14">
        <f>A2316*Assumptions!$B$12</f>
        <v>23.080000000000002</v>
      </c>
      <c r="C2316" s="15">
        <f>IF(A2316&lt;=Assumptions!$B$13,IF(OR(A2316=0,A2316=Assumptions!$B$13),0.5,1),0)*Assumptions!$B$12</f>
        <v>0</v>
      </c>
      <c r="D2316" s="12">
        <f>D2315*(1-Assumptions!$B$12*(Assumptions!$B$5+Assumptions!$B$6))</f>
        <v>0.50032175337251561</v>
      </c>
      <c r="E2316" s="12">
        <f>E2315+Assumptions!$B$12*(D2315*Assumptions!$B$5-E2315*Assumptions!$B$7)</f>
        <v>0.18504000359747577</v>
      </c>
      <c r="F2316" s="12">
        <f t="shared" si="108"/>
        <v>0.31463824303000865</v>
      </c>
      <c r="G2316" s="12">
        <f>EXP(-Assumptions!$B$8*B2316)</f>
        <v>0.31537275202160786</v>
      </c>
      <c r="H2316" s="12">
        <f t="shared" si="109"/>
        <v>0.15778784825736641</v>
      </c>
      <c r="I2316" s="12">
        <f t="shared" si="110"/>
        <v>5.835657516862415E-2</v>
      </c>
      <c r="J2316" s="12">
        <f>G2316*(D2316*Assumptions!$B$6+E2316*Assumptions!$B$7)</f>
        <v>4.4957072410048713E-3</v>
      </c>
    </row>
    <row r="2317" spans="1:10" x14ac:dyDescent="0.2">
      <c r="A2317" s="2">
        <v>2309</v>
      </c>
      <c r="B2317" s="14">
        <f>A2317*Assumptions!$B$12</f>
        <v>23.09</v>
      </c>
      <c r="C2317" s="15">
        <f>IF(A2317&lt;=Assumptions!$B$13,IF(OR(A2317=0,A2317=Assumptions!$B$13),0.5,1),0)*Assumptions!$B$12</f>
        <v>0</v>
      </c>
      <c r="D2317" s="12">
        <f>D2316*(1-Assumptions!$B$12*(Assumptions!$B$5+Assumptions!$B$6))</f>
        <v>0.50017165684650389</v>
      </c>
      <c r="E2317" s="12">
        <f>E2316+Assumptions!$B$12*(D2316*Assumptions!$B$5-E2316*Assumptions!$B$7)</f>
        <v>0.18504754794635153</v>
      </c>
      <c r="F2317" s="12">
        <f t="shared" si="108"/>
        <v>0.31478079520714458</v>
      </c>
      <c r="G2317" s="12">
        <f>EXP(-Assumptions!$B$8*B2317)</f>
        <v>0.31521510506062167</v>
      </c>
      <c r="H2317" s="12">
        <f t="shared" si="109"/>
        <v>0.15766166136121593</v>
      </c>
      <c r="I2317" s="12">
        <f t="shared" si="110"/>
        <v>5.8329782267119622E-2</v>
      </c>
      <c r="J2317" s="12">
        <f>G2317*(D2317*Assumptions!$B$6+E2317*Assumptions!$B$7)</f>
        <v>4.4931057269681409E-3</v>
      </c>
    </row>
    <row r="2318" spans="1:10" x14ac:dyDescent="0.2">
      <c r="A2318" s="2">
        <v>2310</v>
      </c>
      <c r="B2318" s="14">
        <f>A2318*Assumptions!$B$12</f>
        <v>23.1</v>
      </c>
      <c r="C2318" s="15">
        <f>IF(A2318&lt;=Assumptions!$B$13,IF(OR(A2318=0,A2318=Assumptions!$B$13),0.5,1),0)*Assumptions!$B$12</f>
        <v>0</v>
      </c>
      <c r="D2318" s="12">
        <f>D2317*(1-Assumptions!$B$12*(Assumptions!$B$5+Assumptions!$B$6))</f>
        <v>0.50002160534944995</v>
      </c>
      <c r="E2318" s="12">
        <f>E2317+Assumptions!$B$12*(D2317*Assumptions!$B$5-E2317*Assumptions!$B$7)</f>
        <v>0.18505505850374765</v>
      </c>
      <c r="F2318" s="12">
        <f t="shared" si="108"/>
        <v>0.3149233361468024</v>
      </c>
      <c r="G2318" s="12">
        <f>EXP(-Assumptions!$B$8*B2318)</f>
        <v>0.31505753690341332</v>
      </c>
      <c r="H2318" s="12">
        <f t="shared" si="109"/>
        <v>0.1575355753798883</v>
      </c>
      <c r="I2318" s="12">
        <f t="shared" si="110"/>
        <v>5.8302990923707783E-2</v>
      </c>
      <c r="J2318" s="12">
        <f>G2318*(D2318*Assumptions!$B$6+E2318*Assumptions!$B$7)</f>
        <v>4.4905052999842723E-3</v>
      </c>
    </row>
    <row r="2319" spans="1:10" x14ac:dyDescent="0.2">
      <c r="A2319" s="2">
        <v>2311</v>
      </c>
      <c r="B2319" s="14">
        <f>A2319*Assumptions!$B$12</f>
        <v>23.11</v>
      </c>
      <c r="C2319" s="15">
        <f>IF(A2319&lt;=Assumptions!$B$13,IF(OR(A2319=0,A2319=Assumptions!$B$13),0.5,1),0)*Assumptions!$B$12</f>
        <v>0</v>
      </c>
      <c r="D2319" s="12">
        <f>D2318*(1-Assumptions!$B$12*(Assumptions!$B$5+Assumptions!$B$6))</f>
        <v>0.49987159886784516</v>
      </c>
      <c r="E2319" s="12">
        <f>E2318+Assumptions!$B$12*(D2318*Assumptions!$B$5-E2318*Assumptions!$B$7)</f>
        <v>0.18506253529556566</v>
      </c>
      <c r="F2319" s="12">
        <f t="shared" si="108"/>
        <v>0.31506586583658919</v>
      </c>
      <c r="G2319" s="12">
        <f>EXP(-Assumptions!$B$8*B2319)</f>
        <v>0.31490004751059086</v>
      </c>
      <c r="H2319" s="12">
        <f t="shared" si="109"/>
        <v>0.15740959023267945</v>
      </c>
      <c r="I2319" s="12">
        <f t="shared" si="110"/>
        <v>5.8276201157004021E-2</v>
      </c>
      <c r="J2319" s="12">
        <f>G2319*(D2319*Assumptions!$B$6+E2319*Assumptions!$B$7)</f>
        <v>4.4879059601769964E-3</v>
      </c>
    </row>
    <row r="2320" spans="1:10" x14ac:dyDescent="0.2">
      <c r="A2320" s="2">
        <v>2312</v>
      </c>
      <c r="B2320" s="14">
        <f>A2320*Assumptions!$B$12</f>
        <v>23.12</v>
      </c>
      <c r="C2320" s="15">
        <f>IF(A2320&lt;=Assumptions!$B$13,IF(OR(A2320=0,A2320=Assumptions!$B$13),0.5,1),0)*Assumptions!$B$12</f>
        <v>0</v>
      </c>
      <c r="D2320" s="12">
        <f>D2319*(1-Assumptions!$B$12*(Assumptions!$B$5+Assumptions!$B$6))</f>
        <v>0.49972163738818481</v>
      </c>
      <c r="E2320" s="12">
        <f>E2319+Assumptions!$B$12*(D2319*Assumptions!$B$5-E2319*Assumptions!$B$7)</f>
        <v>0.18506997834769146</v>
      </c>
      <c r="F2320" s="12">
        <f t="shared" si="108"/>
        <v>0.31520838426412379</v>
      </c>
      <c r="G2320" s="12">
        <f>EXP(-Assumptions!$B$8*B2320)</f>
        <v>0.31474263684278186</v>
      </c>
      <c r="H2320" s="12">
        <f t="shared" si="109"/>
        <v>0.15728370583894977</v>
      </c>
      <c r="I2320" s="12">
        <f t="shared" si="110"/>
        <v>5.8249412985588951E-2</v>
      </c>
      <c r="J2320" s="12">
        <f>G2320*(D2320*Assumptions!$B$6+E2320*Assumptions!$B$7)</f>
        <v>4.485307707668946E-3</v>
      </c>
    </row>
    <row r="2321" spans="1:10" x14ac:dyDescent="0.2">
      <c r="A2321" s="2">
        <v>2313</v>
      </c>
      <c r="B2321" s="14">
        <f>A2321*Assumptions!$B$12</f>
        <v>23.13</v>
      </c>
      <c r="C2321" s="15">
        <f>IF(A2321&lt;=Assumptions!$B$13,IF(OR(A2321=0,A2321=Assumptions!$B$13),0.5,1),0)*Assumptions!$B$12</f>
        <v>0</v>
      </c>
      <c r="D2321" s="12">
        <f>D2320*(1-Assumptions!$B$12*(Assumptions!$B$5+Assumptions!$B$6))</f>
        <v>0.49957172089696839</v>
      </c>
      <c r="E2321" s="12">
        <f>E2320+Assumptions!$B$12*(D2320*Assumptions!$B$5-E2320*Assumptions!$B$7)</f>
        <v>0.18507738768599524</v>
      </c>
      <c r="F2321" s="12">
        <f t="shared" si="108"/>
        <v>0.31535089141703643</v>
      </c>
      <c r="G2321" s="12">
        <f>EXP(-Assumptions!$B$8*B2321)</f>
        <v>0.3145853048606338</v>
      </c>
      <c r="H2321" s="12">
        <f t="shared" si="109"/>
        <v>0.15715792211812427</v>
      </c>
      <c r="I2321" s="12">
        <f t="shared" si="110"/>
        <v>5.8222626428008524E-2</v>
      </c>
      <c r="J2321" s="12">
        <f>G2321*(D2321*Assumptions!$B$6+E2321*Assumptions!$B$7)</f>
        <v>4.4827105425816688E-3</v>
      </c>
    </row>
    <row r="2322" spans="1:10" x14ac:dyDescent="0.2">
      <c r="A2322" s="2">
        <v>2314</v>
      </c>
      <c r="B2322" s="14">
        <f>A2322*Assumptions!$B$12</f>
        <v>23.14</v>
      </c>
      <c r="C2322" s="15">
        <f>IF(A2322&lt;=Assumptions!$B$13,IF(OR(A2322=0,A2322=Assumptions!$B$13),0.5,1),0)*Assumptions!$B$12</f>
        <v>0</v>
      </c>
      <c r="D2322" s="12">
        <f>D2321*(1-Assumptions!$B$12*(Assumptions!$B$5+Assumptions!$B$6))</f>
        <v>0.49942184938069933</v>
      </c>
      <c r="E2322" s="12">
        <f>E2321+Assumptions!$B$12*(D2321*Assumptions!$B$5-E2321*Assumptions!$B$7)</f>
        <v>0.18508476333633164</v>
      </c>
      <c r="F2322" s="12">
        <f t="shared" si="108"/>
        <v>0.31549338728296905</v>
      </c>
      <c r="G2322" s="12">
        <f>EXP(-Assumptions!$B$8*B2322)</f>
        <v>0.31442805152481357</v>
      </c>
      <c r="H2322" s="12">
        <f t="shared" si="109"/>
        <v>0.15703223898969221</v>
      </c>
      <c r="I2322" s="12">
        <f t="shared" si="110"/>
        <v>5.8195841502774008E-2</v>
      </c>
      <c r="J2322" s="12">
        <f>G2322*(D2322*Assumptions!$B$6+E2322*Assumptions!$B$7)</f>
        <v>4.4801144650356232E-3</v>
      </c>
    </row>
    <row r="2323" spans="1:10" x14ac:dyDescent="0.2">
      <c r="A2323" s="2">
        <v>2315</v>
      </c>
      <c r="B2323" s="14">
        <f>A2323*Assumptions!$B$12</f>
        <v>23.150000000000002</v>
      </c>
      <c r="C2323" s="15">
        <f>IF(A2323&lt;=Assumptions!$B$13,IF(OR(A2323=0,A2323=Assumptions!$B$13),0.5,1),0)*Assumptions!$B$12</f>
        <v>0</v>
      </c>
      <c r="D2323" s="12">
        <f>D2322*(1-Assumptions!$B$12*(Assumptions!$B$5+Assumptions!$B$6))</f>
        <v>0.49927202282588512</v>
      </c>
      <c r="E2323" s="12">
        <f>E2322+Assumptions!$B$12*(D2322*Assumptions!$B$5-E2322*Assumptions!$B$7)</f>
        <v>0.18509210532453962</v>
      </c>
      <c r="F2323" s="12">
        <f t="shared" si="108"/>
        <v>0.31563587184957526</v>
      </c>
      <c r="G2323" s="12">
        <f>EXP(-Assumptions!$B$8*B2323)</f>
        <v>0.31427087679600774</v>
      </c>
      <c r="H2323" s="12">
        <f t="shared" si="109"/>
        <v>0.1569066563732073</v>
      </c>
      <c r="I2323" s="12">
        <f t="shared" si="110"/>
        <v>5.8169058228362082E-2</v>
      </c>
      <c r="J2323" s="12">
        <f>G2323*(D2323*Assumptions!$B$6+E2323*Assumptions!$B$7)</f>
        <v>4.4775194751501771E-3</v>
      </c>
    </row>
    <row r="2324" spans="1:10" x14ac:dyDescent="0.2">
      <c r="A2324" s="2">
        <v>2316</v>
      </c>
      <c r="B2324" s="14">
        <f>A2324*Assumptions!$B$12</f>
        <v>23.16</v>
      </c>
      <c r="C2324" s="15">
        <f>IF(A2324&lt;=Assumptions!$B$13,IF(OR(A2324=0,A2324=Assumptions!$B$13),0.5,1),0)*Assumptions!$B$12</f>
        <v>0</v>
      </c>
      <c r="D2324" s="12">
        <f>D2323*(1-Assumptions!$B$12*(Assumptions!$B$5+Assumptions!$B$6))</f>
        <v>0.49912224121903737</v>
      </c>
      <c r="E2324" s="12">
        <f>E2323+Assumptions!$B$12*(D2323*Assumptions!$B$5-E2323*Assumptions!$B$7)</f>
        <v>0.18509941367644253</v>
      </c>
      <c r="F2324" s="12">
        <f t="shared" si="108"/>
        <v>0.31577834510452008</v>
      </c>
      <c r="G2324" s="12">
        <f>EXP(-Assumptions!$B$8*B2324)</f>
        <v>0.3141137806349229</v>
      </c>
      <c r="H2324" s="12">
        <f t="shared" si="109"/>
        <v>0.15678117418828777</v>
      </c>
      <c r="I2324" s="12">
        <f t="shared" si="110"/>
        <v>5.8142276623214917E-2</v>
      </c>
      <c r="J2324" s="12">
        <f>G2324*(D2324*Assumptions!$B$6+E2324*Assumptions!$B$7)</f>
        <v>4.4749255730436241E-3</v>
      </c>
    </row>
    <row r="2325" spans="1:10" x14ac:dyDescent="0.2">
      <c r="A2325" s="2">
        <v>2317</v>
      </c>
      <c r="B2325" s="14">
        <f>A2325*Assumptions!$B$12</f>
        <v>23.17</v>
      </c>
      <c r="C2325" s="15">
        <f>IF(A2325&lt;=Assumptions!$B$13,IF(OR(A2325=0,A2325=Assumptions!$B$13),0.5,1),0)*Assumptions!$B$12</f>
        <v>0</v>
      </c>
      <c r="D2325" s="12">
        <f>D2324*(1-Assumptions!$B$12*(Assumptions!$B$5+Assumptions!$B$6))</f>
        <v>0.49897250454667169</v>
      </c>
      <c r="E2325" s="12">
        <f>E2324+Assumptions!$B$12*(D2324*Assumptions!$B$5-E2324*Assumptions!$B$7)</f>
        <v>0.18510668841784811</v>
      </c>
      <c r="F2325" s="12">
        <f t="shared" si="108"/>
        <v>0.31592080703548014</v>
      </c>
      <c r="G2325" s="12">
        <f>EXP(-Assumptions!$B$8*B2325)</f>
        <v>0.31395676300228481</v>
      </c>
      <c r="H2325" s="12">
        <f t="shared" si="109"/>
        <v>0.15665579235461588</v>
      </c>
      <c r="I2325" s="12">
        <f t="shared" si="110"/>
        <v>5.8115496705740115E-2</v>
      </c>
      <c r="J2325" s="12">
        <f>G2325*(D2325*Assumptions!$B$6+E2325*Assumptions!$B$7)</f>
        <v>4.4723327588331646E-3</v>
      </c>
    </row>
    <row r="2326" spans="1:10" x14ac:dyDescent="0.2">
      <c r="A2326" s="2">
        <v>2318</v>
      </c>
      <c r="B2326" s="14">
        <f>A2326*Assumptions!$B$12</f>
        <v>23.18</v>
      </c>
      <c r="C2326" s="15">
        <f>IF(A2326&lt;=Assumptions!$B$13,IF(OR(A2326=0,A2326=Assumptions!$B$13),0.5,1),0)*Assumptions!$B$12</f>
        <v>0</v>
      </c>
      <c r="D2326" s="12">
        <f>D2325*(1-Assumptions!$B$12*(Assumptions!$B$5+Assumptions!$B$6))</f>
        <v>0.49882281279530771</v>
      </c>
      <c r="E2326" s="12">
        <f>E2325+Assumptions!$B$12*(D2325*Assumptions!$B$5-E2325*Assumptions!$B$7)</f>
        <v>0.18511392957454853</v>
      </c>
      <c r="F2326" s="12">
        <f t="shared" si="108"/>
        <v>0.31606325763014376</v>
      </c>
      <c r="G2326" s="12">
        <f>EXP(-Assumptions!$B$8*B2326)</f>
        <v>0.31379982385883909</v>
      </c>
      <c r="H2326" s="12">
        <f t="shared" si="109"/>
        <v>0.15653051079193822</v>
      </c>
      <c r="I2326" s="12">
        <f t="shared" si="110"/>
        <v>5.8088718494310874E-2</v>
      </c>
      <c r="J2326" s="12">
        <f>G2326*(D2326*Assumptions!$B$6+E2326*Assumptions!$B$7)</f>
        <v>4.4697410326349253E-3</v>
      </c>
    </row>
    <row r="2327" spans="1:10" x14ac:dyDescent="0.2">
      <c r="A2327" s="2">
        <v>2319</v>
      </c>
      <c r="B2327" s="14">
        <f>A2327*Assumptions!$B$12</f>
        <v>23.19</v>
      </c>
      <c r="C2327" s="15">
        <f>IF(A2327&lt;=Assumptions!$B$13,IF(OR(A2327=0,A2327=Assumptions!$B$13),0.5,1),0)*Assumptions!$B$12</f>
        <v>0</v>
      </c>
      <c r="D2327" s="12">
        <f>D2326*(1-Assumptions!$B$12*(Assumptions!$B$5+Assumptions!$B$6))</f>
        <v>0.49867316595146916</v>
      </c>
      <c r="E2327" s="12">
        <f>E2326+Assumptions!$B$12*(D2326*Assumptions!$B$5-E2326*Assumptions!$B$7)</f>
        <v>0.18512113717232032</v>
      </c>
      <c r="F2327" s="12">
        <f t="shared" si="108"/>
        <v>0.31620569687621053</v>
      </c>
      <c r="G2327" s="12">
        <f>EXP(-Assumptions!$B$8*B2327)</f>
        <v>0.31364296316535095</v>
      </c>
      <c r="H2327" s="12">
        <f t="shared" si="109"/>
        <v>0.15640532942006558</v>
      </c>
      <c r="I2327" s="12">
        <f t="shared" si="110"/>
        <v>5.8061942007265943E-2</v>
      </c>
      <c r="J2327" s="12">
        <f>G2327*(D2327*Assumptions!$B$6+E2327*Assumptions!$B$7)</f>
        <v>4.4671503945639532E-3</v>
      </c>
    </row>
    <row r="2328" spans="1:10" x14ac:dyDescent="0.2">
      <c r="A2328" s="2">
        <v>2320</v>
      </c>
      <c r="B2328" s="14">
        <f>A2328*Assumptions!$B$12</f>
        <v>23.2</v>
      </c>
      <c r="C2328" s="15">
        <f>IF(A2328&lt;=Assumptions!$B$13,IF(OR(A2328=0,A2328=Assumptions!$B$13),0.5,1),0)*Assumptions!$B$12</f>
        <v>0</v>
      </c>
      <c r="D2328" s="12">
        <f>D2327*(1-Assumptions!$B$12*(Assumptions!$B$5+Assumptions!$B$6))</f>
        <v>0.49852356400168374</v>
      </c>
      <c r="E2328" s="12">
        <f>E2327+Assumptions!$B$12*(D2327*Assumptions!$B$5-E2327*Assumptions!$B$7)</f>
        <v>0.18512831123692444</v>
      </c>
      <c r="F2328" s="12">
        <f t="shared" si="108"/>
        <v>0.31634812476139185</v>
      </c>
      <c r="G2328" s="12">
        <f>EXP(-Assumptions!$B$8*B2328)</f>
        <v>0.31348618088260533</v>
      </c>
      <c r="H2328" s="12">
        <f t="shared" si="109"/>
        <v>0.1562802481588729</v>
      </c>
      <c r="I2328" s="12">
        <f t="shared" si="110"/>
        <v>5.8035167262909755E-2</v>
      </c>
      <c r="J2328" s="12">
        <f>G2328*(D2328*Assumptions!$B$6+E2328*Assumptions!$B$7)</f>
        <v>4.4645608447342168E-3</v>
      </c>
    </row>
    <row r="2329" spans="1:10" x14ac:dyDescent="0.2">
      <c r="A2329" s="2">
        <v>2321</v>
      </c>
      <c r="B2329" s="14">
        <f>A2329*Assumptions!$B$12</f>
        <v>23.21</v>
      </c>
      <c r="C2329" s="15">
        <f>IF(A2329&lt;=Assumptions!$B$13,IF(OR(A2329=0,A2329=Assumptions!$B$13),0.5,1),0)*Assumptions!$B$12</f>
        <v>0</v>
      </c>
      <c r="D2329" s="12">
        <f>D2328*(1-Assumptions!$B$12*(Assumptions!$B$5+Assumptions!$B$6))</f>
        <v>0.49837400693248324</v>
      </c>
      <c r="E2329" s="12">
        <f>E2328+Assumptions!$B$12*(D2328*Assumptions!$B$5-E2328*Assumptions!$B$7)</f>
        <v>0.18513545179410631</v>
      </c>
      <c r="F2329" s="12">
        <f t="shared" si="108"/>
        <v>0.31649054127341048</v>
      </c>
      <c r="G2329" s="12">
        <f>EXP(-Assumptions!$B$8*B2329)</f>
        <v>0.31332947697140645</v>
      </c>
      <c r="H2329" s="12">
        <f t="shared" si="109"/>
        <v>0.15615526692829906</v>
      </c>
      <c r="I2329" s="12">
        <f t="shared" si="110"/>
        <v>5.8008394279512362E-2</v>
      </c>
      <c r="J2329" s="12">
        <f>G2329*(D2329*Assumptions!$B$6+E2329*Assumptions!$B$7)</f>
        <v>4.4619723832586087E-3</v>
      </c>
    </row>
    <row r="2330" spans="1:10" x14ac:dyDescent="0.2">
      <c r="A2330" s="2">
        <v>2322</v>
      </c>
      <c r="B2330" s="14">
        <f>A2330*Assumptions!$B$12</f>
        <v>23.22</v>
      </c>
      <c r="C2330" s="15">
        <f>IF(A2330&lt;=Assumptions!$B$13,IF(OR(A2330=0,A2330=Assumptions!$B$13),0.5,1),0)*Assumptions!$B$12</f>
        <v>0</v>
      </c>
      <c r="D2330" s="12">
        <f>D2329*(1-Assumptions!$B$12*(Assumptions!$B$5+Assumptions!$B$6))</f>
        <v>0.49822449473040353</v>
      </c>
      <c r="E2330" s="12">
        <f>E2329+Assumptions!$B$12*(D2329*Assumptions!$B$5-E2329*Assumptions!$B$7)</f>
        <v>0.18514255886959577</v>
      </c>
      <c r="F2330" s="12">
        <f t="shared" si="108"/>
        <v>0.31663294640000073</v>
      </c>
      <c r="G2330" s="12">
        <f>EXP(-Assumptions!$B$8*B2330)</f>
        <v>0.3131728513925785</v>
      </c>
      <c r="H2330" s="12">
        <f t="shared" si="109"/>
        <v>0.15603038564834718</v>
      </c>
      <c r="I2330" s="12">
        <f t="shared" si="110"/>
        <v>5.798162307530963E-2</v>
      </c>
      <c r="J2330" s="12">
        <f>G2330*(D2330*Assumptions!$B$6+E2330*Assumptions!$B$7)</f>
        <v>4.4593850102489542E-3</v>
      </c>
    </row>
    <row r="2331" spans="1:10" x14ac:dyDescent="0.2">
      <c r="A2331" s="2">
        <v>2323</v>
      </c>
      <c r="B2331" s="14">
        <f>A2331*Assumptions!$B$12</f>
        <v>23.23</v>
      </c>
      <c r="C2331" s="15">
        <f>IF(A2331&lt;=Assumptions!$B$13,IF(OR(A2331=0,A2331=Assumptions!$B$13),0.5,1),0)*Assumptions!$B$12</f>
        <v>0</v>
      </c>
      <c r="D2331" s="12">
        <f>D2330*(1-Assumptions!$B$12*(Assumptions!$B$5+Assumptions!$B$6))</f>
        <v>0.49807502738198445</v>
      </c>
      <c r="E2331" s="12">
        <f>E2330+Assumptions!$B$12*(D2330*Assumptions!$B$5-E2330*Assumptions!$B$7)</f>
        <v>0.18514963248910704</v>
      </c>
      <c r="F2331" s="12">
        <f t="shared" si="108"/>
        <v>0.31677534012890846</v>
      </c>
      <c r="G2331" s="12">
        <f>EXP(-Assumptions!$B$8*B2331)</f>
        <v>0.31301630410696502</v>
      </c>
      <c r="H2331" s="12">
        <f t="shared" si="109"/>
        <v>0.15590560423908417</v>
      </c>
      <c r="I2331" s="12">
        <f t="shared" si="110"/>
        <v>5.7954853668503142E-2</v>
      </c>
      <c r="J2331" s="12">
        <f>G2331*(D2331*Assumptions!$B$6+E2331*Assumptions!$B$7)</f>
        <v>4.4567987258159981E-3</v>
      </c>
    </row>
    <row r="2332" spans="1:10" x14ac:dyDescent="0.2">
      <c r="A2332" s="2">
        <v>2324</v>
      </c>
      <c r="B2332" s="14">
        <f>A2332*Assumptions!$B$12</f>
        <v>23.240000000000002</v>
      </c>
      <c r="C2332" s="15">
        <f>IF(A2332&lt;=Assumptions!$B$13,IF(OR(A2332=0,A2332=Assumptions!$B$13),0.5,1),0)*Assumptions!$B$12</f>
        <v>0</v>
      </c>
      <c r="D2332" s="12">
        <f>D2331*(1-Assumptions!$B$12*(Assumptions!$B$5+Assumptions!$B$6))</f>
        <v>0.49792560487376986</v>
      </c>
      <c r="E2332" s="12">
        <f>E2331+Assumptions!$B$12*(D2331*Assumptions!$B$5-E2331*Assumptions!$B$7)</f>
        <v>0.18515667267833888</v>
      </c>
      <c r="F2332" s="12">
        <f t="shared" si="108"/>
        <v>0.31691772244789118</v>
      </c>
      <c r="G2332" s="12">
        <f>EXP(-Assumptions!$B$8*B2332)</f>
        <v>0.31285983507542914</v>
      </c>
      <c r="H2332" s="12">
        <f t="shared" si="109"/>
        <v>0.15578092262064094</v>
      </c>
      <c r="I2332" s="12">
        <f t="shared" si="110"/>
        <v>5.792808607726032E-2</v>
      </c>
      <c r="J2332" s="12">
        <f>G2332*(D2332*Assumptions!$B$6+E2332*Assumptions!$B$7)</f>
        <v>4.4542135300694253E-3</v>
      </c>
    </row>
    <row r="2333" spans="1:10" x14ac:dyDescent="0.2">
      <c r="A2333" s="2">
        <v>2325</v>
      </c>
      <c r="B2333" s="14">
        <f>A2333*Assumptions!$B$12</f>
        <v>23.25</v>
      </c>
      <c r="C2333" s="15">
        <f>IF(A2333&lt;=Assumptions!$B$13,IF(OR(A2333=0,A2333=Assumptions!$B$13),0.5,1),0)*Assumptions!$B$12</f>
        <v>0</v>
      </c>
      <c r="D2333" s="12">
        <f>D2332*(1-Assumptions!$B$12*(Assumptions!$B$5+Assumptions!$B$6))</f>
        <v>0.49777622719230774</v>
      </c>
      <c r="E2333" s="12">
        <f>E2332+Assumptions!$B$12*(D2332*Assumptions!$B$5-E2332*Assumptions!$B$7)</f>
        <v>0.18516367946297446</v>
      </c>
      <c r="F2333" s="12">
        <f t="shared" si="108"/>
        <v>0.3170600933447178</v>
      </c>
      <c r="G2333" s="12">
        <f>EXP(-Assumptions!$B$8*B2333)</f>
        <v>0.31270344425885371</v>
      </c>
      <c r="H2333" s="12">
        <f t="shared" si="109"/>
        <v>0.1556563407132123</v>
      </c>
      <c r="I2333" s="12">
        <f t="shared" si="110"/>
        <v>5.790132031971449E-2</v>
      </c>
      <c r="J2333" s="12">
        <f>G2333*(D2333*Assumptions!$B$6+E2333*Assumptions!$B$7)</f>
        <v>4.4516294231178475E-3</v>
      </c>
    </row>
    <row r="2334" spans="1:10" x14ac:dyDescent="0.2">
      <c r="A2334" s="2">
        <v>2326</v>
      </c>
      <c r="B2334" s="14">
        <f>A2334*Assumptions!$B$12</f>
        <v>23.26</v>
      </c>
      <c r="C2334" s="15">
        <f>IF(A2334&lt;=Assumptions!$B$13,IF(OR(A2334=0,A2334=Assumptions!$B$13),0.5,1),0)*Assumptions!$B$12</f>
        <v>0</v>
      </c>
      <c r="D2334" s="12">
        <f>D2333*(1-Assumptions!$B$12*(Assumptions!$B$5+Assumptions!$B$6))</f>
        <v>0.49762689432415008</v>
      </c>
      <c r="E2334" s="12">
        <f>E2333+Assumptions!$B$12*(D2333*Assumptions!$B$5-E2333*Assumptions!$B$7)</f>
        <v>0.18517065286868142</v>
      </c>
      <c r="F2334" s="12">
        <f t="shared" si="108"/>
        <v>0.31720245280716852</v>
      </c>
      <c r="G2334" s="12">
        <f>EXP(-Assumptions!$B$8*B2334)</f>
        <v>0.31254713161814102</v>
      </c>
      <c r="H2334" s="12">
        <f t="shared" si="109"/>
        <v>0.15553185843705689</v>
      </c>
      <c r="I2334" s="12">
        <f t="shared" si="110"/>
        <v>5.7874556413964877E-2</v>
      </c>
      <c r="J2334" s="12">
        <f>G2334*(D2334*Assumptions!$B$6+E2334*Assumptions!$B$7)</f>
        <v>4.4490464050688126E-3</v>
      </c>
    </row>
    <row r="2335" spans="1:10" x14ac:dyDescent="0.2">
      <c r="A2335" s="2">
        <v>2327</v>
      </c>
      <c r="B2335" s="14">
        <f>A2335*Assumptions!$B$12</f>
        <v>23.27</v>
      </c>
      <c r="C2335" s="15">
        <f>IF(A2335&lt;=Assumptions!$B$13,IF(OR(A2335=0,A2335=Assumptions!$B$13),0.5,1),0)*Assumptions!$B$12</f>
        <v>0</v>
      </c>
      <c r="D2335" s="12">
        <f>D2334*(1-Assumptions!$B$12*(Assumptions!$B$5+Assumptions!$B$6))</f>
        <v>0.49747760625585286</v>
      </c>
      <c r="E2335" s="12">
        <f>E2334+Assumptions!$B$12*(D2334*Assumptions!$B$5-E2334*Assumptions!$B$7)</f>
        <v>0.18517759292111191</v>
      </c>
      <c r="F2335" s="12">
        <f t="shared" si="108"/>
        <v>0.31734480082303529</v>
      </c>
      <c r="G2335" s="12">
        <f>EXP(-Assumptions!$B$8*B2335)</f>
        <v>0.31239089711421281</v>
      </c>
      <c r="H2335" s="12">
        <f t="shared" si="109"/>
        <v>0.155407475712497</v>
      </c>
      <c r="I2335" s="12">
        <f t="shared" si="110"/>
        <v>5.7847794378076654E-2</v>
      </c>
      <c r="J2335" s="12">
        <f>G2335*(D2335*Assumptions!$B$6+E2335*Assumptions!$B$7)</f>
        <v>4.4464644760288021E-3</v>
      </c>
    </row>
    <row r="2336" spans="1:10" x14ac:dyDescent="0.2">
      <c r="A2336" s="2">
        <v>2328</v>
      </c>
      <c r="B2336" s="14">
        <f>A2336*Assumptions!$B$12</f>
        <v>23.28</v>
      </c>
      <c r="C2336" s="15">
        <f>IF(A2336&lt;=Assumptions!$B$13,IF(OR(A2336=0,A2336=Assumptions!$B$13),0.5,1),0)*Assumptions!$B$12</f>
        <v>0</v>
      </c>
      <c r="D2336" s="12">
        <f>D2335*(1-Assumptions!$B$12*(Assumptions!$B$5+Assumptions!$B$6))</f>
        <v>0.49732836297397609</v>
      </c>
      <c r="E2336" s="12">
        <f>E2335+Assumptions!$B$12*(D2335*Assumptions!$B$5-E2335*Assumptions!$B$7)</f>
        <v>0.18518449964590253</v>
      </c>
      <c r="F2336" s="12">
        <f t="shared" si="108"/>
        <v>0.31748713738012135</v>
      </c>
      <c r="G2336" s="12">
        <f>EXP(-Assumptions!$B$8*B2336)</f>
        <v>0.31223474070801049</v>
      </c>
      <c r="H2336" s="12">
        <f t="shared" si="109"/>
        <v>0.15528319245991876</v>
      </c>
      <c r="I2336" s="12">
        <f t="shared" si="110"/>
        <v>5.7821034230081038E-2</v>
      </c>
      <c r="J2336" s="12">
        <f>G2336*(D2336*Assumptions!$B$6+E2336*Assumptions!$B$7)</f>
        <v>4.4438836361032404E-3</v>
      </c>
    </row>
    <row r="2337" spans="1:10" x14ac:dyDescent="0.2">
      <c r="A2337" s="2">
        <v>2329</v>
      </c>
      <c r="B2337" s="14">
        <f>A2337*Assumptions!$B$12</f>
        <v>23.29</v>
      </c>
      <c r="C2337" s="15">
        <f>IF(A2337&lt;=Assumptions!$B$13,IF(OR(A2337=0,A2337=Assumptions!$B$13),0.5,1),0)*Assumptions!$B$12</f>
        <v>0</v>
      </c>
      <c r="D2337" s="12">
        <f>D2336*(1-Assumptions!$B$12*(Assumptions!$B$5+Assumptions!$B$6))</f>
        <v>0.49717916446508392</v>
      </c>
      <c r="E2337" s="12">
        <f>E2336+Assumptions!$B$12*(D2336*Assumptions!$B$5-E2336*Assumptions!$B$7)</f>
        <v>0.18519137306867436</v>
      </c>
      <c r="F2337" s="12">
        <f t="shared" si="108"/>
        <v>0.31762946246624169</v>
      </c>
      <c r="G2337" s="12">
        <f>EXP(-Assumptions!$B$8*B2337)</f>
        <v>0.31207866236049503</v>
      </c>
      <c r="H2337" s="12">
        <f t="shared" si="109"/>
        <v>0.15515900859977194</v>
      </c>
      <c r="I2337" s="12">
        <f t="shared" si="110"/>
        <v>5.7794275987975298E-2</v>
      </c>
      <c r="J2337" s="12">
        <f>G2337*(D2337*Assumptions!$B$6+E2337*Assumptions!$B$7)</f>
        <v>4.4413038853964842E-3</v>
      </c>
    </row>
    <row r="2338" spans="1:10" x14ac:dyDescent="0.2">
      <c r="A2338" s="2">
        <v>2330</v>
      </c>
      <c r="B2338" s="14">
        <f>A2338*Assumptions!$B$12</f>
        <v>23.3</v>
      </c>
      <c r="C2338" s="15">
        <f>IF(A2338&lt;=Assumptions!$B$13,IF(OR(A2338=0,A2338=Assumptions!$B$13),0.5,1),0)*Assumptions!$B$12</f>
        <v>0</v>
      </c>
      <c r="D2338" s="12">
        <f>D2337*(1-Assumptions!$B$12*(Assumptions!$B$5+Assumptions!$B$6))</f>
        <v>0.49703001071574443</v>
      </c>
      <c r="E2338" s="12">
        <f>E2337+Assumptions!$B$12*(D2337*Assumptions!$B$5-E2337*Assumptions!$B$7)</f>
        <v>0.18519821321503305</v>
      </c>
      <c r="F2338" s="12">
        <f t="shared" si="108"/>
        <v>0.31777177606922258</v>
      </c>
      <c r="G2338" s="12">
        <f>EXP(-Assumptions!$B$8*B2338)</f>
        <v>0.31192266203264674</v>
      </c>
      <c r="H2338" s="12">
        <f t="shared" si="109"/>
        <v>0.15503492405256994</v>
      </c>
      <c r="I2338" s="12">
        <f t="shared" si="110"/>
        <v>5.7767519669722801E-2</v>
      </c>
      <c r="J2338" s="12">
        <f>G2338*(D2338*Assumptions!$B$6+E2338*Assumptions!$B$7)</f>
        <v>4.4387252240118396E-3</v>
      </c>
    </row>
    <row r="2339" spans="1:10" x14ac:dyDescent="0.2">
      <c r="A2339" s="2">
        <v>2331</v>
      </c>
      <c r="B2339" s="14">
        <f>A2339*Assumptions!$B$12</f>
        <v>23.31</v>
      </c>
      <c r="C2339" s="15">
        <f>IF(A2339&lt;=Assumptions!$B$13,IF(OR(A2339=0,A2339=Assumptions!$B$13),0.5,1),0)*Assumptions!$B$12</f>
        <v>0</v>
      </c>
      <c r="D2339" s="12">
        <f>D2338*(1-Assumptions!$B$12*(Assumptions!$B$5+Assumptions!$B$6))</f>
        <v>0.49688090171252974</v>
      </c>
      <c r="E2339" s="12">
        <f>E2338+Assumptions!$B$12*(D2338*Assumptions!$B$5-E2338*Assumptions!$B$7)</f>
        <v>0.18520502011056869</v>
      </c>
      <c r="F2339" s="12">
        <f t="shared" si="108"/>
        <v>0.31791407817690154</v>
      </c>
      <c r="G2339" s="12">
        <f>EXP(-Assumptions!$B$8*B2339)</f>
        <v>0.31176673968546559</v>
      </c>
      <c r="H2339" s="12">
        <f t="shared" si="109"/>
        <v>0.15491093873888967</v>
      </c>
      <c r="I2339" s="12">
        <f t="shared" si="110"/>
        <v>5.7740765293253088E-2</v>
      </c>
      <c r="J2339" s="12">
        <f>G2339*(D2339*Assumptions!$B$6+E2339*Assumptions!$B$7)</f>
        <v>4.4361476520515513E-3</v>
      </c>
    </row>
    <row r="2340" spans="1:10" x14ac:dyDescent="0.2">
      <c r="A2340" s="2">
        <v>2332</v>
      </c>
      <c r="B2340" s="14">
        <f>A2340*Assumptions!$B$12</f>
        <v>23.32</v>
      </c>
      <c r="C2340" s="15">
        <f>IF(A2340&lt;=Assumptions!$B$13,IF(OR(A2340=0,A2340=Assumptions!$B$13),0.5,1),0)*Assumptions!$B$12</f>
        <v>0</v>
      </c>
      <c r="D2340" s="12">
        <f>D2339*(1-Assumptions!$B$12*(Assumptions!$B$5+Assumptions!$B$6))</f>
        <v>0.49673183744201599</v>
      </c>
      <c r="E2340" s="12">
        <f>E2339+Assumptions!$B$12*(D2339*Assumptions!$B$5-E2339*Assumptions!$B$7)</f>
        <v>0.18521179378085592</v>
      </c>
      <c r="F2340" s="12">
        <f t="shared" si="108"/>
        <v>0.31805636877712806</v>
      </c>
      <c r="G2340" s="12">
        <f>EXP(-Assumptions!$B$8*B2340)</f>
        <v>0.31161089527997099</v>
      </c>
      <c r="H2340" s="12">
        <f t="shared" si="109"/>
        <v>0.15478705257937161</v>
      </c>
      <c r="I2340" s="12">
        <f t="shared" si="110"/>
        <v>5.7714012876461877E-2</v>
      </c>
      <c r="J2340" s="12">
        <f>G2340*(D2340*Assumptions!$B$6+E2340*Assumptions!$B$7)</f>
        <v>4.43357116961681E-3</v>
      </c>
    </row>
    <row r="2341" spans="1:10" x14ac:dyDescent="0.2">
      <c r="A2341" s="2">
        <v>2333</v>
      </c>
      <c r="B2341" s="14">
        <f>A2341*Assumptions!$B$12</f>
        <v>23.330000000000002</v>
      </c>
      <c r="C2341" s="15">
        <f>IF(A2341&lt;=Assumptions!$B$13,IF(OR(A2341=0,A2341=Assumptions!$B$13),0.5,1),0)*Assumptions!$B$12</f>
        <v>0</v>
      </c>
      <c r="D2341" s="12">
        <f>D2340*(1-Assumptions!$B$12*(Assumptions!$B$5+Assumptions!$B$6))</f>
        <v>0.4965828178907834</v>
      </c>
      <c r="E2341" s="12">
        <f>E2340+Assumptions!$B$12*(D2340*Assumptions!$B$5-E2340*Assumptions!$B$7)</f>
        <v>0.1852185342514539</v>
      </c>
      <c r="F2341" s="12">
        <f t="shared" si="108"/>
        <v>0.3181986478577627</v>
      </c>
      <c r="G2341" s="12">
        <f>EXP(-Assumptions!$B$8*B2341)</f>
        <v>0.31145512877720183</v>
      </c>
      <c r="H2341" s="12">
        <f t="shared" si="109"/>
        <v>0.1546632654947197</v>
      </c>
      <c r="I2341" s="12">
        <f t="shared" si="110"/>
        <v>5.7687262437211145E-2</v>
      </c>
      <c r="J2341" s="12">
        <f>G2341*(D2341*Assumptions!$B$6+E2341*Assumptions!$B$7)</f>
        <v>4.4309957768077545E-3</v>
      </c>
    </row>
    <row r="2342" spans="1:10" x14ac:dyDescent="0.2">
      <c r="A2342" s="2">
        <v>2334</v>
      </c>
      <c r="B2342" s="14">
        <f>A2342*Assumptions!$B$12</f>
        <v>23.34</v>
      </c>
      <c r="C2342" s="15">
        <f>IF(A2342&lt;=Assumptions!$B$13,IF(OR(A2342=0,A2342=Assumptions!$B$13),0.5,1),0)*Assumptions!$B$12</f>
        <v>0</v>
      </c>
      <c r="D2342" s="12">
        <f>D2341*(1-Assumptions!$B$12*(Assumptions!$B$5+Assumptions!$B$6))</f>
        <v>0.49643384304541616</v>
      </c>
      <c r="E2342" s="12">
        <f>E2341+Assumptions!$B$12*(D2341*Assumptions!$B$5-E2341*Assumptions!$B$7)</f>
        <v>0.18522524154790634</v>
      </c>
      <c r="F2342" s="12">
        <f t="shared" si="108"/>
        <v>0.31834091540667753</v>
      </c>
      <c r="G2342" s="12">
        <f>EXP(-Assumptions!$B$8*B2342)</f>
        <v>0.31129944013821648</v>
      </c>
      <c r="H2342" s="12">
        <f t="shared" si="109"/>
        <v>0.15453957740570129</v>
      </c>
      <c r="I2342" s="12">
        <f t="shared" si="110"/>
        <v>5.7660513993329159E-2</v>
      </c>
      <c r="J2342" s="12">
        <f>G2342*(D2342*Assumptions!$B$6+E2342*Assumptions!$B$7)</f>
        <v>4.4284214737234711E-3</v>
      </c>
    </row>
    <row r="2343" spans="1:10" x14ac:dyDescent="0.2">
      <c r="A2343" s="2">
        <v>2335</v>
      </c>
      <c r="B2343" s="14">
        <f>A2343*Assumptions!$B$12</f>
        <v>23.35</v>
      </c>
      <c r="C2343" s="15">
        <f>IF(A2343&lt;=Assumptions!$B$13,IF(OR(A2343=0,A2343=Assumptions!$B$13),0.5,1),0)*Assumptions!$B$12</f>
        <v>0</v>
      </c>
      <c r="D2343" s="12">
        <f>D2342*(1-Assumptions!$B$12*(Assumptions!$B$5+Assumptions!$B$6))</f>
        <v>0.49628491289250254</v>
      </c>
      <c r="E2343" s="12">
        <f>E2342+Assumptions!$B$12*(D2342*Assumptions!$B$5-E2342*Assumptions!$B$7)</f>
        <v>0.18523191569574146</v>
      </c>
      <c r="F2343" s="12">
        <f t="shared" si="108"/>
        <v>0.31848317141175597</v>
      </c>
      <c r="G2343" s="12">
        <f>EXP(-Assumptions!$B$8*B2343)</f>
        <v>0.31114382932409274</v>
      </c>
      <c r="H2343" s="12">
        <f t="shared" si="109"/>
        <v>0.15441598823314703</v>
      </c>
      <c r="I2343" s="12">
        <f t="shared" si="110"/>
        <v>5.7633767562610516E-2</v>
      </c>
      <c r="J2343" s="12">
        <f>G2343*(D2343*Assumptions!$B$6+E2343*Assumptions!$B$7)</f>
        <v>4.4258482604619962E-3</v>
      </c>
    </row>
    <row r="2344" spans="1:10" x14ac:dyDescent="0.2">
      <c r="A2344" s="2">
        <v>2336</v>
      </c>
      <c r="B2344" s="14">
        <f>A2344*Assumptions!$B$12</f>
        <v>23.36</v>
      </c>
      <c r="C2344" s="15">
        <f>IF(A2344&lt;=Assumptions!$B$13,IF(OR(A2344=0,A2344=Assumptions!$B$13),0.5,1),0)*Assumptions!$B$12</f>
        <v>0</v>
      </c>
      <c r="D2344" s="12">
        <f>D2343*(1-Assumptions!$B$12*(Assumptions!$B$5+Assumptions!$B$6))</f>
        <v>0.49613602741863483</v>
      </c>
      <c r="E2344" s="12">
        <f>E2343+Assumptions!$B$12*(D2343*Assumptions!$B$5-E2343*Assumptions!$B$7)</f>
        <v>0.1852385567204721</v>
      </c>
      <c r="F2344" s="12">
        <f t="shared" si="108"/>
        <v>0.3186254158608931</v>
      </c>
      <c r="G2344" s="12">
        <f>EXP(-Assumptions!$B$8*B2344)</f>
        <v>0.31098829629592811</v>
      </c>
      <c r="H2344" s="12">
        <f t="shared" si="109"/>
        <v>0.15429249789795113</v>
      </c>
      <c r="I2344" s="12">
        <f t="shared" si="110"/>
        <v>5.7607023162816261E-2</v>
      </c>
      <c r="J2344" s="12">
        <f>G2344*(D2344*Assumptions!$B$6+E2344*Assumptions!$B$7)</f>
        <v>4.4232761371203249E-3</v>
      </c>
    </row>
    <row r="2345" spans="1:10" x14ac:dyDescent="0.2">
      <c r="A2345" s="2">
        <v>2337</v>
      </c>
      <c r="B2345" s="14">
        <f>A2345*Assumptions!$B$12</f>
        <v>23.37</v>
      </c>
      <c r="C2345" s="15">
        <f>IF(A2345&lt;=Assumptions!$B$13,IF(OR(A2345=0,A2345=Assumptions!$B$13),0.5,1),0)*Assumptions!$B$12</f>
        <v>0</v>
      </c>
      <c r="D2345" s="12">
        <f>D2344*(1-Assumptions!$B$12*(Assumptions!$B$5+Assumptions!$B$6))</f>
        <v>0.49598718661040925</v>
      </c>
      <c r="E2345" s="12">
        <f>E2344+Assumptions!$B$12*(D2344*Assumptions!$B$5-E2344*Assumptions!$B$7)</f>
        <v>0.18524516464759558</v>
      </c>
      <c r="F2345" s="12">
        <f t="shared" si="108"/>
        <v>0.31876764874199515</v>
      </c>
      <c r="G2345" s="12">
        <f>EXP(-Assumptions!$B$8*B2345)</f>
        <v>0.31083284101483905</v>
      </c>
      <c r="H2345" s="12">
        <f t="shared" si="109"/>
        <v>0.15416910632107064</v>
      </c>
      <c r="I2345" s="12">
        <f t="shared" si="110"/>
        <v>5.758028081167376E-2</v>
      </c>
      <c r="J2345" s="12">
        <f>G2345*(D2345*Assumptions!$B$6+E2345*Assumptions!$B$7)</f>
        <v>4.4207051037943946E-3</v>
      </c>
    </row>
    <row r="2346" spans="1:10" x14ac:dyDescent="0.2">
      <c r="A2346" s="2">
        <v>2338</v>
      </c>
      <c r="B2346" s="14">
        <f>A2346*Assumptions!$B$12</f>
        <v>23.38</v>
      </c>
      <c r="C2346" s="15">
        <f>IF(A2346&lt;=Assumptions!$B$13,IF(OR(A2346=0,A2346=Assumptions!$B$13),0.5,1),0)*Assumptions!$B$12</f>
        <v>0</v>
      </c>
      <c r="D2346" s="12">
        <f>D2345*(1-Assumptions!$B$12*(Assumptions!$B$5+Assumptions!$B$6))</f>
        <v>0.49583839045442613</v>
      </c>
      <c r="E2346" s="12">
        <f>E2345+Assumptions!$B$12*(D2345*Assumptions!$B$5-E2345*Assumptions!$B$7)</f>
        <v>0.18525173950259385</v>
      </c>
      <c r="F2346" s="12">
        <f t="shared" si="108"/>
        <v>0.31890987004297999</v>
      </c>
      <c r="G2346" s="12">
        <f>EXP(-Assumptions!$B$8*B2346)</f>
        <v>0.31067746344196184</v>
      </c>
      <c r="H2346" s="12">
        <f t="shared" si="109"/>
        <v>0.15404581342352616</v>
      </c>
      <c r="I2346" s="12">
        <f t="shared" si="110"/>
        <v>5.7553540526876938E-2</v>
      </c>
      <c r="J2346" s="12">
        <f>G2346*(D2346*Assumptions!$B$6+E2346*Assumptions!$B$7)</f>
        <v>4.4181351605791092E-3</v>
      </c>
    </row>
    <row r="2347" spans="1:10" x14ac:dyDescent="0.2">
      <c r="A2347" s="2">
        <v>2339</v>
      </c>
      <c r="B2347" s="14">
        <f>A2347*Assumptions!$B$12</f>
        <v>23.39</v>
      </c>
      <c r="C2347" s="15">
        <f>IF(A2347&lt;=Assumptions!$B$13,IF(OR(A2347=0,A2347=Assumptions!$B$13),0.5,1),0)*Assumptions!$B$12</f>
        <v>0</v>
      </c>
      <c r="D2347" s="12">
        <f>D2346*(1-Assumptions!$B$12*(Assumptions!$B$5+Assumptions!$B$6))</f>
        <v>0.49568963893728979</v>
      </c>
      <c r="E2347" s="12">
        <f>E2346+Assumptions!$B$12*(D2346*Assumptions!$B$5-E2346*Assumptions!$B$7)</f>
        <v>0.18525828131093344</v>
      </c>
      <c r="F2347" s="12">
        <f t="shared" si="108"/>
        <v>0.31905207975177674</v>
      </c>
      <c r="G2347" s="12">
        <f>EXP(-Assumptions!$B$8*B2347)</f>
        <v>0.31052216353845219</v>
      </c>
      <c r="H2347" s="12">
        <f t="shared" si="109"/>
        <v>0.15392261912640143</v>
      </c>
      <c r="I2347" s="12">
        <f t="shared" si="110"/>
        <v>5.7526802326086257E-2</v>
      </c>
      <c r="J2347" s="12">
        <f>G2347*(D2347*Assumptions!$B$6+E2347*Assumptions!$B$7)</f>
        <v>4.4155663075683268E-3</v>
      </c>
    </row>
    <row r="2348" spans="1:10" x14ac:dyDescent="0.2">
      <c r="A2348" s="2">
        <v>2340</v>
      </c>
      <c r="B2348" s="14">
        <f>A2348*Assumptions!$B$12</f>
        <v>23.400000000000002</v>
      </c>
      <c r="C2348" s="15">
        <f>IF(A2348&lt;=Assumptions!$B$13,IF(OR(A2348=0,A2348=Assumptions!$B$13),0.5,1),0)*Assumptions!$B$12</f>
        <v>0</v>
      </c>
      <c r="D2348" s="12">
        <f>D2347*(1-Assumptions!$B$12*(Assumptions!$B$5+Assumptions!$B$6))</f>
        <v>0.49554093204560862</v>
      </c>
      <c r="E2348" s="12">
        <f>E2347+Assumptions!$B$12*(D2347*Assumptions!$B$5-E2347*Assumptions!$B$7)</f>
        <v>0.18526479009806543</v>
      </c>
      <c r="F2348" s="12">
        <f t="shared" si="108"/>
        <v>0.31919427785632604</v>
      </c>
      <c r="G2348" s="12">
        <f>EXP(-Assumptions!$B$8*B2348)</f>
        <v>0.31036694126548497</v>
      </c>
      <c r="H2348" s="12">
        <f t="shared" si="109"/>
        <v>0.1537995233508431</v>
      </c>
      <c r="I2348" s="12">
        <f t="shared" si="110"/>
        <v>5.7500066226928673E-2</v>
      </c>
      <c r="J2348" s="12">
        <f>G2348*(D2348*Assumptions!$B$6+E2348*Assumptions!$B$7)</f>
        <v>4.4129985448548648E-3</v>
      </c>
    </row>
    <row r="2349" spans="1:10" x14ac:dyDescent="0.2">
      <c r="A2349" s="2">
        <v>2341</v>
      </c>
      <c r="B2349" s="14">
        <f>A2349*Assumptions!$B$12</f>
        <v>23.41</v>
      </c>
      <c r="C2349" s="15">
        <f>IF(A2349&lt;=Assumptions!$B$13,IF(OR(A2349=0,A2349=Assumptions!$B$13),0.5,1),0)*Assumptions!$B$12</f>
        <v>0</v>
      </c>
      <c r="D2349" s="12">
        <f>D2348*(1-Assumptions!$B$12*(Assumptions!$B$5+Assumptions!$B$6))</f>
        <v>0.49539226976599493</v>
      </c>
      <c r="E2349" s="12">
        <f>E2348+Assumptions!$B$12*(D2348*Assumptions!$B$5-E2348*Assumptions!$B$7)</f>
        <v>0.18527126588942552</v>
      </c>
      <c r="F2349" s="12">
        <f t="shared" si="108"/>
        <v>0.31933646434457952</v>
      </c>
      <c r="G2349" s="12">
        <f>EXP(-Assumptions!$B$8*B2349)</f>
        <v>0.31021179658425474</v>
      </c>
      <c r="H2349" s="12">
        <f t="shared" si="109"/>
        <v>0.15367652601806106</v>
      </c>
      <c r="I2349" s="12">
        <f t="shared" si="110"/>
        <v>5.7473332246997848E-2</v>
      </c>
      <c r="J2349" s="12">
        <f>G2349*(D2349*Assumptions!$B$6+E2349*Assumptions!$B$7)</f>
        <v>4.410431872530503E-3</v>
      </c>
    </row>
    <row r="2350" spans="1:10" x14ac:dyDescent="0.2">
      <c r="A2350" s="2">
        <v>2342</v>
      </c>
      <c r="B2350" s="14">
        <f>A2350*Assumptions!$B$12</f>
        <v>23.42</v>
      </c>
      <c r="C2350" s="15">
        <f>IF(A2350&lt;=Assumptions!$B$13,IF(OR(A2350=0,A2350=Assumptions!$B$13),0.5,1),0)*Assumptions!$B$12</f>
        <v>0</v>
      </c>
      <c r="D2350" s="12">
        <f>D2349*(1-Assumptions!$B$12*(Assumptions!$B$5+Assumptions!$B$6))</f>
        <v>0.49524365208506516</v>
      </c>
      <c r="E2350" s="12">
        <f>E2349+Assumptions!$B$12*(D2349*Assumptions!$B$5-E2349*Assumptions!$B$7)</f>
        <v>0.185277708710434</v>
      </c>
      <c r="F2350" s="12">
        <f t="shared" si="108"/>
        <v>0.31947863920450081</v>
      </c>
      <c r="G2350" s="12">
        <f>EXP(-Assumptions!$B$8*B2350)</f>
        <v>0.31005672945597523</v>
      </c>
      <c r="H2350" s="12">
        <f t="shared" si="109"/>
        <v>0.15355362704932818</v>
      </c>
      <c r="I2350" s="12">
        <f t="shared" si="110"/>
        <v>5.744660040385402E-2</v>
      </c>
      <c r="J2350" s="12">
        <f>G2350*(D2350*Assumptions!$B$6+E2350*Assumptions!$B$7)</f>
        <v>4.407866290685983E-3</v>
      </c>
    </row>
    <row r="2351" spans="1:10" x14ac:dyDescent="0.2">
      <c r="A2351" s="2">
        <v>2343</v>
      </c>
      <c r="B2351" s="14">
        <f>A2351*Assumptions!$B$12</f>
        <v>23.43</v>
      </c>
      <c r="C2351" s="15">
        <f>IF(A2351&lt;=Assumptions!$B$13,IF(OR(A2351=0,A2351=Assumptions!$B$13),0.5,1),0)*Assumptions!$B$12</f>
        <v>0</v>
      </c>
      <c r="D2351" s="12">
        <f>D2350*(1-Assumptions!$B$12*(Assumptions!$B$5+Assumptions!$B$6))</f>
        <v>0.49509507898943966</v>
      </c>
      <c r="E2351" s="12">
        <f>E2350+Assumptions!$B$12*(D2350*Assumptions!$B$5-E2350*Assumptions!$B$7)</f>
        <v>0.18528411858649579</v>
      </c>
      <c r="F2351" s="12">
        <f t="shared" si="108"/>
        <v>0.31962080242406449</v>
      </c>
      <c r="G2351" s="12">
        <f>EXP(-Assumptions!$B$8*B2351)</f>
        <v>0.30990173984187974</v>
      </c>
      <c r="H2351" s="12">
        <f t="shared" si="109"/>
        <v>0.15343082636598024</v>
      </c>
      <c r="I2351" s="12">
        <f t="shared" si="110"/>
        <v>5.7419870715024211E-2</v>
      </c>
      <c r="J2351" s="12">
        <f>G2351*(D2351*Assumptions!$B$6+E2351*Assumptions!$B$7)</f>
        <v>4.4053017994110134E-3</v>
      </c>
    </row>
    <row r="2352" spans="1:10" x14ac:dyDescent="0.2">
      <c r="A2352" s="2">
        <v>2344</v>
      </c>
      <c r="B2352" s="14">
        <f>A2352*Assumptions!$B$12</f>
        <v>23.44</v>
      </c>
      <c r="C2352" s="15">
        <f>IF(A2352&lt;=Assumptions!$B$13,IF(OR(A2352=0,A2352=Assumptions!$B$13),0.5,1),0)*Assumptions!$B$12</f>
        <v>0</v>
      </c>
      <c r="D2352" s="12">
        <f>D2351*(1-Assumptions!$B$12*(Assumptions!$B$5+Assumptions!$B$6))</f>
        <v>0.49494655046574287</v>
      </c>
      <c r="E2352" s="12">
        <f>E2351+Assumptions!$B$12*(D2351*Assumptions!$B$5-E2351*Assumptions!$B$7)</f>
        <v>0.18529049554300042</v>
      </c>
      <c r="F2352" s="12">
        <f t="shared" si="108"/>
        <v>0.3197629539912567</v>
      </c>
      <c r="G2352" s="12">
        <f>EXP(-Assumptions!$B$8*B2352)</f>
        <v>0.30974682770322076</v>
      </c>
      <c r="H2352" s="12">
        <f t="shared" si="109"/>
        <v>0.15330812388941592</v>
      </c>
      <c r="I2352" s="12">
        <f t="shared" si="110"/>
        <v>5.7393143198002143E-2</v>
      </c>
      <c r="J2352" s="12">
        <f>G2352*(D2352*Assumptions!$B$6+E2352*Assumptions!$B$7)</f>
        <v>4.4027383987942665E-3</v>
      </c>
    </row>
    <row r="2353" spans="1:10" x14ac:dyDescent="0.2">
      <c r="A2353" s="2">
        <v>2345</v>
      </c>
      <c r="B2353" s="14">
        <f>A2353*Assumptions!$B$12</f>
        <v>23.45</v>
      </c>
      <c r="C2353" s="15">
        <f>IF(A2353&lt;=Assumptions!$B$13,IF(OR(A2353=0,A2353=Assumptions!$B$13),0.5,1),0)*Assumptions!$B$12</f>
        <v>0</v>
      </c>
      <c r="D2353" s="12">
        <f>D2352*(1-Assumptions!$B$12*(Assumptions!$B$5+Assumptions!$B$6))</f>
        <v>0.49479806650060315</v>
      </c>
      <c r="E2353" s="12">
        <f>E2352+Assumptions!$B$12*(D2352*Assumptions!$B$5-E2352*Assumptions!$B$7)</f>
        <v>0.18529683960532206</v>
      </c>
      <c r="F2353" s="12">
        <f t="shared" si="108"/>
        <v>0.31990509389407484</v>
      </c>
      <c r="G2353" s="12">
        <f>EXP(-Assumptions!$B$8*B2353)</f>
        <v>0.30959199300127038</v>
      </c>
      <c r="H2353" s="12">
        <f t="shared" si="109"/>
        <v>0.15318551954109685</v>
      </c>
      <c r="I2353" s="12">
        <f t="shared" si="110"/>
        <v>5.736641787024839E-2</v>
      </c>
      <c r="J2353" s="12">
        <f>G2353*(D2353*Assumptions!$B$6+E2353*Assumptions!$B$7)</f>
        <v>4.4001760889233882E-3</v>
      </c>
    </row>
    <row r="2354" spans="1:10" x14ac:dyDescent="0.2">
      <c r="A2354" s="2">
        <v>2346</v>
      </c>
      <c r="B2354" s="14">
        <f>A2354*Assumptions!$B$12</f>
        <v>23.46</v>
      </c>
      <c r="C2354" s="15">
        <f>IF(A2354&lt;=Assumptions!$B$13,IF(OR(A2354=0,A2354=Assumptions!$B$13),0.5,1),0)*Assumptions!$B$12</f>
        <v>0</v>
      </c>
      <c r="D2354" s="12">
        <f>D2353*(1-Assumptions!$B$12*(Assumptions!$B$5+Assumptions!$B$6))</f>
        <v>0.49464962708065296</v>
      </c>
      <c r="E2354" s="12">
        <f>E2353+Assumptions!$B$12*(D2353*Assumptions!$B$5-E2353*Assumptions!$B$7)</f>
        <v>0.18530315079881951</v>
      </c>
      <c r="F2354" s="12">
        <f t="shared" si="108"/>
        <v>0.3200472221205275</v>
      </c>
      <c r="G2354" s="12">
        <f>EXP(-Assumptions!$B$8*B2354)</f>
        <v>0.30943723569731985</v>
      </c>
      <c r="H2354" s="12">
        <f t="shared" si="109"/>
        <v>0.15306301324254737</v>
      </c>
      <c r="I2354" s="12">
        <f t="shared" si="110"/>
        <v>5.7339694749190318E-2</v>
      </c>
      <c r="J2354" s="12">
        <f>G2354*(D2354*Assumptions!$B$6+E2354*Assumptions!$B$7)</f>
        <v>4.3976148698849898E-3</v>
      </c>
    </row>
    <row r="2355" spans="1:10" x14ac:dyDescent="0.2">
      <c r="A2355" s="2">
        <v>2347</v>
      </c>
      <c r="B2355" s="14">
        <f>A2355*Assumptions!$B$12</f>
        <v>23.47</v>
      </c>
      <c r="C2355" s="15">
        <f>IF(A2355&lt;=Assumptions!$B$13,IF(OR(A2355=0,A2355=Assumptions!$B$13),0.5,1),0)*Assumptions!$B$12</f>
        <v>0</v>
      </c>
      <c r="D2355" s="12">
        <f>D2354*(1-Assumptions!$B$12*(Assumptions!$B$5+Assumptions!$B$6))</f>
        <v>0.49450123219252878</v>
      </c>
      <c r="E2355" s="12">
        <f>E2354+Assumptions!$B$12*(D2354*Assumptions!$B$5-E2354*Assumptions!$B$7)</f>
        <v>0.18530942914883622</v>
      </c>
      <c r="F2355" s="12">
        <f t="shared" si="108"/>
        <v>0.32018933865863497</v>
      </c>
      <c r="G2355" s="12">
        <f>EXP(-Assumptions!$B$8*B2355)</f>
        <v>0.30928255575267988</v>
      </c>
      <c r="H2355" s="12">
        <f t="shared" si="109"/>
        <v>0.15294060491535469</v>
      </c>
      <c r="I2355" s="12">
        <f t="shared" si="110"/>
        <v>5.731297385222222E-2</v>
      </c>
      <c r="J2355" s="12">
        <f>G2355*(D2355*Assumptions!$B$6+E2355*Assumptions!$B$7)</f>
        <v>4.3950547417646573E-3</v>
      </c>
    </row>
    <row r="2356" spans="1:10" x14ac:dyDescent="0.2">
      <c r="A2356" s="2">
        <v>2348</v>
      </c>
      <c r="B2356" s="14">
        <f>A2356*Assumptions!$B$12</f>
        <v>23.48</v>
      </c>
      <c r="C2356" s="15">
        <f>IF(A2356&lt;=Assumptions!$B$13,IF(OR(A2356=0,A2356=Assumptions!$B$13),0.5,1),0)*Assumptions!$B$12</f>
        <v>0</v>
      </c>
      <c r="D2356" s="12">
        <f>D2355*(1-Assumptions!$B$12*(Assumptions!$B$5+Assumptions!$B$6))</f>
        <v>0.49435288182287102</v>
      </c>
      <c r="E2356" s="12">
        <f>E2355+Assumptions!$B$12*(D2355*Assumptions!$B$5-E2355*Assumptions!$B$7)</f>
        <v>0.18531567468070032</v>
      </c>
      <c r="F2356" s="12">
        <f t="shared" si="108"/>
        <v>0.32033144349642861</v>
      </c>
      <c r="G2356" s="12">
        <f>EXP(-Assumptions!$B$8*B2356)</f>
        <v>0.30912795312868036</v>
      </c>
      <c r="H2356" s="12">
        <f t="shared" si="109"/>
        <v>0.15281829448116854</v>
      </c>
      <c r="I2356" s="12">
        <f t="shared" si="110"/>
        <v>5.7286255196705306E-2</v>
      </c>
      <c r="J2356" s="12">
        <f>G2356*(D2356*Assumptions!$B$6+E2356*Assumptions!$B$7)</f>
        <v>4.3924957046469508E-3</v>
      </c>
    </row>
    <row r="2357" spans="1:10" x14ac:dyDescent="0.2">
      <c r="A2357" s="2">
        <v>2349</v>
      </c>
      <c r="B2357" s="14">
        <f>A2357*Assumptions!$B$12</f>
        <v>23.490000000000002</v>
      </c>
      <c r="C2357" s="15">
        <f>IF(A2357&lt;=Assumptions!$B$13,IF(OR(A2357=0,A2357=Assumptions!$B$13),0.5,1),0)*Assumptions!$B$12</f>
        <v>0</v>
      </c>
      <c r="D2357" s="12">
        <f>D2356*(1-Assumptions!$B$12*(Assumptions!$B$5+Assumptions!$B$6))</f>
        <v>0.49420457595832418</v>
      </c>
      <c r="E2357" s="12">
        <f>E2356+Assumptions!$B$12*(D2356*Assumptions!$B$5-E2356*Assumptions!$B$7)</f>
        <v>0.18532188741972455</v>
      </c>
      <c r="F2357" s="12">
        <f t="shared" si="108"/>
        <v>0.32047353662195122</v>
      </c>
      <c r="G2357" s="12">
        <f>EXP(-Assumptions!$B$8*B2357)</f>
        <v>0.30897342778667081</v>
      </c>
      <c r="H2357" s="12">
        <f t="shared" si="109"/>
        <v>0.15269608186170155</v>
      </c>
      <c r="I2357" s="12">
        <f t="shared" si="110"/>
        <v>5.7259538799967799E-2</v>
      </c>
      <c r="J2357" s="12">
        <f>G2357*(D2357*Assumptions!$B$6+E2357*Assumptions!$B$7)</f>
        <v>4.3899377586154057E-3</v>
      </c>
    </row>
    <row r="2358" spans="1:10" x14ac:dyDescent="0.2">
      <c r="A2358" s="2">
        <v>2350</v>
      </c>
      <c r="B2358" s="14">
        <f>A2358*Assumptions!$B$12</f>
        <v>23.5</v>
      </c>
      <c r="C2358" s="15">
        <f>IF(A2358&lt;=Assumptions!$B$13,IF(OR(A2358=0,A2358=Assumptions!$B$13),0.5,1),0)*Assumptions!$B$12</f>
        <v>0</v>
      </c>
      <c r="D2358" s="12">
        <f>D2357*(1-Assumptions!$B$12*(Assumptions!$B$5+Assumptions!$B$6))</f>
        <v>0.49405631458553667</v>
      </c>
      <c r="E2358" s="12">
        <f>E2357+Assumptions!$B$12*(D2357*Assumptions!$B$5-E2357*Assumptions!$B$7)</f>
        <v>0.18532806739120636</v>
      </c>
      <c r="F2358" s="12">
        <f t="shared" si="108"/>
        <v>0.320615618023257</v>
      </c>
      <c r="G2358" s="12">
        <f>EXP(-Assumptions!$B$8*B2358)</f>
        <v>0.30881897968801986</v>
      </c>
      <c r="H2358" s="12">
        <f t="shared" si="109"/>
        <v>0.1525739669787288</v>
      </c>
      <c r="I2358" s="12">
        <f t="shared" si="110"/>
        <v>5.7232824679304933E-2</v>
      </c>
      <c r="J2358" s="12">
        <f>G2358*(D2358*Assumptions!$B$6+E2358*Assumptions!$B$7)</f>
        <v>4.3873809037525344E-3</v>
      </c>
    </row>
    <row r="2359" spans="1:10" x14ac:dyDescent="0.2">
      <c r="A2359" s="2">
        <v>2351</v>
      </c>
      <c r="B2359" s="14">
        <f>A2359*Assumptions!$B$12</f>
        <v>23.51</v>
      </c>
      <c r="C2359" s="15">
        <f>IF(A2359&lt;=Assumptions!$B$13,IF(OR(A2359=0,A2359=Assumptions!$B$13),0.5,1),0)*Assumptions!$B$12</f>
        <v>0</v>
      </c>
      <c r="D2359" s="12">
        <f>D2358*(1-Assumptions!$B$12*(Assumptions!$B$5+Assumptions!$B$6))</f>
        <v>0.49390809769116101</v>
      </c>
      <c r="E2359" s="12">
        <f>E2358+Assumptions!$B$12*(D2358*Assumptions!$B$5-E2358*Assumptions!$B$7)</f>
        <v>0.18533421462042787</v>
      </c>
      <c r="F2359" s="12">
        <f t="shared" si="108"/>
        <v>0.32075768768841117</v>
      </c>
      <c r="G2359" s="12">
        <f>EXP(-Assumptions!$B$8*B2359)</f>
        <v>0.30866460879411534</v>
      </c>
      <c r="H2359" s="12">
        <f t="shared" si="109"/>
        <v>0.15245194975408791</v>
      </c>
      <c r="I2359" s="12">
        <f t="shared" si="110"/>
        <v>5.7206112851978977E-2</v>
      </c>
      <c r="J2359" s="12">
        <f>G2359*(D2359*Assumptions!$B$6+E2359*Assumptions!$B$7)</f>
        <v>4.3848251401398279E-3</v>
      </c>
    </row>
    <row r="2360" spans="1:10" x14ac:dyDescent="0.2">
      <c r="A2360" s="2">
        <v>2352</v>
      </c>
      <c r="B2360" s="14">
        <f>A2360*Assumptions!$B$12</f>
        <v>23.52</v>
      </c>
      <c r="C2360" s="15">
        <f>IF(A2360&lt;=Assumptions!$B$13,IF(OR(A2360=0,A2360=Assumptions!$B$13),0.5,1),0)*Assumptions!$B$12</f>
        <v>0</v>
      </c>
      <c r="D2360" s="12">
        <f>D2359*(1-Assumptions!$B$12*(Assumptions!$B$5+Assumptions!$B$6))</f>
        <v>0.49375992526185369</v>
      </c>
      <c r="E2360" s="12">
        <f>E2359+Assumptions!$B$12*(D2359*Assumptions!$B$5-E2359*Assumptions!$B$7)</f>
        <v>0.18534032913265588</v>
      </c>
      <c r="F2360" s="12">
        <f t="shared" si="108"/>
        <v>0.32089974560549051</v>
      </c>
      <c r="G2360" s="12">
        <f>EXP(-Assumptions!$B$8*B2360)</f>
        <v>0.30851031506636473</v>
      </c>
      <c r="H2360" s="12">
        <f t="shared" si="109"/>
        <v>0.15233003010967919</v>
      </c>
      <c r="I2360" s="12">
        <f t="shared" si="110"/>
        <v>5.7179403335219404E-2</v>
      </c>
      <c r="J2360" s="12">
        <f>G2360*(D2360*Assumptions!$B$6+E2360*Assumptions!$B$7)</f>
        <v>4.3822704678577618E-3</v>
      </c>
    </row>
    <row r="2361" spans="1:10" x14ac:dyDescent="0.2">
      <c r="A2361" s="2">
        <v>2353</v>
      </c>
      <c r="B2361" s="14">
        <f>A2361*Assumptions!$B$12</f>
        <v>23.53</v>
      </c>
      <c r="C2361" s="15">
        <f>IF(A2361&lt;=Assumptions!$B$13,IF(OR(A2361=0,A2361=Assumptions!$B$13),0.5,1),0)*Assumptions!$B$12</f>
        <v>0</v>
      </c>
      <c r="D2361" s="12">
        <f>D2360*(1-Assumptions!$B$12*(Assumptions!$B$5+Assumptions!$B$6))</f>
        <v>0.49361179728427518</v>
      </c>
      <c r="E2361" s="12">
        <f>E2360+Assumptions!$B$12*(D2360*Assumptions!$B$5-E2360*Assumptions!$B$7)</f>
        <v>0.18534641095314192</v>
      </c>
      <c r="F2361" s="12">
        <f t="shared" si="108"/>
        <v>0.32104179176258291</v>
      </c>
      <c r="G2361" s="12">
        <f>EXP(-Assumptions!$B$8*B2361)</f>
        <v>0.30835609846619438</v>
      </c>
      <c r="H2361" s="12">
        <f t="shared" si="109"/>
        <v>0.15220820796746515</v>
      </c>
      <c r="I2361" s="12">
        <f t="shared" si="110"/>
        <v>5.7152696146222759E-2</v>
      </c>
      <c r="J2361" s="12">
        <f>G2361*(D2361*Assumptions!$B$6+E2361*Assumptions!$B$7)</f>
        <v>4.3797168869857891E-3</v>
      </c>
    </row>
    <row r="2362" spans="1:10" x14ac:dyDescent="0.2">
      <c r="A2362" s="2">
        <v>2354</v>
      </c>
      <c r="B2362" s="14">
        <f>A2362*Assumptions!$B$12</f>
        <v>23.54</v>
      </c>
      <c r="C2362" s="15">
        <f>IF(A2362&lt;=Assumptions!$B$13,IF(OR(A2362=0,A2362=Assumptions!$B$13),0.5,1),0)*Assumptions!$B$12</f>
        <v>0</v>
      </c>
      <c r="D2362" s="12">
        <f>D2361*(1-Assumptions!$B$12*(Assumptions!$B$5+Assumptions!$B$6))</f>
        <v>0.4934637137450899</v>
      </c>
      <c r="E2362" s="12">
        <f>E2361+Assumptions!$B$12*(D2361*Assumptions!$B$5-E2361*Assumptions!$B$7)</f>
        <v>0.1853524601071222</v>
      </c>
      <c r="F2362" s="12">
        <f t="shared" si="108"/>
        <v>0.3211838261477879</v>
      </c>
      <c r="G2362" s="12">
        <f>EXP(-Assumptions!$B$8*B2362)</f>
        <v>0.30820195895505031</v>
      </c>
      <c r="H2362" s="12">
        <f t="shared" si="109"/>
        <v>0.15208648324947088</v>
      </c>
      <c r="I2362" s="12">
        <f t="shared" si="110"/>
        <v>5.7125991302152873E-2</v>
      </c>
      <c r="J2362" s="12">
        <f>G2362*(D2362*Assumptions!$B$6+E2362*Assumptions!$B$7)</f>
        <v>4.3771643976023532E-3</v>
      </c>
    </row>
    <row r="2363" spans="1:10" x14ac:dyDescent="0.2">
      <c r="A2363" s="2">
        <v>2355</v>
      </c>
      <c r="B2363" s="14">
        <f>A2363*Assumptions!$B$12</f>
        <v>23.55</v>
      </c>
      <c r="C2363" s="15">
        <f>IF(A2363&lt;=Assumptions!$B$13,IF(OR(A2363=0,A2363=Assumptions!$B$13),0.5,1),0)*Assumptions!$B$12</f>
        <v>0</v>
      </c>
      <c r="D2363" s="12">
        <f>D2362*(1-Assumptions!$B$12*(Assumptions!$B$5+Assumptions!$B$6))</f>
        <v>0.49331567463096637</v>
      </c>
      <c r="E2363" s="12">
        <f>E2362+Assumptions!$B$12*(D2362*Assumptions!$B$5-E2362*Assumptions!$B$7)</f>
        <v>0.18535847661981766</v>
      </c>
      <c r="F2363" s="12">
        <f t="shared" si="108"/>
        <v>0.32132584874921599</v>
      </c>
      <c r="G2363" s="12">
        <f>EXP(-Assumptions!$B$8*B2363)</f>
        <v>0.30804789649439762</v>
      </c>
      <c r="H2363" s="12">
        <f t="shared" si="109"/>
        <v>0.15196485587778386</v>
      </c>
      <c r="I2363" s="12">
        <f t="shared" si="110"/>
        <v>5.7099288820140814E-2</v>
      </c>
      <c r="J2363" s="12">
        <f>G2363*(D2363*Assumptions!$B$6+E2363*Assumptions!$B$7)</f>
        <v>4.374612999784879E-3</v>
      </c>
    </row>
    <row r="2364" spans="1:10" x14ac:dyDescent="0.2">
      <c r="A2364" s="2">
        <v>2356</v>
      </c>
      <c r="B2364" s="14">
        <f>A2364*Assumptions!$B$12</f>
        <v>23.56</v>
      </c>
      <c r="C2364" s="15">
        <f>IF(A2364&lt;=Assumptions!$B$13,IF(OR(A2364=0,A2364=Assumptions!$B$13),0.5,1),0)*Assumptions!$B$12</f>
        <v>0</v>
      </c>
      <c r="D2364" s="12">
        <f>D2363*(1-Assumptions!$B$12*(Assumptions!$B$5+Assumptions!$B$6))</f>
        <v>0.49316767992857707</v>
      </c>
      <c r="E2364" s="12">
        <f>E2363+Assumptions!$B$12*(D2363*Assumptions!$B$5-E2363*Assumptions!$B$7)</f>
        <v>0.18536446051643396</v>
      </c>
      <c r="F2364" s="12">
        <f t="shared" si="108"/>
        <v>0.32146785955498891</v>
      </c>
      <c r="G2364" s="12">
        <f>EXP(-Assumptions!$B$8*B2364)</f>
        <v>0.30789391104572061</v>
      </c>
      <c r="H2364" s="12">
        <f t="shared" si="109"/>
        <v>0.15184332577455373</v>
      </c>
      <c r="I2364" s="12">
        <f t="shared" si="110"/>
        <v>5.7072588717284906E-2</v>
      </c>
      <c r="J2364" s="12">
        <f>G2364*(D2364*Assumptions!$B$6+E2364*Assumptions!$B$7)</f>
        <v>4.3720626936097828E-3</v>
      </c>
    </row>
    <row r="2365" spans="1:10" x14ac:dyDescent="0.2">
      <c r="A2365" s="2">
        <v>2357</v>
      </c>
      <c r="B2365" s="14">
        <f>A2365*Assumptions!$B$12</f>
        <v>23.57</v>
      </c>
      <c r="C2365" s="15">
        <f>IF(A2365&lt;=Assumptions!$B$13,IF(OR(A2365=0,A2365=Assumptions!$B$13),0.5,1),0)*Assumptions!$B$12</f>
        <v>0</v>
      </c>
      <c r="D2365" s="12">
        <f>D2364*(1-Assumptions!$B$12*(Assumptions!$B$5+Assumptions!$B$6))</f>
        <v>0.4930197296245985</v>
      </c>
      <c r="E2365" s="12">
        <f>E2364+Assumptions!$B$12*(D2364*Assumptions!$B$5-E2364*Assumptions!$B$7)</f>
        <v>0.18537041182216146</v>
      </c>
      <c r="F2365" s="12">
        <f t="shared" si="108"/>
        <v>0.32160985855324004</v>
      </c>
      <c r="G2365" s="12">
        <f>EXP(-Assumptions!$B$8*B2365)</f>
        <v>0.30774000257052297</v>
      </c>
      <c r="H2365" s="12">
        <f t="shared" si="109"/>
        <v>0.15172189286199247</v>
      </c>
      <c r="I2365" s="12">
        <f t="shared" si="110"/>
        <v>5.704589101065087E-2</v>
      </c>
      <c r="J2365" s="12">
        <f>G2365*(D2365*Assumptions!$B$6+E2365*Assumptions!$B$7)</f>
        <v>4.3695134791524679E-3</v>
      </c>
    </row>
    <row r="2366" spans="1:10" x14ac:dyDescent="0.2">
      <c r="A2366" s="2">
        <v>2358</v>
      </c>
      <c r="B2366" s="14">
        <f>A2366*Assumptions!$B$12</f>
        <v>23.580000000000002</v>
      </c>
      <c r="C2366" s="15">
        <f>IF(A2366&lt;=Assumptions!$B$13,IF(OR(A2366=0,A2366=Assumptions!$B$13),0.5,1),0)*Assumptions!$B$12</f>
        <v>0</v>
      </c>
      <c r="D2366" s="12">
        <f>D2365*(1-Assumptions!$B$12*(Assumptions!$B$5+Assumptions!$B$6))</f>
        <v>0.49287182370571114</v>
      </c>
      <c r="E2366" s="12">
        <f>E2365+Assumptions!$B$12*(D2365*Assumptions!$B$5-E2365*Assumptions!$B$7)</f>
        <v>0.18537633056217531</v>
      </c>
      <c r="F2366" s="12">
        <f t="shared" si="108"/>
        <v>0.32175184573211357</v>
      </c>
      <c r="G2366" s="12">
        <f>EXP(-Assumptions!$B$8*B2366)</f>
        <v>0.30758617103032759</v>
      </c>
      <c r="H2366" s="12">
        <f t="shared" si="109"/>
        <v>0.15160055706237432</v>
      </c>
      <c r="I2366" s="12">
        <f t="shared" si="110"/>
        <v>5.7019195717271799E-2</v>
      </c>
      <c r="J2366" s="12">
        <f>G2366*(D2366*Assumptions!$B$6+E2366*Assumptions!$B$7)</f>
        <v>4.3669653564873331E-3</v>
      </c>
    </row>
    <row r="2367" spans="1:10" x14ac:dyDescent="0.2">
      <c r="A2367" s="2">
        <v>2359</v>
      </c>
      <c r="B2367" s="14">
        <f>A2367*Assumptions!$B$12</f>
        <v>23.59</v>
      </c>
      <c r="C2367" s="15">
        <f>IF(A2367&lt;=Assumptions!$B$13,IF(OR(A2367=0,A2367=Assumptions!$B$13),0.5,1),0)*Assumptions!$B$12</f>
        <v>0</v>
      </c>
      <c r="D2367" s="12">
        <f>D2366*(1-Assumptions!$B$12*(Assumptions!$B$5+Assumptions!$B$6))</f>
        <v>0.49272396215859943</v>
      </c>
      <c r="E2367" s="12">
        <f>E2366+Assumptions!$B$12*(D2366*Assumptions!$B$5-E2366*Assumptions!$B$7)</f>
        <v>0.18538221676163535</v>
      </c>
      <c r="F2367" s="12">
        <f t="shared" si="108"/>
        <v>0.32189382107976516</v>
      </c>
      <c r="G2367" s="12">
        <f>EXP(-Assumptions!$B$8*B2367)</f>
        <v>0.30743241638667657</v>
      </c>
      <c r="H2367" s="12">
        <f t="shared" si="109"/>
        <v>0.1514793182980356</v>
      </c>
      <c r="I2367" s="12">
        <f t="shared" si="110"/>
        <v>5.6992502854148211E-2</v>
      </c>
      <c r="J2367" s="12">
        <f>G2367*(D2367*Assumptions!$B$6+E2367*Assumptions!$B$7)</f>
        <v>4.3644183256877668E-3</v>
      </c>
    </row>
    <row r="2368" spans="1:10" x14ac:dyDescent="0.2">
      <c r="A2368" s="2">
        <v>2360</v>
      </c>
      <c r="B2368" s="14">
        <f>A2368*Assumptions!$B$12</f>
        <v>23.6</v>
      </c>
      <c r="C2368" s="15">
        <f>IF(A2368&lt;=Assumptions!$B$13,IF(OR(A2368=0,A2368=Assumptions!$B$13),0.5,1),0)*Assumptions!$B$12</f>
        <v>0</v>
      </c>
      <c r="D2368" s="12">
        <f>D2367*(1-Assumptions!$B$12*(Assumptions!$B$5+Assumptions!$B$6))</f>
        <v>0.49257614496995189</v>
      </c>
      <c r="E2368" s="12">
        <f>E2367+Assumptions!$B$12*(D2367*Assumptions!$B$5-E2367*Assumptions!$B$7)</f>
        <v>0.18538807044568625</v>
      </c>
      <c r="F2368" s="12">
        <f t="shared" si="108"/>
        <v>0.32203578458436177</v>
      </c>
      <c r="G2368" s="12">
        <f>EXP(-Assumptions!$B$8*B2368)</f>
        <v>0.3072787386011312</v>
      </c>
      <c r="H2368" s="12">
        <f t="shared" si="109"/>
        <v>0.15135817649137476</v>
      </c>
      <c r="I2368" s="12">
        <f t="shared" si="110"/>
        <v>5.6965812438248123E-2</v>
      </c>
      <c r="J2368" s="12">
        <f>G2368*(D2368*Assumptions!$B$6+E2368*Assumptions!$B$7)</f>
        <v>4.3618723868261546E-3</v>
      </c>
    </row>
    <row r="2369" spans="1:10" x14ac:dyDescent="0.2">
      <c r="A2369" s="2">
        <v>2361</v>
      </c>
      <c r="B2369" s="14">
        <f>A2369*Assumptions!$B$12</f>
        <v>23.61</v>
      </c>
      <c r="C2369" s="15">
        <f>IF(A2369&lt;=Assumptions!$B$13,IF(OR(A2369=0,A2369=Assumptions!$B$13),0.5,1),0)*Assumptions!$B$12</f>
        <v>0</v>
      </c>
      <c r="D2369" s="12">
        <f>D2368*(1-Assumptions!$B$12*(Assumptions!$B$5+Assumptions!$B$6))</f>
        <v>0.4924283721264609</v>
      </c>
      <c r="E2369" s="12">
        <f>E2368+Assumptions!$B$12*(D2368*Assumptions!$B$5-E2368*Assumptions!$B$7)</f>
        <v>0.18539389163945741</v>
      </c>
      <c r="F2369" s="12">
        <f t="shared" si="108"/>
        <v>0.32217773623408175</v>
      </c>
      <c r="G2369" s="12">
        <f>EXP(-Assumptions!$B$8*B2369)</f>
        <v>0.30712513763527211</v>
      </c>
      <c r="H2369" s="12">
        <f t="shared" si="109"/>
        <v>0.1512371315648523</v>
      </c>
      <c r="I2369" s="12">
        <f t="shared" si="110"/>
        <v>5.6939124486507078E-2</v>
      </c>
      <c r="J2369" s="12">
        <f>G2369*(D2369*Assumptions!$B$6+E2369*Assumptions!$B$7)</f>
        <v>4.3593275399738769E-3</v>
      </c>
    </row>
    <row r="2370" spans="1:10" x14ac:dyDescent="0.2">
      <c r="A2370" s="2">
        <v>2362</v>
      </c>
      <c r="B2370" s="14">
        <f>A2370*Assumptions!$B$12</f>
        <v>23.62</v>
      </c>
      <c r="C2370" s="15">
        <f>IF(A2370&lt;=Assumptions!$B$13,IF(OR(A2370=0,A2370=Assumptions!$B$13),0.5,1),0)*Assumptions!$B$12</f>
        <v>0</v>
      </c>
      <c r="D2370" s="12">
        <f>D2369*(1-Assumptions!$B$12*(Assumptions!$B$5+Assumptions!$B$6))</f>
        <v>0.49228064361482299</v>
      </c>
      <c r="E2370" s="12">
        <f>E2369+Assumptions!$B$12*(D2369*Assumptions!$B$5-E2369*Assumptions!$B$7)</f>
        <v>0.18539968036806298</v>
      </c>
      <c r="F2370" s="12">
        <f t="shared" si="108"/>
        <v>0.32231967601711398</v>
      </c>
      <c r="G2370" s="12">
        <f>EXP(-Assumptions!$B$8*B2370)</f>
        <v>0.30697161345069907</v>
      </c>
      <c r="H2370" s="12">
        <f t="shared" si="109"/>
        <v>0.15111618344099079</v>
      </c>
      <c r="I2370" s="12">
        <f t="shared" si="110"/>
        <v>5.6912439015828188E-2</v>
      </c>
      <c r="J2370" s="12">
        <f>G2370*(D2370*Assumptions!$B$6+E2370*Assumptions!$B$7)</f>
        <v>4.3567837852013175E-3</v>
      </c>
    </row>
    <row r="2371" spans="1:10" x14ac:dyDescent="0.2">
      <c r="A2371" s="2">
        <v>2363</v>
      </c>
      <c r="B2371" s="14">
        <f>A2371*Assumptions!$B$12</f>
        <v>23.63</v>
      </c>
      <c r="C2371" s="15">
        <f>IF(A2371&lt;=Assumptions!$B$13,IF(OR(A2371=0,A2371=Assumptions!$B$13),0.5,1),0)*Assumptions!$B$12</f>
        <v>0</v>
      </c>
      <c r="D2371" s="12">
        <f>D2370*(1-Assumptions!$B$12*(Assumptions!$B$5+Assumptions!$B$6))</f>
        <v>0.49213295942173857</v>
      </c>
      <c r="E2371" s="12">
        <f>E2370+Assumptions!$B$12*(D2370*Assumptions!$B$5-E2370*Assumptions!$B$7)</f>
        <v>0.18540543665660192</v>
      </c>
      <c r="F2371" s="12">
        <f t="shared" si="108"/>
        <v>0.32246160392165957</v>
      </c>
      <c r="G2371" s="12">
        <f>EXP(-Assumptions!$B$8*B2371)</f>
        <v>0.306818166009031</v>
      </c>
      <c r="H2371" s="12">
        <f t="shared" si="109"/>
        <v>0.1509953320423747</v>
      </c>
      <c r="I2371" s="12">
        <f t="shared" si="110"/>
        <v>5.6885756043082172E-2</v>
      </c>
      <c r="J2371" s="12">
        <f>G2371*(D2371*Assumptions!$B$6+E2371*Assumptions!$B$7)</f>
        <v>4.3542411225778559E-3</v>
      </c>
    </row>
    <row r="2372" spans="1:10" x14ac:dyDescent="0.2">
      <c r="A2372" s="2">
        <v>2364</v>
      </c>
      <c r="B2372" s="14">
        <f>A2372*Assumptions!$B$12</f>
        <v>23.64</v>
      </c>
      <c r="C2372" s="15">
        <f>IF(A2372&lt;=Assumptions!$B$13,IF(OR(A2372=0,A2372=Assumptions!$B$13),0.5,1),0)*Assumptions!$B$12</f>
        <v>0</v>
      </c>
      <c r="D2372" s="12">
        <f>D2371*(1-Assumptions!$B$12*(Assumptions!$B$5+Assumptions!$B$6))</f>
        <v>0.49198531953391206</v>
      </c>
      <c r="E2372" s="12">
        <f>E2371+Assumptions!$B$12*(D2371*Assumptions!$B$5-E2371*Assumptions!$B$7)</f>
        <v>0.18541116053015796</v>
      </c>
      <c r="F2372" s="12">
        <f t="shared" si="108"/>
        <v>0.32260351993592995</v>
      </c>
      <c r="G2372" s="12">
        <f>EXP(-Assumptions!$B$8*B2372)</f>
        <v>0.30666479527190593</v>
      </c>
      <c r="H2372" s="12">
        <f t="shared" si="109"/>
        <v>0.15087457729165035</v>
      </c>
      <c r="I2372" s="12">
        <f t="shared" si="110"/>
        <v>5.6859075585107381E-2</v>
      </c>
      <c r="J2372" s="12">
        <f>G2372*(D2372*Assumptions!$B$6+E2372*Assumptions!$B$7)</f>
        <v>4.351699552171873E-3</v>
      </c>
    </row>
    <row r="2373" spans="1:10" x14ac:dyDescent="0.2">
      <c r="A2373" s="2">
        <v>2365</v>
      </c>
      <c r="B2373" s="14">
        <f>A2373*Assumptions!$B$12</f>
        <v>23.650000000000002</v>
      </c>
      <c r="C2373" s="15">
        <f>IF(A2373&lt;=Assumptions!$B$13,IF(OR(A2373=0,A2373=Assumptions!$B$13),0.5,1),0)*Assumptions!$B$12</f>
        <v>0</v>
      </c>
      <c r="D2373" s="12">
        <f>D2372*(1-Assumptions!$B$12*(Assumptions!$B$5+Assumptions!$B$6))</f>
        <v>0.49183772393805192</v>
      </c>
      <c r="E2373" s="12">
        <f>E2372+Assumptions!$B$12*(D2372*Assumptions!$B$5-E2372*Assumptions!$B$7)</f>
        <v>0.18541685201379968</v>
      </c>
      <c r="F2373" s="12">
        <f t="shared" si="108"/>
        <v>0.32274542404814843</v>
      </c>
      <c r="G2373" s="12">
        <f>EXP(-Assumptions!$B$8*B2373)</f>
        <v>0.30651150120098131</v>
      </c>
      <c r="H2373" s="12">
        <f t="shared" si="109"/>
        <v>0.15075391911152611</v>
      </c>
      <c r="I2373" s="12">
        <f t="shared" si="110"/>
        <v>5.6832397658709934E-2</v>
      </c>
      <c r="J2373" s="12">
        <f>G2373*(D2373*Assumptions!$B$6+E2373*Assumptions!$B$7)</f>
        <v>4.3491590740507577E-3</v>
      </c>
    </row>
    <row r="2374" spans="1:10" x14ac:dyDescent="0.2">
      <c r="A2374" s="2">
        <v>2366</v>
      </c>
      <c r="B2374" s="14">
        <f>A2374*Assumptions!$B$12</f>
        <v>23.66</v>
      </c>
      <c r="C2374" s="15">
        <f>IF(A2374&lt;=Assumptions!$B$13,IF(OR(A2374=0,A2374=Assumptions!$B$13),0.5,1),0)*Assumptions!$B$12</f>
        <v>0</v>
      </c>
      <c r="D2374" s="12">
        <f>D2373*(1-Assumptions!$B$12*(Assumptions!$B$5+Assumptions!$B$6))</f>
        <v>0.4916901726208705</v>
      </c>
      <c r="E2374" s="12">
        <f>E2373+Assumptions!$B$12*(D2373*Assumptions!$B$5-E2373*Assumptions!$B$7)</f>
        <v>0.18542251113258038</v>
      </c>
      <c r="F2374" s="12">
        <f t="shared" si="108"/>
        <v>0.32288731624654921</v>
      </c>
      <c r="G2374" s="12">
        <f>EXP(-Assumptions!$B$8*B2374)</f>
        <v>0.30635828375793367</v>
      </c>
      <c r="H2374" s="12">
        <f t="shared" si="109"/>
        <v>0.15063335742477205</v>
      </c>
      <c r="I2374" s="12">
        <f t="shared" si="110"/>
        <v>5.6805722280663676E-2</v>
      </c>
      <c r="J2374" s="12">
        <f>G2374*(D2374*Assumptions!$B$6+E2374*Assumptions!$B$7)</f>
        <v>4.346619688280904E-3</v>
      </c>
    </row>
    <row r="2375" spans="1:10" x14ac:dyDescent="0.2">
      <c r="A2375" s="2">
        <v>2367</v>
      </c>
      <c r="B2375" s="14">
        <f>A2375*Assumptions!$B$12</f>
        <v>23.67</v>
      </c>
      <c r="C2375" s="15">
        <f>IF(A2375&lt;=Assumptions!$B$13,IF(OR(A2375=0,A2375=Assumptions!$B$13),0.5,1),0)*Assumptions!$B$12</f>
        <v>0</v>
      </c>
      <c r="D2375" s="12">
        <f>D2374*(1-Assumptions!$B$12*(Assumptions!$B$5+Assumptions!$B$6))</f>
        <v>0.49154266556908427</v>
      </c>
      <c r="E2375" s="12">
        <f>E2374+Assumptions!$B$12*(D2374*Assumptions!$B$5-E2374*Assumptions!$B$7)</f>
        <v>0.18542813791153825</v>
      </c>
      <c r="F2375" s="12">
        <f t="shared" si="108"/>
        <v>0.32302919651937756</v>
      </c>
      <c r="G2375" s="12">
        <f>EXP(-Assumptions!$B$8*B2375)</f>
        <v>0.30620514290445844</v>
      </c>
      <c r="H2375" s="12">
        <f t="shared" si="109"/>
        <v>0.15051289215421987</v>
      </c>
      <c r="I2375" s="12">
        <f t="shared" si="110"/>
        <v>5.6779049467710202E-2</v>
      </c>
      <c r="J2375" s="12">
        <f>G2375*(D2375*Assumptions!$B$6+E2375*Assumptions!$B$7)</f>
        <v>4.3440813949277082E-3</v>
      </c>
    </row>
    <row r="2376" spans="1:10" x14ac:dyDescent="0.2">
      <c r="A2376" s="2">
        <v>2368</v>
      </c>
      <c r="B2376" s="14">
        <f>A2376*Assumptions!$B$12</f>
        <v>23.68</v>
      </c>
      <c r="C2376" s="15">
        <f>IF(A2376&lt;=Assumptions!$B$13,IF(OR(A2376=0,A2376=Assumptions!$B$13),0.5,1),0)*Assumptions!$B$12</f>
        <v>0</v>
      </c>
      <c r="D2376" s="12">
        <f>D2375*(1-Assumptions!$B$12*(Assumptions!$B$5+Assumptions!$B$6))</f>
        <v>0.49139520276941356</v>
      </c>
      <c r="E2376" s="12">
        <f>E2375+Assumptions!$B$12*(D2375*Assumptions!$B$5-E2375*Assumptions!$B$7)</f>
        <v>0.1854337323756963</v>
      </c>
      <c r="F2376" s="12">
        <f t="shared" ref="F2376:F2439" si="111">1-D2376-E2376</f>
        <v>0.32317106485489022</v>
      </c>
      <c r="G2376" s="12">
        <f>EXP(-Assumptions!$B$8*B2376)</f>
        <v>0.30605207860227068</v>
      </c>
      <c r="H2376" s="12">
        <f t="shared" ref="H2376:H2439" si="112">G2376*D2376</f>
        <v>0.15039252322276331</v>
      </c>
      <c r="I2376" s="12">
        <f t="shared" ref="I2376:I2439" si="113">G2376*E2376</f>
        <v>5.6752379236559028E-2</v>
      </c>
      <c r="J2376" s="12">
        <f>G2376*(D2376*Assumptions!$B$6+E2376*Assumptions!$B$7)</f>
        <v>4.3415441940555842E-3</v>
      </c>
    </row>
    <row r="2377" spans="1:10" x14ac:dyDescent="0.2">
      <c r="A2377" s="2">
        <v>2369</v>
      </c>
      <c r="B2377" s="14">
        <f>A2377*Assumptions!$B$12</f>
        <v>23.69</v>
      </c>
      <c r="C2377" s="15">
        <f>IF(A2377&lt;=Assumptions!$B$13,IF(OR(A2377=0,A2377=Assumptions!$B$13),0.5,1),0)*Assumptions!$B$12</f>
        <v>0</v>
      </c>
      <c r="D2377" s="12">
        <f>D2376*(1-Assumptions!$B$12*(Assumptions!$B$5+Assumptions!$B$6))</f>
        <v>0.49124778420858278</v>
      </c>
      <c r="E2377" s="12">
        <f>E2376+Assumptions!$B$12*(D2376*Assumptions!$B$5-E2376*Assumptions!$B$7)</f>
        <v>0.18543929455006233</v>
      </c>
      <c r="F2377" s="12">
        <f t="shared" si="111"/>
        <v>0.32331292124135491</v>
      </c>
      <c r="G2377" s="12">
        <f>EXP(-Assumptions!$B$8*B2377)</f>
        <v>0.30589909081310401</v>
      </c>
      <c r="H2377" s="12">
        <f t="shared" si="112"/>
        <v>0.15027225055335738</v>
      </c>
      <c r="I2377" s="12">
        <f t="shared" si="113"/>
        <v>5.6725711603887459E-2</v>
      </c>
      <c r="J2377" s="12">
        <f>G2377*(D2377*Assumptions!$B$6+E2377*Assumptions!$B$7)</f>
        <v>4.3390080857279474E-3</v>
      </c>
    </row>
    <row r="2378" spans="1:10" x14ac:dyDescent="0.2">
      <c r="A2378" s="2">
        <v>2370</v>
      </c>
      <c r="B2378" s="14">
        <f>A2378*Assumptions!$B$12</f>
        <v>23.7</v>
      </c>
      <c r="C2378" s="15">
        <f>IF(A2378&lt;=Assumptions!$B$13,IF(OR(A2378=0,A2378=Assumptions!$B$13),0.5,1),0)*Assumptions!$B$12</f>
        <v>0</v>
      </c>
      <c r="D2378" s="12">
        <f>D2377*(1-Assumptions!$B$12*(Assumptions!$B$5+Assumptions!$B$6))</f>
        <v>0.49110040987332021</v>
      </c>
      <c r="E2378" s="12">
        <f>E2377+Assumptions!$B$12*(D2377*Assumptions!$B$5-E2377*Assumptions!$B$7)</f>
        <v>0.18544482445962901</v>
      </c>
      <c r="F2378" s="12">
        <f t="shared" si="111"/>
        <v>0.32345476566705073</v>
      </c>
      <c r="G2378" s="12">
        <f>EXP(-Assumptions!$B$8*B2378)</f>
        <v>0.30574617949871175</v>
      </c>
      <c r="H2378" s="12">
        <f t="shared" si="112"/>
        <v>0.15015207406901906</v>
      </c>
      <c r="I2378" s="12">
        <f t="shared" si="113"/>
        <v>5.6699046586340819E-2</v>
      </c>
      <c r="J2378" s="12">
        <f>G2378*(D2378*Assumptions!$B$6+E2378*Assumptions!$B$7)</f>
        <v>4.3364730700072322E-3</v>
      </c>
    </row>
    <row r="2379" spans="1:10" x14ac:dyDescent="0.2">
      <c r="A2379" s="2">
        <v>2371</v>
      </c>
      <c r="B2379" s="14">
        <f>A2379*Assumptions!$B$12</f>
        <v>23.71</v>
      </c>
      <c r="C2379" s="15">
        <f>IF(A2379&lt;=Assumptions!$B$13,IF(OR(A2379=0,A2379=Assumptions!$B$13),0.5,1),0)*Assumptions!$B$12</f>
        <v>0</v>
      </c>
      <c r="D2379" s="12">
        <f>D2378*(1-Assumptions!$B$12*(Assumptions!$B$5+Assumptions!$B$6))</f>
        <v>0.49095307975035823</v>
      </c>
      <c r="E2379" s="12">
        <f>E2378+Assumptions!$B$12*(D2378*Assumptions!$B$5-E2378*Assumptions!$B$7)</f>
        <v>0.18545032212937385</v>
      </c>
      <c r="F2379" s="12">
        <f t="shared" si="111"/>
        <v>0.32359659812026786</v>
      </c>
      <c r="G2379" s="12">
        <f>EXP(-Assumptions!$B$8*B2379)</f>
        <v>0.3055933446208659</v>
      </c>
      <c r="H2379" s="12">
        <f t="shared" si="112"/>
        <v>0.15003199369282669</v>
      </c>
      <c r="I2379" s="12">
        <f t="shared" si="113"/>
        <v>5.6672384200532333E-2</v>
      </c>
      <c r="J2379" s="12">
        <f>G2379*(D2379*Assumptions!$B$6+E2379*Assumptions!$B$7)</f>
        <v>4.3339391469548842E-3</v>
      </c>
    </row>
    <row r="2380" spans="1:10" x14ac:dyDescent="0.2">
      <c r="A2380" s="2">
        <v>2372</v>
      </c>
      <c r="B2380" s="14">
        <f>A2380*Assumptions!$B$12</f>
        <v>23.72</v>
      </c>
      <c r="C2380" s="15">
        <f>IF(A2380&lt;=Assumptions!$B$13,IF(OR(A2380=0,A2380=Assumptions!$B$13),0.5,1),0)*Assumptions!$B$12</f>
        <v>0</v>
      </c>
      <c r="D2380" s="12">
        <f>D2379*(1-Assumptions!$B$12*(Assumptions!$B$5+Assumptions!$B$6))</f>
        <v>0.49080579382643313</v>
      </c>
      <c r="E2380" s="12">
        <f>E2379+Assumptions!$B$12*(D2379*Assumptions!$B$5-E2379*Assumptions!$B$7)</f>
        <v>0.18545578758425924</v>
      </c>
      <c r="F2380" s="12">
        <f t="shared" si="111"/>
        <v>0.32373841858930757</v>
      </c>
      <c r="G2380" s="12">
        <f>EXP(-Assumptions!$B$8*B2380)</f>
        <v>0.30544058614135788</v>
      </c>
      <c r="H2380" s="12">
        <f t="shared" si="112"/>
        <v>0.14991200934792018</v>
      </c>
      <c r="I2380" s="12">
        <f t="shared" si="113"/>
        <v>5.66457244630433E-2</v>
      </c>
      <c r="J2380" s="12">
        <f>G2380*(D2380*Assumptions!$B$6+E2380*Assumptions!$B$7)</f>
        <v>4.3314063166313673E-3</v>
      </c>
    </row>
    <row r="2381" spans="1:10" x14ac:dyDescent="0.2">
      <c r="A2381" s="2">
        <v>2373</v>
      </c>
      <c r="B2381" s="14">
        <f>A2381*Assumptions!$B$12</f>
        <v>23.73</v>
      </c>
      <c r="C2381" s="15">
        <f>IF(A2381&lt;=Assumptions!$B$13,IF(OR(A2381=0,A2381=Assumptions!$B$13),0.5,1),0)*Assumptions!$B$12</f>
        <v>0</v>
      </c>
      <c r="D2381" s="12">
        <f>D2380*(1-Assumptions!$B$12*(Assumptions!$B$5+Assumptions!$B$6))</f>
        <v>0.49065855208828524</v>
      </c>
      <c r="E2381" s="12">
        <f>E2380+Assumptions!$B$12*(D2380*Assumptions!$B$5-E2380*Assumptions!$B$7)</f>
        <v>0.18546122084923239</v>
      </c>
      <c r="F2381" s="12">
        <f t="shared" si="111"/>
        <v>0.32388022706248237</v>
      </c>
      <c r="G2381" s="12">
        <f>EXP(-Assumptions!$B$8*B2381)</f>
        <v>0.30528790402199785</v>
      </c>
      <c r="H2381" s="12">
        <f t="shared" si="112"/>
        <v>0.14979212095750086</v>
      </c>
      <c r="I2381" s="12">
        <f t="shared" si="113"/>
        <v>5.6619067390423002E-2</v>
      </c>
      <c r="J2381" s="12">
        <f>G2381*(D2381*Assumptions!$B$6+E2381*Assumptions!$B$7)</f>
        <v>4.328874579096159E-3</v>
      </c>
    </row>
    <row r="2382" spans="1:10" x14ac:dyDescent="0.2">
      <c r="A2382" s="2">
        <v>2374</v>
      </c>
      <c r="B2382" s="14">
        <f>A2382*Assumptions!$B$12</f>
        <v>23.740000000000002</v>
      </c>
      <c r="C2382" s="15">
        <f>IF(A2382&lt;=Assumptions!$B$13,IF(OR(A2382=0,A2382=Assumptions!$B$13),0.5,1),0)*Assumptions!$B$12</f>
        <v>0</v>
      </c>
      <c r="D2382" s="12">
        <f>D2381*(1-Assumptions!$B$12*(Assumptions!$B$5+Assumptions!$B$6))</f>
        <v>0.49051135452265876</v>
      </c>
      <c r="E2382" s="12">
        <f>E2381+Assumptions!$B$12*(D2381*Assumptions!$B$5-E2381*Assumptions!$B$7)</f>
        <v>0.18546662194922542</v>
      </c>
      <c r="F2382" s="12">
        <f t="shared" si="111"/>
        <v>0.32402202352811588</v>
      </c>
      <c r="G2382" s="12">
        <f>EXP(-Assumptions!$B$8*B2382)</f>
        <v>0.30513529822461549</v>
      </c>
      <c r="H2382" s="12">
        <f t="shared" si="112"/>
        <v>0.14967232844483158</v>
      </c>
      <c r="I2382" s="12">
        <f t="shared" si="113"/>
        <v>5.6592412999188914E-2</v>
      </c>
      <c r="J2382" s="12">
        <f>G2382*(D2382*Assumptions!$B$6+E2382*Assumptions!$B$7)</f>
        <v>4.326343934407762E-3</v>
      </c>
    </row>
    <row r="2383" spans="1:10" x14ac:dyDescent="0.2">
      <c r="A2383" s="2">
        <v>2375</v>
      </c>
      <c r="B2383" s="14">
        <f>A2383*Assumptions!$B$12</f>
        <v>23.75</v>
      </c>
      <c r="C2383" s="15">
        <f>IF(A2383&lt;=Assumptions!$B$13,IF(OR(A2383=0,A2383=Assumptions!$B$13),0.5,1),0)*Assumptions!$B$12</f>
        <v>0</v>
      </c>
      <c r="D2383" s="12">
        <f>D2382*(1-Assumptions!$B$12*(Assumptions!$B$5+Assumptions!$B$6))</f>
        <v>0.49036420111630197</v>
      </c>
      <c r="E2383" s="12">
        <f>E2382+Assumptions!$B$12*(D2382*Assumptions!$B$5-E2382*Assumptions!$B$7)</f>
        <v>0.18547199090915534</v>
      </c>
      <c r="F2383" s="12">
        <f t="shared" si="111"/>
        <v>0.32416380797454269</v>
      </c>
      <c r="G2383" s="12">
        <f>EXP(-Assumptions!$B$8*B2383)</f>
        <v>0.30498276871105928</v>
      </c>
      <c r="H2383" s="12">
        <f t="shared" si="112"/>
        <v>0.14955263173323649</v>
      </c>
      <c r="I2383" s="12">
        <f t="shared" si="113"/>
        <v>5.6565761305826613E-2</v>
      </c>
      <c r="J2383" s="12">
        <f>G2383*(D2383*Assumptions!$B$6+E2383*Assumptions!$B$7)</f>
        <v>4.3238143826236962E-3</v>
      </c>
    </row>
    <row r="2384" spans="1:10" x14ac:dyDescent="0.2">
      <c r="A2384" s="2">
        <v>2376</v>
      </c>
      <c r="B2384" s="14">
        <f>A2384*Assumptions!$B$12</f>
        <v>23.76</v>
      </c>
      <c r="C2384" s="15">
        <f>IF(A2384&lt;=Assumptions!$B$13,IF(OR(A2384=0,A2384=Assumptions!$B$13),0.5,1),0)*Assumptions!$B$12</f>
        <v>0</v>
      </c>
      <c r="D2384" s="12">
        <f>D2383*(1-Assumptions!$B$12*(Assumptions!$B$5+Assumptions!$B$6))</f>
        <v>0.49021709185596707</v>
      </c>
      <c r="E2384" s="12">
        <f>E2383+Assumptions!$B$12*(D2383*Assumptions!$B$5-E2383*Assumptions!$B$7)</f>
        <v>0.18547732775392403</v>
      </c>
      <c r="F2384" s="12">
        <f t="shared" si="111"/>
        <v>0.32430558039010893</v>
      </c>
      <c r="G2384" s="12">
        <f>EXP(-Assumptions!$B$8*B2384)</f>
        <v>0.30483031544319678</v>
      </c>
      <c r="H2384" s="12">
        <f t="shared" si="112"/>
        <v>0.14943303074610101</v>
      </c>
      <c r="I2384" s="12">
        <f t="shared" si="113"/>
        <v>5.6539112326789862E-2</v>
      </c>
      <c r="J2384" s="12">
        <f>G2384*(D2384*Assumptions!$B$6+E2384*Assumptions!$B$7)</f>
        <v>4.3212859238005033E-3</v>
      </c>
    </row>
    <row r="2385" spans="1:10" x14ac:dyDescent="0.2">
      <c r="A2385" s="2">
        <v>2377</v>
      </c>
      <c r="B2385" s="14">
        <f>A2385*Assumptions!$B$12</f>
        <v>23.77</v>
      </c>
      <c r="C2385" s="15">
        <f>IF(A2385&lt;=Assumptions!$B$13,IF(OR(A2385=0,A2385=Assumptions!$B$13),0.5,1),0)*Assumptions!$B$12</f>
        <v>0</v>
      </c>
      <c r="D2385" s="12">
        <f>D2384*(1-Assumptions!$B$12*(Assumptions!$B$5+Assumptions!$B$6))</f>
        <v>0.49007002672841027</v>
      </c>
      <c r="E2385" s="12">
        <f>E2384+Assumptions!$B$12*(D2384*Assumptions!$B$5-E2384*Assumptions!$B$7)</f>
        <v>0.18548263250841826</v>
      </c>
      <c r="F2385" s="12">
        <f t="shared" si="111"/>
        <v>0.3244473407631715</v>
      </c>
      <c r="G2385" s="12">
        <f>EXP(-Assumptions!$B$8*B2385)</f>
        <v>0.30467793838291479</v>
      </c>
      <c r="H2385" s="12">
        <f t="shared" si="112"/>
        <v>0.14931352540687198</v>
      </c>
      <c r="I2385" s="12">
        <f t="shared" si="113"/>
        <v>5.6512466078500689E-2</v>
      </c>
      <c r="J2385" s="12">
        <f>G2385*(D2385*Assumptions!$B$6+E2385*Assumptions!$B$7)</f>
        <v>4.3187585579937543E-3</v>
      </c>
    </row>
    <row r="2386" spans="1:10" x14ac:dyDescent="0.2">
      <c r="A2386" s="2">
        <v>2378</v>
      </c>
      <c r="B2386" s="14">
        <f>A2386*Assumptions!$B$12</f>
        <v>23.78</v>
      </c>
      <c r="C2386" s="15">
        <f>IF(A2386&lt;=Assumptions!$B$13,IF(OR(A2386=0,A2386=Assumptions!$B$13),0.5,1),0)*Assumptions!$B$12</f>
        <v>0</v>
      </c>
      <c r="D2386" s="12">
        <f>D2385*(1-Assumptions!$B$12*(Assumptions!$B$5+Assumptions!$B$6))</f>
        <v>0.48992300572039177</v>
      </c>
      <c r="E2386" s="12">
        <f>E2385+Assumptions!$B$12*(D2385*Assumptions!$B$5-E2385*Assumptions!$B$7)</f>
        <v>0.18548790519750974</v>
      </c>
      <c r="F2386" s="12">
        <f t="shared" si="111"/>
        <v>0.32458908908209844</v>
      </c>
      <c r="G2386" s="12">
        <f>EXP(-Assumptions!$B$8*B2386)</f>
        <v>0.30452563749211897</v>
      </c>
      <c r="H2386" s="12">
        <f t="shared" si="112"/>
        <v>0.14919411563905735</v>
      </c>
      <c r="I2386" s="12">
        <f t="shared" si="113"/>
        <v>5.6485822577349382E-2</v>
      </c>
      <c r="J2386" s="12">
        <f>G2386*(D2386*Assumptions!$B$6+E2386*Assumptions!$B$7)</f>
        <v>4.3162322852580426E-3</v>
      </c>
    </row>
    <row r="2387" spans="1:10" x14ac:dyDescent="0.2">
      <c r="A2387" s="2">
        <v>2379</v>
      </c>
      <c r="B2387" s="14">
        <f>A2387*Assumptions!$B$12</f>
        <v>23.79</v>
      </c>
      <c r="C2387" s="15">
        <f>IF(A2387&lt;=Assumptions!$B$13,IF(OR(A2387=0,A2387=Assumptions!$B$13),0.5,1),0)*Assumptions!$B$12</f>
        <v>0</v>
      </c>
      <c r="D2387" s="12">
        <f>D2386*(1-Assumptions!$B$12*(Assumptions!$B$5+Assumptions!$B$6))</f>
        <v>0.48977602881867566</v>
      </c>
      <c r="E2387" s="12">
        <f>E2386+Assumptions!$B$12*(D2386*Assumptions!$B$5-E2386*Assumptions!$B$7)</f>
        <v>0.18549314584605506</v>
      </c>
      <c r="F2387" s="12">
        <f t="shared" si="111"/>
        <v>0.32473082533526931</v>
      </c>
      <c r="G2387" s="12">
        <f>EXP(-Assumptions!$B$8*B2387)</f>
        <v>0.30437341273273416</v>
      </c>
      <c r="H2387" s="12">
        <f t="shared" si="112"/>
        <v>0.14907480136622628</v>
      </c>
      <c r="I2387" s="12">
        <f t="shared" si="113"/>
        <v>5.6459181839694568E-2</v>
      </c>
      <c r="J2387" s="12">
        <f>G2387*(D2387*Assumptions!$B$6+E2387*Assumptions!$B$7)</f>
        <v>4.3137071056469911E-3</v>
      </c>
    </row>
    <row r="2388" spans="1:10" x14ac:dyDescent="0.2">
      <c r="A2388" s="2">
        <v>2380</v>
      </c>
      <c r="B2388" s="14">
        <f>A2388*Assumptions!$B$12</f>
        <v>23.8</v>
      </c>
      <c r="C2388" s="15">
        <f>IF(A2388&lt;=Assumptions!$B$13,IF(OR(A2388=0,A2388=Assumptions!$B$13),0.5,1),0)*Assumptions!$B$12</f>
        <v>0</v>
      </c>
      <c r="D2388" s="12">
        <f>D2387*(1-Assumptions!$B$12*(Assumptions!$B$5+Assumptions!$B$6))</f>
        <v>0.48962909601003007</v>
      </c>
      <c r="E2388" s="12">
        <f>E2387+Assumptions!$B$12*(D2387*Assumptions!$B$5-E2387*Assumptions!$B$7)</f>
        <v>0.18549835447889576</v>
      </c>
      <c r="F2388" s="12">
        <f t="shared" si="111"/>
        <v>0.32487254951107425</v>
      </c>
      <c r="G2388" s="12">
        <f>EXP(-Assumptions!$B$8*B2388)</f>
        <v>0.30422126406670402</v>
      </c>
      <c r="H2388" s="12">
        <f t="shared" si="112"/>
        <v>0.14895558251200894</v>
      </c>
      <c r="I2388" s="12">
        <f t="shared" si="113"/>
        <v>5.6432543881863216E-2</v>
      </c>
      <c r="J2388" s="12">
        <f>G2388*(D2388*Assumptions!$B$6+E2388*Assumptions!$B$7)</f>
        <v>4.3111830192132505E-3</v>
      </c>
    </row>
    <row r="2389" spans="1:10" x14ac:dyDescent="0.2">
      <c r="A2389" s="2">
        <v>2381</v>
      </c>
      <c r="B2389" s="14">
        <f>A2389*Assumptions!$B$12</f>
        <v>23.81</v>
      </c>
      <c r="C2389" s="15">
        <f>IF(A2389&lt;=Assumptions!$B$13,IF(OR(A2389=0,A2389=Assumptions!$B$13),0.5,1),0)*Assumptions!$B$12</f>
        <v>0</v>
      </c>
      <c r="D2389" s="12">
        <f>D2388*(1-Assumptions!$B$12*(Assumptions!$B$5+Assumptions!$B$6))</f>
        <v>0.4894822072812271</v>
      </c>
      <c r="E2389" s="12">
        <f>E2388+Assumptions!$B$12*(D2388*Assumptions!$B$5-E2388*Assumptions!$B$7)</f>
        <v>0.18550353112085832</v>
      </c>
      <c r="F2389" s="12">
        <f t="shared" si="111"/>
        <v>0.32501426159791463</v>
      </c>
      <c r="G2389" s="12">
        <f>EXP(-Assumptions!$B$8*B2389)</f>
        <v>0.30406919145599159</v>
      </c>
      <c r="H2389" s="12">
        <f t="shared" si="112"/>
        <v>0.14883645900009682</v>
      </c>
      <c r="I2389" s="12">
        <f t="shared" si="113"/>
        <v>5.6405908720150763E-2</v>
      </c>
      <c r="J2389" s="12">
        <f>G2389*(D2389*Assumptions!$B$6+E2389*Assumptions!$B$7)</f>
        <v>4.3086600260085059E-3</v>
      </c>
    </row>
    <row r="2390" spans="1:10" x14ac:dyDescent="0.2">
      <c r="A2390" s="2">
        <v>2382</v>
      </c>
      <c r="B2390" s="14">
        <f>A2390*Assumptions!$B$12</f>
        <v>23.82</v>
      </c>
      <c r="C2390" s="15">
        <f>IF(A2390&lt;=Assumptions!$B$13,IF(OR(A2390=0,A2390=Assumptions!$B$13),0.5,1),0)*Assumptions!$B$12</f>
        <v>0</v>
      </c>
      <c r="D2390" s="12">
        <f>D2389*(1-Assumptions!$B$12*(Assumptions!$B$5+Assumptions!$B$6))</f>
        <v>0.48933536261904276</v>
      </c>
      <c r="E2390" s="12">
        <f>E2389+Assumptions!$B$12*(D2389*Assumptions!$B$5-E2389*Assumptions!$B$7)</f>
        <v>0.18550867579675415</v>
      </c>
      <c r="F2390" s="12">
        <f t="shared" si="111"/>
        <v>0.32515596158420312</v>
      </c>
      <c r="G2390" s="12">
        <f>EXP(-Assumptions!$B$8*B2390)</f>
        <v>0.30391719486257851</v>
      </c>
      <c r="H2390" s="12">
        <f t="shared" si="112"/>
        <v>0.14871743075424212</v>
      </c>
      <c r="I2390" s="12">
        <f t="shared" si="113"/>
        <v>5.6379276370821033E-2</v>
      </c>
      <c r="J2390" s="12">
        <f>G2390*(D2390*Assumptions!$B$6+E2390*Assumptions!$B$7)</f>
        <v>4.3061381260834728E-3</v>
      </c>
    </row>
    <row r="2391" spans="1:10" x14ac:dyDescent="0.2">
      <c r="A2391" s="2">
        <v>2383</v>
      </c>
      <c r="B2391" s="14">
        <f>A2391*Assumptions!$B$12</f>
        <v>23.830000000000002</v>
      </c>
      <c r="C2391" s="15">
        <f>IF(A2391&lt;=Assumptions!$B$13,IF(OR(A2391=0,A2391=Assumptions!$B$13),0.5,1),0)*Assumptions!$B$12</f>
        <v>0</v>
      </c>
      <c r="D2391" s="12">
        <f>D2390*(1-Assumptions!$B$12*(Assumptions!$B$5+Assumptions!$B$6))</f>
        <v>0.48918856201025707</v>
      </c>
      <c r="E2391" s="12">
        <f>E2390+Assumptions!$B$12*(D2390*Assumptions!$B$5-E2390*Assumptions!$B$7)</f>
        <v>0.18551378853137956</v>
      </c>
      <c r="F2391" s="12">
        <f t="shared" si="111"/>
        <v>0.32529764945836337</v>
      </c>
      <c r="G2391" s="12">
        <f>EXP(-Assumptions!$B$8*B2391)</f>
        <v>0.30376527424846567</v>
      </c>
      <c r="H2391" s="12">
        <f t="shared" si="112"/>
        <v>0.14859849769825828</v>
      </c>
      <c r="I2391" s="12">
        <f t="shared" si="113"/>
        <v>5.635264685010638E-2</v>
      </c>
      <c r="J2391" s="12">
        <f>G2391*(D2391*Assumptions!$B$6+E2391*Assumptions!$B$7)</f>
        <v>4.3036173194879023E-3</v>
      </c>
    </row>
    <row r="2392" spans="1:10" x14ac:dyDescent="0.2">
      <c r="A2392" s="2">
        <v>2384</v>
      </c>
      <c r="B2392" s="14">
        <f>A2392*Assumptions!$B$12</f>
        <v>23.84</v>
      </c>
      <c r="C2392" s="15">
        <f>IF(A2392&lt;=Assumptions!$B$13,IF(OR(A2392=0,A2392=Assumptions!$B$13),0.5,1),0)*Assumptions!$B$12</f>
        <v>0</v>
      </c>
      <c r="D2392" s="12">
        <f>D2391*(1-Assumptions!$B$12*(Assumptions!$B$5+Assumptions!$B$6))</f>
        <v>0.48904180544165399</v>
      </c>
      <c r="E2392" s="12">
        <f>E2391+Assumptions!$B$12*(D2391*Assumptions!$B$5-E2391*Assumptions!$B$7)</f>
        <v>0.18551886934951592</v>
      </c>
      <c r="F2392" s="12">
        <f t="shared" si="111"/>
        <v>0.32543932520883012</v>
      </c>
      <c r="G2392" s="12">
        <f>EXP(-Assumptions!$B$8*B2392)</f>
        <v>0.30361342957567317</v>
      </c>
      <c r="H2392" s="12">
        <f t="shared" si="112"/>
        <v>0.14847965975601968</v>
      </c>
      <c r="I2392" s="12">
        <f t="shared" si="113"/>
        <v>5.6326020174207764E-2</v>
      </c>
      <c r="J2392" s="12">
        <f>G2392*(D2392*Assumptions!$B$6+E2392*Assumptions!$B$7)</f>
        <v>4.3010976062705852E-3</v>
      </c>
    </row>
    <row r="2393" spans="1:10" x14ac:dyDescent="0.2">
      <c r="A2393" s="2">
        <v>2385</v>
      </c>
      <c r="B2393" s="14">
        <f>A2393*Assumptions!$B$12</f>
        <v>23.85</v>
      </c>
      <c r="C2393" s="15">
        <f>IF(A2393&lt;=Assumptions!$B$13,IF(OR(A2393=0,A2393=Assumptions!$B$13),0.5,1),0)*Assumptions!$B$12</f>
        <v>0</v>
      </c>
      <c r="D2393" s="12">
        <f>D2392*(1-Assumptions!$B$12*(Assumptions!$B$5+Assumptions!$B$6))</f>
        <v>0.48889509290002153</v>
      </c>
      <c r="E2393" s="12">
        <f>E2392+Assumptions!$B$12*(D2392*Assumptions!$B$5-E2392*Assumptions!$B$7)</f>
        <v>0.18552391827592948</v>
      </c>
      <c r="F2393" s="12">
        <f t="shared" si="111"/>
        <v>0.32558098882404896</v>
      </c>
      <c r="G2393" s="12">
        <f>EXP(-Assumptions!$B$8*B2393)</f>
        <v>0.30346166080623949</v>
      </c>
      <c r="H2393" s="12">
        <f t="shared" si="112"/>
        <v>0.14836091685146127</v>
      </c>
      <c r="I2393" s="12">
        <f t="shared" si="113"/>
        <v>5.629939635929461E-2</v>
      </c>
      <c r="J2393" s="12">
        <f>G2393*(D2393*Assumptions!$B$6+E2393*Assumptions!$B$7)</f>
        <v>4.2985789864793435E-3</v>
      </c>
    </row>
    <row r="2394" spans="1:10" x14ac:dyDescent="0.2">
      <c r="A2394" s="2">
        <v>2386</v>
      </c>
      <c r="B2394" s="14">
        <f>A2394*Assumptions!$B$12</f>
        <v>23.86</v>
      </c>
      <c r="C2394" s="15">
        <f>IF(A2394&lt;=Assumptions!$B$13,IF(OR(A2394=0,A2394=Assumptions!$B$13),0.5,1),0)*Assumptions!$B$12</f>
        <v>0</v>
      </c>
      <c r="D2394" s="12">
        <f>D2393*(1-Assumptions!$B$12*(Assumptions!$B$5+Assumptions!$B$6))</f>
        <v>0.48874842437215155</v>
      </c>
      <c r="E2394" s="12">
        <f>E2393+Assumptions!$B$12*(D2393*Assumptions!$B$5-E2393*Assumptions!$B$7)</f>
        <v>0.18552893533537151</v>
      </c>
      <c r="F2394" s="12">
        <f t="shared" si="111"/>
        <v>0.32572264029247688</v>
      </c>
      <c r="G2394" s="12">
        <f>EXP(-Assumptions!$B$8*B2394)</f>
        <v>0.30330996790222264</v>
      </c>
      <c r="H2394" s="12">
        <f t="shared" si="112"/>
        <v>0.14824226890857917</v>
      </c>
      <c r="I2394" s="12">
        <f t="shared" si="113"/>
        <v>5.6272775421505071E-2</v>
      </c>
      <c r="J2394" s="12">
        <f>G2394*(D2394*Assumptions!$B$6+E2394*Assumptions!$B$7)</f>
        <v>4.2960614601610459E-3</v>
      </c>
    </row>
    <row r="2395" spans="1:10" x14ac:dyDescent="0.2">
      <c r="A2395" s="2">
        <v>2387</v>
      </c>
      <c r="B2395" s="14">
        <f>A2395*Assumptions!$B$12</f>
        <v>23.87</v>
      </c>
      <c r="C2395" s="15">
        <f>IF(A2395&lt;=Assumptions!$B$13,IF(OR(A2395=0,A2395=Assumptions!$B$13),0.5,1),0)*Assumptions!$B$12</f>
        <v>0</v>
      </c>
      <c r="D2395" s="12">
        <f>D2394*(1-Assumptions!$B$12*(Assumptions!$B$5+Assumptions!$B$6))</f>
        <v>0.48860179984483992</v>
      </c>
      <c r="E2395" s="12">
        <f>E2394+Assumptions!$B$12*(D2394*Assumptions!$B$5-E2394*Assumptions!$B$7)</f>
        <v>0.18553392055257825</v>
      </c>
      <c r="F2395" s="12">
        <f t="shared" si="111"/>
        <v>0.3258642796025818</v>
      </c>
      <c r="G2395" s="12">
        <f>EXP(-Assumptions!$B$8*B2395)</f>
        <v>0.30315835082569936</v>
      </c>
      <c r="H2395" s="12">
        <f t="shared" si="112"/>
        <v>0.14812371585143011</v>
      </c>
      <c r="I2395" s="12">
        <f t="shared" si="113"/>
        <v>5.6246157376945952E-2</v>
      </c>
      <c r="J2395" s="12">
        <f>G2395*(D2395*Assumptions!$B$6+E2395*Assumptions!$B$7)</f>
        <v>4.2935450273615984E-3</v>
      </c>
    </row>
    <row r="2396" spans="1:10" x14ac:dyDescent="0.2">
      <c r="A2396" s="2">
        <v>2388</v>
      </c>
      <c r="B2396" s="14">
        <f>A2396*Assumptions!$B$12</f>
        <v>23.88</v>
      </c>
      <c r="C2396" s="15">
        <f>IF(A2396&lt;=Assumptions!$B$13,IF(OR(A2396=0,A2396=Assumptions!$B$13),0.5,1),0)*Assumptions!$B$12</f>
        <v>0</v>
      </c>
      <c r="D2396" s="12">
        <f>D2395*(1-Assumptions!$B$12*(Assumptions!$B$5+Assumptions!$B$6))</f>
        <v>0.4884552193048865</v>
      </c>
      <c r="E2396" s="12">
        <f>E2395+Assumptions!$B$12*(D2395*Assumptions!$B$5-E2395*Assumptions!$B$7)</f>
        <v>0.18553887395227092</v>
      </c>
      <c r="F2396" s="12">
        <f t="shared" si="111"/>
        <v>0.32600590674284252</v>
      </c>
      <c r="G2396" s="12">
        <f>EXP(-Assumptions!$B$8*B2396)</f>
        <v>0.30300680953876541</v>
      </c>
      <c r="H2396" s="12">
        <f t="shared" si="112"/>
        <v>0.14800525760413163</v>
      </c>
      <c r="I2396" s="12">
        <f t="shared" si="113"/>
        <v>5.621954224169276E-2</v>
      </c>
      <c r="J2396" s="12">
        <f>G2396*(D2396*Assumptions!$B$6+E2396*Assumptions!$B$7)</f>
        <v>4.2910296881259547E-3</v>
      </c>
    </row>
    <row r="2397" spans="1:10" x14ac:dyDescent="0.2">
      <c r="A2397" s="2">
        <v>2389</v>
      </c>
      <c r="B2397" s="14">
        <f>A2397*Assumptions!$B$12</f>
        <v>23.89</v>
      </c>
      <c r="C2397" s="15">
        <f>IF(A2397&lt;=Assumptions!$B$13,IF(OR(A2397=0,A2397=Assumptions!$B$13),0.5,1),0)*Assumptions!$B$12</f>
        <v>0</v>
      </c>
      <c r="D2397" s="12">
        <f>D2396*(1-Assumptions!$B$12*(Assumptions!$B$5+Assumptions!$B$6))</f>
        <v>0.48830868273909506</v>
      </c>
      <c r="E2397" s="12">
        <f>E2396+Assumptions!$B$12*(D2396*Assumptions!$B$5-E2396*Assumptions!$B$7)</f>
        <v>0.18554379555915576</v>
      </c>
      <c r="F2397" s="12">
        <f t="shared" si="111"/>
        <v>0.32614752170174921</v>
      </c>
      <c r="G2397" s="12">
        <f>EXP(-Assumptions!$B$8*B2397)</f>
        <v>0.30285534400353531</v>
      </c>
      <c r="H2397" s="12">
        <f t="shared" si="112"/>
        <v>0.14788689409086181</v>
      </c>
      <c r="I2397" s="12">
        <f t="shared" si="113"/>
        <v>5.6192930031789746E-2</v>
      </c>
      <c r="J2397" s="12">
        <f>G2397*(D2397*Assumptions!$B$6+E2397*Assumptions!$B$7)</f>
        <v>4.2885154424981056E-3</v>
      </c>
    </row>
    <row r="2398" spans="1:10" x14ac:dyDescent="0.2">
      <c r="A2398" s="2">
        <v>2390</v>
      </c>
      <c r="B2398" s="14">
        <f>A2398*Assumptions!$B$12</f>
        <v>23.900000000000002</v>
      </c>
      <c r="C2398" s="15">
        <f>IF(A2398&lt;=Assumptions!$B$13,IF(OR(A2398=0,A2398=Assumptions!$B$13),0.5,1),0)*Assumptions!$B$12</f>
        <v>0</v>
      </c>
      <c r="D2398" s="12">
        <f>D2397*(1-Assumptions!$B$12*(Assumptions!$B$5+Assumptions!$B$6))</f>
        <v>0.48816219013427337</v>
      </c>
      <c r="E2398" s="12">
        <f>E2397+Assumptions!$B$12*(D2397*Assumptions!$B$5-E2397*Assumptions!$B$7)</f>
        <v>0.18554868539792399</v>
      </c>
      <c r="F2398" s="12">
        <f t="shared" si="111"/>
        <v>0.32628912446780256</v>
      </c>
      <c r="G2398" s="12">
        <f>EXP(-Assumptions!$B$8*B2398)</f>
        <v>0.30270395418214285</v>
      </c>
      <c r="H2398" s="12">
        <f t="shared" si="112"/>
        <v>0.1477686252358596</v>
      </c>
      <c r="I2398" s="12">
        <f t="shared" si="113"/>
        <v>5.6166320763250024E-2</v>
      </c>
      <c r="J2398" s="12">
        <f>G2398*(D2398*Assumptions!$B$6+E2398*Assumptions!$B$7)</f>
        <v>4.2860022905210973E-3</v>
      </c>
    </row>
    <row r="2399" spans="1:10" x14ac:dyDescent="0.2">
      <c r="A2399" s="2">
        <v>2391</v>
      </c>
      <c r="B2399" s="14">
        <f>A2399*Assumptions!$B$12</f>
        <v>23.91</v>
      </c>
      <c r="C2399" s="15">
        <f>IF(A2399&lt;=Assumptions!$B$13,IF(OR(A2399=0,A2399=Assumptions!$B$13),0.5,1),0)*Assumptions!$B$12</f>
        <v>0</v>
      </c>
      <c r="D2399" s="12">
        <f>D2398*(1-Assumptions!$B$12*(Assumptions!$B$5+Assumptions!$B$6))</f>
        <v>0.48801574147723309</v>
      </c>
      <c r="E2399" s="12">
        <f>E2398+Assumptions!$B$12*(D2398*Assumptions!$B$5-E2398*Assumptions!$B$7)</f>
        <v>0.18555354349325187</v>
      </c>
      <c r="F2399" s="12">
        <f t="shared" si="111"/>
        <v>0.32643071502951509</v>
      </c>
      <c r="G2399" s="12">
        <f>EXP(-Assumptions!$B$8*B2399)</f>
        <v>0.30255264003674054</v>
      </c>
      <c r="H2399" s="12">
        <f t="shared" si="112"/>
        <v>0.14765045096342433</v>
      </c>
      <c r="I2399" s="12">
        <f t="shared" si="113"/>
        <v>5.6139714452055511E-2</v>
      </c>
      <c r="J2399" s="12">
        <f>G2399*(D2399*Assumptions!$B$6+E2399*Assumptions!$B$7)</f>
        <v>4.2834902322370187E-3</v>
      </c>
    </row>
    <row r="2400" spans="1:10" x14ac:dyDescent="0.2">
      <c r="A2400" s="2">
        <v>2392</v>
      </c>
      <c r="B2400" s="14">
        <f>A2400*Assumptions!$B$12</f>
        <v>23.92</v>
      </c>
      <c r="C2400" s="15">
        <f>IF(A2400&lt;=Assumptions!$B$13,IF(OR(A2400=0,A2400=Assumptions!$B$13),0.5,1),0)*Assumptions!$B$12</f>
        <v>0</v>
      </c>
      <c r="D2400" s="12">
        <f>D2399*(1-Assumptions!$B$12*(Assumptions!$B$5+Assumptions!$B$6))</f>
        <v>0.48786933675478994</v>
      </c>
      <c r="E2400" s="12">
        <f>E2399+Assumptions!$B$12*(D2399*Assumptions!$B$5-E2399*Assumptions!$B$7)</f>
        <v>0.1855583698698007</v>
      </c>
      <c r="F2400" s="12">
        <f t="shared" si="111"/>
        <v>0.32657229337540938</v>
      </c>
      <c r="G2400" s="12">
        <f>EXP(-Assumptions!$B$8*B2400)</f>
        <v>0.30240140152949974</v>
      </c>
      <c r="H2400" s="12">
        <f t="shared" si="112"/>
        <v>0.14753237119791596</v>
      </c>
      <c r="I2400" s="12">
        <f t="shared" si="113"/>
        <v>5.6113111114157031E-2</v>
      </c>
      <c r="J2400" s="12">
        <f>G2400*(D2400*Assumptions!$B$6+E2400*Assumptions!$B$7)</f>
        <v>4.2809792676870113E-3</v>
      </c>
    </row>
    <row r="2401" spans="1:10" x14ac:dyDescent="0.2">
      <c r="A2401" s="2">
        <v>2393</v>
      </c>
      <c r="B2401" s="14">
        <f>A2401*Assumptions!$B$12</f>
        <v>23.93</v>
      </c>
      <c r="C2401" s="15">
        <f>IF(A2401&lt;=Assumptions!$B$13,IF(OR(A2401=0,A2401=Assumptions!$B$13),0.5,1),0)*Assumptions!$B$12</f>
        <v>0</v>
      </c>
      <c r="D2401" s="12">
        <f>D2400*(1-Assumptions!$B$12*(Assumptions!$B$5+Assumptions!$B$6))</f>
        <v>0.48772297595376352</v>
      </c>
      <c r="E2401" s="12">
        <f>E2400+Assumptions!$B$12*(D2400*Assumptions!$B$5-E2400*Assumptions!$B$7)</f>
        <v>0.18556316455221677</v>
      </c>
      <c r="F2401" s="12">
        <f t="shared" si="111"/>
        <v>0.32671385949401965</v>
      </c>
      <c r="G2401" s="12">
        <f>EXP(-Assumptions!$B$8*B2401)</f>
        <v>0.30225023862261091</v>
      </c>
      <c r="H2401" s="12">
        <f t="shared" si="112"/>
        <v>0.14741438586375494</v>
      </c>
      <c r="I2401" s="12">
        <f t="shared" si="113"/>
        <v>5.6086510765474336E-2</v>
      </c>
      <c r="J2401" s="12">
        <f>G2401*(D2401*Assumptions!$B$6+E2401*Assumptions!$B$7)</f>
        <v>4.2784693969112669E-3</v>
      </c>
    </row>
    <row r="2402" spans="1:10" x14ac:dyDescent="0.2">
      <c r="A2402" s="2">
        <v>2394</v>
      </c>
      <c r="B2402" s="14">
        <f>A2402*Assumptions!$B$12</f>
        <v>23.94</v>
      </c>
      <c r="C2402" s="15">
        <f>IF(A2402&lt;=Assumptions!$B$13,IF(OR(A2402=0,A2402=Assumptions!$B$13),0.5,1),0)*Assumptions!$B$12</f>
        <v>0</v>
      </c>
      <c r="D2402" s="12">
        <f>D2401*(1-Assumptions!$B$12*(Assumptions!$B$5+Assumptions!$B$6))</f>
        <v>0.48757665906097741</v>
      </c>
      <c r="E2402" s="12">
        <f>E2401+Assumptions!$B$12*(D2401*Assumptions!$B$5-E2401*Assumptions!$B$7)</f>
        <v>0.18556792756513141</v>
      </c>
      <c r="F2402" s="12">
        <f t="shared" si="111"/>
        <v>0.32685541337389123</v>
      </c>
      <c r="G2402" s="12">
        <f>EXP(-Assumptions!$B$8*B2402)</f>
        <v>0.30209915127828341</v>
      </c>
      <c r="H2402" s="12">
        <f t="shared" si="112"/>
        <v>0.14729649488542224</v>
      </c>
      <c r="I2402" s="12">
        <f t="shared" si="113"/>
        <v>5.6059913421896174E-2</v>
      </c>
      <c r="J2402" s="12">
        <f>G2402*(D2402*Assumptions!$B$6+E2402*Assumptions!$B$7)</f>
        <v>4.275960619949031E-3</v>
      </c>
    </row>
    <row r="2403" spans="1:10" x14ac:dyDescent="0.2">
      <c r="A2403" s="2">
        <v>2395</v>
      </c>
      <c r="B2403" s="14">
        <f>A2403*Assumptions!$B$12</f>
        <v>23.95</v>
      </c>
      <c r="C2403" s="15">
        <f>IF(A2403&lt;=Assumptions!$B$13,IF(OR(A2403=0,A2403=Assumptions!$B$13),0.5,1),0)*Assumptions!$B$12</f>
        <v>0</v>
      </c>
      <c r="D2403" s="12">
        <f>D2402*(1-Assumptions!$B$12*(Assumptions!$B$5+Assumptions!$B$6))</f>
        <v>0.48743038606325911</v>
      </c>
      <c r="E2403" s="12">
        <f>E2402+Assumptions!$B$12*(D2402*Assumptions!$B$5-E2402*Assumptions!$B$7)</f>
        <v>0.18557265893316105</v>
      </c>
      <c r="F2403" s="12">
        <f t="shared" si="111"/>
        <v>0.32699695500357978</v>
      </c>
      <c r="G2403" s="12">
        <f>EXP(-Assumptions!$B$8*B2403)</f>
        <v>0.30194813945874521</v>
      </c>
      <c r="H2403" s="12">
        <f t="shared" si="112"/>
        <v>0.14717869818745899</v>
      </c>
      <c r="I2403" s="12">
        <f t="shared" si="113"/>
        <v>5.6033319099280277E-2</v>
      </c>
      <c r="J2403" s="12">
        <f>G2403*(D2403*Assumptions!$B$6+E2403*Assumptions!$B$7)</f>
        <v>4.2734529368386037E-3</v>
      </c>
    </row>
    <row r="2404" spans="1:10" x14ac:dyDescent="0.2">
      <c r="A2404" s="2">
        <v>2396</v>
      </c>
      <c r="B2404" s="14">
        <f>A2404*Assumptions!$B$12</f>
        <v>23.96</v>
      </c>
      <c r="C2404" s="15">
        <f>IF(A2404&lt;=Assumptions!$B$13,IF(OR(A2404=0,A2404=Assumptions!$B$13),0.5,1),0)*Assumptions!$B$12</f>
        <v>0</v>
      </c>
      <c r="D2404" s="12">
        <f>D2403*(1-Assumptions!$B$12*(Assumptions!$B$5+Assumptions!$B$6))</f>
        <v>0.48728415694744015</v>
      </c>
      <c r="E2404" s="12">
        <f>E2403+Assumptions!$B$12*(D2403*Assumptions!$B$5-E2403*Assumptions!$B$7)</f>
        <v>0.18557735868090713</v>
      </c>
      <c r="F2404" s="12">
        <f t="shared" si="111"/>
        <v>0.32713848437165266</v>
      </c>
      <c r="G2404" s="12">
        <f>EXP(-Assumptions!$B$8*B2404)</f>
        <v>0.30179720312624342</v>
      </c>
      <c r="H2404" s="12">
        <f t="shared" si="112"/>
        <v>0.14706099569446687</v>
      </c>
      <c r="I2404" s="12">
        <f t="shared" si="113"/>
        <v>5.6006727813453464E-2</v>
      </c>
      <c r="J2404" s="12">
        <f>G2404*(D2404*Assumptions!$B$6+E2404*Assumptions!$B$7)</f>
        <v>4.2709463476173423E-3</v>
      </c>
    </row>
    <row r="2405" spans="1:10" x14ac:dyDescent="0.2">
      <c r="A2405" s="2">
        <v>2397</v>
      </c>
      <c r="B2405" s="14">
        <f>A2405*Assumptions!$B$12</f>
        <v>23.97</v>
      </c>
      <c r="C2405" s="15">
        <f>IF(A2405&lt;=Assumptions!$B$13,IF(OR(A2405=0,A2405=Assumptions!$B$13),0.5,1),0)*Assumptions!$B$12</f>
        <v>0</v>
      </c>
      <c r="D2405" s="12">
        <f>D2404*(1-Assumptions!$B$12*(Assumptions!$B$5+Assumptions!$B$6))</f>
        <v>0.48713797170035594</v>
      </c>
      <c r="E2405" s="12">
        <f>E2404+Assumptions!$B$12*(D2404*Assumptions!$B$5-E2404*Assumptions!$B$7)</f>
        <v>0.18558202683295616</v>
      </c>
      <c r="F2405" s="12">
        <f t="shared" si="111"/>
        <v>0.32728000146668795</v>
      </c>
      <c r="G2405" s="12">
        <f>EXP(-Assumptions!$B$8*B2405)</f>
        <v>0.30164634224304415</v>
      </c>
      <c r="H2405" s="12">
        <f t="shared" si="112"/>
        <v>0.14694338733110793</v>
      </c>
      <c r="I2405" s="12">
        <f t="shared" si="113"/>
        <v>5.5980139580211696E-2</v>
      </c>
      <c r="J2405" s="12">
        <f>G2405*(D2405*Assumptions!$B$6+E2405*Assumptions!$B$7)</f>
        <v>4.2684408523216638E-3</v>
      </c>
    </row>
    <row r="2406" spans="1:10" x14ac:dyDescent="0.2">
      <c r="A2406" s="2">
        <v>2398</v>
      </c>
      <c r="B2406" s="14">
        <f>A2406*Assumptions!$B$12</f>
        <v>23.98</v>
      </c>
      <c r="C2406" s="15">
        <f>IF(A2406&lt;=Assumptions!$B$13,IF(OR(A2406=0,A2406=Assumptions!$B$13),0.5,1),0)*Assumptions!$B$12</f>
        <v>0</v>
      </c>
      <c r="D2406" s="12">
        <f>D2405*(1-Assumptions!$B$12*(Assumptions!$B$5+Assumptions!$B$6))</f>
        <v>0.48699183030884585</v>
      </c>
      <c r="E2406" s="12">
        <f>E2405+Assumptions!$B$12*(D2405*Assumptions!$B$5-E2405*Assumptions!$B$7)</f>
        <v>0.18558666341387975</v>
      </c>
      <c r="F2406" s="12">
        <f t="shared" si="111"/>
        <v>0.3274215062772744</v>
      </c>
      <c r="G2406" s="12">
        <f>EXP(-Assumptions!$B$8*B2406)</f>
        <v>0.30149555677143181</v>
      </c>
      <c r="H2406" s="12">
        <f t="shared" si="112"/>
        <v>0.14682587302210412</v>
      </c>
      <c r="I2406" s="12">
        <f t="shared" si="113"/>
        <v>5.5953554415319989E-2</v>
      </c>
      <c r="J2406" s="12">
        <f>G2406*(D2406*Assumptions!$B$6+E2406*Assumptions!$B$7)</f>
        <v>4.2659364509870408E-3</v>
      </c>
    </row>
    <row r="2407" spans="1:10" x14ac:dyDescent="0.2">
      <c r="A2407" s="2">
        <v>2399</v>
      </c>
      <c r="B2407" s="14">
        <f>A2407*Assumptions!$B$12</f>
        <v>23.990000000000002</v>
      </c>
      <c r="C2407" s="15">
        <f>IF(A2407&lt;=Assumptions!$B$13,IF(OR(A2407=0,A2407=Assumptions!$B$13),0.5,1),0)*Assumptions!$B$12</f>
        <v>0</v>
      </c>
      <c r="D2407" s="12">
        <f>D2406*(1-Assumptions!$B$12*(Assumptions!$B$5+Assumptions!$B$6))</f>
        <v>0.48684573275975324</v>
      </c>
      <c r="E2407" s="12">
        <f>E2406+Assumptions!$B$12*(D2406*Assumptions!$B$5-E2406*Assumptions!$B$7)</f>
        <v>0.18559126844823459</v>
      </c>
      <c r="F2407" s="12">
        <f t="shared" si="111"/>
        <v>0.32756299879201212</v>
      </c>
      <c r="G2407" s="12">
        <f>EXP(-Assumptions!$B$8*B2407)</f>
        <v>0.30134484667371025</v>
      </c>
      <c r="H2407" s="12">
        <f t="shared" si="112"/>
        <v>0.14670845269223795</v>
      </c>
      <c r="I2407" s="12">
        <f t="shared" si="113"/>
        <v>5.5926972334512652E-2</v>
      </c>
      <c r="J2407" s="12">
        <f>G2407*(D2407*Assumptions!$B$6+E2407*Assumptions!$B$7)</f>
        <v>4.2634331436480124E-3</v>
      </c>
    </row>
    <row r="2408" spans="1:10" x14ac:dyDescent="0.2">
      <c r="A2408" s="2">
        <v>2400</v>
      </c>
      <c r="B2408" s="14">
        <f>A2408*Assumptions!$B$12</f>
        <v>24</v>
      </c>
      <c r="C2408" s="15">
        <f>IF(A2408&lt;=Assumptions!$B$13,IF(OR(A2408=0,A2408=Assumptions!$B$13),0.5,1),0)*Assumptions!$B$12</f>
        <v>0</v>
      </c>
      <c r="D2408" s="12">
        <f>D2407*(1-Assumptions!$B$12*(Assumptions!$B$5+Assumptions!$B$6))</f>
        <v>0.48669967903992534</v>
      </c>
      <c r="E2408" s="12">
        <f>E2407+Assumptions!$B$12*(D2407*Assumptions!$B$5-E2407*Assumptions!$B$7)</f>
        <v>0.18559584196056242</v>
      </c>
      <c r="F2408" s="12">
        <f t="shared" si="111"/>
        <v>0.32770447899951216</v>
      </c>
      <c r="G2408" s="12">
        <f>EXP(-Assumptions!$B$8*B2408)</f>
        <v>0.30119421191220203</v>
      </c>
      <c r="H2408" s="12">
        <f t="shared" si="112"/>
        <v>0.14659112626635198</v>
      </c>
      <c r="I2408" s="12">
        <f t="shared" si="113"/>
        <v>5.5900393353493193E-2</v>
      </c>
      <c r="J2408" s="12">
        <f>G2408*(D2408*Assumptions!$B$6+E2408*Assumptions!$B$7)</f>
        <v>4.2609309303381793E-3</v>
      </c>
    </row>
    <row r="2409" spans="1:10" x14ac:dyDescent="0.2">
      <c r="A2409" s="2">
        <v>2401</v>
      </c>
      <c r="B2409" s="14">
        <f>A2409*Assumptions!$B$12</f>
        <v>24.01</v>
      </c>
      <c r="C2409" s="15">
        <f>IF(A2409&lt;=Assumptions!$B$13,IF(OR(A2409=0,A2409=Assumptions!$B$13),0.5,1),0)*Assumptions!$B$12</f>
        <v>0</v>
      </c>
      <c r="D2409" s="12">
        <f>D2408*(1-Assumptions!$B$12*(Assumptions!$B$5+Assumptions!$B$6))</f>
        <v>0.4865536691362134</v>
      </c>
      <c r="E2409" s="12">
        <f>E2408+Assumptions!$B$12*(D2408*Assumptions!$B$5-E2408*Assumptions!$B$7)</f>
        <v>0.18560038397539011</v>
      </c>
      <c r="F2409" s="12">
        <f t="shared" si="111"/>
        <v>0.32784594688839652</v>
      </c>
      <c r="G2409" s="12">
        <f>EXP(-Assumptions!$B$8*B2409)</f>
        <v>0.30104365244924836</v>
      </c>
      <c r="H2409" s="12">
        <f t="shared" si="112"/>
        <v>0.14647389366934879</v>
      </c>
      <c r="I2409" s="12">
        <f t="shared" si="113"/>
        <v>5.5873817487934387E-2</v>
      </c>
      <c r="J2409" s="12">
        <f>G2409*(D2409*Assumptions!$B$6+E2409*Assumptions!$B$7)</f>
        <v>4.2584298110902074E-3</v>
      </c>
    </row>
    <row r="2410" spans="1:10" x14ac:dyDescent="0.2">
      <c r="A2410" s="2">
        <v>2402</v>
      </c>
      <c r="B2410" s="14">
        <f>A2410*Assumptions!$B$12</f>
        <v>24.02</v>
      </c>
      <c r="C2410" s="15">
        <f>IF(A2410&lt;=Assumptions!$B$13,IF(OR(A2410=0,A2410=Assumptions!$B$13),0.5,1),0)*Assumptions!$B$12</f>
        <v>0</v>
      </c>
      <c r="D2410" s="12">
        <f>D2409*(1-Assumptions!$B$12*(Assumptions!$B$5+Assumptions!$B$6))</f>
        <v>0.48640770303547254</v>
      </c>
      <c r="E2410" s="12">
        <f>E2409+Assumptions!$B$12*(D2409*Assumptions!$B$5-E2409*Assumptions!$B$7)</f>
        <v>0.18560489451722967</v>
      </c>
      <c r="F2410" s="12">
        <f t="shared" si="111"/>
        <v>0.32798740244729779</v>
      </c>
      <c r="G2410" s="12">
        <f>EXP(-Assumptions!$B$8*B2410)</f>
        <v>0.30089316824720935</v>
      </c>
      <c r="H2410" s="12">
        <f t="shared" si="112"/>
        <v>0.14635675482619109</v>
      </c>
      <c r="I2410" s="12">
        <f t="shared" si="113"/>
        <v>5.5847244753478333E-2</v>
      </c>
      <c r="J2410" s="12">
        <f>G2410*(D2410*Assumptions!$B$6+E2410*Assumptions!$B$7)</f>
        <v>4.2559297859358271E-3</v>
      </c>
    </row>
    <row r="2411" spans="1:10" x14ac:dyDescent="0.2">
      <c r="A2411" s="2">
        <v>2403</v>
      </c>
      <c r="B2411" s="14">
        <f>A2411*Assumptions!$B$12</f>
        <v>24.03</v>
      </c>
      <c r="C2411" s="15">
        <f>IF(A2411&lt;=Assumptions!$B$13,IF(OR(A2411=0,A2411=Assumptions!$B$13),0.5,1),0)*Assumptions!$B$12</f>
        <v>0</v>
      </c>
      <c r="D2411" s="12">
        <f>D2410*(1-Assumptions!$B$12*(Assumptions!$B$5+Assumptions!$B$6))</f>
        <v>0.48626178072456189</v>
      </c>
      <c r="E2411" s="12">
        <f>E2410+Assumptions!$B$12*(D2410*Assumptions!$B$5-E2410*Assumptions!$B$7)</f>
        <v>0.18560937361057814</v>
      </c>
      <c r="F2411" s="12">
        <f t="shared" si="111"/>
        <v>0.32812884566485989</v>
      </c>
      <c r="G2411" s="12">
        <f>EXP(-Assumptions!$B$8*B2411)</f>
        <v>0.30074275926846389</v>
      </c>
      <c r="H2411" s="12">
        <f t="shared" si="112"/>
        <v>0.1462397096619015</v>
      </c>
      <c r="I2411" s="12">
        <f t="shared" si="113"/>
        <v>5.5820675165736473E-2</v>
      </c>
      <c r="J2411" s="12">
        <f>G2411*(D2411*Assumptions!$B$6+E2411*Assumptions!$B$7)</f>
        <v>4.2534308549058387E-3</v>
      </c>
    </row>
    <row r="2412" spans="1:10" x14ac:dyDescent="0.2">
      <c r="A2412" s="2">
        <v>2404</v>
      </c>
      <c r="B2412" s="14">
        <f>A2412*Assumptions!$B$12</f>
        <v>24.04</v>
      </c>
      <c r="C2412" s="15">
        <f>IF(A2412&lt;=Assumptions!$B$13,IF(OR(A2412=0,A2412=Assumptions!$B$13),0.5,1),0)*Assumptions!$B$12</f>
        <v>0</v>
      </c>
      <c r="D2412" s="12">
        <f>D2411*(1-Assumptions!$B$12*(Assumptions!$B$5+Assumptions!$B$6))</f>
        <v>0.48611590219034456</v>
      </c>
      <c r="E2412" s="12">
        <f>E2411+Assumptions!$B$12*(D2411*Assumptions!$B$5-E2411*Assumptions!$B$7)</f>
        <v>0.18561382127991777</v>
      </c>
      <c r="F2412" s="12">
        <f t="shared" si="111"/>
        <v>0.32827027652973773</v>
      </c>
      <c r="G2412" s="12">
        <f>EXP(-Assumptions!$B$8*B2412)</f>
        <v>0.30059242547540999</v>
      </c>
      <c r="H2412" s="12">
        <f t="shared" si="112"/>
        <v>0.14612275810156283</v>
      </c>
      <c r="I2412" s="12">
        <f t="shared" si="113"/>
        <v>5.5794108740289748E-2</v>
      </c>
      <c r="J2412" s="12">
        <f>G2412*(D2412*Assumptions!$B$6+E2412*Assumptions!$B$7)</f>
        <v>4.2509330180301157E-3</v>
      </c>
    </row>
    <row r="2413" spans="1:10" x14ac:dyDescent="0.2">
      <c r="A2413" s="2">
        <v>2405</v>
      </c>
      <c r="B2413" s="14">
        <f>A2413*Assumptions!$B$12</f>
        <v>24.05</v>
      </c>
      <c r="C2413" s="15">
        <f>IF(A2413&lt;=Assumptions!$B$13,IF(OR(A2413=0,A2413=Assumptions!$B$13),0.5,1),0)*Assumptions!$B$12</f>
        <v>0</v>
      </c>
      <c r="D2413" s="12">
        <f>D2412*(1-Assumptions!$B$12*(Assumptions!$B$5+Assumptions!$B$6))</f>
        <v>0.48597006741968746</v>
      </c>
      <c r="E2413" s="12">
        <f>E2412+Assumptions!$B$12*(D2412*Assumptions!$B$5-E2412*Assumptions!$B$7)</f>
        <v>0.18561823754971588</v>
      </c>
      <c r="F2413" s="12">
        <f t="shared" si="111"/>
        <v>0.32841169503059675</v>
      </c>
      <c r="G2413" s="12">
        <f>EXP(-Assumptions!$B$8*B2413)</f>
        <v>0.30044216683046382</v>
      </c>
      <c r="H2413" s="12">
        <f t="shared" si="112"/>
        <v>0.1460059000703175</v>
      </c>
      <c r="I2413" s="12">
        <f t="shared" si="113"/>
        <v>5.5767545492688399E-2</v>
      </c>
      <c r="J2413" s="12">
        <f>G2413*(D2413*Assumptions!$B$6+E2413*Assumptions!$B$7)</f>
        <v>4.2484362753375951E-3</v>
      </c>
    </row>
    <row r="2414" spans="1:10" x14ac:dyDescent="0.2">
      <c r="A2414" s="2">
        <v>2406</v>
      </c>
      <c r="B2414" s="14">
        <f>A2414*Assumptions!$B$12</f>
        <v>24.060000000000002</v>
      </c>
      <c r="C2414" s="15">
        <f>IF(A2414&lt;=Assumptions!$B$13,IF(OR(A2414=0,A2414=Assumptions!$B$13),0.5,1),0)*Assumptions!$B$12</f>
        <v>0</v>
      </c>
      <c r="D2414" s="12">
        <f>D2413*(1-Assumptions!$B$12*(Assumptions!$B$5+Assumptions!$B$6))</f>
        <v>0.48582427639946157</v>
      </c>
      <c r="E2414" s="12">
        <f>E2413+Assumptions!$B$12*(D2413*Assumptions!$B$5-E2413*Assumptions!$B$7)</f>
        <v>0.18562262244442496</v>
      </c>
      <c r="F2414" s="12">
        <f t="shared" si="111"/>
        <v>0.32855310115611347</v>
      </c>
      <c r="G2414" s="12">
        <f>EXP(-Assumptions!$B$8*B2414)</f>
        <v>0.30029198329606099</v>
      </c>
      <c r="H2414" s="12">
        <f t="shared" si="112"/>
        <v>0.14588913549336804</v>
      </c>
      <c r="I2414" s="12">
        <f t="shared" si="113"/>
        <v>5.5740985438452295E-2</v>
      </c>
      <c r="J2414" s="12">
        <f>G2414*(D2414*Assumptions!$B$6+E2414*Assumptions!$B$7)</f>
        <v>4.2459406268562953E-3</v>
      </c>
    </row>
    <row r="2415" spans="1:10" x14ac:dyDescent="0.2">
      <c r="A2415" s="2">
        <v>2407</v>
      </c>
      <c r="B2415" s="14">
        <f>A2415*Assumptions!$B$12</f>
        <v>24.07</v>
      </c>
      <c r="C2415" s="15">
        <f>IF(A2415&lt;=Assumptions!$B$13,IF(OR(A2415=0,A2415=Assumptions!$B$13),0.5,1),0)*Assumptions!$B$12</f>
        <v>0</v>
      </c>
      <c r="D2415" s="12">
        <f>D2414*(1-Assumptions!$B$12*(Assumptions!$B$5+Assumptions!$B$6))</f>
        <v>0.48567852911654175</v>
      </c>
      <c r="E2415" s="12">
        <f>E2414+Assumptions!$B$12*(D2414*Assumptions!$B$5-E2414*Assumptions!$B$7)</f>
        <v>0.18562697598848263</v>
      </c>
      <c r="F2415" s="12">
        <f t="shared" si="111"/>
        <v>0.3286944948949756</v>
      </c>
      <c r="G2415" s="12">
        <f>EXP(-Assumptions!$B$8*B2415)</f>
        <v>0.30014187483465565</v>
      </c>
      <c r="H2415" s="12">
        <f t="shared" si="112"/>
        <v>0.14577246429597673</v>
      </c>
      <c r="I2415" s="12">
        <f t="shared" si="113"/>
        <v>5.5714428593070783E-2</v>
      </c>
      <c r="J2415" s="12">
        <f>G2415*(D2415*Assumptions!$B$6+E2415*Assumptions!$B$7)</f>
        <v>4.2434460726133065E-3</v>
      </c>
    </row>
    <row r="2416" spans="1:10" x14ac:dyDescent="0.2">
      <c r="A2416" s="2">
        <v>2408</v>
      </c>
      <c r="B2416" s="14">
        <f>A2416*Assumptions!$B$12</f>
        <v>24.080000000000002</v>
      </c>
      <c r="C2416" s="15">
        <f>IF(A2416&lt;=Assumptions!$B$13,IF(OR(A2416=0,A2416=Assumptions!$B$13),0.5,1),0)*Assumptions!$B$12</f>
        <v>0</v>
      </c>
      <c r="D2416" s="12">
        <f>D2415*(1-Assumptions!$B$12*(Assumptions!$B$5+Assumptions!$B$6))</f>
        <v>0.4855328255578068</v>
      </c>
      <c r="E2416" s="12">
        <f>E2415+Assumptions!$B$12*(D2415*Assumptions!$B$5-E2415*Assumptions!$B$7)</f>
        <v>0.18563129820631169</v>
      </c>
      <c r="F2416" s="12">
        <f t="shared" si="111"/>
        <v>0.32883587623588145</v>
      </c>
      <c r="G2416" s="12">
        <f>EXP(-Assumptions!$B$8*B2416)</f>
        <v>0.29999184140872043</v>
      </c>
      <c r="H2416" s="12">
        <f t="shared" si="112"/>
        <v>0.1456558864034655</v>
      </c>
      <c r="I2416" s="12">
        <f t="shared" si="113"/>
        <v>5.5687874972002747E-2</v>
      </c>
      <c r="J2416" s="12">
        <f>G2416*(D2416*Assumptions!$B$6+E2416*Assumptions!$B$7)</f>
        <v>4.2409526126347919E-3</v>
      </c>
    </row>
    <row r="2417" spans="1:10" x14ac:dyDescent="0.2">
      <c r="A2417" s="2">
        <v>2409</v>
      </c>
      <c r="B2417" s="14">
        <f>A2417*Assumptions!$B$12</f>
        <v>24.09</v>
      </c>
      <c r="C2417" s="15">
        <f>IF(A2417&lt;=Assumptions!$B$13,IF(OR(A2417=0,A2417=Assumptions!$B$13),0.5,1),0)*Assumptions!$B$12</f>
        <v>0</v>
      </c>
      <c r="D2417" s="12">
        <f>D2416*(1-Assumptions!$B$12*(Assumptions!$B$5+Assumptions!$B$6))</f>
        <v>0.48538716571013946</v>
      </c>
      <c r="E2417" s="12">
        <f>E2416+Assumptions!$B$12*(D2416*Assumptions!$B$5-E2416*Assumptions!$B$7)</f>
        <v>0.18563558912232009</v>
      </c>
      <c r="F2417" s="12">
        <f t="shared" si="111"/>
        <v>0.32897724516754051</v>
      </c>
      <c r="G2417" s="12">
        <f>EXP(-Assumptions!$B$8*B2417)</f>
        <v>0.29984188298074721</v>
      </c>
      <c r="H2417" s="12">
        <f t="shared" si="112"/>
        <v>0.14553940174121618</v>
      </c>
      <c r="I2417" s="12">
        <f t="shared" si="113"/>
        <v>5.566132459067677E-2</v>
      </c>
      <c r="J2417" s="12">
        <f>G2417*(D2417*Assumptions!$B$6+E2417*Assumptions!$B$7)</f>
        <v>4.2384602469460004E-3</v>
      </c>
    </row>
    <row r="2418" spans="1:10" x14ac:dyDescent="0.2">
      <c r="A2418" s="2">
        <v>2410</v>
      </c>
      <c r="B2418" s="14">
        <f>A2418*Assumptions!$B$12</f>
        <v>24.1</v>
      </c>
      <c r="C2418" s="15">
        <f>IF(A2418&lt;=Assumptions!$B$13,IF(OR(A2418=0,A2418=Assumptions!$B$13),0.5,1),0)*Assumptions!$B$12</f>
        <v>0</v>
      </c>
      <c r="D2418" s="12">
        <f>D2417*(1-Assumptions!$B$12*(Assumptions!$B$5+Assumptions!$B$6))</f>
        <v>0.48524154956042642</v>
      </c>
      <c r="E2418" s="12">
        <f>E2417+Assumptions!$B$12*(D2417*Assumptions!$B$5-E2417*Assumptions!$B$7)</f>
        <v>0.18563984876090095</v>
      </c>
      <c r="F2418" s="12">
        <f t="shared" si="111"/>
        <v>0.32911860167867263</v>
      </c>
      <c r="G2418" s="12">
        <f>EXP(-Assumptions!$B$8*B2418)</f>
        <v>0.29969199951324632</v>
      </c>
      <c r="H2418" s="12">
        <f t="shared" si="112"/>
        <v>0.14542301023467022</v>
      </c>
      <c r="I2418" s="12">
        <f t="shared" si="113"/>
        <v>5.5634777464491046E-2</v>
      </c>
      <c r="J2418" s="12">
        <f>G2418*(D2418*Assumptions!$B$6+E2418*Assumptions!$B$7)</f>
        <v>4.2359689755712545E-3</v>
      </c>
    </row>
    <row r="2419" spans="1:10" x14ac:dyDescent="0.2">
      <c r="A2419" s="2">
        <v>2411</v>
      </c>
      <c r="B2419" s="14">
        <f>A2419*Assumptions!$B$12</f>
        <v>24.11</v>
      </c>
      <c r="C2419" s="15">
        <f>IF(A2419&lt;=Assumptions!$B$13,IF(OR(A2419=0,A2419=Assumptions!$B$13),0.5,1),0)*Assumptions!$B$12</f>
        <v>0</v>
      </c>
      <c r="D2419" s="12">
        <f>D2418*(1-Assumptions!$B$12*(Assumptions!$B$5+Assumptions!$B$6))</f>
        <v>0.4850959770955583</v>
      </c>
      <c r="E2419" s="12">
        <f>E2418+Assumptions!$B$12*(D2418*Assumptions!$B$5-E2418*Assumptions!$B$7)</f>
        <v>0.18564407714643258</v>
      </c>
      <c r="F2419" s="12">
        <f t="shared" si="111"/>
        <v>0.3292599457580091</v>
      </c>
      <c r="G2419" s="12">
        <f>EXP(-Assumptions!$B$8*B2419)</f>
        <v>0.29954219096874685</v>
      </c>
      <c r="H2419" s="12">
        <f t="shared" si="112"/>
        <v>0.14530671180932858</v>
      </c>
      <c r="I2419" s="12">
        <f t="shared" si="113"/>
        <v>5.5608233608813479E-2</v>
      </c>
      <c r="J2419" s="12">
        <f>G2419*(D2419*Assumptions!$B$6+E2419*Assumptions!$B$7)</f>
        <v>4.23347879853396E-3</v>
      </c>
    </row>
    <row r="2420" spans="1:10" x14ac:dyDescent="0.2">
      <c r="A2420" s="2">
        <v>2412</v>
      </c>
      <c r="B2420" s="14">
        <f>A2420*Assumptions!$B$12</f>
        <v>24.12</v>
      </c>
      <c r="C2420" s="15">
        <f>IF(A2420&lt;=Assumptions!$B$13,IF(OR(A2420=0,A2420=Assumptions!$B$13),0.5,1),0)*Assumptions!$B$12</f>
        <v>0</v>
      </c>
      <c r="D2420" s="12">
        <f>D2419*(1-Assumptions!$B$12*(Assumptions!$B$5+Assumptions!$B$6))</f>
        <v>0.48495044830242967</v>
      </c>
      <c r="E2420" s="12">
        <f>E2419+Assumptions!$B$12*(D2419*Assumptions!$B$5-E2419*Assumptions!$B$7)</f>
        <v>0.18564827430327849</v>
      </c>
      <c r="F2420" s="12">
        <f t="shared" si="111"/>
        <v>0.32940127739429192</v>
      </c>
      <c r="G2420" s="12">
        <f>EXP(-Assumptions!$B$8*B2420)</f>
        <v>0.29939245730979663</v>
      </c>
      <c r="H2420" s="12">
        <f t="shared" si="112"/>
        <v>0.14519050639075193</v>
      </c>
      <c r="I2420" s="12">
        <f t="shared" si="113"/>
        <v>5.5581693038981722E-2</v>
      </c>
      <c r="J2420" s="12">
        <f>G2420*(D2420*Assumptions!$B$6+E2420*Assumptions!$B$7)</f>
        <v>4.230989715856605E-3</v>
      </c>
    </row>
    <row r="2421" spans="1:10" x14ac:dyDescent="0.2">
      <c r="A2421" s="2">
        <v>2413</v>
      </c>
      <c r="B2421" s="14">
        <f>A2421*Assumptions!$B$12</f>
        <v>24.13</v>
      </c>
      <c r="C2421" s="15">
        <f>IF(A2421&lt;=Assumptions!$B$13,IF(OR(A2421=0,A2421=Assumptions!$B$13),0.5,1),0)*Assumptions!$B$12</f>
        <v>0</v>
      </c>
      <c r="D2421" s="12">
        <f>D2420*(1-Assumptions!$B$12*(Assumptions!$B$5+Assumptions!$B$6))</f>
        <v>0.48480496316793897</v>
      </c>
      <c r="E2421" s="12">
        <f>E2420+Assumptions!$B$12*(D2420*Assumptions!$B$5-E2420*Assumptions!$B$7)</f>
        <v>0.18565244025578734</v>
      </c>
      <c r="F2421" s="12">
        <f t="shared" si="111"/>
        <v>0.32954259657627372</v>
      </c>
      <c r="G2421" s="12">
        <f>EXP(-Assumptions!$B$8*B2421)</f>
        <v>0.29924279849896235</v>
      </c>
      <c r="H2421" s="12">
        <f t="shared" si="112"/>
        <v>0.14507439390456042</v>
      </c>
      <c r="I2421" s="12">
        <f t="shared" si="113"/>
        <v>5.5555155770303219E-2</v>
      </c>
      <c r="J2421" s="12">
        <f>G2421*(D2421*Assumptions!$B$6+E2421*Assumptions!$B$7)</f>
        <v>4.2285017275607651E-3</v>
      </c>
    </row>
    <row r="2422" spans="1:10" x14ac:dyDescent="0.2">
      <c r="A2422" s="2">
        <v>2414</v>
      </c>
      <c r="B2422" s="14">
        <f>A2422*Assumptions!$B$12</f>
        <v>24.14</v>
      </c>
      <c r="C2422" s="15">
        <f>IF(A2422&lt;=Assumptions!$B$13,IF(OR(A2422=0,A2422=Assumptions!$B$13),0.5,1),0)*Assumptions!$B$12</f>
        <v>0</v>
      </c>
      <c r="D2422" s="12">
        <f>D2421*(1-Assumptions!$B$12*(Assumptions!$B$5+Assumptions!$B$6))</f>
        <v>0.48465952167898863</v>
      </c>
      <c r="E2422" s="12">
        <f>E2421+Assumptions!$B$12*(D2421*Assumptions!$B$5-E2421*Assumptions!$B$7)</f>
        <v>0.18565657502829302</v>
      </c>
      <c r="F2422" s="12">
        <f t="shared" si="111"/>
        <v>0.32968390329271835</v>
      </c>
      <c r="G2422" s="12">
        <f>EXP(-Assumptions!$B$8*B2422)</f>
        <v>0.29909321449882925</v>
      </c>
      <c r="H2422" s="12">
        <f t="shared" si="112"/>
        <v>0.14495837427643374</v>
      </c>
      <c r="I2422" s="12">
        <f t="shared" si="113"/>
        <v>5.5528621818055235E-2</v>
      </c>
      <c r="J2422" s="12">
        <f>G2422*(D2422*Assumptions!$B$6+E2422*Assumptions!$B$7)</f>
        <v>4.2260148336670982E-3</v>
      </c>
    </row>
    <row r="2423" spans="1:10" x14ac:dyDescent="0.2">
      <c r="A2423" s="2">
        <v>2415</v>
      </c>
      <c r="B2423" s="14">
        <f>A2423*Assumptions!$B$12</f>
        <v>24.150000000000002</v>
      </c>
      <c r="C2423" s="15">
        <f>IF(A2423&lt;=Assumptions!$B$13,IF(OR(A2423=0,A2423=Assumptions!$B$13),0.5,1),0)*Assumptions!$B$12</f>
        <v>0</v>
      </c>
      <c r="D2423" s="12">
        <f>D2422*(1-Assumptions!$B$12*(Assumptions!$B$5+Assumptions!$B$6))</f>
        <v>0.48451412382248493</v>
      </c>
      <c r="E2423" s="12">
        <f>E2422+Assumptions!$B$12*(D2422*Assumptions!$B$5-E2422*Assumptions!$B$7)</f>
        <v>0.18566067864511468</v>
      </c>
      <c r="F2423" s="12">
        <f t="shared" si="111"/>
        <v>0.32982519753240036</v>
      </c>
      <c r="G2423" s="12">
        <f>EXP(-Assumptions!$B$8*B2423)</f>
        <v>0.29894370527200126</v>
      </c>
      <c r="H2423" s="12">
        <f t="shared" si="112"/>
        <v>0.14484244743211086</v>
      </c>
      <c r="I2423" s="12">
        <f t="shared" si="113"/>
        <v>5.55020911974849E-2</v>
      </c>
      <c r="J2423" s="12">
        <f>G2423*(D2423*Assumptions!$B$6+E2423*Assumptions!$B$7)</f>
        <v>4.2235290341953542E-3</v>
      </c>
    </row>
    <row r="2424" spans="1:10" x14ac:dyDescent="0.2">
      <c r="A2424" s="2">
        <v>2416</v>
      </c>
      <c r="B2424" s="14">
        <f>A2424*Assumptions!$B$12</f>
        <v>24.16</v>
      </c>
      <c r="C2424" s="15">
        <f>IF(A2424&lt;=Assumptions!$B$13,IF(OR(A2424=0,A2424=Assumptions!$B$13),0.5,1),0)*Assumptions!$B$12</f>
        <v>0</v>
      </c>
      <c r="D2424" s="12">
        <f>D2423*(1-Assumptions!$B$12*(Assumptions!$B$5+Assumptions!$B$6))</f>
        <v>0.4843687695853382</v>
      </c>
      <c r="E2424" s="12">
        <f>E2423+Assumptions!$B$12*(D2423*Assumptions!$B$5-E2423*Assumptions!$B$7)</f>
        <v>0.18566475113055661</v>
      </c>
      <c r="F2424" s="12">
        <f t="shared" si="111"/>
        <v>0.32996647928410516</v>
      </c>
      <c r="G2424" s="12">
        <f>EXP(-Assumptions!$B$8*B2424)</f>
        <v>0.29879427078110121</v>
      </c>
      <c r="H2424" s="12">
        <f t="shared" si="112"/>
        <v>0.14472661329739037</v>
      </c>
      <c r="I2424" s="12">
        <f t="shared" si="113"/>
        <v>5.5475563923809298E-2</v>
      </c>
      <c r="J2424" s="12">
        <f>G2424*(D2424*Assumptions!$B$6+E2424*Assumptions!$B$7)</f>
        <v>4.2210443291643687E-3</v>
      </c>
    </row>
    <row r="2425" spans="1:10" x14ac:dyDescent="0.2">
      <c r="A2425" s="2">
        <v>2417</v>
      </c>
      <c r="B2425" s="14">
        <f>A2425*Assumptions!$B$12</f>
        <v>24.17</v>
      </c>
      <c r="C2425" s="15">
        <f>IF(A2425&lt;=Assumptions!$B$13,IF(OR(A2425=0,A2425=Assumptions!$B$13),0.5,1),0)*Assumptions!$B$12</f>
        <v>0</v>
      </c>
      <c r="D2425" s="12">
        <f>D2424*(1-Assumptions!$B$12*(Assumptions!$B$5+Assumptions!$B$6))</f>
        <v>0.48422345895446262</v>
      </c>
      <c r="E2425" s="12">
        <f>E2424+Assumptions!$B$12*(D2424*Assumptions!$B$5-E2424*Assumptions!$B$7)</f>
        <v>0.18566879250890839</v>
      </c>
      <c r="F2425" s="12">
        <f t="shared" si="111"/>
        <v>0.330107748536629</v>
      </c>
      <c r="G2425" s="12">
        <f>EXP(-Assumptions!$B$8*B2425)</f>
        <v>0.29864491098877044</v>
      </c>
      <c r="H2425" s="12">
        <f t="shared" si="112"/>
        <v>0.14461087179813004</v>
      </c>
      <c r="I2425" s="12">
        <f t="shared" si="113"/>
        <v>5.5449040012215435E-2</v>
      </c>
      <c r="J2425" s="12">
        <f>G2425*(D2425*Assumptions!$B$6+E2425*Assumptions!$B$7)</f>
        <v>4.2185607185920727E-3</v>
      </c>
    </row>
    <row r="2426" spans="1:10" x14ac:dyDescent="0.2">
      <c r="A2426" s="2">
        <v>2418</v>
      </c>
      <c r="B2426" s="14">
        <f>A2426*Assumptions!$B$12</f>
        <v>24.18</v>
      </c>
      <c r="C2426" s="15">
        <f>IF(A2426&lt;=Assumptions!$B$13,IF(OR(A2426=0,A2426=Assumptions!$B$13),0.5,1),0)*Assumptions!$B$12</f>
        <v>0</v>
      </c>
      <c r="D2426" s="12">
        <f>D2425*(1-Assumptions!$B$12*(Assumptions!$B$5+Assumptions!$B$6))</f>
        <v>0.48407819191677631</v>
      </c>
      <c r="E2426" s="12">
        <f>E2425+Assumptions!$B$12*(D2425*Assumptions!$B$5-E2425*Assumptions!$B$7)</f>
        <v>0.18567280280444481</v>
      </c>
      <c r="F2426" s="12">
        <f t="shared" si="111"/>
        <v>0.33024900527877893</v>
      </c>
      <c r="G2426" s="12">
        <f>EXP(-Assumptions!$B$8*B2426)</f>
        <v>0.29849562585766892</v>
      </c>
      <c r="H2426" s="12">
        <f t="shared" si="112"/>
        <v>0.14449522286024691</v>
      </c>
      <c r="I2426" s="12">
        <f t="shared" si="113"/>
        <v>5.5422519477860303E-2</v>
      </c>
      <c r="J2426" s="12">
        <f>G2426*(D2426*Assumptions!$B$6+E2426*Assumptions!$B$7)</f>
        <v>4.2160782024954846E-3</v>
      </c>
    </row>
    <row r="2427" spans="1:10" x14ac:dyDescent="0.2">
      <c r="A2427" s="2">
        <v>2419</v>
      </c>
      <c r="B2427" s="14">
        <f>A2427*Assumptions!$B$12</f>
        <v>24.19</v>
      </c>
      <c r="C2427" s="15">
        <f>IF(A2427&lt;=Assumptions!$B$13,IF(OR(A2427=0,A2427=Assumptions!$B$13),0.5,1),0)*Assumptions!$B$12</f>
        <v>0</v>
      </c>
      <c r="D2427" s="12">
        <f>D2426*(1-Assumptions!$B$12*(Assumptions!$B$5+Assumptions!$B$6))</f>
        <v>0.48393296845920131</v>
      </c>
      <c r="E2427" s="12">
        <f>E2426+Assumptions!$B$12*(D2426*Assumptions!$B$5-E2426*Assumptions!$B$7)</f>
        <v>0.18567678204142596</v>
      </c>
      <c r="F2427" s="12">
        <f t="shared" si="111"/>
        <v>0.33039024949937273</v>
      </c>
      <c r="G2427" s="12">
        <f>EXP(-Assumptions!$B$8*B2427)</f>
        <v>0.2983464153504754</v>
      </c>
      <c r="H2427" s="12">
        <f t="shared" si="112"/>
        <v>0.14437966640971739</v>
      </c>
      <c r="I2427" s="12">
        <f t="shared" si="113"/>
        <v>5.5396002335870963E-2</v>
      </c>
      <c r="J2427" s="12">
        <f>G2427*(D2427*Assumptions!$B$6+E2427*Assumptions!$B$7)</f>
        <v>4.2135967808907219E-3</v>
      </c>
    </row>
    <row r="2428" spans="1:10" x14ac:dyDescent="0.2">
      <c r="A2428" s="2">
        <v>2420</v>
      </c>
      <c r="B2428" s="14">
        <f>A2428*Assumptions!$B$12</f>
        <v>24.2</v>
      </c>
      <c r="C2428" s="15">
        <f>IF(A2428&lt;=Assumptions!$B$13,IF(OR(A2428=0,A2428=Assumptions!$B$13),0.5,1),0)*Assumptions!$B$12</f>
        <v>0</v>
      </c>
      <c r="D2428" s="12">
        <f>D2427*(1-Assumptions!$B$12*(Assumptions!$B$5+Assumptions!$B$6))</f>
        <v>0.48378778856866356</v>
      </c>
      <c r="E2428" s="12">
        <f>E2427+Assumptions!$B$12*(D2427*Assumptions!$B$5-E2427*Assumptions!$B$7)</f>
        <v>0.18568073024409709</v>
      </c>
      <c r="F2428" s="12">
        <f t="shared" si="111"/>
        <v>0.33053148118723935</v>
      </c>
      <c r="G2428" s="12">
        <f>EXP(-Assumptions!$B$8*B2428)</f>
        <v>0.29819727942988739</v>
      </c>
      <c r="H2428" s="12">
        <f t="shared" si="112"/>
        <v>0.14426420237257703</v>
      </c>
      <c r="I2428" s="12">
        <f t="shared" si="113"/>
        <v>5.5369488601344559E-2</v>
      </c>
      <c r="J2428" s="12">
        <f>G2428*(D2428*Assumptions!$B$6+E2428*Assumptions!$B$7)</f>
        <v>4.2111164537929988E-3</v>
      </c>
    </row>
    <row r="2429" spans="1:10" x14ac:dyDescent="0.2">
      <c r="A2429" s="2">
        <v>2421</v>
      </c>
      <c r="B2429" s="14">
        <f>A2429*Assumptions!$B$12</f>
        <v>24.21</v>
      </c>
      <c r="C2429" s="15">
        <f>IF(A2429&lt;=Assumptions!$B$13,IF(OR(A2429=0,A2429=Assumptions!$B$13),0.5,1),0)*Assumptions!$B$12</f>
        <v>0</v>
      </c>
      <c r="D2429" s="12">
        <f>D2428*(1-Assumptions!$B$12*(Assumptions!$B$5+Assumptions!$B$6))</f>
        <v>0.48364265223209296</v>
      </c>
      <c r="E2429" s="12">
        <f>E2428+Assumptions!$B$12*(D2428*Assumptions!$B$5-E2428*Assumptions!$B$7)</f>
        <v>0.18568464743668878</v>
      </c>
      <c r="F2429" s="12">
        <f t="shared" si="111"/>
        <v>0.33067270033121832</v>
      </c>
      <c r="G2429" s="12">
        <f>EXP(-Assumptions!$B$8*B2429)</f>
        <v>0.29804821805862064</v>
      </c>
      <c r="H2429" s="12">
        <f t="shared" si="112"/>
        <v>0.14414883067492046</v>
      </c>
      <c r="I2429" s="12">
        <f t="shared" si="113"/>
        <v>5.534297828934831E-2</v>
      </c>
      <c r="J2429" s="12">
        <f>G2429*(D2429*Assumptions!$B$6+E2429*Assumptions!$B$7)</f>
        <v>4.20863722121662E-3</v>
      </c>
    </row>
    <row r="2430" spans="1:10" x14ac:dyDescent="0.2">
      <c r="A2430" s="2">
        <v>2422</v>
      </c>
      <c r="B2430" s="14">
        <f>A2430*Assumptions!$B$12</f>
        <v>24.22</v>
      </c>
      <c r="C2430" s="15">
        <f>IF(A2430&lt;=Assumptions!$B$13,IF(OR(A2430=0,A2430=Assumptions!$B$13),0.5,1),0)*Assumptions!$B$12</f>
        <v>0</v>
      </c>
      <c r="D2430" s="12">
        <f>D2429*(1-Assumptions!$B$12*(Assumptions!$B$5+Assumptions!$B$6))</f>
        <v>0.48349755943642336</v>
      </c>
      <c r="E2430" s="12">
        <f>E2429+Assumptions!$B$12*(D2429*Assumptions!$B$5-E2429*Assumptions!$B$7)</f>
        <v>0.18568853364341686</v>
      </c>
      <c r="F2430" s="12">
        <f t="shared" si="111"/>
        <v>0.33081390692015977</v>
      </c>
      <c r="G2430" s="12">
        <f>EXP(-Assumptions!$B$8*B2430)</f>
        <v>0.29789923119941009</v>
      </c>
      <c r="H2430" s="12">
        <f t="shared" si="112"/>
        <v>0.1440335512429016</v>
      </c>
      <c r="I2430" s="12">
        <f t="shared" si="113"/>
        <v>5.5316471414919681E-2</v>
      </c>
      <c r="J2430" s="12">
        <f>G2430*(D2430*Assumptions!$B$6+E2430*Assumptions!$B$7)</f>
        <v>4.2061590831750009E-3</v>
      </c>
    </row>
    <row r="2431" spans="1:10" x14ac:dyDescent="0.2">
      <c r="A2431" s="2">
        <v>2423</v>
      </c>
      <c r="B2431" s="14">
        <f>A2431*Assumptions!$B$12</f>
        <v>24.23</v>
      </c>
      <c r="C2431" s="15">
        <f>IF(A2431&lt;=Assumptions!$B$13,IF(OR(A2431=0,A2431=Assumptions!$B$13),0.5,1),0)*Assumptions!$B$12</f>
        <v>0</v>
      </c>
      <c r="D2431" s="12">
        <f>D2430*(1-Assumptions!$B$12*(Assumptions!$B$5+Assumptions!$B$6))</f>
        <v>0.48335251016859243</v>
      </c>
      <c r="E2431" s="12">
        <f>E2430+Assumptions!$B$12*(D2430*Assumptions!$B$5-E2430*Assumptions!$B$7)</f>
        <v>0.18569238888848244</v>
      </c>
      <c r="F2431" s="12">
        <f t="shared" si="111"/>
        <v>0.33095510094292507</v>
      </c>
      <c r="G2431" s="12">
        <f>EXP(-Assumptions!$B$8*B2431)</f>
        <v>0.2977503188150088</v>
      </c>
      <c r="H2431" s="12">
        <f t="shared" si="112"/>
        <v>0.14391836400273317</v>
      </c>
      <c r="I2431" s="12">
        <f t="shared" si="113"/>
        <v>5.5289967993066243E-2</v>
      </c>
      <c r="J2431" s="12">
        <f>G2431*(D2431*Assumptions!$B$6+E2431*Assumptions!$B$7)</f>
        <v>4.2036820396806436E-3</v>
      </c>
    </row>
    <row r="2432" spans="1:10" x14ac:dyDescent="0.2">
      <c r="A2432" s="2">
        <v>2424</v>
      </c>
      <c r="B2432" s="14">
        <f>A2432*Assumptions!$B$12</f>
        <v>24.240000000000002</v>
      </c>
      <c r="C2432" s="15">
        <f>IF(A2432&lt;=Assumptions!$B$13,IF(OR(A2432=0,A2432=Assumptions!$B$13),0.5,1),0)*Assumptions!$B$12</f>
        <v>0</v>
      </c>
      <c r="D2432" s="12">
        <f>D2431*(1-Assumptions!$B$12*(Assumptions!$B$5+Assumptions!$B$6))</f>
        <v>0.48320750441554189</v>
      </c>
      <c r="E2432" s="12">
        <f>E2431+Assumptions!$B$12*(D2431*Assumptions!$B$5-E2431*Assumptions!$B$7)</f>
        <v>0.18569621319607191</v>
      </c>
      <c r="F2432" s="12">
        <f t="shared" si="111"/>
        <v>0.33109628238838618</v>
      </c>
      <c r="G2432" s="12">
        <f>EXP(-Assumptions!$B$8*B2432)</f>
        <v>0.29760148086818877</v>
      </c>
      <c r="H2432" s="12">
        <f t="shared" si="112"/>
        <v>0.14380326888068712</v>
      </c>
      <c r="I2432" s="12">
        <f t="shared" si="113"/>
        <v>5.5263468038765896E-2</v>
      </c>
      <c r="J2432" s="12">
        <f>G2432*(D2432*Assumptions!$B$6+E2432*Assumptions!$B$7)</f>
        <v>4.2012060907451665E-3</v>
      </c>
    </row>
    <row r="2433" spans="1:10" x14ac:dyDescent="0.2">
      <c r="A2433" s="2">
        <v>2425</v>
      </c>
      <c r="B2433" s="14">
        <f>A2433*Assumptions!$B$12</f>
        <v>24.25</v>
      </c>
      <c r="C2433" s="15">
        <f>IF(A2433&lt;=Assumptions!$B$13,IF(OR(A2433=0,A2433=Assumptions!$B$13),0.5,1),0)*Assumptions!$B$12</f>
        <v>0</v>
      </c>
      <c r="D2433" s="12">
        <f>D2432*(1-Assumptions!$B$12*(Assumptions!$B$5+Assumptions!$B$6))</f>
        <v>0.48306254216421723</v>
      </c>
      <c r="E2433" s="12">
        <f>E2432+Assumptions!$B$12*(D2432*Assumptions!$B$5-E2432*Assumptions!$B$7)</f>
        <v>0.18570000659035699</v>
      </c>
      <c r="F2433" s="12">
        <f t="shared" si="111"/>
        <v>0.33123745124542581</v>
      </c>
      <c r="G2433" s="12">
        <f>EXP(-Assumptions!$B$8*B2433)</f>
        <v>0.2974527173217405</v>
      </c>
      <c r="H2433" s="12">
        <f t="shared" si="112"/>
        <v>0.14368826580309427</v>
      </c>
      <c r="I2433" s="12">
        <f t="shared" si="113"/>
        <v>5.5236971566966803E-2</v>
      </c>
      <c r="J2433" s="12">
        <f>G2433*(D2433*Assumptions!$B$6+E2433*Assumptions!$B$7)</f>
        <v>4.1987312363792832E-3</v>
      </c>
    </row>
    <row r="2434" spans="1:10" x14ac:dyDescent="0.2">
      <c r="A2434" s="2">
        <v>2426</v>
      </c>
      <c r="B2434" s="14">
        <f>A2434*Assumptions!$B$12</f>
        <v>24.26</v>
      </c>
      <c r="C2434" s="15">
        <f>IF(A2434&lt;=Assumptions!$B$13,IF(OR(A2434=0,A2434=Assumptions!$B$13),0.5,1),0)*Assumptions!$B$12</f>
        <v>0</v>
      </c>
      <c r="D2434" s="12">
        <f>D2433*(1-Assumptions!$B$12*(Assumptions!$B$5+Assumptions!$B$6))</f>
        <v>0.48291762340156796</v>
      </c>
      <c r="E2434" s="12">
        <f>E2433+Assumptions!$B$12*(D2433*Assumptions!$B$5-E2433*Assumptions!$B$7)</f>
        <v>0.18570376909549466</v>
      </c>
      <c r="F2434" s="12">
        <f t="shared" si="111"/>
        <v>0.33137860750293735</v>
      </c>
      <c r="G2434" s="12">
        <f>EXP(-Assumptions!$B$8*B2434)</f>
        <v>0.29730402813847318</v>
      </c>
      <c r="H2434" s="12">
        <f t="shared" si="112"/>
        <v>0.14357335469634436</v>
      </c>
      <c r="I2434" s="12">
        <f t="shared" si="113"/>
        <v>5.5210478592587472E-2</v>
      </c>
      <c r="J2434" s="12">
        <f>G2434*(D2434*Assumptions!$B$6+E2434*Assumptions!$B$7)</f>
        <v>4.1962574765928174E-3</v>
      </c>
    </row>
    <row r="2435" spans="1:10" x14ac:dyDescent="0.2">
      <c r="A2435" s="2">
        <v>2427</v>
      </c>
      <c r="B2435" s="14">
        <f>A2435*Assumptions!$B$12</f>
        <v>24.27</v>
      </c>
      <c r="C2435" s="15">
        <f>IF(A2435&lt;=Assumptions!$B$13,IF(OR(A2435=0,A2435=Assumptions!$B$13),0.5,1),0)*Assumptions!$B$12</f>
        <v>0</v>
      </c>
      <c r="D2435" s="12">
        <f>D2434*(1-Assumptions!$B$12*(Assumptions!$B$5+Assumptions!$B$6))</f>
        <v>0.48277274811454751</v>
      </c>
      <c r="E2435" s="12">
        <f>E2434+Assumptions!$B$12*(D2434*Assumptions!$B$5-E2434*Assumptions!$B$7)</f>
        <v>0.18570750073562722</v>
      </c>
      <c r="F2435" s="12">
        <f t="shared" si="111"/>
        <v>0.33151975114982524</v>
      </c>
      <c r="G2435" s="12">
        <f>EXP(-Assumptions!$B$8*B2435)</f>
        <v>0.29715541328121442</v>
      </c>
      <c r="H2435" s="12">
        <f t="shared" si="112"/>
        <v>0.143458535486886</v>
      </c>
      <c r="I2435" s="12">
        <f t="shared" si="113"/>
        <v>5.5183989130516739E-2</v>
      </c>
      <c r="J2435" s="12">
        <f>G2435*(D2435*Assumptions!$B$6+E2435*Assumptions!$B$7)</f>
        <v>4.193784811394697E-3</v>
      </c>
    </row>
    <row r="2436" spans="1:10" x14ac:dyDescent="0.2">
      <c r="A2436" s="2">
        <v>2428</v>
      </c>
      <c r="B2436" s="14">
        <f>A2436*Assumptions!$B$12</f>
        <v>24.28</v>
      </c>
      <c r="C2436" s="15">
        <f>IF(A2436&lt;=Assumptions!$B$13,IF(OR(A2436=0,A2436=Assumptions!$B$13),0.5,1),0)*Assumptions!$B$12</f>
        <v>0</v>
      </c>
      <c r="D2436" s="12">
        <f>D2435*(1-Assumptions!$B$12*(Assumptions!$B$5+Assumptions!$B$6))</f>
        <v>0.48262791629011315</v>
      </c>
      <c r="E2436" s="12">
        <f>E2435+Assumptions!$B$12*(D2435*Assumptions!$B$5-E2435*Assumptions!$B$7)</f>
        <v>0.18571120153488233</v>
      </c>
      <c r="F2436" s="12">
        <f t="shared" si="111"/>
        <v>0.33166088217500456</v>
      </c>
      <c r="G2436" s="12">
        <f>EXP(-Assumptions!$B$8*B2436)</f>
        <v>0.29700687271281045</v>
      </c>
      <c r="H2436" s="12">
        <f t="shared" si="112"/>
        <v>0.14334380810122657</v>
      </c>
      <c r="I2436" s="12">
        <f t="shared" si="113"/>
        <v>5.5157503195613883E-2</v>
      </c>
      <c r="J2436" s="12">
        <f>G2436*(D2436*Assumptions!$B$6+E2436*Assumptions!$B$7)</f>
        <v>4.1913132407929606E-3</v>
      </c>
    </row>
    <row r="2437" spans="1:10" x14ac:dyDescent="0.2">
      <c r="A2437" s="2">
        <v>2429</v>
      </c>
      <c r="B2437" s="14">
        <f>A2437*Assumptions!$B$12</f>
        <v>24.29</v>
      </c>
      <c r="C2437" s="15">
        <f>IF(A2437&lt;=Assumptions!$B$13,IF(OR(A2437=0,A2437=Assumptions!$B$13),0.5,1),0)*Assumptions!$B$12</f>
        <v>0</v>
      </c>
      <c r="D2437" s="12">
        <f>D2436*(1-Assumptions!$B$12*(Assumptions!$B$5+Assumptions!$B$6))</f>
        <v>0.48248312791522613</v>
      </c>
      <c r="E2437" s="12">
        <f>E2436+Assumptions!$B$12*(D2436*Assumptions!$B$5-E2436*Assumptions!$B$7)</f>
        <v>0.1857148715173729</v>
      </c>
      <c r="F2437" s="12">
        <f t="shared" si="111"/>
        <v>0.33180200056740095</v>
      </c>
      <c r="G2437" s="12">
        <f>EXP(-Assumptions!$B$8*B2437)</f>
        <v>0.29685840639612626</v>
      </c>
      <c r="H2437" s="12">
        <f t="shared" si="112"/>
        <v>0.14322917246593236</v>
      </c>
      <c r="I2437" s="12">
        <f t="shared" si="113"/>
        <v>5.5131020802708659E-2</v>
      </c>
      <c r="J2437" s="12">
        <f>G2437*(D2437*Assumptions!$B$6+E2437*Assumptions!$B$7)</f>
        <v>4.1888427647947561E-3</v>
      </c>
    </row>
    <row r="2438" spans="1:10" x14ac:dyDescent="0.2">
      <c r="A2438" s="2">
        <v>2430</v>
      </c>
      <c r="B2438" s="14">
        <f>A2438*Assumptions!$B$12</f>
        <v>24.3</v>
      </c>
      <c r="C2438" s="15">
        <f>IF(A2438&lt;=Assumptions!$B$13,IF(OR(A2438=0,A2438=Assumptions!$B$13),0.5,1),0)*Assumptions!$B$12</f>
        <v>0</v>
      </c>
      <c r="D2438" s="12">
        <f>D2437*(1-Assumptions!$B$12*(Assumptions!$B$5+Assumptions!$B$6))</f>
        <v>0.48233838297685155</v>
      </c>
      <c r="E2438" s="12">
        <f>E2437+Assumptions!$B$12*(D2437*Assumptions!$B$5-E2437*Assumptions!$B$7)</f>
        <v>0.18571851070719725</v>
      </c>
      <c r="F2438" s="12">
        <f t="shared" si="111"/>
        <v>0.33194310631595125</v>
      </c>
      <c r="G2438" s="12">
        <f>EXP(-Assumptions!$B$8*B2438)</f>
        <v>0.29671001429404525</v>
      </c>
      <c r="H2438" s="12">
        <f t="shared" si="112"/>
        <v>0.14311462850762829</v>
      </c>
      <c r="I2438" s="12">
        <f t="shared" si="113"/>
        <v>5.5104541966601292E-2</v>
      </c>
      <c r="J2438" s="12">
        <f>G2438*(D2438*Assumptions!$B$6+E2438*Assumptions!$B$7)</f>
        <v>4.1863733834063476E-3</v>
      </c>
    </row>
    <row r="2439" spans="1:10" x14ac:dyDescent="0.2">
      <c r="A2439" s="2">
        <v>2431</v>
      </c>
      <c r="B2439" s="14">
        <f>A2439*Assumptions!$B$12</f>
        <v>24.310000000000002</v>
      </c>
      <c r="C2439" s="15">
        <f>IF(A2439&lt;=Assumptions!$B$13,IF(OR(A2439=0,A2439=Assumptions!$B$13),0.5,1),0)*Assumptions!$B$12</f>
        <v>0</v>
      </c>
      <c r="D2439" s="12">
        <f>D2438*(1-Assumptions!$B$12*(Assumptions!$B$5+Assumptions!$B$6))</f>
        <v>0.48219368146195851</v>
      </c>
      <c r="E2439" s="12">
        <f>E2438+Assumptions!$B$12*(D2438*Assumptions!$B$5-E2438*Assumptions!$B$7)</f>
        <v>0.18572211912843903</v>
      </c>
      <c r="F2439" s="12">
        <f t="shared" si="111"/>
        <v>0.33208419940960243</v>
      </c>
      <c r="G2439" s="12">
        <f>EXP(-Assumptions!$B$8*B2439)</f>
        <v>0.29656169636946927</v>
      </c>
      <c r="H2439" s="12">
        <f t="shared" si="112"/>
        <v>0.14300017615299793</v>
      </c>
      <c r="I2439" s="12">
        <f t="shared" si="113"/>
        <v>5.5078066702062535E-2</v>
      </c>
      <c r="J2439" s="12">
        <f>G2439*(D2439*Assumptions!$B$6+E2439*Assumptions!$B$7)</f>
        <v>4.1839050966331059E-3</v>
      </c>
    </row>
    <row r="2440" spans="1:10" x14ac:dyDescent="0.2">
      <c r="A2440" s="2">
        <v>2432</v>
      </c>
      <c r="B2440" s="14">
        <f>A2440*Assumptions!$B$12</f>
        <v>24.32</v>
      </c>
      <c r="C2440" s="15">
        <f>IF(A2440&lt;=Assumptions!$B$13,IF(OR(A2440=0,A2440=Assumptions!$B$13),0.5,1),0)*Assumptions!$B$12</f>
        <v>0</v>
      </c>
      <c r="D2440" s="12">
        <f>D2439*(1-Assumptions!$B$12*(Assumptions!$B$5+Assumptions!$B$6))</f>
        <v>0.48204902335751992</v>
      </c>
      <c r="E2440" s="12">
        <f>E2439+Assumptions!$B$12*(D2439*Assumptions!$B$5-E2439*Assumptions!$B$7)</f>
        <v>0.18572569680516721</v>
      </c>
      <c r="F2440" s="12">
        <f t="shared" ref="F2440:F2503" si="114">1-D2440-E2440</f>
        <v>0.33222527983731293</v>
      </c>
      <c r="G2440" s="12">
        <f>EXP(-Assumptions!$B$8*B2440)</f>
        <v>0.29641345258531904</v>
      </c>
      <c r="H2440" s="12">
        <f t="shared" ref="H2440:H2503" si="115">G2440*D2440</f>
        <v>0.14288581532878358</v>
      </c>
      <c r="I2440" s="12">
        <f t="shared" ref="I2440:I2503" si="116">G2440*E2440</f>
        <v>5.505159502383377E-2</v>
      </c>
      <c r="J2440" s="12">
        <f>G2440*(D2440*Assumptions!$B$6+E2440*Assumptions!$B$7)</f>
        <v>4.1814379044795239E-3</v>
      </c>
    </row>
    <row r="2441" spans="1:10" x14ac:dyDescent="0.2">
      <c r="A2441" s="2">
        <v>2433</v>
      </c>
      <c r="B2441" s="14">
        <f>A2441*Assumptions!$B$12</f>
        <v>24.330000000000002</v>
      </c>
      <c r="C2441" s="15">
        <f>IF(A2441&lt;=Assumptions!$B$13,IF(OR(A2441=0,A2441=Assumptions!$B$13),0.5,1),0)*Assumptions!$B$12</f>
        <v>0</v>
      </c>
      <c r="D2441" s="12">
        <f>D2440*(1-Assumptions!$B$12*(Assumptions!$B$5+Assumptions!$B$6))</f>
        <v>0.48190440865051271</v>
      </c>
      <c r="E2441" s="12">
        <f>E2440+Assumptions!$B$12*(D2440*Assumptions!$B$5-E2440*Assumptions!$B$7)</f>
        <v>0.18572924376143612</v>
      </c>
      <c r="F2441" s="12">
        <f t="shared" si="114"/>
        <v>0.33236634758805123</v>
      </c>
      <c r="G2441" s="12">
        <f>EXP(-Assumptions!$B$8*B2441)</f>
        <v>0.29626528290453347</v>
      </c>
      <c r="H2441" s="12">
        <f t="shared" si="115"/>
        <v>0.14277154596178604</v>
      </c>
      <c r="I2441" s="12">
        <f t="shared" si="116"/>
        <v>5.502512694662693E-2</v>
      </c>
      <c r="J2441" s="12">
        <f>G2441*(D2441*Assumptions!$B$6+E2441*Assumptions!$B$7)</f>
        <v>4.1789718069492072E-3</v>
      </c>
    </row>
    <row r="2442" spans="1:10" x14ac:dyDescent="0.2">
      <c r="A2442" s="2">
        <v>2434</v>
      </c>
      <c r="B2442" s="14">
        <f>A2442*Assumptions!$B$12</f>
        <v>24.34</v>
      </c>
      <c r="C2442" s="15">
        <f>IF(A2442&lt;=Assumptions!$B$13,IF(OR(A2442=0,A2442=Assumptions!$B$13),0.5,1),0)*Assumptions!$B$12</f>
        <v>0</v>
      </c>
      <c r="D2442" s="12">
        <f>D2441*(1-Assumptions!$B$12*(Assumptions!$B$5+Assumptions!$B$6))</f>
        <v>0.48175983732791755</v>
      </c>
      <c r="E2442" s="12">
        <f>E2441+Assumptions!$B$12*(D2441*Assumptions!$B$5-E2441*Assumptions!$B$7)</f>
        <v>0.1857327600212855</v>
      </c>
      <c r="F2442" s="12">
        <f t="shared" si="114"/>
        <v>0.33250740265079703</v>
      </c>
      <c r="G2442" s="12">
        <f>EXP(-Assumptions!$B$8*B2442)</f>
        <v>0.29611718729007014</v>
      </c>
      <c r="H2442" s="12">
        <f t="shared" si="115"/>
        <v>0.14265736797886469</v>
      </c>
      <c r="I2442" s="12">
        <f t="shared" si="116"/>
        <v>5.4998662485124652E-2</v>
      </c>
      <c r="J2442" s="12">
        <f>G2442*(D2442*Assumptions!$B$6+E2442*Assumptions!$B$7)</f>
        <v>4.1765068040448793E-3</v>
      </c>
    </row>
    <row r="2443" spans="1:10" x14ac:dyDescent="0.2">
      <c r="A2443" s="2">
        <v>2435</v>
      </c>
      <c r="B2443" s="14">
        <f>A2443*Assumptions!$B$12</f>
        <v>24.35</v>
      </c>
      <c r="C2443" s="15">
        <f>IF(A2443&lt;=Assumptions!$B$13,IF(OR(A2443=0,A2443=Assumptions!$B$13),0.5,1),0)*Assumptions!$B$12</f>
        <v>0</v>
      </c>
      <c r="D2443" s="12">
        <f>D2442*(1-Assumptions!$B$12*(Assumptions!$B$5+Assumptions!$B$6))</f>
        <v>0.4816153093767192</v>
      </c>
      <c r="E2443" s="12">
        <f>E2442+Assumptions!$B$12*(D2442*Assumptions!$B$5-E2442*Assumptions!$B$7)</f>
        <v>0.18573624560874044</v>
      </c>
      <c r="F2443" s="12">
        <f t="shared" si="114"/>
        <v>0.33264844501454027</v>
      </c>
      <c r="G2443" s="12">
        <f>EXP(-Assumptions!$B$8*B2443)</f>
        <v>0.29596916570490511</v>
      </c>
      <c r="H2443" s="12">
        <f t="shared" si="115"/>
        <v>0.14254328130693736</v>
      </c>
      <c r="I2443" s="12">
        <f t="shared" si="116"/>
        <v>5.4972201653980257E-2</v>
      </c>
      <c r="J2443" s="12">
        <f>G2443*(D2443*Assumptions!$B$6+E2443*Assumptions!$B$7)</f>
        <v>4.1740428957683868E-3</v>
      </c>
    </row>
    <row r="2444" spans="1:10" x14ac:dyDescent="0.2">
      <c r="A2444" s="2">
        <v>2436</v>
      </c>
      <c r="B2444" s="14">
        <f>A2444*Assumptions!$B$12</f>
        <v>24.36</v>
      </c>
      <c r="C2444" s="15">
        <f>IF(A2444&lt;=Assumptions!$B$13,IF(OR(A2444=0,A2444=Assumptions!$B$13),0.5,1),0)*Assumptions!$B$12</f>
        <v>0</v>
      </c>
      <c r="D2444" s="12">
        <f>D2443*(1-Assumptions!$B$12*(Assumptions!$B$5+Assumptions!$B$6))</f>
        <v>0.48147082478390618</v>
      </c>
      <c r="E2444" s="12">
        <f>E2443+Assumptions!$B$12*(D2443*Assumptions!$B$5-E2443*Assumptions!$B$7)</f>
        <v>0.18573970054781141</v>
      </c>
      <c r="F2444" s="12">
        <f t="shared" si="114"/>
        <v>0.33278947466828246</v>
      </c>
      <c r="G2444" s="12">
        <f>EXP(-Assumptions!$B$8*B2444)</f>
        <v>0.29582121811203321</v>
      </c>
      <c r="H2444" s="12">
        <f t="shared" si="115"/>
        <v>0.14242928587298043</v>
      </c>
      <c r="I2444" s="12">
        <f t="shared" si="116"/>
        <v>5.4945744467817859E-2</v>
      </c>
      <c r="J2444" s="12">
        <f>G2444*(D2444*Assumptions!$B$6+E2444*Assumptions!$B$7)</f>
        <v>4.1715800821206968E-3</v>
      </c>
    </row>
    <row r="2445" spans="1:10" x14ac:dyDescent="0.2">
      <c r="A2445" s="2">
        <v>2437</v>
      </c>
      <c r="B2445" s="14">
        <f>A2445*Assumptions!$B$12</f>
        <v>24.37</v>
      </c>
      <c r="C2445" s="15">
        <f>IF(A2445&lt;=Assumptions!$B$13,IF(OR(A2445=0,A2445=Assumptions!$B$13),0.5,1),0)*Assumptions!$B$12</f>
        <v>0</v>
      </c>
      <c r="D2445" s="12">
        <f>D2444*(1-Assumptions!$B$12*(Assumptions!$B$5+Assumptions!$B$6))</f>
        <v>0.481326383536471</v>
      </c>
      <c r="E2445" s="12">
        <f>E2444+Assumptions!$B$12*(D2444*Assumptions!$B$5-E2444*Assumptions!$B$7)</f>
        <v>0.18574312486249428</v>
      </c>
      <c r="F2445" s="12">
        <f t="shared" si="114"/>
        <v>0.33293049160103477</v>
      </c>
      <c r="G2445" s="12">
        <f>EXP(-Assumptions!$B$8*B2445)</f>
        <v>0.29567334447446725</v>
      </c>
      <c r="H2445" s="12">
        <f t="shared" si="115"/>
        <v>0.14231538160402854</v>
      </c>
      <c r="I2445" s="12">
        <f t="shared" si="116"/>
        <v>5.4919290941232254E-2</v>
      </c>
      <c r="J2445" s="12">
        <f>G2445*(D2445*Assumptions!$B$6+E2445*Assumptions!$B$7)</f>
        <v>4.1691183631018987E-3</v>
      </c>
    </row>
    <row r="2446" spans="1:10" x14ac:dyDescent="0.2">
      <c r="A2446" s="2">
        <v>2438</v>
      </c>
      <c r="B2446" s="14">
        <f>A2446*Assumptions!$B$12</f>
        <v>24.38</v>
      </c>
      <c r="C2446" s="15">
        <f>IF(A2446&lt;=Assumptions!$B$13,IF(OR(A2446=0,A2446=Assumptions!$B$13),0.5,1),0)*Assumptions!$B$12</f>
        <v>0</v>
      </c>
      <c r="D2446" s="12">
        <f>D2445*(1-Assumptions!$B$12*(Assumptions!$B$5+Assumptions!$B$6))</f>
        <v>0.48118198562141007</v>
      </c>
      <c r="E2446" s="12">
        <f>E2445+Assumptions!$B$12*(D2445*Assumptions!$B$5-E2445*Assumptions!$B$7)</f>
        <v>0.18574651857677033</v>
      </c>
      <c r="F2446" s="12">
        <f t="shared" si="114"/>
        <v>0.33307149580181955</v>
      </c>
      <c r="G2446" s="12">
        <f>EXP(-Assumptions!$B$8*B2446)</f>
        <v>0.29552554475523901</v>
      </c>
      <c r="H2446" s="12">
        <f t="shared" si="115"/>
        <v>0.1422015684271748</v>
      </c>
      <c r="I2446" s="12">
        <f t="shared" si="116"/>
        <v>5.4892841088789175E-2</v>
      </c>
      <c r="J2446" s="12">
        <f>G2446*(D2446*Assumptions!$B$6+E2446*Assumptions!$B$7)</f>
        <v>4.1666577387112066E-3</v>
      </c>
    </row>
    <row r="2447" spans="1:10" x14ac:dyDescent="0.2">
      <c r="A2447" s="2">
        <v>2439</v>
      </c>
      <c r="B2447" s="14">
        <f>A2447*Assumptions!$B$12</f>
        <v>24.39</v>
      </c>
      <c r="C2447" s="15">
        <f>IF(A2447&lt;=Assumptions!$B$13,IF(OR(A2447=0,A2447=Assumptions!$B$13),0.5,1),0)*Assumptions!$B$12</f>
        <v>0</v>
      </c>
      <c r="D2447" s="12">
        <f>D2446*(1-Assumptions!$B$12*(Assumptions!$B$5+Assumptions!$B$6))</f>
        <v>0.48103763102572367</v>
      </c>
      <c r="E2447" s="12">
        <f>E2446+Assumptions!$B$12*(D2446*Assumptions!$B$5-E2446*Assumptions!$B$7)</f>
        <v>0.18574988171460621</v>
      </c>
      <c r="F2447" s="12">
        <f t="shared" si="114"/>
        <v>0.33321248725967018</v>
      </c>
      <c r="G2447" s="12">
        <f>EXP(-Assumptions!$B$8*B2447)</f>
        <v>0.29537781891739845</v>
      </c>
      <c r="H2447" s="12">
        <f t="shared" si="115"/>
        <v>0.14208784626957052</v>
      </c>
      <c r="I2447" s="12">
        <f t="shared" si="116"/>
        <v>5.4866394925025139E-2</v>
      </c>
      <c r="J2447" s="12">
        <f>G2447*(D2447*Assumptions!$B$6+E2447*Assumptions!$B$7)</f>
        <v>4.1641982089469622E-3</v>
      </c>
    </row>
    <row r="2448" spans="1:10" x14ac:dyDescent="0.2">
      <c r="A2448" s="2">
        <v>2440</v>
      </c>
      <c r="B2448" s="14">
        <f>A2448*Assumptions!$B$12</f>
        <v>24.400000000000002</v>
      </c>
      <c r="C2448" s="15">
        <f>IF(A2448&lt;=Assumptions!$B$13,IF(OR(A2448=0,A2448=Assumptions!$B$13),0.5,1),0)*Assumptions!$B$12</f>
        <v>0</v>
      </c>
      <c r="D2448" s="12">
        <f>D2447*(1-Assumptions!$B$12*(Assumptions!$B$5+Assumptions!$B$6))</f>
        <v>0.48089331973641597</v>
      </c>
      <c r="E2448" s="12">
        <f>E2447+Assumptions!$B$12*(D2447*Assumptions!$B$5-E2447*Assumptions!$B$7)</f>
        <v>0.18575321429995406</v>
      </c>
      <c r="F2448" s="12">
        <f t="shared" si="114"/>
        <v>0.33335346596362991</v>
      </c>
      <c r="G2448" s="12">
        <f>EXP(-Assumptions!$B$8*B2448)</f>
        <v>0.29523016692401416</v>
      </c>
      <c r="H2448" s="12">
        <f t="shared" si="115"/>
        <v>0.14197421505842539</v>
      </c>
      <c r="I2448" s="12">
        <f t="shared" si="116"/>
        <v>5.483995246444761E-2</v>
      </c>
      <c r="J2448" s="12">
        <f>G2448*(D2448*Assumptions!$B$6+E2448*Assumptions!$B$7)</f>
        <v>4.1617397738066353E-3</v>
      </c>
    </row>
    <row r="2449" spans="1:10" x14ac:dyDescent="0.2">
      <c r="A2449" s="2">
        <v>2441</v>
      </c>
      <c r="B2449" s="14">
        <f>A2449*Assumptions!$B$12</f>
        <v>24.41</v>
      </c>
      <c r="C2449" s="15">
        <f>IF(A2449&lt;=Assumptions!$B$13,IF(OR(A2449=0,A2449=Assumptions!$B$13),0.5,1),0)*Assumptions!$B$12</f>
        <v>0</v>
      </c>
      <c r="D2449" s="12">
        <f>D2448*(1-Assumptions!$B$12*(Assumptions!$B$5+Assumptions!$B$6))</f>
        <v>0.48074905174049504</v>
      </c>
      <c r="E2449" s="12">
        <f>E2448+Assumptions!$B$12*(D2448*Assumptions!$B$5-E2448*Assumptions!$B$7)</f>
        <v>0.18575651635675136</v>
      </c>
      <c r="F2449" s="12">
        <f t="shared" si="114"/>
        <v>0.33349443190275352</v>
      </c>
      <c r="G2449" s="12">
        <f>EXP(-Assumptions!$B$8*B2449)</f>
        <v>0.29508258873817317</v>
      </c>
      <c r="H2449" s="12">
        <f t="shared" si="115"/>
        <v>0.14186067472100722</v>
      </c>
      <c r="I2449" s="12">
        <f t="shared" si="116"/>
        <v>5.4813513721535E-2</v>
      </c>
      <c r="J2449" s="12">
        <f>G2449*(D2449*Assumptions!$B$6+E2449*Assumptions!$B$7)</f>
        <v>4.1592824332868225E-3</v>
      </c>
    </row>
    <row r="2450" spans="1:10" x14ac:dyDescent="0.2">
      <c r="A2450" s="2">
        <v>2442</v>
      </c>
      <c r="B2450" s="14">
        <f>A2450*Assumptions!$B$12</f>
        <v>24.42</v>
      </c>
      <c r="C2450" s="15">
        <f>IF(A2450&lt;=Assumptions!$B$13,IF(OR(A2450=0,A2450=Assumptions!$B$13),0.5,1),0)*Assumptions!$B$12</f>
        <v>0</v>
      </c>
      <c r="D2450" s="12">
        <f>D2449*(1-Assumptions!$B$12*(Assumptions!$B$5+Assumptions!$B$6))</f>
        <v>0.48060482702497292</v>
      </c>
      <c r="E2450" s="12">
        <f>E2449+Assumptions!$B$12*(D2449*Assumptions!$B$5-E2449*Assumptions!$B$7)</f>
        <v>0.18575978790892109</v>
      </c>
      <c r="F2450" s="12">
        <f t="shared" si="114"/>
        <v>0.33363538506610591</v>
      </c>
      <c r="G2450" s="12">
        <f>EXP(-Assumptions!$B$8*B2450)</f>
        <v>0.29493508432298088</v>
      </c>
      <c r="H2450" s="12">
        <f t="shared" si="115"/>
        <v>0.14174722518464203</v>
      </c>
      <c r="I2450" s="12">
        <f t="shared" si="116"/>
        <v>5.4787078710736688E-2</v>
      </c>
      <c r="J2450" s="12">
        <f>G2450*(D2450*Assumptions!$B$6+E2450*Assumptions!$B$7)</f>
        <v>4.1568261873832545E-3</v>
      </c>
    </row>
    <row r="2451" spans="1:10" x14ac:dyDescent="0.2">
      <c r="A2451" s="2">
        <v>2443</v>
      </c>
      <c r="B2451" s="14">
        <f>A2451*Assumptions!$B$12</f>
        <v>24.43</v>
      </c>
      <c r="C2451" s="15">
        <f>IF(A2451&lt;=Assumptions!$B$13,IF(OR(A2451=0,A2451=Assumptions!$B$13),0.5,1),0)*Assumptions!$B$12</f>
        <v>0</v>
      </c>
      <c r="D2451" s="12">
        <f>D2450*(1-Assumptions!$B$12*(Assumptions!$B$5+Assumptions!$B$6))</f>
        <v>0.48046064557686546</v>
      </c>
      <c r="E2451" s="12">
        <f>E2450+Assumptions!$B$12*(D2450*Assumptions!$B$5-E2450*Assumptions!$B$7)</f>
        <v>0.18576302898037161</v>
      </c>
      <c r="F2451" s="12">
        <f t="shared" si="114"/>
        <v>0.33377632544276298</v>
      </c>
      <c r="G2451" s="12">
        <f>EXP(-Assumptions!$B$8*B2451)</f>
        <v>0.29478765364156123</v>
      </c>
      <c r="H2451" s="12">
        <f t="shared" si="115"/>
        <v>0.14163386637671393</v>
      </c>
      <c r="I2451" s="12">
        <f t="shared" si="116"/>
        <v>5.476064744647309E-2</v>
      </c>
      <c r="J2451" s="12">
        <f>G2451*(D2451*Assumptions!$B$6+E2451*Assumptions!$B$7)</f>
        <v>4.154371036090794E-3</v>
      </c>
    </row>
    <row r="2452" spans="1:10" x14ac:dyDescent="0.2">
      <c r="A2452" s="2">
        <v>2444</v>
      </c>
      <c r="B2452" s="14">
        <f>A2452*Assumptions!$B$12</f>
        <v>24.44</v>
      </c>
      <c r="C2452" s="15">
        <f>IF(A2452&lt;=Assumptions!$B$13,IF(OR(A2452=0,A2452=Assumptions!$B$13),0.5,1),0)*Assumptions!$B$12</f>
        <v>0</v>
      </c>
      <c r="D2452" s="12">
        <f>D2451*(1-Assumptions!$B$12*(Assumptions!$B$5+Assumptions!$B$6))</f>
        <v>0.48031650738319243</v>
      </c>
      <c r="E2452" s="12">
        <f>E2451+Assumptions!$B$12*(D2451*Assumptions!$B$5-E2451*Assumptions!$B$7)</f>
        <v>0.1857662395949968</v>
      </c>
      <c r="F2452" s="12">
        <f t="shared" si="114"/>
        <v>0.33391725302181074</v>
      </c>
      <c r="G2452" s="12">
        <f>EXP(-Assumptions!$B$8*B2452)</f>
        <v>0.29464029665705649</v>
      </c>
      <c r="H2452" s="12">
        <f t="shared" si="115"/>
        <v>0.14152059822466509</v>
      </c>
      <c r="I2452" s="12">
        <f t="shared" si="116"/>
        <v>5.4734219943135688E-2</v>
      </c>
      <c r="J2452" s="12">
        <f>G2452*(D2452*Assumptions!$B$6+E2452*Assumptions!$B$7)</f>
        <v>4.1519169794034354E-3</v>
      </c>
    </row>
    <row r="2453" spans="1:10" x14ac:dyDescent="0.2">
      <c r="A2453" s="2">
        <v>2445</v>
      </c>
      <c r="B2453" s="14">
        <f>A2453*Assumptions!$B$12</f>
        <v>24.45</v>
      </c>
      <c r="C2453" s="15">
        <f>IF(A2453&lt;=Assumptions!$B$13,IF(OR(A2453=0,A2453=Assumptions!$B$13),0.5,1),0)*Assumptions!$B$12</f>
        <v>0</v>
      </c>
      <c r="D2453" s="12">
        <f>D2452*(1-Assumptions!$B$12*(Assumptions!$B$5+Assumptions!$B$6))</f>
        <v>0.48017241243097747</v>
      </c>
      <c r="E2453" s="12">
        <f>E2452+Assumptions!$B$12*(D2452*Assumptions!$B$5-E2452*Assumptions!$B$7)</f>
        <v>0.18576941977667594</v>
      </c>
      <c r="F2453" s="12">
        <f t="shared" si="114"/>
        <v>0.33405816779234665</v>
      </c>
      <c r="G2453" s="12">
        <f>EXP(-Assumptions!$B$8*B2453)</f>
        <v>0.29449301333262751</v>
      </c>
      <c r="H2453" s="12">
        <f t="shared" si="115"/>
        <v>0.14140742065599576</v>
      </c>
      <c r="I2453" s="12">
        <f t="shared" si="116"/>
        <v>5.4707796215087104E-2</v>
      </c>
      <c r="J2453" s="12">
        <f>G2453*(D2453*Assumptions!$B$6+E2453*Assumptions!$B$7)</f>
        <v>4.1494640173143126E-3</v>
      </c>
    </row>
    <row r="2454" spans="1:10" x14ac:dyDescent="0.2">
      <c r="A2454" s="2">
        <v>2446</v>
      </c>
      <c r="B2454" s="14">
        <f>A2454*Assumptions!$B$12</f>
        <v>24.46</v>
      </c>
      <c r="C2454" s="15">
        <f>IF(A2454&lt;=Assumptions!$B$13,IF(OR(A2454=0,A2454=Assumptions!$B$13),0.5,1),0)*Assumptions!$B$12</f>
        <v>0</v>
      </c>
      <c r="D2454" s="12">
        <f>D2453*(1-Assumptions!$B$12*(Assumptions!$B$5+Assumptions!$B$6))</f>
        <v>0.48002836070724819</v>
      </c>
      <c r="E2454" s="12">
        <f>E2453+Assumptions!$B$12*(D2453*Assumptions!$B$5-E2453*Assumptions!$B$7)</f>
        <v>0.18577256954927379</v>
      </c>
      <c r="F2454" s="12">
        <f t="shared" si="114"/>
        <v>0.33419906974347802</v>
      </c>
      <c r="G2454" s="12">
        <f>EXP(-Assumptions!$B$8*B2454)</f>
        <v>0.29434580363145335</v>
      </c>
      <c r="H2454" s="12">
        <f t="shared" si="115"/>
        <v>0.14129433359826413</v>
      </c>
      <c r="I2454" s="12">
        <f t="shared" si="116"/>
        <v>5.4681376276661052E-2</v>
      </c>
      <c r="J2454" s="12">
        <f>G2454*(D2454*Assumptions!$B$6+E2454*Assumptions!$B$7)</f>
        <v>4.147012149815694E-3</v>
      </c>
    </row>
    <row r="2455" spans="1:10" x14ac:dyDescent="0.2">
      <c r="A2455" s="2">
        <v>2447</v>
      </c>
      <c r="B2455" s="14">
        <f>A2455*Assumptions!$B$12</f>
        <v>24.47</v>
      </c>
      <c r="C2455" s="15">
        <f>IF(A2455&lt;=Assumptions!$B$13,IF(OR(A2455=0,A2455=Assumptions!$B$13),0.5,1),0)*Assumptions!$B$12</f>
        <v>0</v>
      </c>
      <c r="D2455" s="12">
        <f>D2454*(1-Assumptions!$B$12*(Assumptions!$B$5+Assumptions!$B$6))</f>
        <v>0.47988435219903602</v>
      </c>
      <c r="E2455" s="12">
        <f>E2454+Assumptions!$B$12*(D2454*Assumptions!$B$5-E2454*Assumptions!$B$7)</f>
        <v>0.18577568893664059</v>
      </c>
      <c r="F2455" s="12">
        <f t="shared" si="114"/>
        <v>0.33433995886432338</v>
      </c>
      <c r="G2455" s="12">
        <f>EXP(-Assumptions!$B$8*B2455)</f>
        <v>0.29419866751673168</v>
      </c>
      <c r="H2455" s="12">
        <f t="shared" si="115"/>
        <v>0.14118133697908636</v>
      </c>
      <c r="I2455" s="12">
        <f t="shared" si="116"/>
        <v>5.4654960142162493E-2</v>
      </c>
      <c r="J2455" s="12">
        <f>G2455*(D2455*Assumptions!$B$6+E2455*Assumptions!$B$7)</f>
        <v>4.1445613768989883E-3</v>
      </c>
    </row>
    <row r="2456" spans="1:10" x14ac:dyDescent="0.2">
      <c r="A2456" s="2">
        <v>2448</v>
      </c>
      <c r="B2456" s="14">
        <f>A2456*Assumptions!$B$12</f>
        <v>24.48</v>
      </c>
      <c r="C2456" s="15">
        <f>IF(A2456&lt;=Assumptions!$B$13,IF(OR(A2456=0,A2456=Assumptions!$B$13),0.5,1),0)*Assumptions!$B$12</f>
        <v>0</v>
      </c>
      <c r="D2456" s="12">
        <f>D2455*(1-Assumptions!$B$12*(Assumptions!$B$5+Assumptions!$B$6))</f>
        <v>0.47974038689337634</v>
      </c>
      <c r="E2456" s="12">
        <f>E2455+Assumptions!$B$12*(D2455*Assumptions!$B$5-E2455*Assumptions!$B$7)</f>
        <v>0.18577877796261208</v>
      </c>
      <c r="F2456" s="12">
        <f t="shared" si="114"/>
        <v>0.33448083514401161</v>
      </c>
      <c r="G2456" s="12">
        <f>EXP(-Assumptions!$B$8*B2456)</f>
        <v>0.29405160495167831</v>
      </c>
      <c r="H2456" s="12">
        <f t="shared" si="115"/>
        <v>0.14106843072613642</v>
      </c>
      <c r="I2456" s="12">
        <f t="shared" si="116"/>
        <v>5.4628547825867568E-2</v>
      </c>
      <c r="J2456" s="12">
        <f>G2456*(D2456*Assumptions!$B$6+E2456*Assumptions!$B$7)</f>
        <v>4.1421116985547431E-3</v>
      </c>
    </row>
    <row r="2457" spans="1:10" x14ac:dyDescent="0.2">
      <c r="A2457" s="2">
        <v>2449</v>
      </c>
      <c r="B2457" s="14">
        <f>A2457*Assumptions!$B$12</f>
        <v>24.490000000000002</v>
      </c>
      <c r="C2457" s="15">
        <f>IF(A2457&lt;=Assumptions!$B$13,IF(OR(A2457=0,A2457=Assumptions!$B$13),0.5,1),0)*Assumptions!$B$12</f>
        <v>0</v>
      </c>
      <c r="D2457" s="12">
        <f>D2456*(1-Assumptions!$B$12*(Assumptions!$B$5+Assumptions!$B$6))</f>
        <v>0.47959646477730833</v>
      </c>
      <c r="E2457" s="12">
        <f>E2456+Assumptions!$B$12*(D2456*Assumptions!$B$5-E2456*Assumptions!$B$7)</f>
        <v>0.18578183665100945</v>
      </c>
      <c r="F2457" s="12">
        <f t="shared" si="114"/>
        <v>0.33462169857168222</v>
      </c>
      <c r="G2457" s="12">
        <f>EXP(-Assumptions!$B$8*B2457)</f>
        <v>0.29390461589952782</v>
      </c>
      <c r="H2457" s="12">
        <f t="shared" si="115"/>
        <v>0.14095561476714621</v>
      </c>
      <c r="I2457" s="12">
        <f t="shared" si="116"/>
        <v>5.4602139342023751E-2</v>
      </c>
      <c r="J2457" s="12">
        <f>G2457*(D2457*Assumptions!$B$6+E2457*Assumptions!$B$7)</f>
        <v>4.1396631147726497E-3</v>
      </c>
    </row>
    <row r="2458" spans="1:10" x14ac:dyDescent="0.2">
      <c r="A2458" s="2">
        <v>2450</v>
      </c>
      <c r="B2458" s="14">
        <f>A2458*Assumptions!$B$12</f>
        <v>24.5</v>
      </c>
      <c r="C2458" s="15">
        <f>IF(A2458&lt;=Assumptions!$B$13,IF(OR(A2458=0,A2458=Assumptions!$B$13),0.5,1),0)*Assumptions!$B$12</f>
        <v>0</v>
      </c>
      <c r="D2458" s="12">
        <f>D2457*(1-Assumptions!$B$12*(Assumptions!$B$5+Assumptions!$B$6))</f>
        <v>0.47945258583787514</v>
      </c>
      <c r="E2458" s="12">
        <f>E2457+Assumptions!$B$12*(D2457*Assumptions!$B$5-E2457*Assumptions!$B$7)</f>
        <v>0.1857848650256394</v>
      </c>
      <c r="F2458" s="12">
        <f t="shared" si="114"/>
        <v>0.33476254913648551</v>
      </c>
      <c r="G2458" s="12">
        <f>EXP(-Assumptions!$B$8*B2458)</f>
        <v>0.29375770032353277</v>
      </c>
      <c r="H2458" s="12">
        <f t="shared" si="115"/>
        <v>0.14084288902990541</v>
      </c>
      <c r="I2458" s="12">
        <f t="shared" si="116"/>
        <v>5.4575734704849763E-2</v>
      </c>
      <c r="J2458" s="12">
        <f>G2458*(D2458*Assumptions!$B$6+E2458*Assumptions!$B$7)</f>
        <v>4.1372156255415418E-3</v>
      </c>
    </row>
    <row r="2459" spans="1:10" x14ac:dyDescent="0.2">
      <c r="A2459" s="2">
        <v>2451</v>
      </c>
      <c r="B2459" s="14">
        <f>A2459*Assumptions!$B$12</f>
        <v>24.51</v>
      </c>
      <c r="C2459" s="15">
        <f>IF(A2459&lt;=Assumptions!$B$13,IF(OR(A2459=0,A2459=Assumptions!$B$13),0.5,1),0)*Assumptions!$B$12</f>
        <v>0</v>
      </c>
      <c r="D2459" s="12">
        <f>D2458*(1-Assumptions!$B$12*(Assumptions!$B$5+Assumptions!$B$6))</f>
        <v>0.47930875006212381</v>
      </c>
      <c r="E2459" s="12">
        <f>E2458+Assumptions!$B$12*(D2458*Assumptions!$B$5-E2458*Assumptions!$B$7)</f>
        <v>0.18578786311029416</v>
      </c>
      <c r="F2459" s="12">
        <f t="shared" si="114"/>
        <v>0.33490338682758203</v>
      </c>
      <c r="G2459" s="12">
        <f>EXP(-Assumptions!$B$8*B2459)</f>
        <v>0.29361085818696431</v>
      </c>
      <c r="H2459" s="12">
        <f t="shared" si="115"/>
        <v>0.14073025344226137</v>
      </c>
      <c r="I2459" s="12">
        <f t="shared" si="116"/>
        <v>5.4549333928535719E-2</v>
      </c>
      <c r="J2459" s="12">
        <f>G2459*(D2459*Assumptions!$B$6+E2459*Assumptions!$B$7)</f>
        <v>4.1347692308493994E-3</v>
      </c>
    </row>
    <row r="2460" spans="1:10" x14ac:dyDescent="0.2">
      <c r="A2460" s="2">
        <v>2452</v>
      </c>
      <c r="B2460" s="14">
        <f>A2460*Assumptions!$B$12</f>
        <v>24.52</v>
      </c>
      <c r="C2460" s="15">
        <f>IF(A2460&lt;=Assumptions!$B$13,IF(OR(A2460=0,A2460=Assumptions!$B$13),0.5,1),0)*Assumptions!$B$12</f>
        <v>0</v>
      </c>
      <c r="D2460" s="12">
        <f>D2459*(1-Assumptions!$B$12*(Assumptions!$B$5+Assumptions!$B$6))</f>
        <v>0.47916495743710519</v>
      </c>
      <c r="E2460" s="12">
        <f>E2459+Assumptions!$B$12*(D2459*Assumptions!$B$5-E2459*Assumptions!$B$7)</f>
        <v>0.18579083092875143</v>
      </c>
      <c r="F2460" s="12">
        <f t="shared" si="114"/>
        <v>0.33504421163414339</v>
      </c>
      <c r="G2460" s="12">
        <f>EXP(-Assumptions!$B$8*B2460)</f>
        <v>0.29346408945311209</v>
      </c>
      <c r="H2460" s="12">
        <f t="shared" si="115"/>
        <v>0.14061770793211928</v>
      </c>
      <c r="I2460" s="12">
        <f t="shared" si="116"/>
        <v>5.4522937027243132E-2</v>
      </c>
      <c r="J2460" s="12">
        <f>G2460*(D2460*Assumptions!$B$6+E2460*Assumptions!$B$7)</f>
        <v>4.1323239306833492E-3</v>
      </c>
    </row>
    <row r="2461" spans="1:10" x14ac:dyDescent="0.2">
      <c r="A2461" s="2">
        <v>2453</v>
      </c>
      <c r="B2461" s="14">
        <f>A2461*Assumptions!$B$12</f>
        <v>24.53</v>
      </c>
      <c r="C2461" s="15">
        <f>IF(A2461&lt;=Assumptions!$B$13,IF(OR(A2461=0,A2461=Assumptions!$B$13),0.5,1),0)*Assumptions!$B$12</f>
        <v>0</v>
      </c>
      <c r="D2461" s="12">
        <f>D2460*(1-Assumptions!$B$12*(Assumptions!$B$5+Assumptions!$B$6))</f>
        <v>0.47902120794987407</v>
      </c>
      <c r="E2461" s="12">
        <f>E2460+Assumptions!$B$12*(D2460*Assumptions!$B$5-E2460*Assumptions!$B$7)</f>
        <v>0.18579376850477447</v>
      </c>
      <c r="F2461" s="12">
        <f t="shared" si="114"/>
        <v>0.3351850235453514</v>
      </c>
      <c r="G2461" s="12">
        <f>EXP(-Assumptions!$B$8*B2461)</f>
        <v>0.29331739408528357</v>
      </c>
      <c r="H2461" s="12">
        <f t="shared" si="115"/>
        <v>0.14050525242744177</v>
      </c>
      <c r="I2461" s="12">
        <f t="shared" si="116"/>
        <v>5.4496544015104877E-2</v>
      </c>
      <c r="J2461" s="12">
        <f>G2461*(D2461*Assumptions!$B$6+E2461*Assumptions!$B$7)</f>
        <v>4.1298797250296617E-3</v>
      </c>
    </row>
    <row r="2462" spans="1:10" x14ac:dyDescent="0.2">
      <c r="A2462" s="2">
        <v>2454</v>
      </c>
      <c r="B2462" s="14">
        <f>A2462*Assumptions!$B$12</f>
        <v>24.54</v>
      </c>
      <c r="C2462" s="15">
        <f>IF(A2462&lt;=Assumptions!$B$13,IF(OR(A2462=0,A2462=Assumptions!$B$13),0.5,1),0)*Assumptions!$B$12</f>
        <v>0</v>
      </c>
      <c r="D2462" s="12">
        <f>D2461*(1-Assumptions!$B$12*(Assumptions!$B$5+Assumptions!$B$6))</f>
        <v>0.47887750158748915</v>
      </c>
      <c r="E2462" s="12">
        <f>E2461+Assumptions!$B$12*(D2461*Assumptions!$B$5-E2461*Assumptions!$B$7)</f>
        <v>0.18579667586211207</v>
      </c>
      <c r="F2462" s="12">
        <f t="shared" si="114"/>
        <v>0.33532582255039883</v>
      </c>
      <c r="G2462" s="12">
        <f>EXP(-Assumptions!$B$8*B2462)</f>
        <v>0.29317077204680519</v>
      </c>
      <c r="H2462" s="12">
        <f t="shared" si="115"/>
        <v>0.14039288685624937</v>
      </c>
      <c r="I2462" s="12">
        <f t="shared" si="116"/>
        <v>5.4470154906225414E-2</v>
      </c>
      <c r="J2462" s="12">
        <f>G2462*(D2462*Assumptions!$B$6+E2462*Assumptions!$B$7)</f>
        <v>4.1274366138737651E-3</v>
      </c>
    </row>
    <row r="2463" spans="1:10" x14ac:dyDescent="0.2">
      <c r="A2463" s="2">
        <v>2455</v>
      </c>
      <c r="B2463" s="14">
        <f>A2463*Assumptions!$B$12</f>
        <v>24.55</v>
      </c>
      <c r="C2463" s="15">
        <f>IF(A2463&lt;=Assumptions!$B$13,IF(OR(A2463=0,A2463=Assumptions!$B$13),0.5,1),0)*Assumptions!$B$12</f>
        <v>0</v>
      </c>
      <c r="D2463" s="12">
        <f>D2462*(1-Assumptions!$B$12*(Assumptions!$B$5+Assumptions!$B$6))</f>
        <v>0.47873383833701294</v>
      </c>
      <c r="E2463" s="12">
        <f>E2462+Assumptions!$B$12*(D2462*Assumptions!$B$5-E2462*Assumptions!$B$7)</f>
        <v>0.18579955302449852</v>
      </c>
      <c r="F2463" s="12">
        <f t="shared" si="114"/>
        <v>0.33546660863848848</v>
      </c>
      <c r="G2463" s="12">
        <f>EXP(-Assumptions!$B$8*B2463)</f>
        <v>0.29302422330102135</v>
      </c>
      <c r="H2463" s="12">
        <f t="shared" si="115"/>
        <v>0.14028061114661994</v>
      </c>
      <c r="I2463" s="12">
        <f t="shared" si="116"/>
        <v>5.4443769714680609E-2</v>
      </c>
      <c r="J2463" s="12">
        <f>G2463*(D2463*Assumptions!$B$6+E2463*Assumptions!$B$7)</f>
        <v>4.1249945972002301E-3</v>
      </c>
    </row>
    <row r="2464" spans="1:10" x14ac:dyDescent="0.2">
      <c r="A2464" s="2">
        <v>2456</v>
      </c>
      <c r="B2464" s="14">
        <f>A2464*Assumptions!$B$12</f>
        <v>24.560000000000002</v>
      </c>
      <c r="C2464" s="15">
        <f>IF(A2464&lt;=Assumptions!$B$13,IF(OR(A2464=0,A2464=Assumptions!$B$13),0.5,1),0)*Assumptions!$B$12</f>
        <v>0</v>
      </c>
      <c r="D2464" s="12">
        <f>D2463*(1-Assumptions!$B$12*(Assumptions!$B$5+Assumptions!$B$6))</f>
        <v>0.47859021818551184</v>
      </c>
      <c r="E2464" s="12">
        <f>E2463+Assumptions!$B$12*(D2463*Assumptions!$B$5-E2463*Assumptions!$B$7)</f>
        <v>0.18580240001565368</v>
      </c>
      <c r="F2464" s="12">
        <f t="shared" si="114"/>
        <v>0.33560738179883448</v>
      </c>
      <c r="G2464" s="12">
        <f>EXP(-Assumptions!$B$8*B2464)</f>
        <v>0.29287774781129478</v>
      </c>
      <c r="H2464" s="12">
        <f t="shared" si="115"/>
        <v>0.14016842522668888</v>
      </c>
      <c r="I2464" s="12">
        <f t="shared" si="116"/>
        <v>5.4417388454517927E-2</v>
      </c>
      <c r="J2464" s="12">
        <f>G2464*(D2464*Assumptions!$B$6+E2464*Assumptions!$B$7)</f>
        <v>4.1225536749927849E-3</v>
      </c>
    </row>
    <row r="2465" spans="1:10" x14ac:dyDescent="0.2">
      <c r="A2465" s="2">
        <v>2457</v>
      </c>
      <c r="B2465" s="14">
        <f>A2465*Assumptions!$B$12</f>
        <v>24.57</v>
      </c>
      <c r="C2465" s="15">
        <f>IF(A2465&lt;=Assumptions!$B$13,IF(OR(A2465=0,A2465=Assumptions!$B$13),0.5,1),0)*Assumptions!$B$12</f>
        <v>0</v>
      </c>
      <c r="D2465" s="12">
        <f>D2464*(1-Assumptions!$B$12*(Assumptions!$B$5+Assumptions!$B$6))</f>
        <v>0.47844664112005619</v>
      </c>
      <c r="E2465" s="12">
        <f>E2464+Assumptions!$B$12*(D2464*Assumptions!$B$5-E2464*Assumptions!$B$7)</f>
        <v>0.18580521685928295</v>
      </c>
      <c r="F2465" s="12">
        <f t="shared" si="114"/>
        <v>0.33574814202066083</v>
      </c>
      <c r="G2465" s="12">
        <f>EXP(-Assumptions!$B$8*B2465)</f>
        <v>0.29273134554100677</v>
      </c>
      <c r="H2465" s="12">
        <f t="shared" si="115"/>
        <v>0.14005632902464923</v>
      </c>
      <c r="I2465" s="12">
        <f t="shared" si="116"/>
        <v>5.4391011139756452E-2</v>
      </c>
      <c r="J2465" s="12">
        <f>G2465*(D2465*Assumptions!$B$6+E2465*Assumptions!$B$7)</f>
        <v>4.1201138472343147E-3</v>
      </c>
    </row>
    <row r="2466" spans="1:10" x14ac:dyDescent="0.2">
      <c r="A2466" s="2">
        <v>2458</v>
      </c>
      <c r="B2466" s="14">
        <f>A2466*Assumptions!$B$12</f>
        <v>24.580000000000002</v>
      </c>
      <c r="C2466" s="15">
        <f>IF(A2466&lt;=Assumptions!$B$13,IF(OR(A2466=0,A2466=Assumptions!$B$13),0.5,1),0)*Assumptions!$B$12</f>
        <v>0</v>
      </c>
      <c r="D2466" s="12">
        <f>D2465*(1-Assumptions!$B$12*(Assumptions!$B$5+Assumptions!$B$6))</f>
        <v>0.47830310712772017</v>
      </c>
      <c r="E2466" s="12">
        <f>E2465+Assumptions!$B$12*(D2465*Assumptions!$B$5-E2465*Assumptions!$B$7)</f>
        <v>0.18580800357907731</v>
      </c>
      <c r="F2466" s="12">
        <f t="shared" si="114"/>
        <v>0.33588888929320249</v>
      </c>
      <c r="G2466" s="12">
        <f>EXP(-Assumptions!$B$8*B2466)</f>
        <v>0.29258501645355667</v>
      </c>
      <c r="H2466" s="12">
        <f t="shared" si="115"/>
        <v>0.1399443224687513</v>
      </c>
      <c r="I2466" s="12">
        <f t="shared" si="116"/>
        <v>5.4364637784386854E-2</v>
      </c>
      <c r="J2466" s="12">
        <f>G2466*(D2466*Assumptions!$B$6+E2466*Assumptions!$B$7)</f>
        <v>4.1176751139068556E-3</v>
      </c>
    </row>
    <row r="2467" spans="1:10" x14ac:dyDescent="0.2">
      <c r="A2467" s="2">
        <v>2459</v>
      </c>
      <c r="B2467" s="14">
        <f>A2467*Assumptions!$B$12</f>
        <v>24.59</v>
      </c>
      <c r="C2467" s="15">
        <f>IF(A2467&lt;=Assumptions!$B$13,IF(OR(A2467=0,A2467=Assumptions!$B$13),0.5,1),0)*Assumptions!$B$12</f>
        <v>0</v>
      </c>
      <c r="D2467" s="12">
        <f>D2466*(1-Assumptions!$B$12*(Assumptions!$B$5+Assumptions!$B$6))</f>
        <v>0.47815961619558189</v>
      </c>
      <c r="E2467" s="12">
        <f>E2466+Assumptions!$B$12*(D2466*Assumptions!$B$5-E2466*Assumptions!$B$7)</f>
        <v>0.18581076019871332</v>
      </c>
      <c r="F2467" s="12">
        <f t="shared" si="114"/>
        <v>0.33602962360570476</v>
      </c>
      <c r="G2467" s="12">
        <f>EXP(-Assumptions!$B$8*B2467)</f>
        <v>0.29243876051236223</v>
      </c>
      <c r="H2467" s="12">
        <f t="shared" si="115"/>
        <v>0.1398324054873028</v>
      </c>
      <c r="I2467" s="12">
        <f t="shared" si="116"/>
        <v>5.4338268402371492E-2</v>
      </c>
      <c r="J2467" s="12">
        <f>G2467*(D2467*Assumptions!$B$6+E2467*Assumptions!$B$7)</f>
        <v>4.1152374749916032E-3</v>
      </c>
    </row>
    <row r="2468" spans="1:10" x14ac:dyDescent="0.2">
      <c r="A2468" s="2">
        <v>2460</v>
      </c>
      <c r="B2468" s="14">
        <f>A2468*Assumptions!$B$12</f>
        <v>24.6</v>
      </c>
      <c r="C2468" s="15">
        <f>IF(A2468&lt;=Assumptions!$B$13,IF(OR(A2468=0,A2468=Assumptions!$B$13),0.5,1),0)*Assumptions!$B$12</f>
        <v>0</v>
      </c>
      <c r="D2468" s="12">
        <f>D2467*(1-Assumptions!$B$12*(Assumptions!$B$5+Assumptions!$B$6))</f>
        <v>0.47801616831072324</v>
      </c>
      <c r="E2468" s="12">
        <f>E2467+Assumptions!$B$12*(D2467*Assumptions!$B$5-E2467*Assumptions!$B$7)</f>
        <v>0.18581348674185308</v>
      </c>
      <c r="F2468" s="12">
        <f t="shared" si="114"/>
        <v>0.3361703449474237</v>
      </c>
      <c r="G2468" s="12">
        <f>EXP(-Assumptions!$B$8*B2468)</f>
        <v>0.29229257768085937</v>
      </c>
      <c r="H2468" s="12">
        <f t="shared" si="115"/>
        <v>0.13972057800866883</v>
      </c>
      <c r="I2468" s="12">
        <f t="shared" si="116"/>
        <v>5.4311903007644421E-2</v>
      </c>
      <c r="J2468" s="12">
        <f>G2468*(D2468*Assumptions!$B$6+E2468*Assumptions!$B$7)</f>
        <v>4.1128009304689092E-3</v>
      </c>
    </row>
    <row r="2469" spans="1:10" x14ac:dyDescent="0.2">
      <c r="A2469" s="2">
        <v>2461</v>
      </c>
      <c r="B2469" s="14">
        <f>A2469*Assumptions!$B$12</f>
        <v>24.61</v>
      </c>
      <c r="C2469" s="15">
        <f>IF(A2469&lt;=Assumptions!$B$13,IF(OR(A2469=0,A2469=Assumptions!$B$13),0.5,1),0)*Assumptions!$B$12</f>
        <v>0</v>
      </c>
      <c r="D2469" s="12">
        <f>D2468*(1-Assumptions!$B$12*(Assumptions!$B$5+Assumptions!$B$6))</f>
        <v>0.47787276346023005</v>
      </c>
      <c r="E2469" s="12">
        <f>E2468+Assumptions!$B$12*(D2468*Assumptions!$B$5-E2468*Assumptions!$B$7)</f>
        <v>0.1858161832321443</v>
      </c>
      <c r="F2469" s="12">
        <f t="shared" si="114"/>
        <v>0.33631105330762567</v>
      </c>
      <c r="G2469" s="12">
        <f>EXP(-Assumptions!$B$8*B2469)</f>
        <v>0.29214646792250248</v>
      </c>
      <c r="H2469" s="12">
        <f t="shared" si="115"/>
        <v>0.13960883996127171</v>
      </c>
      <c r="I2469" s="12">
        <f t="shared" si="116"/>
        <v>5.428554161411149E-2</v>
      </c>
      <c r="J2469" s="12">
        <f>G2469*(D2469*Assumptions!$B$6+E2469*Assumptions!$B$7)</f>
        <v>4.1103654803182916E-3</v>
      </c>
    </row>
    <row r="2470" spans="1:10" x14ac:dyDescent="0.2">
      <c r="A2470" s="2">
        <v>2462</v>
      </c>
      <c r="B2470" s="14">
        <f>A2470*Assumptions!$B$12</f>
        <v>24.62</v>
      </c>
      <c r="C2470" s="15">
        <f>IF(A2470&lt;=Assumptions!$B$13,IF(OR(A2470=0,A2470=Assumptions!$B$13),0.5,1),0)*Assumptions!$B$12</f>
        <v>0</v>
      </c>
      <c r="D2470" s="12">
        <f>D2469*(1-Assumptions!$B$12*(Assumptions!$B$5+Assumptions!$B$6))</f>
        <v>0.47772940163119199</v>
      </c>
      <c r="E2470" s="12">
        <f>E2469+Assumptions!$B$12*(D2469*Assumptions!$B$5-E2469*Assumptions!$B$7)</f>
        <v>0.18581884969322027</v>
      </c>
      <c r="F2470" s="12">
        <f t="shared" si="114"/>
        <v>0.3364517486755878</v>
      </c>
      <c r="G2470" s="12">
        <f>EXP(-Assumptions!$B$8*B2470)</f>
        <v>0.29200043120076408</v>
      </c>
      <c r="H2470" s="12">
        <f t="shared" si="115"/>
        <v>0.13949719127359106</v>
      </c>
      <c r="I2470" s="12">
        <f t="shared" si="116"/>
        <v>5.4259184235650286E-2</v>
      </c>
      <c r="J2470" s="12">
        <f>G2470*(D2470*Assumptions!$B$6+E2470*Assumptions!$B$7)</f>
        <v>4.1079311245184255E-3</v>
      </c>
    </row>
    <row r="2471" spans="1:10" x14ac:dyDescent="0.2">
      <c r="A2471" s="2">
        <v>2463</v>
      </c>
      <c r="B2471" s="14">
        <f>A2471*Assumptions!$B$12</f>
        <v>24.63</v>
      </c>
      <c r="C2471" s="15">
        <f>IF(A2471&lt;=Assumptions!$B$13,IF(OR(A2471=0,A2471=Assumptions!$B$13),0.5,1),0)*Assumptions!$B$12</f>
        <v>0</v>
      </c>
      <c r="D2471" s="12">
        <f>D2470*(1-Assumptions!$B$12*(Assumptions!$B$5+Assumptions!$B$6))</f>
        <v>0.47758608281070264</v>
      </c>
      <c r="E2471" s="12">
        <f>E2470+Assumptions!$B$12*(D2470*Assumptions!$B$5-E2470*Assumptions!$B$7)</f>
        <v>0.18582148614869989</v>
      </c>
      <c r="F2471" s="12">
        <f t="shared" si="114"/>
        <v>0.33659243104059755</v>
      </c>
      <c r="G2471" s="12">
        <f>EXP(-Assumptions!$B$8*B2471)</f>
        <v>0.29185446747913507</v>
      </c>
      <c r="H2471" s="12">
        <f t="shared" si="115"/>
        <v>0.13938563187416372</v>
      </c>
      <c r="I2471" s="12">
        <f t="shared" si="116"/>
        <v>5.4232830886110278E-2</v>
      </c>
      <c r="J2471" s="12">
        <f>G2471*(D2471*Assumptions!$B$6+E2471*Assumptions!$B$7)</f>
        <v>4.1054978630471516E-3</v>
      </c>
    </row>
    <row r="2472" spans="1:10" x14ac:dyDescent="0.2">
      <c r="A2472" s="2">
        <v>2464</v>
      </c>
      <c r="B2472" s="14">
        <f>A2472*Assumptions!$B$12</f>
        <v>24.64</v>
      </c>
      <c r="C2472" s="15">
        <f>IF(A2472&lt;=Assumptions!$B$13,IF(OR(A2472=0,A2472=Assumptions!$B$13),0.5,1),0)*Assumptions!$B$12</f>
        <v>0</v>
      </c>
      <c r="D2472" s="12">
        <f>D2471*(1-Assumptions!$B$12*(Assumptions!$B$5+Assumptions!$B$6))</f>
        <v>0.47744280698585945</v>
      </c>
      <c r="E2472" s="12">
        <f>E2471+Assumptions!$B$12*(D2471*Assumptions!$B$5-E2471*Assumptions!$B$7)</f>
        <v>0.18582409262218769</v>
      </c>
      <c r="F2472" s="12">
        <f t="shared" si="114"/>
        <v>0.33673310039195292</v>
      </c>
      <c r="G2472" s="12">
        <f>EXP(-Assumptions!$B$8*B2472)</f>
        <v>0.29170857672112432</v>
      </c>
      <c r="H2472" s="12">
        <f t="shared" si="115"/>
        <v>0.13927416169158352</v>
      </c>
      <c r="I2472" s="12">
        <f t="shared" si="116"/>
        <v>5.4206481579312751E-2</v>
      </c>
      <c r="J2472" s="12">
        <f>G2472*(D2472*Assumptions!$B$6+E2472*Assumptions!$B$7)</f>
        <v>4.1030656958814735E-3</v>
      </c>
    </row>
    <row r="2473" spans="1:10" x14ac:dyDescent="0.2">
      <c r="A2473" s="2">
        <v>2465</v>
      </c>
      <c r="B2473" s="14">
        <f>A2473*Assumptions!$B$12</f>
        <v>24.650000000000002</v>
      </c>
      <c r="C2473" s="15">
        <f>IF(A2473&lt;=Assumptions!$B$13,IF(OR(A2473=0,A2473=Assumptions!$B$13),0.5,1),0)*Assumptions!$B$12</f>
        <v>0</v>
      </c>
      <c r="D2473" s="12">
        <f>D2472*(1-Assumptions!$B$12*(Assumptions!$B$5+Assumptions!$B$6))</f>
        <v>0.47729957414376373</v>
      </c>
      <c r="E2473" s="12">
        <f>E2472+Assumptions!$B$12*(D2472*Assumptions!$B$5-E2472*Assumptions!$B$7)</f>
        <v>0.18582666913727378</v>
      </c>
      <c r="F2473" s="12">
        <f t="shared" si="114"/>
        <v>0.33687375671896247</v>
      </c>
      <c r="G2473" s="12">
        <f>EXP(-Assumptions!$B$8*B2473)</f>
        <v>0.2915627588902594</v>
      </c>
      <c r="H2473" s="12">
        <f t="shared" si="115"/>
        <v>0.13916278065450166</v>
      </c>
      <c r="I2473" s="12">
        <f t="shared" si="116"/>
        <v>5.4180136329050964E-2</v>
      </c>
      <c r="J2473" s="12">
        <f>G2473*(D2473*Assumptions!$B$6+E2473*Assumptions!$B$7)</f>
        <v>4.1006346229975647E-3</v>
      </c>
    </row>
    <row r="2474" spans="1:10" x14ac:dyDescent="0.2">
      <c r="A2474" s="2">
        <v>2466</v>
      </c>
      <c r="B2474" s="14">
        <f>A2474*Assumptions!$B$12</f>
        <v>24.66</v>
      </c>
      <c r="C2474" s="15">
        <f>IF(A2474&lt;=Assumptions!$B$13,IF(OR(A2474=0,A2474=Assumptions!$B$13),0.5,1),0)*Assumptions!$B$12</f>
        <v>0</v>
      </c>
      <c r="D2474" s="12">
        <f>D2473*(1-Assumptions!$B$12*(Assumptions!$B$5+Assumptions!$B$6))</f>
        <v>0.47715638427152063</v>
      </c>
      <c r="E2474" s="12">
        <f>E2473+Assumptions!$B$12*(D2473*Assumptions!$B$5-E2473*Assumptions!$B$7)</f>
        <v>0.18582921571753389</v>
      </c>
      <c r="F2474" s="12">
        <f t="shared" si="114"/>
        <v>0.33701440001094551</v>
      </c>
      <c r="G2474" s="12">
        <f>EXP(-Assumptions!$B$8*B2474)</f>
        <v>0.29141701395008568</v>
      </c>
      <c r="H2474" s="12">
        <f t="shared" si="115"/>
        <v>0.13905148869162617</v>
      </c>
      <c r="I2474" s="12">
        <f t="shared" si="116"/>
        <v>5.415379514909005E-2</v>
      </c>
      <c r="J2474" s="12">
        <f>G2474*(D2474*Assumptions!$B$6+E2474*Assumptions!$B$7)</f>
        <v>4.0982046443707645E-3</v>
      </c>
    </row>
    <row r="2475" spans="1:10" x14ac:dyDescent="0.2">
      <c r="A2475" s="2">
        <v>2467</v>
      </c>
      <c r="B2475" s="14">
        <f>A2475*Assumptions!$B$12</f>
        <v>24.67</v>
      </c>
      <c r="C2475" s="15">
        <f>IF(A2475&lt;=Assumptions!$B$13,IF(OR(A2475=0,A2475=Assumptions!$B$13),0.5,1),0)*Assumptions!$B$12</f>
        <v>0</v>
      </c>
      <c r="D2475" s="12">
        <f>D2474*(1-Assumptions!$B$12*(Assumptions!$B$5+Assumptions!$B$6))</f>
        <v>0.47701323735623918</v>
      </c>
      <c r="E2475" s="12">
        <f>E2474+Assumptions!$B$12*(D2474*Assumptions!$B$5-E2474*Assumptions!$B$7)</f>
        <v>0.18583173238652942</v>
      </c>
      <c r="F2475" s="12">
        <f t="shared" si="114"/>
        <v>0.33715503025723137</v>
      </c>
      <c r="G2475" s="12">
        <f>EXP(-Assumptions!$B$8*B2475)</f>
        <v>0.29127134186416687</v>
      </c>
      <c r="H2475" s="12">
        <f t="shared" si="115"/>
        <v>0.13894028573172212</v>
      </c>
      <c r="I2475" s="12">
        <f t="shared" si="116"/>
        <v>5.4127458053167182E-2</v>
      </c>
      <c r="J2475" s="12">
        <f>G2475*(D2475*Assumptions!$B$6+E2475*Assumptions!$B$7)</f>
        <v>4.0957757599755801E-3</v>
      </c>
    </row>
    <row r="2476" spans="1:10" x14ac:dyDescent="0.2">
      <c r="A2476" s="2">
        <v>2468</v>
      </c>
      <c r="B2476" s="14">
        <f>A2476*Assumptions!$B$12</f>
        <v>24.68</v>
      </c>
      <c r="C2476" s="15">
        <f>IF(A2476&lt;=Assumptions!$B$13,IF(OR(A2476=0,A2476=Assumptions!$B$13),0.5,1),0)*Assumptions!$B$12</f>
        <v>0</v>
      </c>
      <c r="D2476" s="12">
        <f>D2475*(1-Assumptions!$B$12*(Assumptions!$B$5+Assumptions!$B$6))</f>
        <v>0.47687013338503231</v>
      </c>
      <c r="E2476" s="12">
        <f>E2475+Assumptions!$B$12*(D2475*Assumptions!$B$5-E2475*Assumptions!$B$7)</f>
        <v>0.1858342191678074</v>
      </c>
      <c r="F2476" s="12">
        <f t="shared" si="114"/>
        <v>0.33729564744716034</v>
      </c>
      <c r="G2476" s="12">
        <f>EXP(-Assumptions!$B$8*B2476)</f>
        <v>0.2911257425960852</v>
      </c>
      <c r="H2476" s="12">
        <f t="shared" si="115"/>
        <v>0.13882917170361173</v>
      </c>
      <c r="I2476" s="12">
        <f t="shared" si="116"/>
        <v>5.4101125054991581E-2</v>
      </c>
      <c r="J2476" s="12">
        <f>G2476*(D2476*Assumptions!$B$6+E2476*Assumptions!$B$7)</f>
        <v>4.0933479697856968E-3</v>
      </c>
    </row>
    <row r="2477" spans="1:10" x14ac:dyDescent="0.2">
      <c r="A2477" s="2">
        <v>2469</v>
      </c>
      <c r="B2477" s="14">
        <f>A2477*Assumptions!$B$12</f>
        <v>24.69</v>
      </c>
      <c r="C2477" s="15">
        <f>IF(A2477&lt;=Assumptions!$B$13,IF(OR(A2477=0,A2477=Assumptions!$B$13),0.5,1),0)*Assumptions!$B$12</f>
        <v>0</v>
      </c>
      <c r="D2477" s="12">
        <f>D2476*(1-Assumptions!$B$12*(Assumptions!$B$5+Assumptions!$B$6))</f>
        <v>0.47672707234501682</v>
      </c>
      <c r="E2477" s="12">
        <f>E2476+Assumptions!$B$12*(D2476*Assumptions!$B$5-E2476*Assumptions!$B$7)</f>
        <v>0.18583667608490051</v>
      </c>
      <c r="F2477" s="12">
        <f t="shared" si="114"/>
        <v>0.33743625157008272</v>
      </c>
      <c r="G2477" s="12">
        <f>EXP(-Assumptions!$B$8*B2477)</f>
        <v>0.29098021610944058</v>
      </c>
      <c r="H2477" s="12">
        <f t="shared" si="115"/>
        <v>0.1387181465361739</v>
      </c>
      <c r="I2477" s="12">
        <f t="shared" si="116"/>
        <v>5.4074796168244461E-2</v>
      </c>
      <c r="J2477" s="12">
        <f>G2477*(D2477*Assumptions!$B$6+E2477*Assumptions!$B$7)</f>
        <v>4.0909212737739618E-3</v>
      </c>
    </row>
    <row r="2478" spans="1:10" x14ac:dyDescent="0.2">
      <c r="A2478" s="2">
        <v>2470</v>
      </c>
      <c r="B2478" s="14">
        <f>A2478*Assumptions!$B$12</f>
        <v>24.7</v>
      </c>
      <c r="C2478" s="15">
        <f>IF(A2478&lt;=Assumptions!$B$13,IF(OR(A2478=0,A2478=Assumptions!$B$13),0.5,1),0)*Assumptions!$B$12</f>
        <v>0</v>
      </c>
      <c r="D2478" s="12">
        <f>D2477*(1-Assumptions!$B$12*(Assumptions!$B$5+Assumptions!$B$6))</f>
        <v>0.47658405422331335</v>
      </c>
      <c r="E2478" s="12">
        <f>E2477+Assumptions!$B$12*(D2477*Assumptions!$B$5-E2477*Assumptions!$B$7)</f>
        <v>0.18583910316132707</v>
      </c>
      <c r="F2478" s="12">
        <f t="shared" si="114"/>
        <v>0.33757684261535964</v>
      </c>
      <c r="G2478" s="12">
        <f>EXP(-Assumptions!$B$8*B2478)</f>
        <v>0.29083476236785155</v>
      </c>
      <c r="H2478" s="12">
        <f t="shared" si="115"/>
        <v>0.13860721015834462</v>
      </c>
      <c r="I2478" s="12">
        <f t="shared" si="116"/>
        <v>5.4048471406579209E-2</v>
      </c>
      <c r="J2478" s="12">
        <f>G2478*(D2478*Assumptions!$B$6+E2478*Assumptions!$B$7)</f>
        <v>4.0884956719124069E-3</v>
      </c>
    </row>
    <row r="2479" spans="1:10" x14ac:dyDescent="0.2">
      <c r="A2479" s="2">
        <v>2471</v>
      </c>
      <c r="B2479" s="14">
        <f>A2479*Assumptions!$B$12</f>
        <v>24.71</v>
      </c>
      <c r="C2479" s="15">
        <f>IF(A2479&lt;=Assumptions!$B$13,IF(OR(A2479=0,A2479=Assumptions!$B$13),0.5,1),0)*Assumptions!$B$12</f>
        <v>0</v>
      </c>
      <c r="D2479" s="12">
        <f>D2478*(1-Assumptions!$B$12*(Assumptions!$B$5+Assumptions!$B$6))</f>
        <v>0.47644107900704635</v>
      </c>
      <c r="E2479" s="12">
        <f>E2478+Assumptions!$B$12*(D2478*Assumptions!$B$5-E2478*Assumptions!$B$7)</f>
        <v>0.18584150042059105</v>
      </c>
      <c r="F2479" s="12">
        <f t="shared" si="114"/>
        <v>0.33771742057236259</v>
      </c>
      <c r="G2479" s="12">
        <f>EXP(-Assumptions!$B$8*B2479)</f>
        <v>0.29068938133495464</v>
      </c>
      <c r="H2479" s="12">
        <f t="shared" si="115"/>
        <v>0.13849636249911654</v>
      </c>
      <c r="I2479" s="12">
        <f t="shared" si="116"/>
        <v>5.4022150783621325E-2</v>
      </c>
      <c r="J2479" s="12">
        <f>G2479*(D2479*Assumptions!$B$6+E2479*Assumptions!$B$7)</f>
        <v>4.0860711641722324E-3</v>
      </c>
    </row>
    <row r="2480" spans="1:10" x14ac:dyDescent="0.2">
      <c r="A2480" s="2">
        <v>2472</v>
      </c>
      <c r="B2480" s="14">
        <f>A2480*Assumptions!$B$12</f>
        <v>24.72</v>
      </c>
      <c r="C2480" s="15">
        <f>IF(A2480&lt;=Assumptions!$B$13,IF(OR(A2480=0,A2480=Assumptions!$B$13),0.5,1),0)*Assumptions!$B$12</f>
        <v>0</v>
      </c>
      <c r="D2480" s="12">
        <f>D2479*(1-Assumptions!$B$12*(Assumptions!$B$5+Assumptions!$B$6))</f>
        <v>0.47629814668334425</v>
      </c>
      <c r="E2480" s="12">
        <f>E2479+Assumptions!$B$12*(D2479*Assumptions!$B$5-E2479*Assumptions!$B$7)</f>
        <v>0.18584386788618218</v>
      </c>
      <c r="F2480" s="12">
        <f t="shared" si="114"/>
        <v>0.33785798543047357</v>
      </c>
      <c r="G2480" s="12">
        <f>EXP(-Assumptions!$B$8*B2480)</f>
        <v>0.2905440729744046</v>
      </c>
      <c r="H2480" s="12">
        <f t="shared" si="115"/>
        <v>0.13838560348753923</v>
      </c>
      <c r="I2480" s="12">
        <f t="shared" si="116"/>
        <v>5.3995834312968526E-2</v>
      </c>
      <c r="J2480" s="12">
        <f>G2480*(D2480*Assumptions!$B$6+E2480*Assumptions!$B$7)</f>
        <v>4.0836477505238186E-3</v>
      </c>
    </row>
    <row r="2481" spans="1:10" x14ac:dyDescent="0.2">
      <c r="A2481" s="2">
        <v>2473</v>
      </c>
      <c r="B2481" s="14">
        <f>A2481*Assumptions!$B$12</f>
        <v>24.73</v>
      </c>
      <c r="C2481" s="15">
        <f>IF(A2481&lt;=Assumptions!$B$13,IF(OR(A2481=0,A2481=Assumptions!$B$13),0.5,1),0)*Assumptions!$B$12</f>
        <v>0</v>
      </c>
      <c r="D2481" s="12">
        <f>D2480*(1-Assumptions!$B$12*(Assumptions!$B$5+Assumptions!$B$6))</f>
        <v>0.47615525723933927</v>
      </c>
      <c r="E2481" s="12">
        <f>E2480+Assumptions!$B$12*(D2480*Assumptions!$B$5-E2480*Assumptions!$B$7)</f>
        <v>0.18584620558157575</v>
      </c>
      <c r="F2481" s="12">
        <f t="shared" si="114"/>
        <v>0.33799853717908501</v>
      </c>
      <c r="G2481" s="12">
        <f>EXP(-Assumptions!$B$8*B2481)</f>
        <v>0.2903988372498742</v>
      </c>
      <c r="H2481" s="12">
        <f t="shared" si="115"/>
        <v>0.13827493305271887</v>
      </c>
      <c r="I2481" s="12">
        <f t="shared" si="116"/>
        <v>5.3969522008190676E-2</v>
      </c>
      <c r="J2481" s="12">
        <f>G2481*(D2481*Assumptions!$B$6+E2481*Assumptions!$B$7)</f>
        <v>4.0812254309367229E-3</v>
      </c>
    </row>
    <row r="2482" spans="1:10" x14ac:dyDescent="0.2">
      <c r="A2482" s="2">
        <v>2474</v>
      </c>
      <c r="B2482" s="14">
        <f>A2482*Assumptions!$B$12</f>
        <v>24.740000000000002</v>
      </c>
      <c r="C2482" s="15">
        <f>IF(A2482&lt;=Assumptions!$B$13,IF(OR(A2482=0,A2482=Assumptions!$B$13),0.5,1),0)*Assumptions!$B$12</f>
        <v>0</v>
      </c>
      <c r="D2482" s="12">
        <f>D2481*(1-Assumptions!$B$12*(Assumptions!$B$5+Assumptions!$B$6))</f>
        <v>0.47601241066216748</v>
      </c>
      <c r="E2482" s="12">
        <f>E2481+Assumptions!$B$12*(D2481*Assumptions!$B$5-E2481*Assumptions!$B$7)</f>
        <v>0.18584851353023282</v>
      </c>
      <c r="F2482" s="12">
        <f t="shared" si="114"/>
        <v>0.33813907580759972</v>
      </c>
      <c r="G2482" s="12">
        <f>EXP(-Assumptions!$B$8*B2482)</f>
        <v>0.29025367412505471</v>
      </c>
      <c r="H2482" s="12">
        <f t="shared" si="115"/>
        <v>0.13816435112381847</v>
      </c>
      <c r="I2482" s="12">
        <f t="shared" si="116"/>
        <v>5.3943213882830021E-2</v>
      </c>
      <c r="J2482" s="12">
        <f>G2482*(D2482*Assumptions!$B$6+E2482*Assumptions!$B$7)</f>
        <v>4.0788042053796856E-3</v>
      </c>
    </row>
    <row r="2483" spans="1:10" x14ac:dyDescent="0.2">
      <c r="A2483" s="2">
        <v>2475</v>
      </c>
      <c r="B2483" s="14">
        <f>A2483*Assumptions!$B$12</f>
        <v>24.75</v>
      </c>
      <c r="C2483" s="15">
        <f>IF(A2483&lt;=Assumptions!$B$13,IF(OR(A2483=0,A2483=Assumptions!$B$13),0.5,1),0)*Assumptions!$B$12</f>
        <v>0</v>
      </c>
      <c r="D2483" s="12">
        <f>D2482*(1-Assumptions!$B$12*(Assumptions!$B$5+Assumptions!$B$6))</f>
        <v>0.47586960693896885</v>
      </c>
      <c r="E2483" s="12">
        <f>E2482+Assumptions!$B$12*(D2482*Assumptions!$B$5-E2482*Assumptions!$B$7)</f>
        <v>0.18585079175560015</v>
      </c>
      <c r="F2483" s="12">
        <f t="shared" si="114"/>
        <v>0.338279601305431</v>
      </c>
      <c r="G2483" s="12">
        <f>EXP(-Assumptions!$B$8*B2483)</f>
        <v>0.29010858356365526</v>
      </c>
      <c r="H2483" s="12">
        <f t="shared" si="115"/>
        <v>0.13805385763005762</v>
      </c>
      <c r="I2483" s="12">
        <f t="shared" si="116"/>
        <v>5.3916909950401021E-2</v>
      </c>
      <c r="J2483" s="12">
        <f>G2483*(D2483*Assumptions!$B$6+E2483*Assumptions!$B$7)</f>
        <v>4.0763840738206273E-3</v>
      </c>
    </row>
    <row r="2484" spans="1:10" x14ac:dyDescent="0.2">
      <c r="A2484" s="2">
        <v>2476</v>
      </c>
      <c r="B2484" s="14">
        <f>A2484*Assumptions!$B$12</f>
        <v>24.76</v>
      </c>
      <c r="C2484" s="15">
        <f>IF(A2484&lt;=Assumptions!$B$13,IF(OR(A2484=0,A2484=Assumptions!$B$13),0.5,1),0)*Assumptions!$B$12</f>
        <v>0</v>
      </c>
      <c r="D2484" s="12">
        <f>D2483*(1-Assumptions!$B$12*(Assumptions!$B$5+Assumptions!$B$6))</f>
        <v>0.4757268460568872</v>
      </c>
      <c r="E2484" s="12">
        <f>E2483+Assumptions!$B$12*(D2483*Assumptions!$B$5-E2483*Assumptions!$B$7)</f>
        <v>0.18585304028111016</v>
      </c>
      <c r="F2484" s="12">
        <f t="shared" si="114"/>
        <v>0.33842011366200264</v>
      </c>
      <c r="G2484" s="12">
        <f>EXP(-Assumptions!$B$8*B2484)</f>
        <v>0.28996356552940317</v>
      </c>
      <c r="H2484" s="12">
        <f t="shared" si="115"/>
        <v>0.13794345250071249</v>
      </c>
      <c r="I2484" s="12">
        <f t="shared" si="116"/>
        <v>5.3890610224390491E-2</v>
      </c>
      <c r="J2484" s="12">
        <f>G2484*(D2484*Assumptions!$B$6+E2484*Assumptions!$B$7)</f>
        <v>4.0739650362266499E-3</v>
      </c>
    </row>
    <row r="2485" spans="1:10" x14ac:dyDescent="0.2">
      <c r="A2485" s="2">
        <v>2477</v>
      </c>
      <c r="B2485" s="14">
        <f>A2485*Assumptions!$B$12</f>
        <v>24.77</v>
      </c>
      <c r="C2485" s="15">
        <f>IF(A2485&lt;=Assumptions!$B$13,IF(OR(A2485=0,A2485=Assumptions!$B$13),0.5,1),0)*Assumptions!$B$12</f>
        <v>0</v>
      </c>
      <c r="D2485" s="12">
        <f>D2484*(1-Assumptions!$B$12*(Assumptions!$B$5+Assumptions!$B$6))</f>
        <v>0.47558412800307015</v>
      </c>
      <c r="E2485" s="12">
        <f>E2484+Assumptions!$B$12*(D2484*Assumptions!$B$5-E2484*Assumptions!$B$7)</f>
        <v>0.18585525913018097</v>
      </c>
      <c r="F2485" s="12">
        <f t="shared" si="114"/>
        <v>0.33856061286674888</v>
      </c>
      <c r="G2485" s="12">
        <f>EXP(-Assumptions!$B$8*B2485)</f>
        <v>0.28981861998604402</v>
      </c>
      <c r="H2485" s="12">
        <f t="shared" si="115"/>
        <v>0.1378331356651159</v>
      </c>
      <c r="I2485" s="12">
        <f t="shared" si="116"/>
        <v>5.3864314718257658E-2</v>
      </c>
      <c r="J2485" s="12">
        <f>G2485*(D2485*Assumptions!$B$6+E2485*Assumptions!$B$7)</f>
        <v>4.0715470925640424E-3</v>
      </c>
    </row>
    <row r="2486" spans="1:10" x14ac:dyDescent="0.2">
      <c r="A2486" s="2">
        <v>2478</v>
      </c>
      <c r="B2486" s="14">
        <f>A2486*Assumptions!$B$12</f>
        <v>24.78</v>
      </c>
      <c r="C2486" s="15">
        <f>IF(A2486&lt;=Assumptions!$B$13,IF(OR(A2486=0,A2486=Assumptions!$B$13),0.5,1),0)*Assumptions!$B$12</f>
        <v>0</v>
      </c>
      <c r="D2486" s="12">
        <f>D2485*(1-Assumptions!$B$12*(Assumptions!$B$5+Assumptions!$B$6))</f>
        <v>0.47544145276466926</v>
      </c>
      <c r="E2486" s="12">
        <f>E2485+Assumptions!$B$12*(D2485*Assumptions!$B$5-E2485*Assumptions!$B$7)</f>
        <v>0.18585744832621651</v>
      </c>
      <c r="F2486" s="12">
        <f t="shared" si="114"/>
        <v>0.33870109890911415</v>
      </c>
      <c r="G2486" s="12">
        <f>EXP(-Assumptions!$B$8*B2486)</f>
        <v>0.28967374689734138</v>
      </c>
      <c r="H2486" s="12">
        <f t="shared" si="115"/>
        <v>0.13772290705265708</v>
      </c>
      <c r="I2486" s="12">
        <f t="shared" si="116"/>
        <v>5.3838023445434147E-2</v>
      </c>
      <c r="J2486" s="12">
        <f>G2486*(D2486*Assumptions!$B$6+E2486*Assumptions!$B$7)</f>
        <v>4.0691302427982787E-3</v>
      </c>
    </row>
    <row r="2487" spans="1:10" x14ac:dyDescent="0.2">
      <c r="A2487" s="2">
        <v>2479</v>
      </c>
      <c r="B2487" s="14">
        <f>A2487*Assumptions!$B$12</f>
        <v>24.79</v>
      </c>
      <c r="C2487" s="15">
        <f>IF(A2487&lt;=Assumptions!$B$13,IF(OR(A2487=0,A2487=Assumptions!$B$13),0.5,1),0)*Assumptions!$B$12</f>
        <v>0</v>
      </c>
      <c r="D2487" s="12">
        <f>D2486*(1-Assumptions!$B$12*(Assumptions!$B$5+Assumptions!$B$6))</f>
        <v>0.47529882032883985</v>
      </c>
      <c r="E2487" s="12">
        <f>E2486+Assumptions!$B$12*(D2486*Assumptions!$B$5-E2486*Assumptions!$B$7)</f>
        <v>0.18585960789260633</v>
      </c>
      <c r="F2487" s="12">
        <f t="shared" si="114"/>
        <v>0.33884157177855379</v>
      </c>
      <c r="G2487" s="12">
        <f>EXP(-Assumptions!$B$8*B2487)</f>
        <v>0.28952894622707698</v>
      </c>
      <c r="H2487" s="12">
        <f t="shared" si="115"/>
        <v>0.13761276659278179</v>
      </c>
      <c r="I2487" s="12">
        <f t="shared" si="116"/>
        <v>5.3811736419324033E-2</v>
      </c>
      <c r="J2487" s="12">
        <f>G2487*(D2487*Assumptions!$B$6+E2487*Assumptions!$B$7)</f>
        <v>4.0667144868940198E-3</v>
      </c>
    </row>
    <row r="2488" spans="1:10" x14ac:dyDescent="0.2">
      <c r="A2488" s="2">
        <v>2480</v>
      </c>
      <c r="B2488" s="14">
        <f>A2488*Assumptions!$B$12</f>
        <v>24.8</v>
      </c>
      <c r="C2488" s="15">
        <f>IF(A2488&lt;=Assumptions!$B$13,IF(OR(A2488=0,A2488=Assumptions!$B$13),0.5,1),0)*Assumptions!$B$12</f>
        <v>0</v>
      </c>
      <c r="D2488" s="12">
        <f>D2487*(1-Assumptions!$B$12*(Assumptions!$B$5+Assumptions!$B$6))</f>
        <v>0.47515623068274121</v>
      </c>
      <c r="E2488" s="12">
        <f>E2487+Assumptions!$B$12*(D2487*Assumptions!$B$5-E2487*Assumptions!$B$7)</f>
        <v>0.18586173785272581</v>
      </c>
      <c r="F2488" s="12">
        <f t="shared" si="114"/>
        <v>0.33898203146453293</v>
      </c>
      <c r="G2488" s="12">
        <f>EXP(-Assumptions!$B$8*B2488)</f>
        <v>0.28938421793905056</v>
      </c>
      <c r="H2488" s="12">
        <f t="shared" si="115"/>
        <v>0.13750271421499216</v>
      </c>
      <c r="I2488" s="12">
        <f t="shared" si="116"/>
        <v>5.3785453653303887E-2</v>
      </c>
      <c r="J2488" s="12">
        <f>G2488*(D2488*Assumptions!$B$6+E2488*Assumptions!$B$7)</f>
        <v>4.0642998248151159E-3</v>
      </c>
    </row>
    <row r="2489" spans="1:10" x14ac:dyDescent="0.2">
      <c r="A2489" s="2">
        <v>2481</v>
      </c>
      <c r="B2489" s="14">
        <f>A2489*Assumptions!$B$12</f>
        <v>24.810000000000002</v>
      </c>
      <c r="C2489" s="15">
        <f>IF(A2489&lt;=Assumptions!$B$13,IF(OR(A2489=0,A2489=Assumptions!$B$13),0.5,1),0)*Assumptions!$B$12</f>
        <v>0</v>
      </c>
      <c r="D2489" s="12">
        <f>D2488*(1-Assumptions!$B$12*(Assumptions!$B$5+Assumptions!$B$6))</f>
        <v>0.47501368381353642</v>
      </c>
      <c r="E2489" s="12">
        <f>E2488+Assumptions!$B$12*(D2488*Assumptions!$B$5-E2488*Assumptions!$B$7)</f>
        <v>0.18586383822993599</v>
      </c>
      <c r="F2489" s="12">
        <f t="shared" si="114"/>
        <v>0.33912247795652761</v>
      </c>
      <c r="G2489" s="12">
        <f>EXP(-Assumptions!$B$8*B2489)</f>
        <v>0.28923956199708023</v>
      </c>
      <c r="H2489" s="12">
        <f t="shared" si="115"/>
        <v>0.13739274984884683</v>
      </c>
      <c r="I2489" s="12">
        <f t="shared" si="116"/>
        <v>5.3759175160722865E-2</v>
      </c>
      <c r="J2489" s="12">
        <f>G2489*(D2489*Assumptions!$B$6+E2489*Assumptions!$B$7)</f>
        <v>4.0618862565246112E-3</v>
      </c>
    </row>
    <row r="2490" spans="1:10" x14ac:dyDescent="0.2">
      <c r="A2490" s="2">
        <v>2482</v>
      </c>
      <c r="B2490" s="14">
        <f>A2490*Assumptions!$B$12</f>
        <v>24.82</v>
      </c>
      <c r="C2490" s="15">
        <f>IF(A2490&lt;=Assumptions!$B$13,IF(OR(A2490=0,A2490=Assumptions!$B$13),0.5,1),0)*Assumptions!$B$12</f>
        <v>0</v>
      </c>
      <c r="D2490" s="12">
        <f>D2489*(1-Assumptions!$B$12*(Assumptions!$B$5+Assumptions!$B$6))</f>
        <v>0.47487117970839238</v>
      </c>
      <c r="E2490" s="12">
        <f>E2489+Assumptions!$B$12*(D2489*Assumptions!$B$5-E2489*Assumptions!$B$7)</f>
        <v>0.18586590904758374</v>
      </c>
      <c r="F2490" s="12">
        <f t="shared" si="114"/>
        <v>0.33926291124402386</v>
      </c>
      <c r="G2490" s="12">
        <f>EXP(-Assumptions!$B$8*B2490)</f>
        <v>0.28909497836500186</v>
      </c>
      <c r="H2490" s="12">
        <f t="shared" si="115"/>
        <v>0.13728287342396062</v>
      </c>
      <c r="I2490" s="12">
        <f t="shared" si="116"/>
        <v>5.3732900954902622E-2</v>
      </c>
      <c r="J2490" s="12">
        <f>G2490*(D2490*Assumptions!$B$6+E2490*Assumptions!$B$7)</f>
        <v>4.0594737819847375E-3</v>
      </c>
    </row>
    <row r="2491" spans="1:10" x14ac:dyDescent="0.2">
      <c r="A2491" s="2">
        <v>2483</v>
      </c>
      <c r="B2491" s="14">
        <f>A2491*Assumptions!$B$12</f>
        <v>24.830000000000002</v>
      </c>
      <c r="C2491" s="15">
        <f>IF(A2491&lt;=Assumptions!$B$13,IF(OR(A2491=0,A2491=Assumptions!$B$13),0.5,1),0)*Assumptions!$B$12</f>
        <v>0</v>
      </c>
      <c r="D2491" s="12">
        <f>D2490*(1-Assumptions!$B$12*(Assumptions!$B$5+Assumptions!$B$6))</f>
        <v>0.47472871835447988</v>
      </c>
      <c r="E2491" s="12">
        <f>E2490+Assumptions!$B$12*(D2490*Assumptions!$B$5-E2490*Assumptions!$B$7)</f>
        <v>0.18586795032900164</v>
      </c>
      <c r="F2491" s="12">
        <f t="shared" si="114"/>
        <v>0.33940333131651845</v>
      </c>
      <c r="G2491" s="12">
        <f>EXP(-Assumptions!$B$8*B2491)</f>
        <v>0.28895046700666954</v>
      </c>
      <c r="H2491" s="12">
        <f t="shared" si="115"/>
        <v>0.13717308487000465</v>
      </c>
      <c r="I2491" s="12">
        <f t="shared" si="116"/>
        <v>5.3706631049137483E-2</v>
      </c>
      <c r="J2491" s="12">
        <f>G2491*(D2491*Assumptions!$B$6+E2491*Assumptions!$B$7)</f>
        <v>4.0570624011569212E-3</v>
      </c>
    </row>
    <row r="2492" spans="1:10" x14ac:dyDescent="0.2">
      <c r="A2492" s="2">
        <v>2484</v>
      </c>
      <c r="B2492" s="14">
        <f>A2492*Assumptions!$B$12</f>
        <v>24.84</v>
      </c>
      <c r="C2492" s="15">
        <f>IF(A2492&lt;=Assumptions!$B$13,IF(OR(A2492=0,A2492=Assumptions!$B$13),0.5,1),0)*Assumptions!$B$12</f>
        <v>0</v>
      </c>
      <c r="D2492" s="12">
        <f>D2491*(1-Assumptions!$B$12*(Assumptions!$B$5+Assumptions!$B$6))</f>
        <v>0.47458629973897354</v>
      </c>
      <c r="E2492" s="12">
        <f>E2491+Assumptions!$B$12*(D2491*Assumptions!$B$5-E2491*Assumptions!$B$7)</f>
        <v>0.18586996209750803</v>
      </c>
      <c r="F2492" s="12">
        <f t="shared" si="114"/>
        <v>0.33954373816351835</v>
      </c>
      <c r="G2492" s="12">
        <f>EXP(-Assumptions!$B$8*B2492)</f>
        <v>0.28880602788595566</v>
      </c>
      <c r="H2492" s="12">
        <f t="shared" si="115"/>
        <v>0.13706338411670652</v>
      </c>
      <c r="I2492" s="12">
        <f t="shared" si="116"/>
        <v>5.3680365456694426E-2</v>
      </c>
      <c r="J2492" s="12">
        <f>G2492*(D2492*Assumptions!$B$6+E2492*Assumptions!$B$7)</f>
        <v>4.0546521140017869E-3</v>
      </c>
    </row>
    <row r="2493" spans="1:10" x14ac:dyDescent="0.2">
      <c r="A2493" s="2">
        <v>2485</v>
      </c>
      <c r="B2493" s="14">
        <f>A2493*Assumptions!$B$12</f>
        <v>24.85</v>
      </c>
      <c r="C2493" s="15">
        <f>IF(A2493&lt;=Assumptions!$B$13,IF(OR(A2493=0,A2493=Assumptions!$B$13),0.5,1),0)*Assumptions!$B$12</f>
        <v>0</v>
      </c>
      <c r="D2493" s="12">
        <f>D2492*(1-Assumptions!$B$12*(Assumptions!$B$5+Assumptions!$B$6))</f>
        <v>0.47444392384905187</v>
      </c>
      <c r="E2493" s="12">
        <f>E2492+Assumptions!$B$12*(D2492*Assumptions!$B$5-E2492*Assumptions!$B$7)</f>
        <v>0.18587194437640708</v>
      </c>
      <c r="F2493" s="12">
        <f t="shared" si="114"/>
        <v>0.33968413177454104</v>
      </c>
      <c r="G2493" s="12">
        <f>EXP(-Assumptions!$B$8*B2493)</f>
        <v>0.28866166096675006</v>
      </c>
      <c r="H2493" s="12">
        <f t="shared" si="115"/>
        <v>0.1369537710938496</v>
      </c>
      <c r="I2493" s="12">
        <f t="shared" si="116"/>
        <v>5.3654104190813047E-2</v>
      </c>
      <c r="J2493" s="12">
        <f>G2493*(D2493*Assumptions!$B$6+E2493*Assumptions!$B$7)</f>
        <v>4.0522429204791488E-3</v>
      </c>
    </row>
    <row r="2494" spans="1:10" x14ac:dyDescent="0.2">
      <c r="A2494" s="2">
        <v>2486</v>
      </c>
      <c r="B2494" s="14">
        <f>A2494*Assumptions!$B$12</f>
        <v>24.86</v>
      </c>
      <c r="C2494" s="15">
        <f>IF(A2494&lt;=Assumptions!$B$13,IF(OR(A2494=0,A2494=Assumptions!$B$13),0.5,1),0)*Assumptions!$B$12</f>
        <v>0</v>
      </c>
      <c r="D2494" s="12">
        <f>D2493*(1-Assumptions!$B$12*(Assumptions!$B$5+Assumptions!$B$6))</f>
        <v>0.4743015906718972</v>
      </c>
      <c r="E2494" s="12">
        <f>E2493+Assumptions!$B$12*(D2493*Assumptions!$B$5-E2493*Assumptions!$B$7)</f>
        <v>0.1858738971889887</v>
      </c>
      <c r="F2494" s="12">
        <f t="shared" si="114"/>
        <v>0.33982451213911402</v>
      </c>
      <c r="G2494" s="12">
        <f>EXP(-Assumptions!$B$8*B2494)</f>
        <v>0.28851736621296131</v>
      </c>
      <c r="H2494" s="12">
        <f t="shared" si="115"/>
        <v>0.13684424573127385</v>
      </c>
      <c r="I2494" s="12">
        <f t="shared" si="116"/>
        <v>5.3627847264705771E-2</v>
      </c>
      <c r="J2494" s="12">
        <f>G2494*(D2494*Assumptions!$B$6+E2494*Assumptions!$B$7)</f>
        <v>4.0498348205480275E-3</v>
      </c>
    </row>
    <row r="2495" spans="1:10" x14ac:dyDescent="0.2">
      <c r="A2495" s="2">
        <v>2487</v>
      </c>
      <c r="B2495" s="14">
        <f>A2495*Assumptions!$B$12</f>
        <v>24.87</v>
      </c>
      <c r="C2495" s="15">
        <f>IF(A2495&lt;=Assumptions!$B$13,IF(OR(A2495=0,A2495=Assumptions!$B$13),0.5,1),0)*Assumptions!$B$12</f>
        <v>0</v>
      </c>
      <c r="D2495" s="12">
        <f>D2494*(1-Assumptions!$B$12*(Assumptions!$B$5+Assumptions!$B$6))</f>
        <v>0.47415930019469565</v>
      </c>
      <c r="E2495" s="12">
        <f>E2494+Assumptions!$B$12*(D2494*Assumptions!$B$5-E2494*Assumptions!$B$7)</f>
        <v>0.18587582055852858</v>
      </c>
      <c r="F2495" s="12">
        <f t="shared" si="114"/>
        <v>0.33996487924677576</v>
      </c>
      <c r="G2495" s="12">
        <f>EXP(-Assumptions!$B$8*B2495)</f>
        <v>0.28837314358851557</v>
      </c>
      <c r="H2495" s="12">
        <f t="shared" si="115"/>
        <v>0.13673480795887502</v>
      </c>
      <c r="I2495" s="12">
        <f t="shared" si="116"/>
        <v>5.3601594691557716E-2</v>
      </c>
      <c r="J2495" s="12">
        <f>G2495*(D2495*Assumptions!$B$6+E2495*Assumptions!$B$7)</f>
        <v>4.0474278141666362E-3</v>
      </c>
    </row>
    <row r="2496" spans="1:10" x14ac:dyDescent="0.2">
      <c r="A2496" s="2">
        <v>2488</v>
      </c>
      <c r="B2496" s="14">
        <f>A2496*Assumptions!$B$12</f>
        <v>24.88</v>
      </c>
      <c r="C2496" s="15">
        <f>IF(A2496&lt;=Assumptions!$B$13,IF(OR(A2496=0,A2496=Assumptions!$B$13),0.5,1),0)*Assumptions!$B$12</f>
        <v>0</v>
      </c>
      <c r="D2496" s="12">
        <f>D2495*(1-Assumptions!$B$12*(Assumptions!$B$5+Assumptions!$B$6))</f>
        <v>0.47401705240463726</v>
      </c>
      <c r="E2496" s="12">
        <f>E2495+Assumptions!$B$12*(D2495*Assumptions!$B$5-E2495*Assumptions!$B$7)</f>
        <v>0.18587771450828824</v>
      </c>
      <c r="F2496" s="12">
        <f t="shared" si="114"/>
        <v>0.34010523308707452</v>
      </c>
      <c r="G2496" s="12">
        <f>EXP(-Assumptions!$B$8*B2496)</f>
        <v>0.28822899305735727</v>
      </c>
      <c r="H2496" s="12">
        <f t="shared" si="115"/>
        <v>0.13662545770660514</v>
      </c>
      <c r="I2496" s="12">
        <f t="shared" si="116"/>
        <v>5.3575346484526852E-2</v>
      </c>
      <c r="J2496" s="12">
        <f>G2496*(D2496*Assumptions!$B$6+E2496*Assumptions!$B$7)</f>
        <v>4.0450219012923942E-3</v>
      </c>
    </row>
    <row r="2497" spans="1:10" x14ac:dyDescent="0.2">
      <c r="A2497" s="2">
        <v>2489</v>
      </c>
      <c r="B2497" s="14">
        <f>A2497*Assumptions!$B$12</f>
        <v>24.89</v>
      </c>
      <c r="C2497" s="15">
        <f>IF(A2497&lt;=Assumptions!$B$13,IF(OR(A2497=0,A2497=Assumptions!$B$13),0.5,1),0)*Assumptions!$B$12</f>
        <v>0</v>
      </c>
      <c r="D2497" s="12">
        <f>D2496*(1-Assumptions!$B$12*(Assumptions!$B$5+Assumptions!$B$6))</f>
        <v>0.47387484728891588</v>
      </c>
      <c r="E2497" s="12">
        <f>E2496+Assumptions!$B$12*(D2496*Assumptions!$B$5-E2496*Assumptions!$B$7)</f>
        <v>0.18587957906151503</v>
      </c>
      <c r="F2497" s="12">
        <f t="shared" si="114"/>
        <v>0.34024557364956914</v>
      </c>
      <c r="G2497" s="12">
        <f>EXP(-Assumptions!$B$8*B2497)</f>
        <v>0.28808491458344865</v>
      </c>
      <c r="H2497" s="12">
        <f t="shared" si="115"/>
        <v>0.13651619490447212</v>
      </c>
      <c r="I2497" s="12">
        <f t="shared" si="116"/>
        <v>5.3549102656743945E-2</v>
      </c>
      <c r="J2497" s="12">
        <f>G2497*(D2497*Assumptions!$B$6+E2497*Assumptions!$B$7)</f>
        <v>4.0426170818819189E-3</v>
      </c>
    </row>
    <row r="2498" spans="1:10" x14ac:dyDescent="0.2">
      <c r="A2498" s="2">
        <v>2490</v>
      </c>
      <c r="B2498" s="14">
        <f>A2498*Assumptions!$B$12</f>
        <v>24.900000000000002</v>
      </c>
      <c r="C2498" s="15">
        <f>IF(A2498&lt;=Assumptions!$B$13,IF(OR(A2498=0,A2498=Assumptions!$B$13),0.5,1),0)*Assumptions!$B$12</f>
        <v>0</v>
      </c>
      <c r="D2498" s="12">
        <f>D2497*(1-Assumptions!$B$12*(Assumptions!$B$5+Assumptions!$B$6))</f>
        <v>0.47373268483472925</v>
      </c>
      <c r="E2498" s="12">
        <f>E2497+Assumptions!$B$12*(D2497*Assumptions!$B$5-E2497*Assumptions!$B$7)</f>
        <v>0.18588141424144206</v>
      </c>
      <c r="F2498" s="12">
        <f t="shared" si="114"/>
        <v>0.34038590092382875</v>
      </c>
      <c r="G2498" s="12">
        <f>EXP(-Assumptions!$B$8*B2498)</f>
        <v>0.28794090813077022</v>
      </c>
      <c r="H2498" s="12">
        <f t="shared" si="115"/>
        <v>0.13640701948253989</v>
      </c>
      <c r="I2498" s="12">
        <f t="shared" si="116"/>
        <v>5.3522863221312708E-2</v>
      </c>
      <c r="J2498" s="12">
        <f>G2498*(D2498*Assumptions!$B$6+E2498*Assumptions!$B$7)</f>
        <v>4.0402133558910345E-3</v>
      </c>
    </row>
    <row r="2499" spans="1:10" x14ac:dyDescent="0.2">
      <c r="A2499" s="2">
        <v>2491</v>
      </c>
      <c r="B2499" s="14">
        <f>A2499*Assumptions!$B$12</f>
        <v>24.91</v>
      </c>
      <c r="C2499" s="15">
        <f>IF(A2499&lt;=Assumptions!$B$13,IF(OR(A2499=0,A2499=Assumptions!$B$13),0.5,1),0)*Assumptions!$B$12</f>
        <v>0</v>
      </c>
      <c r="D2499" s="12">
        <f>D2498*(1-Assumptions!$B$12*(Assumptions!$B$5+Assumptions!$B$6))</f>
        <v>0.47359056502927882</v>
      </c>
      <c r="E2499" s="12">
        <f>E2498+Assumptions!$B$12*(D2498*Assumptions!$B$5-E2498*Assumptions!$B$7)</f>
        <v>0.18588322007128827</v>
      </c>
      <c r="F2499" s="12">
        <f t="shared" si="114"/>
        <v>0.34052621489943286</v>
      </c>
      <c r="G2499" s="12">
        <f>EXP(-Assumptions!$B$8*B2499)</f>
        <v>0.28779697366332035</v>
      </c>
      <c r="H2499" s="12">
        <f t="shared" si="115"/>
        <v>0.13629793137092835</v>
      </c>
      <c r="I2499" s="12">
        <f t="shared" si="116"/>
        <v>5.3496628191309729E-2</v>
      </c>
      <c r="J2499" s="12">
        <f>G2499*(D2499*Assumptions!$B$6+E2499*Assumptions!$B$7)</f>
        <v>4.0378107232747701E-3</v>
      </c>
    </row>
    <row r="2500" spans="1:10" x14ac:dyDescent="0.2">
      <c r="A2500" s="2">
        <v>2492</v>
      </c>
      <c r="B2500" s="14">
        <f>A2500*Assumptions!$B$12</f>
        <v>24.92</v>
      </c>
      <c r="C2500" s="15">
        <f>IF(A2500&lt;=Assumptions!$B$13,IF(OR(A2500=0,A2500=Assumptions!$B$13),0.5,1),0)*Assumptions!$B$12</f>
        <v>0</v>
      </c>
      <c r="D2500" s="12">
        <f>D2499*(1-Assumptions!$B$12*(Assumptions!$B$5+Assumptions!$B$6))</f>
        <v>0.47344848785977006</v>
      </c>
      <c r="E2500" s="12">
        <f>E2499+Assumptions!$B$12*(D2499*Assumptions!$B$5-E2499*Assumptions!$B$7)</f>
        <v>0.18588499657425847</v>
      </c>
      <c r="F2500" s="12">
        <f t="shared" si="114"/>
        <v>0.34066651556597149</v>
      </c>
      <c r="G2500" s="12">
        <f>EXP(-Assumptions!$B$8*B2500)</f>
        <v>0.28765311114511533</v>
      </c>
      <c r="H2500" s="12">
        <f t="shared" si="115"/>
        <v>0.13618893049981323</v>
      </c>
      <c r="I2500" s="12">
        <f t="shared" si="116"/>
        <v>5.3470397579784557E-2</v>
      </c>
      <c r="J2500" s="12">
        <f>G2500*(D2500*Assumptions!$B$6+E2500*Assumptions!$B$7)</f>
        <v>4.0354091839873603E-3</v>
      </c>
    </row>
    <row r="2501" spans="1:10" x14ac:dyDescent="0.2">
      <c r="A2501" s="2">
        <v>2493</v>
      </c>
      <c r="B2501" s="14">
        <f>A2501*Assumptions!$B$12</f>
        <v>24.93</v>
      </c>
      <c r="C2501" s="15">
        <f>IF(A2501&lt;=Assumptions!$B$13,IF(OR(A2501=0,A2501=Assumptions!$B$13),0.5,1),0)*Assumptions!$B$12</f>
        <v>0</v>
      </c>
      <c r="D2501" s="12">
        <f>D2500*(1-Assumptions!$B$12*(Assumptions!$B$5+Assumptions!$B$6))</f>
        <v>0.47330645331341215</v>
      </c>
      <c r="E2501" s="12">
        <f>E2500+Assumptions!$B$12*(D2500*Assumptions!$B$5-E2500*Assumptions!$B$7)</f>
        <v>0.18588674377354331</v>
      </c>
      <c r="F2501" s="12">
        <f t="shared" si="114"/>
        <v>0.34080680291304455</v>
      </c>
      <c r="G2501" s="12">
        <f>EXP(-Assumptions!$B$8*B2501)</f>
        <v>0.28750932054018968</v>
      </c>
      <c r="H2501" s="12">
        <f t="shared" si="115"/>
        <v>0.13608001679942613</v>
      </c>
      <c r="I2501" s="12">
        <f t="shared" si="116"/>
        <v>5.3444171399759773E-2</v>
      </c>
      <c r="J2501" s="12">
        <f>G2501*(D2501*Assumptions!$B$6+E2501*Assumptions!$B$7)</f>
        <v>4.0330087379822493E-3</v>
      </c>
    </row>
    <row r="2502" spans="1:10" x14ac:dyDescent="0.2">
      <c r="A2502" s="2">
        <v>2494</v>
      </c>
      <c r="B2502" s="14">
        <f>A2502*Assumptions!$B$12</f>
        <v>24.94</v>
      </c>
      <c r="C2502" s="15">
        <f>IF(A2502&lt;=Assumptions!$B$13,IF(OR(A2502=0,A2502=Assumptions!$B$13),0.5,1),0)*Assumptions!$B$12</f>
        <v>0</v>
      </c>
      <c r="D2502" s="12">
        <f>D2501*(1-Assumptions!$B$12*(Assumptions!$B$5+Assumptions!$B$6))</f>
        <v>0.47316446137741813</v>
      </c>
      <c r="E2502" s="12">
        <f>E2501+Assumptions!$B$12*(D2501*Assumptions!$B$5-E2501*Assumptions!$B$7)</f>
        <v>0.18588846169231921</v>
      </c>
      <c r="F2502" s="12">
        <f t="shared" si="114"/>
        <v>0.3409470769302626</v>
      </c>
      <c r="G2502" s="12">
        <f>EXP(-Assumptions!$B$8*B2502)</f>
        <v>0.28736560181259563</v>
      </c>
      <c r="H2502" s="12">
        <f t="shared" si="115"/>
        <v>0.13597119020005441</v>
      </c>
      <c r="I2502" s="12">
        <f t="shared" si="116"/>
        <v>5.341794966423094E-2</v>
      </c>
      <c r="J2502" s="12">
        <f>G2502*(D2502*Assumptions!$B$6+E2502*Assumptions!$B$7)</f>
        <v>4.0306093852120915E-3</v>
      </c>
    </row>
    <row r="2503" spans="1:10" x14ac:dyDescent="0.2">
      <c r="A2503" s="2">
        <v>2495</v>
      </c>
      <c r="B2503" s="14">
        <f>A2503*Assumptions!$B$12</f>
        <v>24.95</v>
      </c>
      <c r="C2503" s="15">
        <f>IF(A2503&lt;=Assumptions!$B$13,IF(OR(A2503=0,A2503=Assumptions!$B$13),0.5,1),0)*Assumptions!$B$12</f>
        <v>0</v>
      </c>
      <c r="D2503" s="12">
        <f>D2502*(1-Assumptions!$B$12*(Assumptions!$B$5+Assumptions!$B$6))</f>
        <v>0.47302251203900492</v>
      </c>
      <c r="E2503" s="12">
        <f>E2502+Assumptions!$B$12*(D2502*Assumptions!$B$5-E2502*Assumptions!$B$7)</f>
        <v>0.18589015035374853</v>
      </c>
      <c r="F2503" s="12">
        <f t="shared" si="114"/>
        <v>0.34108733760724652</v>
      </c>
      <c r="G2503" s="12">
        <f>EXP(-Assumptions!$B$8*B2503)</f>
        <v>0.28722195492640357</v>
      </c>
      <c r="H2503" s="12">
        <f t="shared" si="115"/>
        <v>0.13586245063204125</v>
      </c>
      <c r="I2503" s="12">
        <f t="shared" si="116"/>
        <v>5.3391732386166742E-2</v>
      </c>
      <c r="J2503" s="12">
        <f>G2503*(D2503*Assumptions!$B$6+E2503*Assumptions!$B$7)</f>
        <v>4.028211125628749E-3</v>
      </c>
    </row>
    <row r="2504" spans="1:10" x14ac:dyDescent="0.2">
      <c r="A2504" s="2">
        <v>2496</v>
      </c>
      <c r="B2504" s="14">
        <f>A2504*Assumptions!$B$12</f>
        <v>24.96</v>
      </c>
      <c r="C2504" s="15">
        <f>IF(A2504&lt;=Assumptions!$B$13,IF(OR(A2504=0,A2504=Assumptions!$B$13),0.5,1),0)*Assumptions!$B$12</f>
        <v>0</v>
      </c>
      <c r="D2504" s="12">
        <f>D2503*(1-Assumptions!$B$12*(Assumptions!$B$5+Assumptions!$B$6))</f>
        <v>0.47288060528539322</v>
      </c>
      <c r="E2504" s="12">
        <f>E2503+Assumptions!$B$12*(D2503*Assumptions!$B$5-E2503*Assumptions!$B$7)</f>
        <v>0.18589180978097947</v>
      </c>
      <c r="F2504" s="12">
        <f t="shared" ref="F2504:F2567" si="117">1-D2504-E2504</f>
        <v>0.34122758493362731</v>
      </c>
      <c r="G2504" s="12">
        <f>EXP(-Assumptions!$B$8*B2504)</f>
        <v>0.28707837984570161</v>
      </c>
      <c r="H2504" s="12">
        <f t="shared" ref="H2504:H2567" si="118">G2504*D2504</f>
        <v>0.13575379802578541</v>
      </c>
      <c r="I2504" s="12">
        <f t="shared" ref="I2504:I2567" si="119">G2504*E2504</f>
        <v>5.3365519578508935E-2</v>
      </c>
      <c r="J2504" s="12">
        <f>G2504*(D2504*Assumptions!$B$6+E2504*Assumptions!$B$7)</f>
        <v>4.025813959183301E-3</v>
      </c>
    </row>
    <row r="2505" spans="1:10" x14ac:dyDescent="0.2">
      <c r="A2505" s="2">
        <v>2497</v>
      </c>
      <c r="B2505" s="14">
        <f>A2505*Assumptions!$B$12</f>
        <v>24.97</v>
      </c>
      <c r="C2505" s="15">
        <f>IF(A2505&lt;=Assumptions!$B$13,IF(OR(A2505=0,A2505=Assumptions!$B$13),0.5,1),0)*Assumptions!$B$12</f>
        <v>0</v>
      </c>
      <c r="D2505" s="12">
        <f>D2504*(1-Assumptions!$B$12*(Assumptions!$B$5+Assumptions!$B$6))</f>
        <v>0.47273874110380759</v>
      </c>
      <c r="E2505" s="12">
        <f>E2504+Assumptions!$B$12*(D2504*Assumptions!$B$5-E2504*Assumptions!$B$7)</f>
        <v>0.18589343999714605</v>
      </c>
      <c r="F2505" s="12">
        <f t="shared" si="117"/>
        <v>0.34136781889904644</v>
      </c>
      <c r="G2505" s="12">
        <f>EXP(-Assumptions!$B$8*B2505)</f>
        <v>0.28693487653459626</v>
      </c>
      <c r="H2505" s="12">
        <f t="shared" si="118"/>
        <v>0.1356452323117415</v>
      </c>
      <c r="I2505" s="12">
        <f t="shared" si="119"/>
        <v>5.3339311254172482E-2</v>
      </c>
      <c r="J2505" s="12">
        <f>G2505*(D2505*Assumptions!$B$6+E2505*Assumptions!$B$7)</f>
        <v>4.0234178858260397E-3</v>
      </c>
    </row>
    <row r="2506" spans="1:10" x14ac:dyDescent="0.2">
      <c r="A2506" s="2">
        <v>2498</v>
      </c>
      <c r="B2506" s="14">
        <f>A2506*Assumptions!$B$12</f>
        <v>24.98</v>
      </c>
      <c r="C2506" s="15">
        <f>IF(A2506&lt;=Assumptions!$B$13,IF(OR(A2506=0,A2506=Assumptions!$B$13),0.5,1),0)*Assumptions!$B$12</f>
        <v>0</v>
      </c>
      <c r="D2506" s="12">
        <f>D2505*(1-Assumptions!$B$12*(Assumptions!$B$5+Assumptions!$B$6))</f>
        <v>0.47259691948147647</v>
      </c>
      <c r="E2506" s="12">
        <f>E2505+Assumptions!$B$12*(D2505*Assumptions!$B$5-E2505*Assumptions!$B$7)</f>
        <v>0.18589504102536825</v>
      </c>
      <c r="F2506" s="12">
        <f t="shared" si="117"/>
        <v>0.34150803949315522</v>
      </c>
      <c r="G2506" s="12">
        <f>EXP(-Assumptions!$B$8*B2506)</f>
        <v>0.28679144495721143</v>
      </c>
      <c r="H2506" s="12">
        <f t="shared" si="118"/>
        <v>0.13553675342041954</v>
      </c>
      <c r="I2506" s="12">
        <f t="shared" si="119"/>
        <v>5.3313107426045454E-2</v>
      </c>
      <c r="J2506" s="12">
        <f>G2506*(D2506*Assumptions!$B$6+E2506*Assumptions!$B$7)</f>
        <v>4.0210229055064684E-3</v>
      </c>
    </row>
    <row r="2507" spans="1:10" x14ac:dyDescent="0.2">
      <c r="A2507" s="2">
        <v>2499</v>
      </c>
      <c r="B2507" s="14">
        <f>A2507*Assumptions!$B$12</f>
        <v>24.990000000000002</v>
      </c>
      <c r="C2507" s="15">
        <f>IF(A2507&lt;=Assumptions!$B$13,IF(OR(A2507=0,A2507=Assumptions!$B$13),0.5,1),0)*Assumptions!$B$12</f>
        <v>0</v>
      </c>
      <c r="D2507" s="12">
        <f>D2506*(1-Assumptions!$B$12*(Assumptions!$B$5+Assumptions!$B$6))</f>
        <v>0.47245514040563202</v>
      </c>
      <c r="E2507" s="12">
        <f>E2506+Assumptions!$B$12*(D2506*Assumptions!$B$5-E2506*Assumptions!$B$7)</f>
        <v>0.18589661288875187</v>
      </c>
      <c r="F2507" s="12">
        <f t="shared" si="117"/>
        <v>0.34164824670561605</v>
      </c>
      <c r="G2507" s="12">
        <f>EXP(-Assumptions!$B$8*B2507)</f>
        <v>0.2866480850776893</v>
      </c>
      <c r="H2507" s="12">
        <f t="shared" si="118"/>
        <v>0.13542836128238525</v>
      </c>
      <c r="I2507" s="12">
        <f t="shared" si="119"/>
        <v>5.3286908106989217E-2</v>
      </c>
      <c r="J2507" s="12">
        <f>G2507*(D2507*Assumptions!$B$6+E2507*Assumptions!$B$7)</f>
        <v>4.0186290181733137E-3</v>
      </c>
    </row>
    <row r="2508" spans="1:10" x14ac:dyDescent="0.2">
      <c r="A2508" s="2">
        <v>2500</v>
      </c>
      <c r="B2508" s="14">
        <f>A2508*Assumptions!$B$12</f>
        <v>25</v>
      </c>
      <c r="C2508" s="15">
        <f>IF(A2508&lt;=Assumptions!$B$13,IF(OR(A2508=0,A2508=Assumptions!$B$13),0.5,1),0)*Assumptions!$B$12</f>
        <v>0</v>
      </c>
      <c r="D2508" s="12">
        <f>D2507*(1-Assumptions!$B$12*(Assumptions!$B$5+Assumptions!$B$6))</f>
        <v>0.47231340386351034</v>
      </c>
      <c r="E2508" s="12">
        <f>E2507+Assumptions!$B$12*(D2507*Assumptions!$B$5-E2507*Assumptions!$B$7)</f>
        <v>0.18589815561038861</v>
      </c>
      <c r="F2508" s="12">
        <f t="shared" si="117"/>
        <v>0.34178844052610102</v>
      </c>
      <c r="G2508" s="12">
        <f>EXP(-Assumptions!$B$8*B2508)</f>
        <v>0.28650479686019009</v>
      </c>
      <c r="H2508" s="12">
        <f t="shared" si="118"/>
        <v>0.13532005582825996</v>
      </c>
      <c r="I2508" s="12">
        <f t="shared" si="119"/>
        <v>5.3260713309838399E-2</v>
      </c>
      <c r="J2508" s="12">
        <f>G2508*(D2508*Assumptions!$B$6+E2508*Assumptions!$B$7)</f>
        <v>4.0162362237745192E-3</v>
      </c>
    </row>
    <row r="2509" spans="1:10" x14ac:dyDescent="0.2">
      <c r="A2509" s="2">
        <v>2501</v>
      </c>
      <c r="B2509" s="14">
        <f>A2509*Assumptions!$B$12</f>
        <v>25.01</v>
      </c>
      <c r="C2509" s="15">
        <f>IF(A2509&lt;=Assumptions!$B$13,IF(OR(A2509=0,A2509=Assumptions!$B$13),0.5,1),0)*Assumptions!$B$12</f>
        <v>0</v>
      </c>
      <c r="D2509" s="12">
        <f>D2508*(1-Assumptions!$B$12*(Assumptions!$B$5+Assumptions!$B$6))</f>
        <v>0.47217170984235129</v>
      </c>
      <c r="E2509" s="12">
        <f>E2508+Assumptions!$B$12*(D2508*Assumptions!$B$5-E2508*Assumptions!$B$7)</f>
        <v>0.18589966921335613</v>
      </c>
      <c r="F2509" s="12">
        <f t="shared" si="117"/>
        <v>0.34192862094429266</v>
      </c>
      <c r="G2509" s="12">
        <f>EXP(-Assumptions!$B$8*B2509)</f>
        <v>0.28636158026889147</v>
      </c>
      <c r="H2509" s="12">
        <f t="shared" si="118"/>
        <v>0.13521183698872022</v>
      </c>
      <c r="I2509" s="12">
        <f t="shared" si="119"/>
        <v>5.3234523047400853E-2</v>
      </c>
      <c r="J2509" s="12">
        <f>G2509*(D2509*Assumptions!$B$6+E2509*Assumptions!$B$7)</f>
        <v>4.0138445222572452E-3</v>
      </c>
    </row>
    <row r="2510" spans="1:10" x14ac:dyDescent="0.2">
      <c r="A2510" s="2">
        <v>2502</v>
      </c>
      <c r="B2510" s="14">
        <f>A2510*Assumptions!$B$12</f>
        <v>25.02</v>
      </c>
      <c r="C2510" s="15">
        <f>IF(A2510&lt;=Assumptions!$B$13,IF(OR(A2510=0,A2510=Assumptions!$B$13),0.5,1),0)*Assumptions!$B$12</f>
        <v>0</v>
      </c>
      <c r="D2510" s="12">
        <f>D2509*(1-Assumptions!$B$12*(Assumptions!$B$5+Assumptions!$B$6))</f>
        <v>0.47203005832939859</v>
      </c>
      <c r="E2510" s="12">
        <f>E2509+Assumptions!$B$12*(D2509*Assumptions!$B$5-E2509*Assumptions!$B$7)</f>
        <v>0.18590115372071792</v>
      </c>
      <c r="F2510" s="12">
        <f t="shared" si="117"/>
        <v>0.34206878794988349</v>
      </c>
      <c r="G2510" s="12">
        <f>EXP(-Assumptions!$B$8*B2510)</f>
        <v>0.28621843526798946</v>
      </c>
      <c r="H2510" s="12">
        <f t="shared" si="118"/>
        <v>0.13510370469449826</v>
      </c>
      <c r="I2510" s="12">
        <f t="shared" si="119"/>
        <v>5.3208337332457861E-2</v>
      </c>
      <c r="J2510" s="12">
        <f>G2510*(D2510*Assumptions!$B$6+E2510*Assumptions!$B$7)</f>
        <v>4.0114539135678758E-3</v>
      </c>
    </row>
    <row r="2511" spans="1:10" x14ac:dyDescent="0.2">
      <c r="A2511" s="2">
        <v>2503</v>
      </c>
      <c r="B2511" s="14">
        <f>A2511*Assumptions!$B$12</f>
        <v>25.03</v>
      </c>
      <c r="C2511" s="15">
        <f>IF(A2511&lt;=Assumptions!$B$13,IF(OR(A2511=0,A2511=Assumptions!$B$13),0.5,1),0)*Assumptions!$B$12</f>
        <v>0</v>
      </c>
      <c r="D2511" s="12">
        <f>D2510*(1-Assumptions!$B$12*(Assumptions!$B$5+Assumptions!$B$6))</f>
        <v>0.47188844931189977</v>
      </c>
      <c r="E2511" s="12">
        <f>E2510+Assumptions!$B$12*(D2510*Assumptions!$B$5-E2510*Assumptions!$B$7)</f>
        <v>0.18590260915552342</v>
      </c>
      <c r="F2511" s="12">
        <f t="shared" si="117"/>
        <v>0.3422089415325768</v>
      </c>
      <c r="G2511" s="12">
        <f>EXP(-Assumptions!$B$8*B2511)</f>
        <v>0.28607536182169774</v>
      </c>
      <c r="H2511" s="12">
        <f t="shared" si="118"/>
        <v>0.1349956588763816</v>
      </c>
      <c r="I2511" s="12">
        <f t="shared" si="119"/>
        <v>5.318215617776402E-2</v>
      </c>
      <c r="J2511" s="12">
        <f>G2511*(D2511*Assumptions!$B$6+E2511*Assumptions!$B$7)</f>
        <v>4.0090643976520178E-3</v>
      </c>
    </row>
    <row r="2512" spans="1:10" x14ac:dyDescent="0.2">
      <c r="A2512" s="2">
        <v>2504</v>
      </c>
      <c r="B2512" s="14">
        <f>A2512*Assumptions!$B$12</f>
        <v>25.04</v>
      </c>
      <c r="C2512" s="15">
        <f>IF(A2512&lt;=Assumptions!$B$13,IF(OR(A2512=0,A2512=Assumptions!$B$13),0.5,1),0)*Assumptions!$B$12</f>
        <v>0</v>
      </c>
      <c r="D2512" s="12">
        <f>D2511*(1-Assumptions!$B$12*(Assumptions!$B$5+Assumptions!$B$6))</f>
        <v>0.47174688277710619</v>
      </c>
      <c r="E2512" s="12">
        <f>E2511+Assumptions!$B$12*(D2511*Assumptions!$B$5-E2511*Assumptions!$B$7)</f>
        <v>0.18590403554080803</v>
      </c>
      <c r="F2512" s="12">
        <f t="shared" si="117"/>
        <v>0.34234908168208578</v>
      </c>
      <c r="G2512" s="12">
        <f>EXP(-Assumptions!$B$8*B2512)</f>
        <v>0.28593235989424798</v>
      </c>
      <c r="H2512" s="12">
        <f t="shared" si="118"/>
        <v>0.13488769946521315</v>
      </c>
      <c r="I2512" s="12">
        <f t="shared" si="119"/>
        <v>5.3155979596047391E-2</v>
      </c>
      <c r="J2512" s="12">
        <f>G2512*(D2512*Assumptions!$B$6+E2512*Assumptions!$B$7)</f>
        <v>4.0066759744545009E-3</v>
      </c>
    </row>
    <row r="2513" spans="1:10" x14ac:dyDescent="0.2">
      <c r="A2513" s="2">
        <v>2505</v>
      </c>
      <c r="B2513" s="14">
        <f>A2513*Assumptions!$B$12</f>
        <v>25.05</v>
      </c>
      <c r="C2513" s="15">
        <f>IF(A2513&lt;=Assumptions!$B$13,IF(OR(A2513=0,A2513=Assumptions!$B$13),0.5,1),0)*Assumptions!$B$12</f>
        <v>0</v>
      </c>
      <c r="D2513" s="12">
        <f>D2512*(1-Assumptions!$B$12*(Assumptions!$B$5+Assumptions!$B$6))</f>
        <v>0.47160535871227305</v>
      </c>
      <c r="E2513" s="12">
        <f>E2512+Assumptions!$B$12*(D2512*Assumptions!$B$5-E2512*Assumptions!$B$7)</f>
        <v>0.18590543289959305</v>
      </c>
      <c r="F2513" s="12">
        <f t="shared" si="117"/>
        <v>0.3424892083881339</v>
      </c>
      <c r="G2513" s="12">
        <f>EXP(-Assumptions!$B$8*B2513)</f>
        <v>0.28578942944988961</v>
      </c>
      <c r="H2513" s="12">
        <f t="shared" si="118"/>
        <v>0.13477982639189104</v>
      </c>
      <c r="I2513" s="12">
        <f t="shared" si="119"/>
        <v>5.3129807600009432E-2</v>
      </c>
      <c r="J2513" s="12">
        <f>G2513*(D2513*Assumptions!$B$6+E2513*Assumptions!$B$7)</f>
        <v>4.0042886439193822E-3</v>
      </c>
    </row>
    <row r="2514" spans="1:10" x14ac:dyDescent="0.2">
      <c r="A2514" s="2">
        <v>2506</v>
      </c>
      <c r="B2514" s="14">
        <f>A2514*Assumptions!$B$12</f>
        <v>25.060000000000002</v>
      </c>
      <c r="C2514" s="15">
        <f>IF(A2514&lt;=Assumptions!$B$13,IF(OR(A2514=0,A2514=Assumptions!$B$13),0.5,1),0)*Assumptions!$B$12</f>
        <v>0</v>
      </c>
      <c r="D2514" s="12">
        <f>D2513*(1-Assumptions!$B$12*(Assumptions!$B$5+Assumptions!$B$6))</f>
        <v>0.47146387710465937</v>
      </c>
      <c r="E2514" s="12">
        <f>E2513+Assumptions!$B$12*(D2513*Assumptions!$B$5-E2513*Assumptions!$B$7)</f>
        <v>0.18590680125488571</v>
      </c>
      <c r="F2514" s="12">
        <f t="shared" si="117"/>
        <v>0.34262932164045501</v>
      </c>
      <c r="G2514" s="12">
        <f>EXP(-Assumptions!$B$8*B2514)</f>
        <v>0.28564657045289016</v>
      </c>
      <c r="H2514" s="12">
        <f t="shared" si="118"/>
        <v>0.13467203958736884</v>
      </c>
      <c r="I2514" s="12">
        <f t="shared" si="119"/>
        <v>5.3103640202325157E-2</v>
      </c>
      <c r="J2514" s="12">
        <f>G2514*(D2514*Assumptions!$B$6+E2514*Assumptions!$B$7)</f>
        <v>4.0019024059899464E-3</v>
      </c>
    </row>
    <row r="2515" spans="1:10" x14ac:dyDescent="0.2">
      <c r="A2515" s="2">
        <v>2507</v>
      </c>
      <c r="B2515" s="14">
        <f>A2515*Assumptions!$B$12</f>
        <v>25.07</v>
      </c>
      <c r="C2515" s="15">
        <f>IF(A2515&lt;=Assumptions!$B$13,IF(OR(A2515=0,A2515=Assumptions!$B$13),0.5,1),0)*Assumptions!$B$12</f>
        <v>0</v>
      </c>
      <c r="D2515" s="12">
        <f>D2514*(1-Assumptions!$B$12*(Assumptions!$B$5+Assumptions!$B$6))</f>
        <v>0.47132243794152801</v>
      </c>
      <c r="E2515" s="12">
        <f>E2514+Assumptions!$B$12*(D2514*Assumptions!$B$5-E2514*Assumptions!$B$7)</f>
        <v>0.1859081406296792</v>
      </c>
      <c r="F2515" s="12">
        <f t="shared" si="117"/>
        <v>0.34276942142879285</v>
      </c>
      <c r="G2515" s="12">
        <f>EXP(-Assumptions!$B$8*B2515)</f>
        <v>0.28550378286753481</v>
      </c>
      <c r="H2515" s="12">
        <f t="shared" si="118"/>
        <v>0.13456433898265516</v>
      </c>
      <c r="I2515" s="12">
        <f t="shared" si="119"/>
        <v>5.3077477415643053E-2</v>
      </c>
      <c r="J2515" s="12">
        <f>G2515*(D2515*Assumptions!$B$6+E2515*Assumptions!$B$7)</f>
        <v>3.9995172606087041E-3</v>
      </c>
    </row>
    <row r="2516" spans="1:10" x14ac:dyDescent="0.2">
      <c r="A2516" s="2">
        <v>2508</v>
      </c>
      <c r="B2516" s="14">
        <f>A2516*Assumptions!$B$12</f>
        <v>25.080000000000002</v>
      </c>
      <c r="C2516" s="15">
        <f>IF(A2516&lt;=Assumptions!$B$13,IF(OR(A2516=0,A2516=Assumptions!$B$13),0.5,1),0)*Assumptions!$B$12</f>
        <v>0</v>
      </c>
      <c r="D2516" s="12">
        <f>D2515*(1-Assumptions!$B$12*(Assumptions!$B$5+Assumptions!$B$6))</f>
        <v>0.47118104121014553</v>
      </c>
      <c r="E2516" s="12">
        <f>E2515+Assumptions!$B$12*(D2515*Assumptions!$B$5-E2515*Assumptions!$B$7)</f>
        <v>0.18590945104695267</v>
      </c>
      <c r="F2516" s="12">
        <f t="shared" si="117"/>
        <v>0.34290950774290174</v>
      </c>
      <c r="G2516" s="12">
        <f>EXP(-Assumptions!$B$8*B2516)</f>
        <v>0.28536106665812661</v>
      </c>
      <c r="H2516" s="12">
        <f t="shared" si="118"/>
        <v>0.13445672450881385</v>
      </c>
      <c r="I2516" s="12">
        <f t="shared" si="119"/>
        <v>5.3051319252585188E-2</v>
      </c>
      <c r="J2516" s="12">
        <f>G2516*(D2516*Assumptions!$B$6+E2516*Assumptions!$B$7)</f>
        <v>3.9971332077173979E-3</v>
      </c>
    </row>
    <row r="2517" spans="1:10" x14ac:dyDescent="0.2">
      <c r="A2517" s="2">
        <v>2509</v>
      </c>
      <c r="B2517" s="14">
        <f>A2517*Assumptions!$B$12</f>
        <v>25.09</v>
      </c>
      <c r="C2517" s="15">
        <f>IF(A2517&lt;=Assumptions!$B$13,IF(OR(A2517=0,A2517=Assumptions!$B$13),0.5,1),0)*Assumptions!$B$12</f>
        <v>0</v>
      </c>
      <c r="D2517" s="12">
        <f>D2516*(1-Assumptions!$B$12*(Assumptions!$B$5+Assumptions!$B$6))</f>
        <v>0.47103968689778253</v>
      </c>
      <c r="E2517" s="12">
        <f>E2516+Assumptions!$B$12*(D2516*Assumptions!$B$5-E2516*Assumptions!$B$7)</f>
        <v>0.18591073252967122</v>
      </c>
      <c r="F2517" s="12">
        <f t="shared" si="117"/>
        <v>0.34304958057254625</v>
      </c>
      <c r="G2517" s="12">
        <f>EXP(-Assumptions!$B$8*B2517)</f>
        <v>0.2852184217889866</v>
      </c>
      <c r="H2517" s="12">
        <f t="shared" si="118"/>
        <v>0.13434919609696391</v>
      </c>
      <c r="I2517" s="12">
        <f t="shared" si="119"/>
        <v>5.3025165725747239E-2</v>
      </c>
      <c r="J2517" s="12">
        <f>G2517*(D2517*Assumptions!$B$6+E2517*Assumptions!$B$7)</f>
        <v>3.9947502472570005E-3</v>
      </c>
    </row>
    <row r="2518" spans="1:10" x14ac:dyDescent="0.2">
      <c r="A2518" s="2">
        <v>2510</v>
      </c>
      <c r="B2518" s="14">
        <f>A2518*Assumptions!$B$12</f>
        <v>25.1</v>
      </c>
      <c r="C2518" s="15">
        <f>IF(A2518&lt;=Assumptions!$B$13,IF(OR(A2518=0,A2518=Assumptions!$B$13),0.5,1),0)*Assumptions!$B$12</f>
        <v>0</v>
      </c>
      <c r="D2518" s="12">
        <f>D2517*(1-Assumptions!$B$12*(Assumptions!$B$5+Assumptions!$B$6))</f>
        <v>0.47089837499171322</v>
      </c>
      <c r="E2518" s="12">
        <f>E2517+Assumptions!$B$12*(D2517*Assumptions!$B$5-E2517*Assumptions!$B$7)</f>
        <v>0.18591198510078594</v>
      </c>
      <c r="F2518" s="12">
        <f t="shared" si="117"/>
        <v>0.34318963990750079</v>
      </c>
      <c r="G2518" s="12">
        <f>EXP(-Assumptions!$B$8*B2518)</f>
        <v>0.28507584822445353</v>
      </c>
      <c r="H2518" s="12">
        <f t="shared" si="118"/>
        <v>0.13424175367827945</v>
      </c>
      <c r="I2518" s="12">
        <f t="shared" si="119"/>
        <v>5.2999016847698519E-2</v>
      </c>
      <c r="J2518" s="12">
        <f>G2518*(D2518*Assumptions!$B$6+E2518*Assumptions!$B$7)</f>
        <v>3.9923683791677203E-3</v>
      </c>
    </row>
    <row r="2519" spans="1:10" x14ac:dyDescent="0.2">
      <c r="A2519" s="2">
        <v>2511</v>
      </c>
      <c r="B2519" s="14">
        <f>A2519*Assumptions!$B$12</f>
        <v>25.11</v>
      </c>
      <c r="C2519" s="15">
        <f>IF(A2519&lt;=Assumptions!$B$13,IF(OR(A2519=0,A2519=Assumptions!$B$13),0.5,1),0)*Assumptions!$B$12</f>
        <v>0</v>
      </c>
      <c r="D2519" s="12">
        <f>D2518*(1-Assumptions!$B$12*(Assumptions!$B$5+Assumptions!$B$6))</f>
        <v>0.47075710547921573</v>
      </c>
      <c r="E2519" s="12">
        <f>E2518+Assumptions!$B$12*(D2518*Assumptions!$B$5-E2518*Assumptions!$B$7)</f>
        <v>0.18591320878323389</v>
      </c>
      <c r="F2519" s="12">
        <f t="shared" si="117"/>
        <v>0.34332968573755041</v>
      </c>
      <c r="G2519" s="12">
        <f>EXP(-Assumptions!$B$8*B2519)</f>
        <v>0.28493334592888403</v>
      </c>
      <c r="H2519" s="12">
        <f t="shared" si="118"/>
        <v>0.13413439718398953</v>
      </c>
      <c r="I2519" s="12">
        <f t="shared" si="119"/>
        <v>5.2972872630982021E-2</v>
      </c>
      <c r="J2519" s="12">
        <f>G2519*(D2519*Assumptions!$B$6+E2519*Assumptions!$B$7)</f>
        <v>3.9899876033889971E-3</v>
      </c>
    </row>
    <row r="2520" spans="1:10" x14ac:dyDescent="0.2">
      <c r="A2520" s="2">
        <v>2512</v>
      </c>
      <c r="B2520" s="14">
        <f>A2520*Assumptions!$B$12</f>
        <v>25.12</v>
      </c>
      <c r="C2520" s="15">
        <f>IF(A2520&lt;=Assumptions!$B$13,IF(OR(A2520=0,A2520=Assumptions!$B$13),0.5,1),0)*Assumptions!$B$12</f>
        <v>0</v>
      </c>
      <c r="D2520" s="12">
        <f>D2519*(1-Assumptions!$B$12*(Assumptions!$B$5+Assumptions!$B$6))</f>
        <v>0.47061587834757196</v>
      </c>
      <c r="E2520" s="12">
        <f>E2519+Assumptions!$B$12*(D2519*Assumptions!$B$5-E2519*Assumptions!$B$7)</f>
        <v>0.18591440359993811</v>
      </c>
      <c r="F2520" s="12">
        <f t="shared" si="117"/>
        <v>0.34346971805248988</v>
      </c>
      <c r="G2520" s="12">
        <f>EXP(-Assumptions!$B$8*B2520)</f>
        <v>0.28479091486665242</v>
      </c>
      <c r="H2520" s="12">
        <f t="shared" si="118"/>
        <v>0.13402712654537821</v>
      </c>
      <c r="I2520" s="12">
        <f t="shared" si="119"/>
        <v>5.2946733088114428E-2</v>
      </c>
      <c r="J2520" s="12">
        <f>G2520*(D2520*Assumptions!$B$6+E2520*Assumptions!$B$7)</f>
        <v>3.9876079198595035E-3</v>
      </c>
    </row>
    <row r="2521" spans="1:10" x14ac:dyDescent="0.2">
      <c r="A2521" s="2">
        <v>2513</v>
      </c>
      <c r="B2521" s="14">
        <f>A2521*Assumptions!$B$12</f>
        <v>25.13</v>
      </c>
      <c r="C2521" s="15">
        <f>IF(A2521&lt;=Assumptions!$B$13,IF(OR(A2521=0,A2521=Assumptions!$B$13),0.5,1),0)*Assumptions!$B$12</f>
        <v>0</v>
      </c>
      <c r="D2521" s="12">
        <f>D2520*(1-Assumptions!$B$12*(Assumptions!$B$5+Assumptions!$B$6))</f>
        <v>0.47047469358406768</v>
      </c>
      <c r="E2521" s="12">
        <f>E2520+Assumptions!$B$12*(D2520*Assumptions!$B$5-E2520*Assumptions!$B$7)</f>
        <v>0.18591556957380764</v>
      </c>
      <c r="F2521" s="12">
        <f t="shared" si="117"/>
        <v>0.3436097368421247</v>
      </c>
      <c r="G2521" s="12">
        <f>EXP(-Assumptions!$B$8*B2521)</f>
        <v>0.28464855500215114</v>
      </c>
      <c r="H2521" s="12">
        <f t="shared" si="118"/>
        <v>0.13391994169378468</v>
      </c>
      <c r="I2521" s="12">
        <f t="shared" si="119"/>
        <v>5.2920598231586242E-2</v>
      </c>
      <c r="J2521" s="12">
        <f>G2521*(D2521*Assumptions!$B$6+E2521*Assumptions!$B$7)</f>
        <v>3.9852293285171586E-3</v>
      </c>
    </row>
    <row r="2522" spans="1:10" x14ac:dyDescent="0.2">
      <c r="A2522" s="2">
        <v>2514</v>
      </c>
      <c r="B2522" s="14">
        <f>A2522*Assumptions!$B$12</f>
        <v>25.14</v>
      </c>
      <c r="C2522" s="15">
        <f>IF(A2522&lt;=Assumptions!$B$13,IF(OR(A2522=0,A2522=Assumptions!$B$13),0.5,1),0)*Assumptions!$B$12</f>
        <v>0</v>
      </c>
      <c r="D2522" s="12">
        <f>D2521*(1-Assumptions!$B$12*(Assumptions!$B$5+Assumptions!$B$6))</f>
        <v>0.47033355117599246</v>
      </c>
      <c r="E2522" s="12">
        <f>E2521+Assumptions!$B$12*(D2521*Assumptions!$B$5-E2521*Assumptions!$B$7)</f>
        <v>0.18591670672773755</v>
      </c>
      <c r="F2522" s="12">
        <f t="shared" si="117"/>
        <v>0.34374974209626996</v>
      </c>
      <c r="G2522" s="12">
        <f>EXP(-Assumptions!$B$8*B2522)</f>
        <v>0.28450626629978992</v>
      </c>
      <c r="H2522" s="12">
        <f t="shared" si="118"/>
        <v>0.13381284256060277</v>
      </c>
      <c r="I2522" s="12">
        <f t="shared" si="119"/>
        <v>5.2894468073861646E-2</v>
      </c>
      <c r="J2522" s="12">
        <f>G2522*(D2522*Assumptions!$B$6+E2522*Assumptions!$B$7)</f>
        <v>3.9828518292991093E-3</v>
      </c>
    </row>
    <row r="2523" spans="1:10" x14ac:dyDescent="0.2">
      <c r="A2523" s="2">
        <v>2515</v>
      </c>
      <c r="B2523" s="14">
        <f>A2523*Assumptions!$B$12</f>
        <v>25.150000000000002</v>
      </c>
      <c r="C2523" s="15">
        <f>IF(A2523&lt;=Assumptions!$B$13,IF(OR(A2523=0,A2523=Assumptions!$B$13),0.5,1),0)*Assumptions!$B$12</f>
        <v>0</v>
      </c>
      <c r="D2523" s="12">
        <f>D2522*(1-Assumptions!$B$12*(Assumptions!$B$5+Assumptions!$B$6))</f>
        <v>0.47019245111063968</v>
      </c>
      <c r="E2523" s="12">
        <f>E2522+Assumptions!$B$12*(D2522*Assumptions!$B$5-E2522*Assumptions!$B$7)</f>
        <v>0.18591781508460889</v>
      </c>
      <c r="F2523" s="12">
        <f t="shared" si="117"/>
        <v>0.34388973380475141</v>
      </c>
      <c r="G2523" s="12">
        <f>EXP(-Assumptions!$B$8*B2523)</f>
        <v>0.28436404872399679</v>
      </c>
      <c r="H2523" s="12">
        <f t="shared" si="118"/>
        <v>0.13370582907728143</v>
      </c>
      <c r="I2523" s="12">
        <f t="shared" si="119"/>
        <v>5.2868342627378745E-2</v>
      </c>
      <c r="J2523" s="12">
        <f>G2523*(D2523*Assumptions!$B$6+E2523*Assumptions!$B$7)</f>
        <v>3.9804754221417519E-3</v>
      </c>
    </row>
    <row r="2524" spans="1:10" x14ac:dyDescent="0.2">
      <c r="A2524" s="2">
        <v>2516</v>
      </c>
      <c r="B2524" s="14">
        <f>A2524*Assumptions!$B$12</f>
        <v>25.16</v>
      </c>
      <c r="C2524" s="15">
        <f>IF(A2524&lt;=Assumptions!$B$13,IF(OR(A2524=0,A2524=Assumptions!$B$13),0.5,1),0)*Assumptions!$B$12</f>
        <v>0</v>
      </c>
      <c r="D2524" s="12">
        <f>D2523*(1-Assumptions!$B$12*(Assumptions!$B$5+Assumptions!$B$6))</f>
        <v>0.47005139337530649</v>
      </c>
      <c r="E2524" s="12">
        <f>E2523+Assumptions!$B$12*(D2523*Assumptions!$B$5-E2523*Assumptions!$B$7)</f>
        <v>0.18591889466728873</v>
      </c>
      <c r="F2524" s="12">
        <f t="shared" si="117"/>
        <v>0.34402971195740473</v>
      </c>
      <c r="G2524" s="12">
        <f>EXP(-Assumptions!$B$8*B2524)</f>
        <v>0.28422190223921745</v>
      </c>
      <c r="H2524" s="12">
        <f t="shared" si="118"/>
        <v>0.1335989011753243</v>
      </c>
      <c r="I2524" s="12">
        <f t="shared" si="119"/>
        <v>5.28422219045495E-2</v>
      </c>
      <c r="J2524" s="12">
        <f>G2524*(D2524*Assumptions!$B$6+E2524*Assumptions!$B$7)</f>
        <v>3.9781001069807186E-3</v>
      </c>
    </row>
    <row r="2525" spans="1:10" x14ac:dyDescent="0.2">
      <c r="A2525" s="2">
        <v>2517</v>
      </c>
      <c r="B2525" s="14">
        <f>A2525*Assumptions!$B$12</f>
        <v>25.17</v>
      </c>
      <c r="C2525" s="15">
        <f>IF(A2525&lt;=Assumptions!$B$13,IF(OR(A2525=0,A2525=Assumptions!$B$13),0.5,1),0)*Assumptions!$B$12</f>
        <v>0</v>
      </c>
      <c r="D2525" s="12">
        <f>D2524*(1-Assumptions!$B$12*(Assumptions!$B$5+Assumptions!$B$6))</f>
        <v>0.4699103779572939</v>
      </c>
      <c r="E2525" s="12">
        <f>E2524+Assumptions!$B$12*(D2524*Assumptions!$B$5-E2524*Assumptions!$B$7)</f>
        <v>0.18591994549863014</v>
      </c>
      <c r="F2525" s="12">
        <f t="shared" si="117"/>
        <v>0.34416967654407593</v>
      </c>
      <c r="G2525" s="12">
        <f>EXP(-Assumptions!$B$8*B2525)</f>
        <v>0.28407982680991506</v>
      </c>
      <c r="H2525" s="12">
        <f t="shared" si="118"/>
        <v>0.13349205878628978</v>
      </c>
      <c r="I2525" s="12">
        <f t="shared" si="119"/>
        <v>5.2816105917759697E-2</v>
      </c>
      <c r="J2525" s="12">
        <f>G2525*(D2525*Assumptions!$B$6+E2525*Assumptions!$B$7)</f>
        <v>3.9757258837508826E-3</v>
      </c>
    </row>
    <row r="2526" spans="1:10" x14ac:dyDescent="0.2">
      <c r="A2526" s="2">
        <v>2518</v>
      </c>
      <c r="B2526" s="14">
        <f>A2526*Assumptions!$B$12</f>
        <v>25.18</v>
      </c>
      <c r="C2526" s="15">
        <f>IF(A2526&lt;=Assumptions!$B$13,IF(OR(A2526=0,A2526=Assumptions!$B$13),0.5,1),0)*Assumptions!$B$12</f>
        <v>0</v>
      </c>
      <c r="D2526" s="12">
        <f>D2525*(1-Assumptions!$B$12*(Assumptions!$B$5+Assumptions!$B$6))</f>
        <v>0.46976940484390672</v>
      </c>
      <c r="E2526" s="12">
        <f>E2525+Assumptions!$B$12*(D2525*Assumptions!$B$5-E2525*Assumptions!$B$7)</f>
        <v>0.18592096760147228</v>
      </c>
      <c r="F2526" s="12">
        <f t="shared" si="117"/>
        <v>0.34430962755462102</v>
      </c>
      <c r="G2526" s="12">
        <f>EXP(-Assumptions!$B$8*B2526)</f>
        <v>0.28393782240057086</v>
      </c>
      <c r="H2526" s="12">
        <f t="shared" si="118"/>
        <v>0.13338530184179107</v>
      </c>
      <c r="I2526" s="12">
        <f t="shared" si="119"/>
        <v>5.2789994679369123E-2</v>
      </c>
      <c r="J2526" s="12">
        <f>G2526*(D2526*Assumptions!$B$6+E2526*Assumptions!$B$7)</f>
        <v>3.9733527523863671E-3</v>
      </c>
    </row>
    <row r="2527" spans="1:10" x14ac:dyDescent="0.2">
      <c r="A2527" s="2">
        <v>2519</v>
      </c>
      <c r="B2527" s="14">
        <f>A2527*Assumptions!$B$12</f>
        <v>25.19</v>
      </c>
      <c r="C2527" s="15">
        <f>IF(A2527&lt;=Assumptions!$B$13,IF(OR(A2527=0,A2527=Assumptions!$B$13),0.5,1),0)*Assumptions!$B$12</f>
        <v>0</v>
      </c>
      <c r="D2527" s="12">
        <f>D2526*(1-Assumptions!$B$12*(Assumptions!$B$5+Assumptions!$B$6))</f>
        <v>0.46962847402245356</v>
      </c>
      <c r="E2527" s="12">
        <f>E2526+Assumptions!$B$12*(D2526*Assumptions!$B$5-E2526*Assumptions!$B$7)</f>
        <v>0.18592196099864033</v>
      </c>
      <c r="F2527" s="12">
        <f t="shared" si="117"/>
        <v>0.34444956497890611</v>
      </c>
      <c r="G2527" s="12">
        <f>EXP(-Assumptions!$B$8*B2527)</f>
        <v>0.28379588897568375</v>
      </c>
      <c r="H2527" s="12">
        <f t="shared" si="118"/>
        <v>0.13327863027349601</v>
      </c>
      <c r="I2527" s="12">
        <f t="shared" si="119"/>
        <v>5.2763888201711538E-2</v>
      </c>
      <c r="J2527" s="12">
        <f>G2527*(D2527*Assumptions!$B$6+E2527*Assumptions!$B$7)</f>
        <v>3.9709807128205368E-3</v>
      </c>
    </row>
    <row r="2528" spans="1:10" x14ac:dyDescent="0.2">
      <c r="A2528" s="2">
        <v>2520</v>
      </c>
      <c r="B2528" s="14">
        <f>A2528*Assumptions!$B$12</f>
        <v>25.2</v>
      </c>
      <c r="C2528" s="15">
        <f>IF(A2528&lt;=Assumptions!$B$13,IF(OR(A2528=0,A2528=Assumptions!$B$13),0.5,1),0)*Assumptions!$B$12</f>
        <v>0</v>
      </c>
      <c r="D2528" s="12">
        <f>D2527*(1-Assumptions!$B$12*(Assumptions!$B$5+Assumptions!$B$6))</f>
        <v>0.46948758548024683</v>
      </c>
      <c r="E2528" s="12">
        <f>E2527+Assumptions!$B$12*(D2527*Assumptions!$B$5-E2527*Assumptions!$B$7)</f>
        <v>0.1859229257129455</v>
      </c>
      <c r="F2528" s="12">
        <f t="shared" si="117"/>
        <v>0.34458948880680768</v>
      </c>
      <c r="G2528" s="12">
        <f>EXP(-Assumptions!$B$8*B2528)</f>
        <v>0.2836540264997704</v>
      </c>
      <c r="H2528" s="12">
        <f t="shared" si="118"/>
        <v>0.13317204401312716</v>
      </c>
      <c r="I2528" s="12">
        <f t="shared" si="119"/>
        <v>5.2737786497094687E-2</v>
      </c>
      <c r="J2528" s="12">
        <f>G2528*(D2528*Assumptions!$B$6+E2528*Assumptions!$B$7)</f>
        <v>3.9686097649860065E-3</v>
      </c>
    </row>
    <row r="2529" spans="1:10" x14ac:dyDescent="0.2">
      <c r="A2529" s="2">
        <v>2521</v>
      </c>
      <c r="B2529" s="14">
        <f>A2529*Assumptions!$B$12</f>
        <v>25.21</v>
      </c>
      <c r="C2529" s="15">
        <f>IF(A2529&lt;=Assumptions!$B$13,IF(OR(A2529=0,A2529=Assumptions!$B$13),0.5,1),0)*Assumptions!$B$12</f>
        <v>0</v>
      </c>
      <c r="D2529" s="12">
        <f>D2528*(1-Assumptions!$B$12*(Assumptions!$B$5+Assumptions!$B$6))</f>
        <v>0.46934673920460279</v>
      </c>
      <c r="E2529" s="12">
        <f>E2528+Assumptions!$B$12*(D2528*Assumptions!$B$5-E2528*Assumptions!$B$7)</f>
        <v>0.18592386176718506</v>
      </c>
      <c r="F2529" s="12">
        <f t="shared" si="117"/>
        <v>0.34472939902821215</v>
      </c>
      <c r="G2529" s="12">
        <f>EXP(-Assumptions!$B$8*B2529)</f>
        <v>0.28351223493736505</v>
      </c>
      <c r="H2529" s="12">
        <f t="shared" si="118"/>
        <v>0.13306554299246154</v>
      </c>
      <c r="I2529" s="12">
        <f t="shared" si="119"/>
        <v>5.2711689577800355E-2</v>
      </c>
      <c r="J2529" s="12">
        <f>G2529*(D2529*Assumptions!$B$6+E2529*Assumptions!$B$7)</f>
        <v>3.9662399088146337E-3</v>
      </c>
    </row>
    <row r="2530" spans="1:10" x14ac:dyDescent="0.2">
      <c r="A2530" s="2">
        <v>2522</v>
      </c>
      <c r="B2530" s="14">
        <f>A2530*Assumptions!$B$12</f>
        <v>25.22</v>
      </c>
      <c r="C2530" s="15">
        <f>IF(A2530&lt;=Assumptions!$B$13,IF(OR(A2530=0,A2530=Assumptions!$B$13),0.5,1),0)*Assumptions!$B$12</f>
        <v>0</v>
      </c>
      <c r="D2530" s="12">
        <f>D2529*(1-Assumptions!$B$12*(Assumptions!$B$5+Assumptions!$B$6))</f>
        <v>0.46920593518284143</v>
      </c>
      <c r="E2530" s="12">
        <f>E2529+Assumptions!$B$12*(D2529*Assumptions!$B$5-E2529*Assumptions!$B$7)</f>
        <v>0.18592476918414239</v>
      </c>
      <c r="F2530" s="12">
        <f t="shared" si="117"/>
        <v>0.34486929563301616</v>
      </c>
      <c r="G2530" s="12">
        <f>EXP(-Assumptions!$B$8*B2530)</f>
        <v>0.28337051425301996</v>
      </c>
      <c r="H2530" s="12">
        <f t="shared" si="118"/>
        <v>0.13295912714333091</v>
      </c>
      <c r="I2530" s="12">
        <f t="shared" si="119"/>
        <v>5.2685597456084463E-2</v>
      </c>
      <c r="J2530" s="12">
        <f>G2530*(D2530*Assumptions!$B$6+E2530*Assumptions!$B$7)</f>
        <v>3.9638711442375324E-3</v>
      </c>
    </row>
    <row r="2531" spans="1:10" x14ac:dyDescent="0.2">
      <c r="A2531" s="2">
        <v>2523</v>
      </c>
      <c r="B2531" s="14">
        <f>A2531*Assumptions!$B$12</f>
        <v>25.23</v>
      </c>
      <c r="C2531" s="15">
        <f>IF(A2531&lt;=Assumptions!$B$13,IF(OR(A2531=0,A2531=Assumptions!$B$13),0.5,1),0)*Assumptions!$B$12</f>
        <v>0</v>
      </c>
      <c r="D2531" s="12">
        <f>D2530*(1-Assumptions!$B$12*(Assumptions!$B$5+Assumptions!$B$6))</f>
        <v>0.46906517340228659</v>
      </c>
      <c r="E2531" s="12">
        <f>E2530+Assumptions!$B$12*(D2530*Assumptions!$B$5-E2530*Assumptions!$B$7)</f>
        <v>0.18592564798658689</v>
      </c>
      <c r="F2531" s="12">
        <f t="shared" si="117"/>
        <v>0.34500917861112651</v>
      </c>
      <c r="G2531" s="12">
        <f>EXP(-Assumptions!$B$8*B2531)</f>
        <v>0.28322886441130496</v>
      </c>
      <c r="H2531" s="12">
        <f t="shared" si="118"/>
        <v>0.13285279639762149</v>
      </c>
      <c r="I2531" s="12">
        <f t="shared" si="119"/>
        <v>5.2659510144177038E-2</v>
      </c>
      <c r="J2531" s="12">
        <f>G2531*(D2531*Assumptions!$B$6+E2531*Assumptions!$B$7)</f>
        <v>3.9615034711850666E-3</v>
      </c>
    </row>
    <row r="2532" spans="1:10" x14ac:dyDescent="0.2">
      <c r="A2532" s="2">
        <v>2524</v>
      </c>
      <c r="B2532" s="14">
        <f>A2532*Assumptions!$B$12</f>
        <v>25.240000000000002</v>
      </c>
      <c r="C2532" s="15">
        <f>IF(A2532&lt;=Assumptions!$B$13,IF(OR(A2532=0,A2532=Assumptions!$B$13),0.5,1),0)*Assumptions!$B$12</f>
        <v>0</v>
      </c>
      <c r="D2532" s="12">
        <f>D2531*(1-Assumptions!$B$12*(Assumptions!$B$5+Assumptions!$B$6))</f>
        <v>0.46892445385026593</v>
      </c>
      <c r="E2532" s="12">
        <f>E2531+Assumptions!$B$12*(D2531*Assumptions!$B$5-E2531*Assumptions!$B$7)</f>
        <v>0.18592649819727405</v>
      </c>
      <c r="F2532" s="12">
        <f t="shared" si="117"/>
        <v>0.34514904795246004</v>
      </c>
      <c r="G2532" s="12">
        <f>EXP(-Assumptions!$B$8*B2532)</f>
        <v>0.28308728537680744</v>
      </c>
      <c r="H2532" s="12">
        <f t="shared" si="118"/>
        <v>0.13274655068727381</v>
      </c>
      <c r="I2532" s="12">
        <f t="shared" si="119"/>
        <v>5.2633427654282194E-2</v>
      </c>
      <c r="J2532" s="12">
        <f>G2532*(D2532*Assumptions!$B$6+E2532*Assumptions!$B$7)</f>
        <v>3.959136889586848E-3</v>
      </c>
    </row>
    <row r="2533" spans="1:10" x14ac:dyDescent="0.2">
      <c r="A2533" s="2">
        <v>2525</v>
      </c>
      <c r="B2533" s="14">
        <f>A2533*Assumptions!$B$12</f>
        <v>25.25</v>
      </c>
      <c r="C2533" s="15">
        <f>IF(A2533&lt;=Assumptions!$B$13,IF(OR(A2533=0,A2533=Assumptions!$B$13),0.5,1),0)*Assumptions!$B$12</f>
        <v>0</v>
      </c>
      <c r="D2533" s="12">
        <f>D2532*(1-Assumptions!$B$12*(Assumptions!$B$5+Assumptions!$B$6))</f>
        <v>0.46878377651411085</v>
      </c>
      <c r="E2533" s="12">
        <f>E2532+Assumptions!$B$12*(D2532*Assumptions!$B$5-E2532*Assumptions!$B$7)</f>
        <v>0.18592731983894548</v>
      </c>
      <c r="F2533" s="12">
        <f t="shared" si="117"/>
        <v>0.34528890364694365</v>
      </c>
      <c r="G2533" s="12">
        <f>EXP(-Assumptions!$B$8*B2533)</f>
        <v>0.28294577711413277</v>
      </c>
      <c r="H2533" s="12">
        <f t="shared" si="118"/>
        <v>0.13264038994428304</v>
      </c>
      <c r="I2533" s="12">
        <f t="shared" si="119"/>
        <v>5.2607349998578343E-2</v>
      </c>
      <c r="J2533" s="12">
        <f>G2533*(D2533*Assumptions!$B$6+E2533*Assumptions!$B$7)</f>
        <v>3.956771399371747E-3</v>
      </c>
    </row>
    <row r="2534" spans="1:10" x14ac:dyDescent="0.2">
      <c r="A2534" s="2">
        <v>2526</v>
      </c>
      <c r="B2534" s="14">
        <f>A2534*Assumptions!$B$12</f>
        <v>25.26</v>
      </c>
      <c r="C2534" s="15">
        <f>IF(A2534&lt;=Assumptions!$B$13,IF(OR(A2534=0,A2534=Assumptions!$B$13),0.5,1),0)*Assumptions!$B$12</f>
        <v>0</v>
      </c>
      <c r="D2534" s="12">
        <f>D2533*(1-Assumptions!$B$12*(Assumptions!$B$5+Assumptions!$B$6))</f>
        <v>0.46864314138115665</v>
      </c>
      <c r="E2534" s="12">
        <f>E2533+Assumptions!$B$12*(D2533*Assumptions!$B$5-E2533*Assumptions!$B$7)</f>
        <v>0.18592811293432882</v>
      </c>
      <c r="F2534" s="12">
        <f t="shared" si="117"/>
        <v>0.34542874568451448</v>
      </c>
      <c r="G2534" s="12">
        <f>EXP(-Assumptions!$B$8*B2534)</f>
        <v>0.28280433958790391</v>
      </c>
      <c r="H2534" s="12">
        <f t="shared" si="118"/>
        <v>0.13253431410069869</v>
      </c>
      <c r="I2534" s="12">
        <f t="shared" si="119"/>
        <v>5.2581277189218074E-2</v>
      </c>
      <c r="J2534" s="12">
        <f>G2534*(D2534*Assumptions!$B$6+E2534*Assumptions!$B$7)</f>
        <v>3.9544070004678905E-3</v>
      </c>
    </row>
    <row r="2535" spans="1:10" x14ac:dyDescent="0.2">
      <c r="A2535" s="2">
        <v>2527</v>
      </c>
      <c r="B2535" s="14">
        <f>A2535*Assumptions!$B$12</f>
        <v>25.27</v>
      </c>
      <c r="C2535" s="15">
        <f>IF(A2535&lt;=Assumptions!$B$13,IF(OR(A2535=0,A2535=Assumptions!$B$13),0.5,1),0)*Assumptions!$B$12</f>
        <v>0</v>
      </c>
      <c r="D2535" s="12">
        <f>D2534*(1-Assumptions!$B$12*(Assumptions!$B$5+Assumptions!$B$6))</f>
        <v>0.46850254843874234</v>
      </c>
      <c r="E2535" s="12">
        <f>E2534+Assumptions!$B$12*(D2534*Assumptions!$B$5-E2534*Assumptions!$B$7)</f>
        <v>0.18592887750613787</v>
      </c>
      <c r="F2535" s="12">
        <f t="shared" si="117"/>
        <v>0.34556857405511976</v>
      </c>
      <c r="G2535" s="12">
        <f>EXP(-Assumptions!$B$8*B2535)</f>
        <v>0.28266297276276142</v>
      </c>
      <c r="H2535" s="12">
        <f t="shared" si="118"/>
        <v>0.13242832308862454</v>
      </c>
      <c r="I2535" s="12">
        <f t="shared" si="119"/>
        <v>5.2555209238328252E-2</v>
      </c>
      <c r="J2535" s="12">
        <f>G2535*(D2535*Assumptions!$B$6+E2535*Assumptions!$B$7)</f>
        <v>3.9520436928026587E-3</v>
      </c>
    </row>
    <row r="2536" spans="1:10" x14ac:dyDescent="0.2">
      <c r="A2536" s="2">
        <v>2528</v>
      </c>
      <c r="B2536" s="14">
        <f>A2536*Assumptions!$B$12</f>
        <v>25.28</v>
      </c>
      <c r="C2536" s="15">
        <f>IF(A2536&lt;=Assumptions!$B$13,IF(OR(A2536=0,A2536=Assumptions!$B$13),0.5,1),0)*Assumptions!$B$12</f>
        <v>0</v>
      </c>
      <c r="D2536" s="12">
        <f>D2535*(1-Assumptions!$B$12*(Assumptions!$B$5+Assumptions!$B$6))</f>
        <v>0.46836199767421072</v>
      </c>
      <c r="E2536" s="12">
        <f>E2535+Assumptions!$B$12*(D2535*Assumptions!$B$5-E2535*Assumptions!$B$7)</f>
        <v>0.18592961357707255</v>
      </c>
      <c r="F2536" s="12">
        <f t="shared" si="117"/>
        <v>0.34570838874871673</v>
      </c>
      <c r="G2536" s="12">
        <f>EXP(-Assumptions!$B$8*B2536)</f>
        <v>0.28252167660336353</v>
      </c>
      <c r="H2536" s="12">
        <f t="shared" si="118"/>
        <v>0.13232241684021867</v>
      </c>
      <c r="I2536" s="12">
        <f t="shared" si="119"/>
        <v>5.2529146158010041E-2</v>
      </c>
      <c r="J2536" s="12">
        <f>G2536*(D2536*Assumptions!$B$6+E2536*Assumptions!$B$7)</f>
        <v>3.9496814763026883E-3</v>
      </c>
    </row>
    <row r="2537" spans="1:10" x14ac:dyDescent="0.2">
      <c r="A2537" s="2">
        <v>2529</v>
      </c>
      <c r="B2537" s="14">
        <f>A2537*Assumptions!$B$12</f>
        <v>25.29</v>
      </c>
      <c r="C2537" s="15">
        <f>IF(A2537&lt;=Assumptions!$B$13,IF(OR(A2537=0,A2537=Assumptions!$B$13),0.5,1),0)*Assumptions!$B$12</f>
        <v>0</v>
      </c>
      <c r="D2537" s="12">
        <f>D2536*(1-Assumptions!$B$12*(Assumptions!$B$5+Assumptions!$B$6))</f>
        <v>0.46822148907490846</v>
      </c>
      <c r="E2537" s="12">
        <f>E2536+Assumptions!$B$12*(D2536*Assumptions!$B$5-E2536*Assumptions!$B$7)</f>
        <v>0.18593032116981886</v>
      </c>
      <c r="F2537" s="12">
        <f t="shared" si="117"/>
        <v>0.34584818975527265</v>
      </c>
      <c r="G2537" s="12">
        <f>EXP(-Assumptions!$B$8*B2537)</f>
        <v>0.28238045107438636</v>
      </c>
      <c r="H2537" s="12">
        <f t="shared" si="118"/>
        <v>0.13221659528769353</v>
      </c>
      <c r="I2537" s="12">
        <f t="shared" si="119"/>
        <v>5.2503087960338979E-2</v>
      </c>
      <c r="J2537" s="12">
        <f>G2537*(D2537*Assumptions!$B$6+E2537*Assumptions!$B$7)</f>
        <v>3.9473203508938841E-3</v>
      </c>
    </row>
    <row r="2538" spans="1:10" x14ac:dyDescent="0.2">
      <c r="A2538" s="2">
        <v>2530</v>
      </c>
      <c r="B2538" s="14">
        <f>A2538*Assumptions!$B$12</f>
        <v>25.3</v>
      </c>
      <c r="C2538" s="15">
        <f>IF(A2538&lt;=Assumptions!$B$13,IF(OR(A2538=0,A2538=Assumptions!$B$13),0.5,1),0)*Assumptions!$B$12</f>
        <v>0</v>
      </c>
      <c r="D2538" s="12">
        <f>D2537*(1-Assumptions!$B$12*(Assumptions!$B$5+Assumptions!$B$6))</f>
        <v>0.46808102262818602</v>
      </c>
      <c r="E2538" s="12">
        <f>E2537+Assumptions!$B$12*(D2537*Assumptions!$B$5-E2537*Assumptions!$B$7)</f>
        <v>0.18593100030704893</v>
      </c>
      <c r="F2538" s="12">
        <f t="shared" si="117"/>
        <v>0.34598797706476514</v>
      </c>
      <c r="G2538" s="12">
        <f>EXP(-Assumptions!$B$8*B2538)</f>
        <v>0.28223929614052329</v>
      </c>
      <c r="H2538" s="12">
        <f t="shared" si="118"/>
        <v>0.13211085836331557</v>
      </c>
      <c r="I2538" s="12">
        <f t="shared" si="119"/>
        <v>5.2477034657364911E-2</v>
      </c>
      <c r="J2538" s="12">
        <f>G2538*(D2538*Assumptions!$B$6+E2538*Assumptions!$B$7)</f>
        <v>3.9449603165014014E-3</v>
      </c>
    </row>
    <row r="2539" spans="1:10" x14ac:dyDescent="0.2">
      <c r="A2539" s="2">
        <v>2531</v>
      </c>
      <c r="B2539" s="14">
        <f>A2539*Assumptions!$B$12</f>
        <v>25.310000000000002</v>
      </c>
      <c r="C2539" s="15">
        <f>IF(A2539&lt;=Assumptions!$B$13,IF(OR(A2539=0,A2539=Assumptions!$B$13),0.5,1),0)*Assumptions!$B$12</f>
        <v>0</v>
      </c>
      <c r="D2539" s="12">
        <f>D2538*(1-Assumptions!$B$12*(Assumptions!$B$5+Assumptions!$B$6))</f>
        <v>0.46794059832139756</v>
      </c>
      <c r="E2539" s="12">
        <f>E2538+Assumptions!$B$12*(D2538*Assumptions!$B$5-E2538*Assumptions!$B$7)</f>
        <v>0.18593165101142103</v>
      </c>
      <c r="F2539" s="12">
        <f t="shared" si="117"/>
        <v>0.34612775066718138</v>
      </c>
      <c r="G2539" s="12">
        <f>EXP(-Assumptions!$B$8*B2539)</f>
        <v>0.28209821176648575</v>
      </c>
      <c r="H2539" s="12">
        <f t="shared" si="118"/>
        <v>0.13200520599940566</v>
      </c>
      <c r="I2539" s="12">
        <f t="shared" si="119"/>
        <v>5.2450986261112179E-2</v>
      </c>
      <c r="J2539" s="12">
        <f>G2539*(D2539*Assumptions!$B$6+E2539*Assumptions!$B$7)</f>
        <v>3.9426013730496654E-3</v>
      </c>
    </row>
    <row r="2540" spans="1:10" x14ac:dyDescent="0.2">
      <c r="A2540" s="2">
        <v>2532</v>
      </c>
      <c r="B2540" s="14">
        <f>A2540*Assumptions!$B$12</f>
        <v>25.32</v>
      </c>
      <c r="C2540" s="15">
        <f>IF(A2540&lt;=Assumptions!$B$13,IF(OR(A2540=0,A2540=Assumptions!$B$13),0.5,1),0)*Assumptions!$B$12</f>
        <v>0</v>
      </c>
      <c r="D2540" s="12">
        <f>D2539*(1-Assumptions!$B$12*(Assumptions!$B$5+Assumptions!$B$6))</f>
        <v>0.46780021614190115</v>
      </c>
      <c r="E2540" s="12">
        <f>E2539+Assumptions!$B$12*(D2539*Assumptions!$B$5-E2539*Assumptions!$B$7)</f>
        <v>0.1859322733055796</v>
      </c>
      <c r="F2540" s="12">
        <f t="shared" si="117"/>
        <v>0.34626751055251925</v>
      </c>
      <c r="G2540" s="12">
        <f>EXP(-Assumptions!$B$8*B2540)</f>
        <v>0.28195719791700274</v>
      </c>
      <c r="H2540" s="12">
        <f t="shared" si="118"/>
        <v>0.13189963812833869</v>
      </c>
      <c r="I2540" s="12">
        <f t="shared" si="119"/>
        <v>5.2424942783579551E-2</v>
      </c>
      <c r="J2540" s="12">
        <f>G2540*(D2540*Assumptions!$B$6+E2540*Assumptions!$B$7)</f>
        <v>3.9402435204623646E-3</v>
      </c>
    </row>
    <row r="2541" spans="1:10" x14ac:dyDescent="0.2">
      <c r="A2541" s="2">
        <v>2533</v>
      </c>
      <c r="B2541" s="14">
        <f>A2541*Assumptions!$B$12</f>
        <v>25.330000000000002</v>
      </c>
      <c r="C2541" s="15">
        <f>IF(A2541&lt;=Assumptions!$B$13,IF(OR(A2541=0,A2541=Assumptions!$B$13),0.5,1),0)*Assumptions!$B$12</f>
        <v>0</v>
      </c>
      <c r="D2541" s="12">
        <f>D2540*(1-Assumptions!$B$12*(Assumptions!$B$5+Assumptions!$B$6))</f>
        <v>0.46765987607705861</v>
      </c>
      <c r="E2541" s="12">
        <f>E2540+Assumptions!$B$12*(D2540*Assumptions!$B$5-E2540*Assumptions!$B$7)</f>
        <v>0.18593286721215518</v>
      </c>
      <c r="F2541" s="12">
        <f t="shared" si="117"/>
        <v>0.3464072567107862</v>
      </c>
      <c r="G2541" s="12">
        <f>EXP(-Assumptions!$B$8*B2541)</f>
        <v>0.28181625455682058</v>
      </c>
      <c r="H2541" s="12">
        <f t="shared" si="118"/>
        <v>0.13179415468254352</v>
      </c>
      <c r="I2541" s="12">
        <f t="shared" si="119"/>
        <v>5.2398904236740242E-2</v>
      </c>
      <c r="J2541" s="12">
        <f>G2541*(D2541*Assumptions!$B$6+E2541*Assumptions!$B$7)</f>
        <v>3.9378867586624469E-3</v>
      </c>
    </row>
    <row r="2542" spans="1:10" x14ac:dyDescent="0.2">
      <c r="A2542" s="2">
        <v>2534</v>
      </c>
      <c r="B2542" s="14">
        <f>A2542*Assumptions!$B$12</f>
        <v>25.34</v>
      </c>
      <c r="C2542" s="15">
        <f>IF(A2542&lt;=Assumptions!$B$13,IF(OR(A2542=0,A2542=Assumptions!$B$13),0.5,1),0)*Assumptions!$B$12</f>
        <v>0</v>
      </c>
      <c r="D2542" s="12">
        <f>D2541*(1-Assumptions!$B$12*(Assumptions!$B$5+Assumptions!$B$6))</f>
        <v>0.4675195781142355</v>
      </c>
      <c r="E2542" s="12">
        <f>E2541+Assumptions!$B$12*(D2541*Assumptions!$B$5-E2541*Assumptions!$B$7)</f>
        <v>0.1859334327537645</v>
      </c>
      <c r="F2542" s="12">
        <f t="shared" si="117"/>
        <v>0.34654698913199999</v>
      </c>
      <c r="G2542" s="12">
        <f>EXP(-Assumptions!$B$8*B2542)</f>
        <v>0.28167538165070355</v>
      </c>
      <c r="H2542" s="12">
        <f t="shared" si="118"/>
        <v>0.13168875559450319</v>
      </c>
      <c r="I2542" s="12">
        <f t="shared" si="119"/>
        <v>5.2372870632542042E-2</v>
      </c>
      <c r="J2542" s="12">
        <f>G2542*(D2542*Assumptions!$B$6+E2542*Assumptions!$B$7)</f>
        <v>3.9355310875721344E-3</v>
      </c>
    </row>
    <row r="2543" spans="1:10" x14ac:dyDescent="0.2">
      <c r="A2543" s="2">
        <v>2535</v>
      </c>
      <c r="B2543" s="14">
        <f>A2543*Assumptions!$B$12</f>
        <v>25.35</v>
      </c>
      <c r="C2543" s="15">
        <f>IF(A2543&lt;=Assumptions!$B$13,IF(OR(A2543=0,A2543=Assumptions!$B$13),0.5,1),0)*Assumptions!$B$12</f>
        <v>0</v>
      </c>
      <c r="D2543" s="12">
        <f>D2542*(1-Assumptions!$B$12*(Assumptions!$B$5+Assumptions!$B$6))</f>
        <v>0.46737932224080125</v>
      </c>
      <c r="E2543" s="12">
        <f>E2542+Assumptions!$B$12*(D2542*Assumptions!$B$5-E2542*Assumptions!$B$7)</f>
        <v>0.18593396995301048</v>
      </c>
      <c r="F2543" s="12">
        <f t="shared" si="117"/>
        <v>0.34668670780618827</v>
      </c>
      <c r="G2543" s="12">
        <f>EXP(-Assumptions!$B$8*B2543)</f>
        <v>0.28153457916343344</v>
      </c>
      <c r="H2543" s="12">
        <f t="shared" si="118"/>
        <v>0.13158344079675474</v>
      </c>
      <c r="I2543" s="12">
        <f t="shared" si="119"/>
        <v>5.2346841982907281E-2</v>
      </c>
      <c r="J2543" s="12">
        <f>G2543*(D2543*Assumptions!$B$6+E2543*Assumptions!$B$7)</f>
        <v>3.9331765071129116E-3</v>
      </c>
    </row>
    <row r="2544" spans="1:10" x14ac:dyDescent="0.2">
      <c r="A2544" s="2">
        <v>2536</v>
      </c>
      <c r="B2544" s="14">
        <f>A2544*Assumptions!$B$12</f>
        <v>25.36</v>
      </c>
      <c r="C2544" s="15">
        <f>IF(A2544&lt;=Assumptions!$B$13,IF(OR(A2544=0,A2544=Assumptions!$B$13),0.5,1),0)*Assumptions!$B$12</f>
        <v>0</v>
      </c>
      <c r="D2544" s="12">
        <f>D2543*(1-Assumptions!$B$12*(Assumptions!$B$5+Assumptions!$B$6))</f>
        <v>0.46723910844412903</v>
      </c>
      <c r="E2544" s="12">
        <f>E2543+Assumptions!$B$12*(D2543*Assumptions!$B$5-E2543*Assumptions!$B$7)</f>
        <v>0.18593447883248213</v>
      </c>
      <c r="F2544" s="12">
        <f t="shared" si="117"/>
        <v>0.34682641272338888</v>
      </c>
      <c r="G2544" s="12">
        <f>EXP(-Assumptions!$B$8*B2544)</f>
        <v>0.28139384705980952</v>
      </c>
      <c r="H2544" s="12">
        <f t="shared" si="118"/>
        <v>0.13147821022188899</v>
      </c>
      <c r="I2544" s="12">
        <f t="shared" si="119"/>
        <v>5.2320818299732869E-2</v>
      </c>
      <c r="J2544" s="12">
        <f>G2544*(D2544*Assumptions!$B$6+E2544*Assumptions!$B$7)</f>
        <v>3.9308230172055338E-3</v>
      </c>
    </row>
    <row r="2545" spans="1:10" x14ac:dyDescent="0.2">
      <c r="A2545" s="2">
        <v>2537</v>
      </c>
      <c r="B2545" s="14">
        <f>A2545*Assumptions!$B$12</f>
        <v>25.37</v>
      </c>
      <c r="C2545" s="15">
        <f>IF(A2545&lt;=Assumptions!$B$13,IF(OR(A2545=0,A2545=Assumptions!$B$13),0.5,1),0)*Assumptions!$B$12</f>
        <v>0</v>
      </c>
      <c r="D2545" s="12">
        <f>D2544*(1-Assumptions!$B$12*(Assumptions!$B$5+Assumptions!$B$6))</f>
        <v>0.4670989367115958</v>
      </c>
      <c r="E2545" s="12">
        <f>E2544+Assumptions!$B$12*(D2544*Assumptions!$B$5-E2544*Assumptions!$B$7)</f>
        <v>0.18593495941475471</v>
      </c>
      <c r="F2545" s="12">
        <f t="shared" si="117"/>
        <v>0.34696610387364946</v>
      </c>
      <c r="G2545" s="12">
        <f>EXP(-Assumptions!$B$8*B2545)</f>
        <v>0.28125318530464882</v>
      </c>
      <c r="H2545" s="12">
        <f t="shared" si="118"/>
        <v>0.1313730638025509</v>
      </c>
      <c r="I2545" s="12">
        <f t="shared" si="119"/>
        <v>5.2294799594890369E-2</v>
      </c>
      <c r="J2545" s="12">
        <f>G2545*(D2545*Assumptions!$B$6+E2545*Assumptions!$B$7)</f>
        <v>3.9284706177700269E-3</v>
      </c>
    </row>
    <row r="2546" spans="1:10" x14ac:dyDescent="0.2">
      <c r="A2546" s="2">
        <v>2538</v>
      </c>
      <c r="B2546" s="14">
        <f>A2546*Assumptions!$B$12</f>
        <v>25.38</v>
      </c>
      <c r="C2546" s="15">
        <f>IF(A2546&lt;=Assumptions!$B$13,IF(OR(A2546=0,A2546=Assumptions!$B$13),0.5,1),0)*Assumptions!$B$12</f>
        <v>0</v>
      </c>
      <c r="D2546" s="12">
        <f>D2545*(1-Assumptions!$B$12*(Assumptions!$B$5+Assumptions!$B$6))</f>
        <v>0.46695880703058235</v>
      </c>
      <c r="E2546" s="12">
        <f>E2545+Assumptions!$B$12*(D2545*Assumptions!$B$5-E2545*Assumptions!$B$7)</f>
        <v>0.18593541172238964</v>
      </c>
      <c r="F2546" s="12">
        <f t="shared" si="117"/>
        <v>0.34710578124702801</v>
      </c>
      <c r="G2546" s="12">
        <f>EXP(-Assumptions!$B$8*B2546)</f>
        <v>0.28111259386278598</v>
      </c>
      <c r="H2546" s="12">
        <f t="shared" si="118"/>
        <v>0.13126800147143913</v>
      </c>
      <c r="I2546" s="12">
        <f t="shared" si="119"/>
        <v>5.2268785880226015E-2</v>
      </c>
      <c r="J2546" s="12">
        <f>G2546*(D2546*Assumptions!$B$6+E2546*Assumptions!$B$7)</f>
        <v>3.9261193087256922E-3</v>
      </c>
    </row>
    <row r="2547" spans="1:10" x14ac:dyDescent="0.2">
      <c r="A2547" s="2">
        <v>2539</v>
      </c>
      <c r="B2547" s="14">
        <f>A2547*Assumptions!$B$12</f>
        <v>25.39</v>
      </c>
      <c r="C2547" s="15">
        <f>IF(A2547&lt;=Assumptions!$B$13,IF(OR(A2547=0,A2547=Assumptions!$B$13),0.5,1),0)*Assumptions!$B$12</f>
        <v>0</v>
      </c>
      <c r="D2547" s="12">
        <f>D2546*(1-Assumptions!$B$12*(Assumptions!$B$5+Assumptions!$B$6))</f>
        <v>0.46681871938847319</v>
      </c>
      <c r="E2547" s="12">
        <f>E2546+Assumptions!$B$12*(D2546*Assumptions!$B$5-E2546*Assumptions!$B$7)</f>
        <v>0.18593583577793457</v>
      </c>
      <c r="F2547" s="12">
        <f t="shared" si="117"/>
        <v>0.34724544483359221</v>
      </c>
      <c r="G2547" s="12">
        <f>EXP(-Assumptions!$B$8*B2547)</f>
        <v>0.28097207269907304</v>
      </c>
      <c r="H2547" s="12">
        <f t="shared" si="118"/>
        <v>0.13116302316130626</v>
      </c>
      <c r="I2547" s="12">
        <f t="shared" si="119"/>
        <v>5.224277716756074E-2</v>
      </c>
      <c r="J2547" s="12">
        <f>G2547*(D2547*Assumptions!$B$6+E2547*Assumptions!$B$7)</f>
        <v>3.9237690899911002E-3</v>
      </c>
    </row>
    <row r="2548" spans="1:10" x14ac:dyDescent="0.2">
      <c r="A2548" s="2">
        <v>2540</v>
      </c>
      <c r="B2548" s="14">
        <f>A2548*Assumptions!$B$12</f>
        <v>25.400000000000002</v>
      </c>
      <c r="C2548" s="15">
        <f>IF(A2548&lt;=Assumptions!$B$13,IF(OR(A2548=0,A2548=Assumptions!$B$13),0.5,1),0)*Assumptions!$B$12</f>
        <v>0</v>
      </c>
      <c r="D2548" s="12">
        <f>D2547*(1-Assumptions!$B$12*(Assumptions!$B$5+Assumptions!$B$6))</f>
        <v>0.46667867377265665</v>
      </c>
      <c r="E2548" s="12">
        <f>E2547+Assumptions!$B$12*(D2547*Assumptions!$B$5-E2547*Assumptions!$B$7)</f>
        <v>0.18593623160392331</v>
      </c>
      <c r="F2548" s="12">
        <f t="shared" si="117"/>
        <v>0.34738509462341999</v>
      </c>
      <c r="G2548" s="12">
        <f>EXP(-Assumptions!$B$8*B2548)</f>
        <v>0.28083162177837973</v>
      </c>
      <c r="H2548" s="12">
        <f t="shared" si="118"/>
        <v>0.13105812880495857</v>
      </c>
      <c r="I2548" s="12">
        <f t="shared" si="119"/>
        <v>5.2216773468690206E-2</v>
      </c>
      <c r="J2548" s="12">
        <f>G2548*(D2548*Assumptions!$B$6+E2548*Assumptions!$B$7)</f>
        <v>3.9214199614840961E-3</v>
      </c>
    </row>
    <row r="2549" spans="1:10" x14ac:dyDescent="0.2">
      <c r="A2549" s="2">
        <v>2541</v>
      </c>
      <c r="B2549" s="14">
        <f>A2549*Assumptions!$B$12</f>
        <v>25.41</v>
      </c>
      <c r="C2549" s="15">
        <f>IF(A2549&lt;=Assumptions!$B$13,IF(OR(A2549=0,A2549=Assumptions!$B$13),0.5,1),0)*Assumptions!$B$12</f>
        <v>0</v>
      </c>
      <c r="D2549" s="12">
        <f>D2548*(1-Assumptions!$B$12*(Assumptions!$B$5+Assumptions!$B$6))</f>
        <v>0.46653867017052486</v>
      </c>
      <c r="E2549" s="12">
        <f>E2548+Assumptions!$B$12*(D2548*Assumptions!$B$5-E2548*Assumptions!$B$7)</f>
        <v>0.18593659922287586</v>
      </c>
      <c r="F2549" s="12">
        <f t="shared" si="117"/>
        <v>0.34752473060659927</v>
      </c>
      <c r="G2549" s="12">
        <f>EXP(-Assumptions!$B$8*B2549)</f>
        <v>0.28069124106559334</v>
      </c>
      <c r="H2549" s="12">
        <f t="shared" si="118"/>
        <v>0.13095331833525614</v>
      </c>
      <c r="I2549" s="12">
        <f t="shared" si="119"/>
        <v>5.2190774795384864E-2</v>
      </c>
      <c r="J2549" s="12">
        <f>G2549*(D2549*Assumptions!$B$6+E2549*Assumptions!$B$7)</f>
        <v>3.9190719231218052E-3</v>
      </c>
    </row>
    <row r="2550" spans="1:10" x14ac:dyDescent="0.2">
      <c r="A2550" s="2">
        <v>2542</v>
      </c>
      <c r="B2550" s="14">
        <f>A2550*Assumptions!$B$12</f>
        <v>25.42</v>
      </c>
      <c r="C2550" s="15">
        <f>IF(A2550&lt;=Assumptions!$B$13,IF(OR(A2550=0,A2550=Assumptions!$B$13),0.5,1),0)*Assumptions!$B$12</f>
        <v>0</v>
      </c>
      <c r="D2550" s="12">
        <f>D2549*(1-Assumptions!$B$12*(Assumptions!$B$5+Assumptions!$B$6))</f>
        <v>0.46639870856947374</v>
      </c>
      <c r="E2550" s="12">
        <f>E2549+Assumptions!$B$12*(D2549*Assumptions!$B$5-E2549*Assumptions!$B$7)</f>
        <v>0.18593693865729854</v>
      </c>
      <c r="F2550" s="12">
        <f t="shared" si="117"/>
        <v>0.34766435277322771</v>
      </c>
      <c r="G2550" s="12">
        <f>EXP(-Assumptions!$B$8*B2550)</f>
        <v>0.28055093052561869</v>
      </c>
      <c r="H2550" s="12">
        <f t="shared" si="118"/>
        <v>0.1308485916851127</v>
      </c>
      <c r="I2550" s="12">
        <f t="shared" si="119"/>
        <v>5.2164781159389988E-2</v>
      </c>
      <c r="J2550" s="12">
        <f>G2550*(D2550*Assumptions!$B$6+E2550*Assumptions!$B$7)</f>
        <v>3.916724974820626E-3</v>
      </c>
    </row>
    <row r="2551" spans="1:10" x14ac:dyDescent="0.2">
      <c r="A2551" s="2">
        <v>2543</v>
      </c>
      <c r="B2551" s="14">
        <f>A2551*Assumptions!$B$12</f>
        <v>25.43</v>
      </c>
      <c r="C2551" s="15">
        <f>IF(A2551&lt;=Assumptions!$B$13,IF(OR(A2551=0,A2551=Assumptions!$B$13),0.5,1),0)*Assumptions!$B$12</f>
        <v>0</v>
      </c>
      <c r="D2551" s="12">
        <f>D2550*(1-Assumptions!$B$12*(Assumptions!$B$5+Assumptions!$B$6))</f>
        <v>0.46625878895690293</v>
      </c>
      <c r="E2551" s="12">
        <f>E2550+Assumptions!$B$12*(D2550*Assumptions!$B$5-E2550*Assumptions!$B$7)</f>
        <v>0.1859372499296838</v>
      </c>
      <c r="F2551" s="12">
        <f t="shared" si="117"/>
        <v>0.34780396111341322</v>
      </c>
      <c r="G2551" s="12">
        <f>EXP(-Assumptions!$B$8*B2551)</f>
        <v>0.2804106901233781</v>
      </c>
      <c r="H2551" s="12">
        <f t="shared" si="118"/>
        <v>0.13074394878749565</v>
      </c>
      <c r="I2551" s="12">
        <f t="shared" si="119"/>
        <v>5.2138792572425673E-2</v>
      </c>
      <c r="J2551" s="12">
        <f>G2551*(D2551*Assumptions!$B$6+E2551*Assumptions!$B$7)</f>
        <v>3.9143791164962397E-3</v>
      </c>
    </row>
    <row r="2552" spans="1:10" x14ac:dyDescent="0.2">
      <c r="A2552" s="2">
        <v>2544</v>
      </c>
      <c r="B2552" s="14">
        <f>A2552*Assumptions!$B$12</f>
        <v>25.44</v>
      </c>
      <c r="C2552" s="15">
        <f>IF(A2552&lt;=Assumptions!$B$13,IF(OR(A2552=0,A2552=Assumptions!$B$13),0.5,1),0)*Assumptions!$B$12</f>
        <v>0</v>
      </c>
      <c r="D2552" s="12">
        <f>D2551*(1-Assumptions!$B$12*(Assumptions!$B$5+Assumptions!$B$6))</f>
        <v>0.46611891132021588</v>
      </c>
      <c r="E2552" s="12">
        <f>E2551+Assumptions!$B$12*(D2551*Assumptions!$B$5-E2551*Assumptions!$B$7)</f>
        <v>0.18593753306251035</v>
      </c>
      <c r="F2552" s="12">
        <f t="shared" si="117"/>
        <v>0.34794355561727375</v>
      </c>
      <c r="G2552" s="12">
        <f>EXP(-Assumptions!$B$8*B2552)</f>
        <v>0.28027051982381146</v>
      </c>
      <c r="H2552" s="12">
        <f t="shared" si="118"/>
        <v>0.13063938957542598</v>
      </c>
      <c r="I2552" s="12">
        <f t="shared" si="119"/>
        <v>5.2112809046186905E-2</v>
      </c>
      <c r="J2552" s="12">
        <f>G2552*(D2552*Assumptions!$B$6+E2552*Assumptions!$B$7)</f>
        <v>3.9120343480636057E-3</v>
      </c>
    </row>
    <row r="2553" spans="1:10" x14ac:dyDescent="0.2">
      <c r="A2553" s="2">
        <v>2545</v>
      </c>
      <c r="B2553" s="14">
        <f>A2553*Assumptions!$B$12</f>
        <v>25.45</v>
      </c>
      <c r="C2553" s="15">
        <f>IF(A2553&lt;=Assumptions!$B$13,IF(OR(A2553=0,A2553=Assumptions!$B$13),0.5,1),0)*Assumptions!$B$12</f>
        <v>0</v>
      </c>
      <c r="D2553" s="12">
        <f>D2552*(1-Assumptions!$B$12*(Assumptions!$B$5+Assumptions!$B$6))</f>
        <v>0.46597907564681984</v>
      </c>
      <c r="E2553" s="12">
        <f>E2552+Assumptions!$B$12*(D2552*Assumptions!$B$5-E2552*Assumptions!$B$7)</f>
        <v>0.18593778807824313</v>
      </c>
      <c r="F2553" s="12">
        <f t="shared" si="117"/>
        <v>0.34808313627493703</v>
      </c>
      <c r="G2553" s="12">
        <f>EXP(-Assumptions!$B$8*B2553)</f>
        <v>0.2801304195918764</v>
      </c>
      <c r="H2553" s="12">
        <f t="shared" si="118"/>
        <v>0.13053491398197836</v>
      </c>
      <c r="I2553" s="12">
        <f t="shared" si="119"/>
        <v>5.208683059234364E-2</v>
      </c>
      <c r="J2553" s="12">
        <f>G2553*(D2553*Assumptions!$B$6+E2553*Assumptions!$B$7)</f>
        <v>3.9096906694369655E-3</v>
      </c>
    </row>
    <row r="2554" spans="1:10" x14ac:dyDescent="0.2">
      <c r="A2554" s="2">
        <v>2546</v>
      </c>
      <c r="B2554" s="14">
        <f>A2554*Assumptions!$B$12</f>
        <v>25.46</v>
      </c>
      <c r="C2554" s="15">
        <f>IF(A2554&lt;=Assumptions!$B$13,IF(OR(A2554=0,A2554=Assumptions!$B$13),0.5,1),0)*Assumptions!$B$12</f>
        <v>0</v>
      </c>
      <c r="D2554" s="12">
        <f>D2553*(1-Assumptions!$B$12*(Assumptions!$B$5+Assumptions!$B$6))</f>
        <v>0.46583928192412583</v>
      </c>
      <c r="E2554" s="12">
        <f>E2553+Assumptions!$B$12*(D2553*Assumptions!$B$5-E2553*Assumptions!$B$7)</f>
        <v>0.18593801499933338</v>
      </c>
      <c r="F2554" s="12">
        <f t="shared" si="117"/>
        <v>0.3482227030765408</v>
      </c>
      <c r="G2554" s="12">
        <f>EXP(-Assumptions!$B$8*B2554)</f>
        <v>0.27999038939254756</v>
      </c>
      <c r="H2554" s="12">
        <f t="shared" si="118"/>
        <v>0.13043052194028074</v>
      </c>
      <c r="I2554" s="12">
        <f t="shared" si="119"/>
        <v>5.2060857222540703E-2</v>
      </c>
      <c r="J2554" s="12">
        <f>G2554*(D2554*Assumptions!$B$6+E2554*Assumptions!$B$7)</f>
        <v>3.9073480805298429E-3</v>
      </c>
    </row>
    <row r="2555" spans="1:10" x14ac:dyDescent="0.2">
      <c r="A2555" s="2">
        <v>2547</v>
      </c>
      <c r="B2555" s="14">
        <f>A2555*Assumptions!$B$12</f>
        <v>25.47</v>
      </c>
      <c r="C2555" s="15">
        <f>IF(A2555&lt;=Assumptions!$B$13,IF(OR(A2555=0,A2555=Assumptions!$B$13),0.5,1),0)*Assumptions!$B$12</f>
        <v>0</v>
      </c>
      <c r="D2555" s="12">
        <f>D2554*(1-Assumptions!$B$12*(Assumptions!$B$5+Assumptions!$B$6))</f>
        <v>0.46569953013954862</v>
      </c>
      <c r="E2555" s="12">
        <f>E2554+Assumptions!$B$12*(D2554*Assumptions!$B$5-E2554*Assumptions!$B$7)</f>
        <v>0.18593821384821854</v>
      </c>
      <c r="F2555" s="12">
        <f t="shared" si="117"/>
        <v>0.34836225601223292</v>
      </c>
      <c r="G2555" s="12">
        <f>EXP(-Assumptions!$B$8*B2555)</f>
        <v>0.27985042919081754</v>
      </c>
      <c r="H2555" s="12">
        <f t="shared" si="118"/>
        <v>0.13032621338351474</v>
      </c>
      <c r="I2555" s="12">
        <f t="shared" si="119"/>
        <v>5.2034888948397973E-2</v>
      </c>
      <c r="J2555" s="12">
        <f>G2555*(D2555*Assumptions!$B$6+E2555*Assumptions!$B$7)</f>
        <v>3.9050065812550466E-3</v>
      </c>
    </row>
    <row r="2556" spans="1:10" x14ac:dyDescent="0.2">
      <c r="A2556" s="2">
        <v>2548</v>
      </c>
      <c r="B2556" s="14">
        <f>A2556*Assumptions!$B$12</f>
        <v>25.48</v>
      </c>
      <c r="C2556" s="15">
        <f>IF(A2556&lt;=Assumptions!$B$13,IF(OR(A2556=0,A2556=Assumptions!$B$13),0.5,1),0)*Assumptions!$B$12</f>
        <v>0</v>
      </c>
      <c r="D2556" s="12">
        <f>D2555*(1-Assumptions!$B$12*(Assumptions!$B$5+Assumptions!$B$6))</f>
        <v>0.4655598202805068</v>
      </c>
      <c r="E2556" s="12">
        <f>E2555+Assumptions!$B$12*(D2555*Assumptions!$B$5-E2555*Assumptions!$B$7)</f>
        <v>0.18593838464732235</v>
      </c>
      <c r="F2556" s="12">
        <f t="shared" si="117"/>
        <v>0.34850179507217083</v>
      </c>
      <c r="G2556" s="12">
        <f>EXP(-Assumptions!$B$8*B2556)</f>
        <v>0.27971053895169634</v>
      </c>
      <c r="H2556" s="12">
        <f t="shared" si="118"/>
        <v>0.13022198824491543</v>
      </c>
      <c r="I2556" s="12">
        <f t="shared" si="119"/>
        <v>5.2008925781510354E-2</v>
      </c>
      <c r="J2556" s="12">
        <f>G2556*(D2556*Assumptions!$B$6+E2556*Assumptions!$B$7)</f>
        <v>3.9026661715246725E-3</v>
      </c>
    </row>
    <row r="2557" spans="1:10" x14ac:dyDescent="0.2">
      <c r="A2557" s="2">
        <v>2549</v>
      </c>
      <c r="B2557" s="14">
        <f>A2557*Assumptions!$B$12</f>
        <v>25.490000000000002</v>
      </c>
      <c r="C2557" s="15">
        <f>IF(A2557&lt;=Assumptions!$B$13,IF(OR(A2557=0,A2557=Assumptions!$B$13),0.5,1),0)*Assumptions!$B$12</f>
        <v>0</v>
      </c>
      <c r="D2557" s="12">
        <f>D2556*(1-Assumptions!$B$12*(Assumptions!$B$5+Assumptions!$B$6))</f>
        <v>0.46542015233442269</v>
      </c>
      <c r="E2557" s="12">
        <f>E2556+Assumptions!$B$12*(D2556*Assumptions!$B$5-E2556*Assumptions!$B$7)</f>
        <v>0.18593852741905478</v>
      </c>
      <c r="F2557" s="12">
        <f t="shared" si="117"/>
        <v>0.3486413202465225</v>
      </c>
      <c r="G2557" s="12">
        <f>EXP(-Assumptions!$B$8*B2557)</f>
        <v>0.27957071864021121</v>
      </c>
      <c r="H2557" s="12">
        <f t="shared" si="118"/>
        <v>0.13011784645777114</v>
      </c>
      <c r="I2557" s="12">
        <f t="shared" si="119"/>
        <v>5.1982967733447766E-2</v>
      </c>
      <c r="J2557" s="12">
        <f>G2557*(D2557*Assumptions!$B$6+E2557*Assumptions!$B$7)</f>
        <v>3.9003268512500999E-3</v>
      </c>
    </row>
    <row r="2558" spans="1:10" x14ac:dyDescent="0.2">
      <c r="A2558" s="2">
        <v>2550</v>
      </c>
      <c r="B2558" s="14">
        <f>A2558*Assumptions!$B$12</f>
        <v>25.5</v>
      </c>
      <c r="C2558" s="15">
        <f>IF(A2558&lt;=Assumptions!$B$13,IF(OR(A2558=0,A2558=Assumptions!$B$13),0.5,1),0)*Assumptions!$B$12</f>
        <v>0</v>
      </c>
      <c r="D2558" s="12">
        <f>D2557*(1-Assumptions!$B$12*(Assumptions!$B$5+Assumptions!$B$6))</f>
        <v>0.46528052628872235</v>
      </c>
      <c r="E2558" s="12">
        <f>E2557+Assumptions!$B$12*(D2557*Assumptions!$B$5-E2557*Assumptions!$B$7)</f>
        <v>0.18593864218581213</v>
      </c>
      <c r="F2558" s="12">
        <f t="shared" si="117"/>
        <v>0.34878083152546557</v>
      </c>
      <c r="G2558" s="12">
        <f>EXP(-Assumptions!$B$8*B2558)</f>
        <v>0.27943096822140728</v>
      </c>
      <c r="H2558" s="12">
        <f t="shared" si="118"/>
        <v>0.13001378795542362</v>
      </c>
      <c r="I2558" s="12">
        <f t="shared" si="119"/>
        <v>5.1957014815755292E-2</v>
      </c>
      <c r="J2558" s="12">
        <f>G2558*(D2558*Assumptions!$B$6+E2558*Assumptions!$B$7)</f>
        <v>3.8979886203420011E-3</v>
      </c>
    </row>
    <row r="2559" spans="1:10" x14ac:dyDescent="0.2">
      <c r="A2559" s="2">
        <v>2551</v>
      </c>
      <c r="B2559" s="14">
        <f>A2559*Assumptions!$B$12</f>
        <v>25.51</v>
      </c>
      <c r="C2559" s="15">
        <f>IF(A2559&lt;=Assumptions!$B$13,IF(OR(A2559=0,A2559=Assumptions!$B$13),0.5,1),0)*Assumptions!$B$12</f>
        <v>0</v>
      </c>
      <c r="D2559" s="12">
        <f>D2558*(1-Assumptions!$B$12*(Assumptions!$B$5+Assumptions!$B$6))</f>
        <v>0.46514094213083573</v>
      </c>
      <c r="E2559" s="12">
        <f>E2558+Assumptions!$B$12*(D2558*Assumptions!$B$5-E2558*Assumptions!$B$7)</f>
        <v>0.18593872896997696</v>
      </c>
      <c r="F2559" s="12">
        <f t="shared" si="117"/>
        <v>0.34892032889918734</v>
      </c>
      <c r="G2559" s="12">
        <f>EXP(-Assumptions!$B$8*B2559)</f>
        <v>0.27929128766034689</v>
      </c>
      <c r="H2559" s="12">
        <f t="shared" si="118"/>
        <v>0.129909812671268</v>
      </c>
      <c r="I2559" s="12">
        <f t="shared" si="119"/>
        <v>5.1931067039953108E-2</v>
      </c>
      <c r="J2559" s="12">
        <f>G2559*(D2559*Assumptions!$B$6+E2559*Assumptions!$B$7)</f>
        <v>3.8956514787103357E-3</v>
      </c>
    </row>
    <row r="2560" spans="1:10" x14ac:dyDescent="0.2">
      <c r="A2560" s="2">
        <v>2552</v>
      </c>
      <c r="B2560" s="14">
        <f>A2560*Assumptions!$B$12</f>
        <v>25.52</v>
      </c>
      <c r="C2560" s="15">
        <f>IF(A2560&lt;=Assumptions!$B$13,IF(OR(A2560=0,A2560=Assumptions!$B$13),0.5,1),0)*Assumptions!$B$12</f>
        <v>0</v>
      </c>
      <c r="D2560" s="12">
        <f>D2559*(1-Assumptions!$B$12*(Assumptions!$B$5+Assumptions!$B$6))</f>
        <v>0.46500139984819649</v>
      </c>
      <c r="E2560" s="12">
        <f>E2559+Assumptions!$B$12*(D2559*Assumptions!$B$5-E2559*Assumptions!$B$7)</f>
        <v>0.18593878779391815</v>
      </c>
      <c r="F2560" s="12">
        <f t="shared" si="117"/>
        <v>0.3490598123578853</v>
      </c>
      <c r="G2560" s="12">
        <f>EXP(-Assumptions!$B$8*B2560)</f>
        <v>0.27915167692210985</v>
      </c>
      <c r="H2560" s="12">
        <f t="shared" si="118"/>
        <v>0.12980592053875256</v>
      </c>
      <c r="I2560" s="12">
        <f t="shared" si="119"/>
        <v>5.1905124417536579E-2</v>
      </c>
      <c r="J2560" s="12">
        <f>G2560*(D2560*Assumptions!$B$6+E2560*Assumptions!$B$7)</f>
        <v>3.893315426264355E-3</v>
      </c>
    </row>
    <row r="2561" spans="1:10" x14ac:dyDescent="0.2">
      <c r="A2561" s="2">
        <v>2553</v>
      </c>
      <c r="B2561" s="14">
        <f>A2561*Assumptions!$B$12</f>
        <v>25.53</v>
      </c>
      <c r="C2561" s="15">
        <f>IF(A2561&lt;=Assumptions!$B$13,IF(OR(A2561=0,A2561=Assumptions!$B$13),0.5,1),0)*Assumptions!$B$12</f>
        <v>0</v>
      </c>
      <c r="D2561" s="12">
        <f>D2560*(1-Assumptions!$B$12*(Assumptions!$B$5+Assumptions!$B$6))</f>
        <v>0.46486189942824208</v>
      </c>
      <c r="E2561" s="12">
        <f>E2560+Assumptions!$B$12*(D2560*Assumptions!$B$5-E2560*Assumptions!$B$7)</f>
        <v>0.18593881867999082</v>
      </c>
      <c r="F2561" s="12">
        <f t="shared" si="117"/>
        <v>0.34919928189176708</v>
      </c>
      <c r="G2561" s="12">
        <f>EXP(-Assumptions!$B$8*B2561)</f>
        <v>0.27901213597179342</v>
      </c>
      <c r="H2561" s="12">
        <f t="shared" si="118"/>
        <v>0.12970211149137884</v>
      </c>
      <c r="I2561" s="12">
        <f t="shared" si="119"/>
        <v>5.1879186959976238E-2</v>
      </c>
      <c r="J2561" s="12">
        <f>G2561*(D2561*Assumptions!$B$6+E2561*Assumptions!$B$7)</f>
        <v>3.8909804629126002E-3</v>
      </c>
    </row>
    <row r="2562" spans="1:10" x14ac:dyDescent="0.2">
      <c r="A2562" s="2">
        <v>2554</v>
      </c>
      <c r="B2562" s="14">
        <f>A2562*Assumptions!$B$12</f>
        <v>25.54</v>
      </c>
      <c r="C2562" s="15">
        <f>IF(A2562&lt;=Assumptions!$B$13,IF(OR(A2562=0,A2562=Assumptions!$B$13),0.5,1),0)*Assumptions!$B$12</f>
        <v>0</v>
      </c>
      <c r="D2562" s="12">
        <f>D2561*(1-Assumptions!$B$12*(Assumptions!$B$5+Assumptions!$B$6))</f>
        <v>0.46472244085841363</v>
      </c>
      <c r="E2562" s="12">
        <f>E2561+Assumptions!$B$12*(D2561*Assumptions!$B$5-E2561*Assumptions!$B$7)</f>
        <v>0.18593882165053646</v>
      </c>
      <c r="F2562" s="12">
        <f t="shared" si="117"/>
        <v>0.34933873749104993</v>
      </c>
      <c r="G2562" s="12">
        <f>EXP(-Assumptions!$B$8*B2562)</f>
        <v>0.2788726647745125</v>
      </c>
      <c r="H2562" s="12">
        <f t="shared" si="118"/>
        <v>0.12959838546270161</v>
      </c>
      <c r="I2562" s="12">
        <f t="shared" si="119"/>
        <v>5.1853254678717924E-2</v>
      </c>
      <c r="J2562" s="12">
        <f>G2562*(D2562*Assumptions!$B$6+E2562*Assumptions!$B$7)</f>
        <v>3.8886465885629119E-3</v>
      </c>
    </row>
    <row r="2563" spans="1:10" x14ac:dyDescent="0.2">
      <c r="A2563" s="2">
        <v>2555</v>
      </c>
      <c r="B2563" s="14">
        <f>A2563*Assumptions!$B$12</f>
        <v>25.55</v>
      </c>
      <c r="C2563" s="15">
        <f>IF(A2563&lt;=Assumptions!$B$13,IF(OR(A2563=0,A2563=Assumptions!$B$13),0.5,1),0)*Assumptions!$B$12</f>
        <v>0</v>
      </c>
      <c r="D2563" s="12">
        <f>D2562*(1-Assumptions!$B$12*(Assumptions!$B$5+Assumptions!$B$6))</f>
        <v>0.4645830241261561</v>
      </c>
      <c r="E2563" s="12">
        <f>E2562+Assumptions!$B$12*(D2562*Assumptions!$B$5-E2562*Assumptions!$B$7)</f>
        <v>0.18593879672788288</v>
      </c>
      <c r="F2563" s="12">
        <f t="shared" si="117"/>
        <v>0.34947817914596097</v>
      </c>
      <c r="G2563" s="12">
        <f>EXP(-Assumptions!$B$8*B2563)</f>
        <v>0.27873326329539927</v>
      </c>
      <c r="H2563" s="12">
        <f t="shared" si="118"/>
        <v>0.12949474238632869</v>
      </c>
      <c r="I2563" s="12">
        <f t="shared" si="119"/>
        <v>5.18273275851827E-2</v>
      </c>
      <c r="J2563" s="12">
        <f>G2563*(D2563*Assumptions!$B$6+E2563*Assumptions!$B$7)</f>
        <v>3.886313803122422E-3</v>
      </c>
    </row>
    <row r="2564" spans="1:10" x14ac:dyDescent="0.2">
      <c r="A2564" s="2">
        <v>2556</v>
      </c>
      <c r="B2564" s="14">
        <f>A2564*Assumptions!$B$12</f>
        <v>25.560000000000002</v>
      </c>
      <c r="C2564" s="15">
        <f>IF(A2564&lt;=Assumptions!$B$13,IF(OR(A2564=0,A2564=Assumptions!$B$13),0.5,1),0)*Assumptions!$B$12</f>
        <v>0</v>
      </c>
      <c r="D2564" s="12">
        <f>D2563*(1-Assumptions!$B$12*(Assumptions!$B$5+Assumptions!$B$6))</f>
        <v>0.46444364921891829</v>
      </c>
      <c r="E2564" s="12">
        <f>E2563+Assumptions!$B$12*(D2563*Assumptions!$B$5-E2563*Assumptions!$B$7)</f>
        <v>0.18593874393434418</v>
      </c>
      <c r="F2564" s="12">
        <f t="shared" si="117"/>
        <v>0.34961760684673748</v>
      </c>
      <c r="G2564" s="12">
        <f>EXP(-Assumptions!$B$8*B2564)</f>
        <v>0.27859393149960321</v>
      </c>
      <c r="H2564" s="12">
        <f t="shared" si="118"/>
        <v>0.12939118219592105</v>
      </c>
      <c r="I2564" s="12">
        <f t="shared" si="119"/>
        <v>5.1801405690766945E-2</v>
      </c>
      <c r="J2564" s="12">
        <f>G2564*(D2564*Assumptions!$B$6+E2564*Assumptions!$B$7)</f>
        <v>3.8839821064975575E-3</v>
      </c>
    </row>
    <row r="2565" spans="1:10" x14ac:dyDescent="0.2">
      <c r="A2565" s="2">
        <v>2557</v>
      </c>
      <c r="B2565" s="14">
        <f>A2565*Assumptions!$B$12</f>
        <v>25.57</v>
      </c>
      <c r="C2565" s="15">
        <f>IF(A2565&lt;=Assumptions!$B$13,IF(OR(A2565=0,A2565=Assumptions!$B$13),0.5,1),0)*Assumptions!$B$12</f>
        <v>0</v>
      </c>
      <c r="D2565" s="12">
        <f>D2564*(1-Assumptions!$B$12*(Assumptions!$B$5+Assumptions!$B$6))</f>
        <v>0.46430431612415263</v>
      </c>
      <c r="E2565" s="12">
        <f>E2564+Assumptions!$B$12*(D2564*Assumptions!$B$5-E2564*Assumptions!$B$7)</f>
        <v>0.18593866329222078</v>
      </c>
      <c r="F2565" s="12">
        <f t="shared" si="117"/>
        <v>0.34975702058362657</v>
      </c>
      <c r="G2565" s="12">
        <f>EXP(-Assumptions!$B$8*B2565)</f>
        <v>0.27845466935229152</v>
      </c>
      <c r="H2565" s="12">
        <f t="shared" si="118"/>
        <v>0.12928770482519275</v>
      </c>
      <c r="I2565" s="12">
        <f t="shared" si="119"/>
        <v>5.1775489006842403E-2</v>
      </c>
      <c r="J2565" s="12">
        <f>G2565*(D2565*Assumptions!$B$6+E2565*Assumptions!$B$7)</f>
        <v>3.8816514985940474E-3</v>
      </c>
    </row>
    <row r="2566" spans="1:10" x14ac:dyDescent="0.2">
      <c r="A2566" s="2">
        <v>2558</v>
      </c>
      <c r="B2566" s="14">
        <f>A2566*Assumptions!$B$12</f>
        <v>25.580000000000002</v>
      </c>
      <c r="C2566" s="15">
        <f>IF(A2566&lt;=Assumptions!$B$13,IF(OR(A2566=0,A2566=Assumptions!$B$13),0.5,1),0)*Assumptions!$B$12</f>
        <v>0</v>
      </c>
      <c r="D2566" s="12">
        <f>D2565*(1-Assumptions!$B$12*(Assumptions!$B$5+Assumptions!$B$6))</f>
        <v>0.46416502482931538</v>
      </c>
      <c r="E2566" s="12">
        <f>E2565+Assumptions!$B$12*(D2565*Assumptions!$B$5-E2565*Assumptions!$B$7)</f>
        <v>0.18593855482379951</v>
      </c>
      <c r="F2566" s="12">
        <f t="shared" si="117"/>
        <v>0.34989642034688506</v>
      </c>
      <c r="G2566" s="12">
        <f>EXP(-Assumptions!$B$8*B2566)</f>
        <v>0.27831547681864865</v>
      </c>
      <c r="H2566" s="12">
        <f t="shared" si="118"/>
        <v>0.1291843102079108</v>
      </c>
      <c r="I2566" s="12">
        <f t="shared" si="119"/>
        <v>5.1749577544756203E-2</v>
      </c>
      <c r="J2566" s="12">
        <f>G2566*(D2566*Assumptions!$B$6+E2566*Assumptions!$B$7)</f>
        <v>3.8793219793169182E-3</v>
      </c>
    </row>
    <row r="2567" spans="1:10" x14ac:dyDescent="0.2">
      <c r="A2567" s="2">
        <v>2559</v>
      </c>
      <c r="B2567" s="14">
        <f>A2567*Assumptions!$B$12</f>
        <v>25.59</v>
      </c>
      <c r="C2567" s="15">
        <f>IF(A2567&lt;=Assumptions!$B$13,IF(OR(A2567=0,A2567=Assumptions!$B$13),0.5,1),0)*Assumptions!$B$12</f>
        <v>0</v>
      </c>
      <c r="D2567" s="12">
        <f>D2566*(1-Assumptions!$B$12*(Assumptions!$B$5+Assumptions!$B$6))</f>
        <v>0.46402577532186662</v>
      </c>
      <c r="E2567" s="12">
        <f>E2566+Assumptions!$B$12*(D2566*Assumptions!$B$5-E2566*Assumptions!$B$7)</f>
        <v>0.18593841855135346</v>
      </c>
      <c r="F2567" s="12">
        <f t="shared" si="117"/>
        <v>0.35003580612677992</v>
      </c>
      <c r="G2567" s="12">
        <f>EXP(-Assumptions!$B$8*B2567)</f>
        <v>0.27817635386387646</v>
      </c>
      <c r="H2567" s="12">
        <f t="shared" si="118"/>
        <v>0.12908099827789521</v>
      </c>
      <c r="I2567" s="12">
        <f t="shared" si="119"/>
        <v>5.1723671315830867E-2</v>
      </c>
      <c r="J2567" s="12">
        <f>G2567*(D2567*Assumptions!$B$6+E2567*Assumptions!$B$7)</f>
        <v>3.8769935485704959E-3</v>
      </c>
    </row>
    <row r="2568" spans="1:10" x14ac:dyDescent="0.2">
      <c r="A2568" s="2">
        <v>2560</v>
      </c>
      <c r="B2568" s="14">
        <f>A2568*Assumptions!$B$12</f>
        <v>25.6</v>
      </c>
      <c r="C2568" s="15">
        <f>IF(A2568&lt;=Assumptions!$B$13,IF(OR(A2568=0,A2568=Assumptions!$B$13),0.5,1),0)*Assumptions!$B$12</f>
        <v>0</v>
      </c>
      <c r="D2568" s="12">
        <f>D2567*(1-Assumptions!$B$12*(Assumptions!$B$5+Assumptions!$B$6))</f>
        <v>0.46388656758927005</v>
      </c>
      <c r="E2568" s="12">
        <f>E2567+Assumptions!$B$12*(D2567*Assumptions!$B$5-E2567*Assumptions!$B$7)</f>
        <v>0.18593825449714216</v>
      </c>
      <c r="F2568" s="12">
        <f t="shared" ref="F2568:F2631" si="120">1-D2568-E2568</f>
        <v>0.35017517791358777</v>
      </c>
      <c r="G2568" s="12">
        <f>EXP(-Assumptions!$B$8*B2568)</f>
        <v>0.27803730045319408</v>
      </c>
      <c r="H2568" s="12">
        <f t="shared" ref="H2568:H2631" si="121">G2568*D2568</f>
        <v>0.1289777689690188</v>
      </c>
      <c r="I2568" s="12">
        <f t="shared" ref="I2568:I2631" si="122">G2568*E2568</f>
        <v>5.1697770331364377E-2</v>
      </c>
      <c r="J2568" s="12">
        <f>G2568*(D2568*Assumptions!$B$6+E2568*Assumptions!$B$7)</f>
        <v>3.8746662062584068E-3</v>
      </c>
    </row>
    <row r="2569" spans="1:10" x14ac:dyDescent="0.2">
      <c r="A2569" s="2">
        <v>2561</v>
      </c>
      <c r="B2569" s="14">
        <f>A2569*Assumptions!$B$12</f>
        <v>25.61</v>
      </c>
      <c r="C2569" s="15">
        <f>IF(A2569&lt;=Assumptions!$B$13,IF(OR(A2569=0,A2569=Assumptions!$B$13),0.5,1),0)*Assumptions!$B$12</f>
        <v>0</v>
      </c>
      <c r="D2569" s="12">
        <f>D2568*(1-Assumptions!$B$12*(Assumptions!$B$5+Assumptions!$B$6))</f>
        <v>0.4637474016189933</v>
      </c>
      <c r="E2569" s="12">
        <f>E2568+Assumptions!$B$12*(D2568*Assumptions!$B$5-E2568*Assumptions!$B$7)</f>
        <v>0.18593806268341145</v>
      </c>
      <c r="F2569" s="12">
        <f t="shared" si="120"/>
        <v>0.35031453569759524</v>
      </c>
      <c r="G2569" s="12">
        <f>EXP(-Assumptions!$B$8*B2569)</f>
        <v>0.27789831655183839</v>
      </c>
      <c r="H2569" s="12">
        <f t="shared" si="121"/>
        <v>0.12887462221520754</v>
      </c>
      <c r="I2569" s="12">
        <f t="shared" si="122"/>
        <v>5.1671874602630244E-2</v>
      </c>
      <c r="J2569" s="12">
        <f>G2569*(D2569*Assumptions!$B$6+E2569*Assumptions!$B$7)</f>
        <v>3.8723399522835877E-3</v>
      </c>
    </row>
    <row r="2570" spans="1:10" x14ac:dyDescent="0.2">
      <c r="A2570" s="2">
        <v>2562</v>
      </c>
      <c r="B2570" s="14">
        <f>A2570*Assumptions!$B$12</f>
        <v>25.62</v>
      </c>
      <c r="C2570" s="15">
        <f>IF(A2570&lt;=Assumptions!$B$13,IF(OR(A2570=0,A2570=Assumptions!$B$13),0.5,1),0)*Assumptions!$B$12</f>
        <v>0</v>
      </c>
      <c r="D2570" s="12">
        <f>D2569*(1-Assumptions!$B$12*(Assumptions!$B$5+Assumptions!$B$6))</f>
        <v>0.46360827739850763</v>
      </c>
      <c r="E2570" s="12">
        <f>E2569+Assumptions!$B$12*(D2569*Assumptions!$B$5-E2569*Assumptions!$B$7)</f>
        <v>0.18593784313239356</v>
      </c>
      <c r="F2570" s="12">
        <f t="shared" si="120"/>
        <v>0.35045387946909878</v>
      </c>
      <c r="G2570" s="12">
        <f>EXP(-Assumptions!$B$8*B2570)</f>
        <v>0.27775940212506317</v>
      </c>
      <c r="H2570" s="12">
        <f t="shared" si="121"/>
        <v>0.1287715579504399</v>
      </c>
      <c r="I2570" s="12">
        <f t="shared" si="122"/>
        <v>5.164598414087742E-2</v>
      </c>
      <c r="J2570" s="12">
        <f>G2570*(D2570*Assumptions!$B$6+E2570*Assumptions!$B$7)</f>
        <v>3.8700147865482698E-3</v>
      </c>
    </row>
    <row r="2571" spans="1:10" x14ac:dyDescent="0.2">
      <c r="A2571" s="2">
        <v>2563</v>
      </c>
      <c r="B2571" s="14">
        <f>A2571*Assumptions!$B$12</f>
        <v>25.63</v>
      </c>
      <c r="C2571" s="15">
        <f>IF(A2571&lt;=Assumptions!$B$13,IF(OR(A2571=0,A2571=Assumptions!$B$13),0.5,1),0)*Assumptions!$B$12</f>
        <v>0</v>
      </c>
      <c r="D2571" s="12">
        <f>D2570*(1-Assumptions!$B$12*(Assumptions!$B$5+Assumptions!$B$6))</f>
        <v>0.4634691949152881</v>
      </c>
      <c r="E2571" s="12">
        <f>E2570+Assumptions!$B$12*(D2570*Assumptions!$B$5-E2570*Assumptions!$B$7)</f>
        <v>0.18593759586630706</v>
      </c>
      <c r="F2571" s="12">
        <f t="shared" si="120"/>
        <v>0.35059320921840487</v>
      </c>
      <c r="G2571" s="12">
        <f>EXP(-Assumptions!$B$8*B2571)</f>
        <v>0.27762055713813999</v>
      </c>
      <c r="H2571" s="12">
        <f t="shared" si="121"/>
        <v>0.12866857610874749</v>
      </c>
      <c r="I2571" s="12">
        <f t="shared" si="122"/>
        <v>5.1620098957330482E-2</v>
      </c>
      <c r="J2571" s="12">
        <f>G2571*(D2571*Assumptions!$B$6+E2571*Assumptions!$B$7)</f>
        <v>3.8676907089539993E-3</v>
      </c>
    </row>
    <row r="2572" spans="1:10" x14ac:dyDescent="0.2">
      <c r="A2572" s="2">
        <v>2564</v>
      </c>
      <c r="B2572" s="14">
        <f>A2572*Assumptions!$B$12</f>
        <v>25.64</v>
      </c>
      <c r="C2572" s="15">
        <f>IF(A2572&lt;=Assumptions!$B$13,IF(OR(A2572=0,A2572=Assumptions!$B$13),0.5,1),0)*Assumptions!$B$12</f>
        <v>0</v>
      </c>
      <c r="D2572" s="12">
        <f>D2571*(1-Assumptions!$B$12*(Assumptions!$B$5+Assumptions!$B$6))</f>
        <v>0.4633301541568135</v>
      </c>
      <c r="E2572" s="12">
        <f>E2571+Assumptions!$B$12*(D2571*Assumptions!$B$5-E2571*Assumptions!$B$7)</f>
        <v>0.18593732090735696</v>
      </c>
      <c r="F2572" s="12">
        <f t="shared" si="120"/>
        <v>0.35073252493582951</v>
      </c>
      <c r="G2572" s="12">
        <f>EXP(-Assumptions!$B$8*B2572)</f>
        <v>0.2774817815563575</v>
      </c>
      <c r="H2572" s="12">
        <f t="shared" si="121"/>
        <v>0.12856567662421436</v>
      </c>
      <c r="I2572" s="12">
        <f t="shared" si="122"/>
        <v>5.1594219063189568E-2</v>
      </c>
      <c r="J2572" s="12">
        <f>G2572*(D2572*Assumptions!$B$6+E2572*Assumptions!$B$7)</f>
        <v>3.8653677194016218E-3</v>
      </c>
    </row>
    <row r="2573" spans="1:10" x14ac:dyDescent="0.2">
      <c r="A2573" s="2">
        <v>2565</v>
      </c>
      <c r="B2573" s="14">
        <f>A2573*Assumptions!$B$12</f>
        <v>25.650000000000002</v>
      </c>
      <c r="C2573" s="15">
        <f>IF(A2573&lt;=Assumptions!$B$13,IF(OR(A2573=0,A2573=Assumptions!$B$13),0.5,1),0)*Assumptions!$B$12</f>
        <v>0</v>
      </c>
      <c r="D2573" s="12">
        <f>D2572*(1-Assumptions!$B$12*(Assumptions!$B$5+Assumptions!$B$6))</f>
        <v>0.46319115511056647</v>
      </c>
      <c r="E2573" s="12">
        <f>E2572+Assumptions!$B$12*(D2572*Assumptions!$B$5-E2572*Assumptions!$B$7)</f>
        <v>0.18593701827773465</v>
      </c>
      <c r="F2573" s="12">
        <f t="shared" si="120"/>
        <v>0.3508718266116988</v>
      </c>
      <c r="G2573" s="12">
        <f>EXP(-Assumptions!$B$8*B2573)</f>
        <v>0.27734307534502184</v>
      </c>
      <c r="H2573" s="12">
        <f t="shared" si="121"/>
        <v>0.12846285943097754</v>
      </c>
      <c r="I2573" s="12">
        <f t="shared" si="122"/>
        <v>5.1568344469630462E-2</v>
      </c>
      <c r="J2573" s="12">
        <f>G2573*(D2573*Assumptions!$B$6+E2573*Assumptions!$B$7)</f>
        <v>3.8630458177912981E-3</v>
      </c>
    </row>
    <row r="2574" spans="1:10" x14ac:dyDescent="0.2">
      <c r="A2574" s="2">
        <v>2566</v>
      </c>
      <c r="B2574" s="14">
        <f>A2574*Assumptions!$B$12</f>
        <v>25.66</v>
      </c>
      <c r="C2574" s="15">
        <f>IF(A2574&lt;=Assumptions!$B$13,IF(OR(A2574=0,A2574=Assumptions!$B$13),0.5,1),0)*Assumptions!$B$12</f>
        <v>0</v>
      </c>
      <c r="D2574" s="12">
        <f>D2573*(1-Assumptions!$B$12*(Assumptions!$B$5+Assumptions!$B$6))</f>
        <v>0.46305219776403334</v>
      </c>
      <c r="E2574" s="12">
        <f>E2573+Assumptions!$B$12*(D2573*Assumptions!$B$5-E2573*Assumptions!$B$7)</f>
        <v>0.18593668799961791</v>
      </c>
      <c r="F2574" s="12">
        <f t="shared" si="120"/>
        <v>0.35101111423634868</v>
      </c>
      <c r="G2574" s="12">
        <f>EXP(-Assumptions!$B$8*B2574)</f>
        <v>0.27720443846945653</v>
      </c>
      <c r="H2574" s="12">
        <f t="shared" si="121"/>
        <v>0.12836012446322659</v>
      </c>
      <c r="I2574" s="12">
        <f t="shared" si="122"/>
        <v>5.1542475187804616E-2</v>
      </c>
      <c r="J2574" s="12">
        <f>G2574*(D2574*Assumptions!$B$6+E2574*Assumptions!$B$7)</f>
        <v>3.8607250040224969E-3</v>
      </c>
    </row>
    <row r="2575" spans="1:10" x14ac:dyDescent="0.2">
      <c r="A2575" s="2">
        <v>2567</v>
      </c>
      <c r="B2575" s="14">
        <f>A2575*Assumptions!$B$12</f>
        <v>25.67</v>
      </c>
      <c r="C2575" s="15">
        <f>IF(A2575&lt;=Assumptions!$B$13,IF(OR(A2575=0,A2575=Assumptions!$B$13),0.5,1),0)*Assumptions!$B$12</f>
        <v>0</v>
      </c>
      <c r="D2575" s="12">
        <f>D2574*(1-Assumptions!$B$12*(Assumptions!$B$5+Assumptions!$B$6))</f>
        <v>0.46291328210470412</v>
      </c>
      <c r="E2575" s="12">
        <f>E2574+Assumptions!$B$12*(D2574*Assumptions!$B$5-E2574*Assumptions!$B$7)</f>
        <v>0.18593633009517091</v>
      </c>
      <c r="F2575" s="12">
        <f t="shared" si="120"/>
        <v>0.35115038780012492</v>
      </c>
      <c r="G2575" s="12">
        <f>EXP(-Assumptions!$B$8*B2575)</f>
        <v>0.27706587089500223</v>
      </c>
      <c r="H2575" s="12">
        <f t="shared" si="121"/>
        <v>0.12825747165520371</v>
      </c>
      <c r="I2575" s="12">
        <f t="shared" si="122"/>
        <v>5.1516611228839139E-2</v>
      </c>
      <c r="J2575" s="12">
        <f>G2575*(D2575*Assumptions!$B$6+E2575*Assumptions!$B$7)</f>
        <v>3.8584052779939942E-3</v>
      </c>
    </row>
    <row r="2576" spans="1:10" x14ac:dyDescent="0.2">
      <c r="A2576" s="2">
        <v>2568</v>
      </c>
      <c r="B2576" s="14">
        <f>A2576*Assumptions!$B$12</f>
        <v>25.68</v>
      </c>
      <c r="C2576" s="15">
        <f>IF(A2576&lt;=Assumptions!$B$13,IF(OR(A2576=0,A2576=Assumptions!$B$13),0.5,1),0)*Assumptions!$B$12</f>
        <v>0</v>
      </c>
      <c r="D2576" s="12">
        <f>D2575*(1-Assumptions!$B$12*(Assumptions!$B$5+Assumptions!$B$6))</f>
        <v>0.4627744081200727</v>
      </c>
      <c r="E2576" s="12">
        <f>E2575+Assumptions!$B$12*(D2575*Assumptions!$B$5-E2575*Assumptions!$B$7)</f>
        <v>0.18593594458654428</v>
      </c>
      <c r="F2576" s="12">
        <f t="shared" si="120"/>
        <v>0.35128964729338308</v>
      </c>
      <c r="G2576" s="12">
        <f>EXP(-Assumptions!$B$8*B2576)</f>
        <v>0.27692737258701711</v>
      </c>
      <c r="H2576" s="12">
        <f t="shared" si="121"/>
        <v>0.12815490094120369</v>
      </c>
      <c r="I2576" s="12">
        <f t="shared" si="122"/>
        <v>5.1490752603836912E-2</v>
      </c>
      <c r="J2576" s="12">
        <f>G2576*(D2576*Assumptions!$B$6+E2576*Assumptions!$B$7)</f>
        <v>3.8560866396038828E-3</v>
      </c>
    </row>
    <row r="2577" spans="1:10" x14ac:dyDescent="0.2">
      <c r="A2577" s="2">
        <v>2569</v>
      </c>
      <c r="B2577" s="14">
        <f>A2577*Assumptions!$B$12</f>
        <v>25.69</v>
      </c>
      <c r="C2577" s="15">
        <f>IF(A2577&lt;=Assumptions!$B$13,IF(OR(A2577=0,A2577=Assumptions!$B$13),0.5,1),0)*Assumptions!$B$12</f>
        <v>0</v>
      </c>
      <c r="D2577" s="12">
        <f>D2576*(1-Assumptions!$B$12*(Assumptions!$B$5+Assumptions!$B$6))</f>
        <v>0.4626355757976367</v>
      </c>
      <c r="E2577" s="12">
        <f>E2576+Assumptions!$B$12*(D2576*Assumptions!$B$5-E2576*Assumptions!$B$7)</f>
        <v>0.18593553149587502</v>
      </c>
      <c r="F2577" s="12">
        <f t="shared" si="120"/>
        <v>0.35142889270648825</v>
      </c>
      <c r="G2577" s="12">
        <f>EXP(-Assumptions!$B$8*B2577)</f>
        <v>0.27678894351087657</v>
      </c>
      <c r="H2577" s="12">
        <f t="shared" si="121"/>
        <v>0.12805241225557393</v>
      </c>
      <c r="I2577" s="12">
        <f t="shared" si="122"/>
        <v>5.1464899323876566E-2</v>
      </c>
      <c r="J2577" s="12">
        <f>G2577*(D2577*Assumptions!$B$6+E2577*Assumptions!$B$7)</f>
        <v>3.8537690887495675E-3</v>
      </c>
    </row>
    <row r="2578" spans="1:10" x14ac:dyDescent="0.2">
      <c r="A2578" s="2">
        <v>2570</v>
      </c>
      <c r="B2578" s="14">
        <f>A2578*Assumptions!$B$12</f>
        <v>25.7</v>
      </c>
      <c r="C2578" s="15">
        <f>IF(A2578&lt;=Assumptions!$B$13,IF(OR(A2578=0,A2578=Assumptions!$B$13),0.5,1),0)*Assumptions!$B$12</f>
        <v>0</v>
      </c>
      <c r="D2578" s="12">
        <f>D2577*(1-Assumptions!$B$12*(Assumptions!$B$5+Assumptions!$B$6))</f>
        <v>0.46249678512489745</v>
      </c>
      <c r="E2578" s="12">
        <f>E2577+Assumptions!$B$12*(D2577*Assumptions!$B$5-E2577*Assumptions!$B$7)</f>
        <v>0.18593509084528662</v>
      </c>
      <c r="F2578" s="12">
        <f t="shared" si="120"/>
        <v>0.35156812402981596</v>
      </c>
      <c r="G2578" s="12">
        <f>EXP(-Assumptions!$B$8*B2578)</f>
        <v>0.27665058363197337</v>
      </c>
      <c r="H2578" s="12">
        <f t="shared" si="121"/>
        <v>0.12795000553271427</v>
      </c>
      <c r="I2578" s="12">
        <f t="shared" si="122"/>
        <v>5.143905140001253E-2</v>
      </c>
      <c r="J2578" s="12">
        <f>G2578*(D2578*Assumptions!$B$6+E2578*Assumptions!$B$7)</f>
        <v>3.8514526253277692E-3</v>
      </c>
    </row>
    <row r="2579" spans="1:10" x14ac:dyDescent="0.2">
      <c r="A2579" s="2">
        <v>2571</v>
      </c>
      <c r="B2579" s="14">
        <f>A2579*Assumptions!$B$12</f>
        <v>25.71</v>
      </c>
      <c r="C2579" s="15">
        <f>IF(A2579&lt;=Assumptions!$B$13,IF(OR(A2579=0,A2579=Assumptions!$B$13),0.5,1),0)*Assumptions!$B$12</f>
        <v>0</v>
      </c>
      <c r="D2579" s="12">
        <f>D2578*(1-Assumptions!$B$12*(Assumptions!$B$5+Assumptions!$B$6))</f>
        <v>0.46235803608935999</v>
      </c>
      <c r="E2579" s="12">
        <f>E2578+Assumptions!$B$12*(D2578*Assumptions!$B$5-E2578*Assumptions!$B$7)</f>
        <v>0.18593462265688895</v>
      </c>
      <c r="F2579" s="12">
        <f t="shared" si="120"/>
        <v>0.35170734125375103</v>
      </c>
      <c r="G2579" s="12">
        <f>EXP(-Assumptions!$B$8*B2579)</f>
        <v>0.27651229291571749</v>
      </c>
      <c r="H2579" s="12">
        <f t="shared" si="121"/>
        <v>0.127847680707077</v>
      </c>
      <c r="I2579" s="12">
        <f t="shared" si="122"/>
        <v>5.1413208843275084E-2</v>
      </c>
      <c r="J2579" s="12">
        <f>G2579*(D2579*Assumptions!$B$6+E2579*Assumptions!$B$7)</f>
        <v>3.8491372492345239E-3</v>
      </c>
    </row>
    <row r="2580" spans="1:10" x14ac:dyDescent="0.2">
      <c r="A2580" s="2">
        <v>2572</v>
      </c>
      <c r="B2580" s="14">
        <f>A2580*Assumptions!$B$12</f>
        <v>25.72</v>
      </c>
      <c r="C2580" s="15">
        <f>IF(A2580&lt;=Assumptions!$B$13,IF(OR(A2580=0,A2580=Assumptions!$B$13),0.5,1),0)*Assumptions!$B$12</f>
        <v>0</v>
      </c>
      <c r="D2580" s="12">
        <f>D2579*(1-Assumptions!$B$12*(Assumptions!$B$5+Assumptions!$B$6))</f>
        <v>0.46221932867853321</v>
      </c>
      <c r="E2580" s="12">
        <f>E2579+Assumptions!$B$12*(D2579*Assumptions!$B$5-E2579*Assumptions!$B$7)</f>
        <v>0.18593412695277839</v>
      </c>
      <c r="F2580" s="12">
        <f t="shared" si="120"/>
        <v>0.3518465443686884</v>
      </c>
      <c r="G2580" s="12">
        <f>EXP(-Assumptions!$B$8*B2580)</f>
        <v>0.27637407132753633</v>
      </c>
      <c r="H2580" s="12">
        <f t="shared" si="121"/>
        <v>0.1277454377131669</v>
      </c>
      <c r="I2580" s="12">
        <f t="shared" si="122"/>
        <v>5.1387371664670368E-2</v>
      </c>
      <c r="J2580" s="12">
        <f>G2580*(D2580*Assumptions!$B$6+E2580*Assumptions!$B$7)</f>
        <v>3.8468229603651873E-3</v>
      </c>
    </row>
    <row r="2581" spans="1:10" x14ac:dyDescent="0.2">
      <c r="A2581" s="2">
        <v>2573</v>
      </c>
      <c r="B2581" s="14">
        <f>A2581*Assumptions!$B$12</f>
        <v>25.73</v>
      </c>
      <c r="C2581" s="15">
        <f>IF(A2581&lt;=Assumptions!$B$13,IF(OR(A2581=0,A2581=Assumptions!$B$13),0.5,1),0)*Assumptions!$B$12</f>
        <v>0</v>
      </c>
      <c r="D2581" s="12">
        <f>D2580*(1-Assumptions!$B$12*(Assumptions!$B$5+Assumptions!$B$6))</f>
        <v>0.46208066287992966</v>
      </c>
      <c r="E2581" s="12">
        <f>E2580+Assumptions!$B$12*(D2580*Assumptions!$B$5-E2580*Assumptions!$B$7)</f>
        <v>0.1859336037550377</v>
      </c>
      <c r="F2581" s="12">
        <f t="shared" si="120"/>
        <v>0.35198573336503264</v>
      </c>
      <c r="G2581" s="12">
        <f>EXP(-Assumptions!$B$8*B2581)</f>
        <v>0.27623591883287435</v>
      </c>
      <c r="H2581" s="12">
        <f t="shared" si="121"/>
        <v>0.12764327648554102</v>
      </c>
      <c r="I2581" s="12">
        <f t="shared" si="122"/>
        <v>5.1361539875180419E-2</v>
      </c>
      <c r="J2581" s="12">
        <f>G2581*(D2581*Assumptions!$B$6+E2581*Assumptions!$B$7)</f>
        <v>3.8445097586144307E-3</v>
      </c>
    </row>
    <row r="2582" spans="1:10" x14ac:dyDescent="0.2">
      <c r="A2582" s="2">
        <v>2574</v>
      </c>
      <c r="B2582" s="14">
        <f>A2582*Assumptions!$B$12</f>
        <v>25.740000000000002</v>
      </c>
      <c r="C2582" s="15">
        <f>IF(A2582&lt;=Assumptions!$B$13,IF(OR(A2582=0,A2582=Assumptions!$B$13),0.5,1),0)*Assumptions!$B$12</f>
        <v>0</v>
      </c>
      <c r="D2582" s="12">
        <f>D2581*(1-Assumptions!$B$12*(Assumptions!$B$5+Assumptions!$B$6))</f>
        <v>0.4619420386810657</v>
      </c>
      <c r="E2582" s="12">
        <f>E2581+Assumptions!$B$12*(D2581*Assumptions!$B$5-E2581*Assumptions!$B$7)</f>
        <v>0.18593305308573616</v>
      </c>
      <c r="F2582" s="12">
        <f t="shared" si="120"/>
        <v>0.35212490823319809</v>
      </c>
      <c r="G2582" s="12">
        <f>EXP(-Assumptions!$B$8*B2582)</f>
        <v>0.27609783539719357</v>
      </c>
      <c r="H2582" s="12">
        <f t="shared" si="121"/>
        <v>0.12754119695880892</v>
      </c>
      <c r="I2582" s="12">
        <f t="shared" si="122"/>
        <v>5.1335713485763233E-2</v>
      </c>
      <c r="J2582" s="12">
        <f>G2582*(D2582*Assumptions!$B$6+E2582*Assumptions!$B$7)</f>
        <v>3.8421976438762508E-3</v>
      </c>
    </row>
    <row r="2583" spans="1:10" x14ac:dyDescent="0.2">
      <c r="A2583" s="2">
        <v>2575</v>
      </c>
      <c r="B2583" s="14">
        <f>A2583*Assumptions!$B$12</f>
        <v>25.75</v>
      </c>
      <c r="C2583" s="15">
        <f>IF(A2583&lt;=Assumptions!$B$13,IF(OR(A2583=0,A2583=Assumptions!$B$13),0.5,1),0)*Assumptions!$B$12</f>
        <v>0</v>
      </c>
      <c r="D2583" s="12">
        <f>D2582*(1-Assumptions!$B$12*(Assumptions!$B$5+Assumptions!$B$6))</f>
        <v>0.46180345606946138</v>
      </c>
      <c r="E2583" s="12">
        <f>E2582+Assumptions!$B$12*(D2582*Assumptions!$B$5-E2582*Assumptions!$B$7)</f>
        <v>0.1859324749669295</v>
      </c>
      <c r="F2583" s="12">
        <f t="shared" si="120"/>
        <v>0.35226406896360912</v>
      </c>
      <c r="G2583" s="12">
        <f>EXP(-Assumptions!$B$8*B2583)</f>
        <v>0.2759598209859731</v>
      </c>
      <c r="H2583" s="12">
        <f t="shared" si="121"/>
        <v>0.12743919906763226</v>
      </c>
      <c r="I2583" s="12">
        <f t="shared" si="122"/>
        <v>5.1309892507352788E-2</v>
      </c>
      <c r="J2583" s="12">
        <f>G2583*(D2583*Assumptions!$B$6+E2583*Assumptions!$B$7)</f>
        <v>3.8398866160439622E-3</v>
      </c>
    </row>
    <row r="2584" spans="1:10" x14ac:dyDescent="0.2">
      <c r="A2584" s="2">
        <v>2576</v>
      </c>
      <c r="B2584" s="14">
        <f>A2584*Assumptions!$B$12</f>
        <v>25.76</v>
      </c>
      <c r="C2584" s="15">
        <f>IF(A2584&lt;=Assumptions!$B$13,IF(OR(A2584=0,A2584=Assumptions!$B$13),0.5,1),0)*Assumptions!$B$12</f>
        <v>0</v>
      </c>
      <c r="D2584" s="12">
        <f>D2583*(1-Assumptions!$B$12*(Assumptions!$B$5+Assumptions!$B$6))</f>
        <v>0.46166491503264057</v>
      </c>
      <c r="E2584" s="12">
        <f>E2583+Assumptions!$B$12*(D2583*Assumptions!$B$5-E2583*Assumptions!$B$7)</f>
        <v>0.18593186942065992</v>
      </c>
      <c r="F2584" s="12">
        <f t="shared" si="120"/>
        <v>0.35240321554669946</v>
      </c>
      <c r="G2584" s="12">
        <f>EXP(-Assumptions!$B$8*B2584)</f>
        <v>0.27582187556470927</v>
      </c>
      <c r="H2584" s="12">
        <f t="shared" si="121"/>
        <v>0.12733728274672507</v>
      </c>
      <c r="I2584" s="12">
        <f t="shared" si="122"/>
        <v>5.1284076950859035E-2</v>
      </c>
      <c r="J2584" s="12">
        <f>G2584*(D2584*Assumptions!$B$6+E2584*Assumptions!$B$7)</f>
        <v>3.8375766750102019E-3</v>
      </c>
    </row>
    <row r="2585" spans="1:10" x14ac:dyDescent="0.2">
      <c r="A2585" s="2">
        <v>2577</v>
      </c>
      <c r="B2585" s="14">
        <f>A2585*Assumptions!$B$12</f>
        <v>25.77</v>
      </c>
      <c r="C2585" s="15">
        <f>IF(A2585&lt;=Assumptions!$B$13,IF(OR(A2585=0,A2585=Assumptions!$B$13),0.5,1),0)*Assumptions!$B$12</f>
        <v>0</v>
      </c>
      <c r="D2585" s="12">
        <f>D2584*(1-Assumptions!$B$12*(Assumptions!$B$5+Assumptions!$B$6))</f>
        <v>0.46152641555813079</v>
      </c>
      <c r="E2585" s="12">
        <f>E2584+Assumptions!$B$12*(D2584*Assumptions!$B$5-E2584*Assumptions!$B$7)</f>
        <v>0.18593123646895612</v>
      </c>
      <c r="F2585" s="12">
        <f t="shared" si="120"/>
        <v>0.35254234797291306</v>
      </c>
      <c r="G2585" s="12">
        <f>EXP(-Assumptions!$B$8*B2585)</f>
        <v>0.27568399909891583</v>
      </c>
      <c r="H2585" s="12">
        <f t="shared" si="121"/>
        <v>0.12723544793085359</v>
      </c>
      <c r="I2585" s="12">
        <f t="shared" si="122"/>
        <v>5.1258266827168004E-2</v>
      </c>
      <c r="J2585" s="12">
        <f>G2585*(D2585*Assumptions!$B$6+E2585*Assumptions!$B$7)</f>
        <v>3.8352678206669362E-3</v>
      </c>
    </row>
    <row r="2586" spans="1:10" x14ac:dyDescent="0.2">
      <c r="A2586" s="2">
        <v>2578</v>
      </c>
      <c r="B2586" s="14">
        <f>A2586*Assumptions!$B$12</f>
        <v>25.78</v>
      </c>
      <c r="C2586" s="15">
        <f>IF(A2586&lt;=Assumptions!$B$13,IF(OR(A2586=0,A2586=Assumptions!$B$13),0.5,1),0)*Assumptions!$B$12</f>
        <v>0</v>
      </c>
      <c r="D2586" s="12">
        <f>D2585*(1-Assumptions!$B$12*(Assumptions!$B$5+Assumptions!$B$6))</f>
        <v>0.46138795763346335</v>
      </c>
      <c r="E2586" s="12">
        <f>E2585+Assumptions!$B$12*(D2585*Assumptions!$B$5-E2585*Assumptions!$B$7)</f>
        <v>0.18593057613383326</v>
      </c>
      <c r="F2586" s="12">
        <f t="shared" si="120"/>
        <v>0.35268146623270336</v>
      </c>
      <c r="G2586" s="12">
        <f>EXP(-Assumptions!$B$8*B2586)</f>
        <v>0.27554619155412352</v>
      </c>
      <c r="H2586" s="12">
        <f t="shared" si="121"/>
        <v>0.12713369455483611</v>
      </c>
      <c r="I2586" s="12">
        <f t="shared" si="122"/>
        <v>5.123246214714177E-2</v>
      </c>
      <c r="J2586" s="12">
        <f>G2586*(D2586*Assumptions!$B$6+E2586*Assumptions!$B$7)</f>
        <v>3.8329600529054498E-3</v>
      </c>
    </row>
    <row r="2587" spans="1:10" x14ac:dyDescent="0.2">
      <c r="A2587" s="2">
        <v>2579</v>
      </c>
      <c r="B2587" s="14">
        <f>A2587*Assumptions!$B$12</f>
        <v>25.79</v>
      </c>
      <c r="C2587" s="15">
        <f>IF(A2587&lt;=Assumptions!$B$13,IF(OR(A2587=0,A2587=Assumptions!$B$13),0.5,1),0)*Assumptions!$B$12</f>
        <v>0</v>
      </c>
      <c r="D2587" s="12">
        <f>D2586*(1-Assumptions!$B$12*(Assumptions!$B$5+Assumptions!$B$6))</f>
        <v>0.46124954124617334</v>
      </c>
      <c r="E2587" s="12">
        <f>E2586+Assumptions!$B$12*(D2586*Assumptions!$B$5-E2586*Assumptions!$B$7)</f>
        <v>0.18592988843729305</v>
      </c>
      <c r="F2587" s="12">
        <f t="shared" si="120"/>
        <v>0.35282057031653358</v>
      </c>
      <c r="G2587" s="12">
        <f>EXP(-Assumptions!$B$8*B2587)</f>
        <v>0.27540845289588062</v>
      </c>
      <c r="H2587" s="12">
        <f t="shared" si="121"/>
        <v>0.12703202255354329</v>
      </c>
      <c r="I2587" s="12">
        <f t="shared" si="122"/>
        <v>5.1206662921618559E-2</v>
      </c>
      <c r="J2587" s="12">
        <f>G2587*(D2587*Assumptions!$B$6+E2587*Assumptions!$B$7)</f>
        <v>3.8306533716163608E-3</v>
      </c>
    </row>
    <row r="2588" spans="1:10" x14ac:dyDescent="0.2">
      <c r="A2588" s="2">
        <v>2580</v>
      </c>
      <c r="B2588" s="14">
        <f>A2588*Assumptions!$B$12</f>
        <v>25.8</v>
      </c>
      <c r="C2588" s="15">
        <f>IF(A2588&lt;=Assumptions!$B$13,IF(OR(A2588=0,A2588=Assumptions!$B$13),0.5,1),0)*Assumptions!$B$12</f>
        <v>0</v>
      </c>
      <c r="D2588" s="12">
        <f>D2587*(1-Assumptions!$B$12*(Assumptions!$B$5+Assumptions!$B$6))</f>
        <v>0.46111116638379951</v>
      </c>
      <c r="E2588" s="12">
        <f>E2587+Assumptions!$B$12*(D2587*Assumptions!$B$5-E2587*Assumptions!$B$7)</f>
        <v>0.18592917340132364</v>
      </c>
      <c r="F2588" s="12">
        <f t="shared" si="120"/>
        <v>0.3529596602148769</v>
      </c>
      <c r="G2588" s="12">
        <f>EXP(-Assumptions!$B$8*B2588)</f>
        <v>0.27527078308975234</v>
      </c>
      <c r="H2588" s="12">
        <f t="shared" si="121"/>
        <v>0.12693043186189756</v>
      </c>
      <c r="I2588" s="12">
        <f t="shared" si="122"/>
        <v>5.1180869161412713E-2</v>
      </c>
      <c r="J2588" s="12">
        <f>G2588*(D2588*Assumptions!$B$6+E2588*Assumptions!$B$7)</f>
        <v>3.8283477766896108E-3</v>
      </c>
    </row>
    <row r="2589" spans="1:10" x14ac:dyDescent="0.2">
      <c r="A2589" s="2">
        <v>2581</v>
      </c>
      <c r="B2589" s="14">
        <f>A2589*Assumptions!$B$12</f>
        <v>25.810000000000002</v>
      </c>
      <c r="C2589" s="15">
        <f>IF(A2589&lt;=Assumptions!$B$13,IF(OR(A2589=0,A2589=Assumptions!$B$13),0.5,1),0)*Assumptions!$B$12</f>
        <v>0</v>
      </c>
      <c r="D2589" s="12">
        <f>D2588*(1-Assumptions!$B$12*(Assumptions!$B$5+Assumptions!$B$6))</f>
        <v>0.46097283303388437</v>
      </c>
      <c r="E2589" s="12">
        <f>E2588+Assumptions!$B$12*(D2588*Assumptions!$B$5-E2588*Assumptions!$B$7)</f>
        <v>0.18592843104789974</v>
      </c>
      <c r="F2589" s="12">
        <f t="shared" si="120"/>
        <v>0.35309873591821589</v>
      </c>
      <c r="G2589" s="12">
        <f>EXP(-Assumptions!$B$8*B2589)</f>
        <v>0.27513318210132121</v>
      </c>
      <c r="H2589" s="12">
        <f t="shared" si="121"/>
        <v>0.12682892241487365</v>
      </c>
      <c r="I2589" s="12">
        <f t="shared" si="122"/>
        <v>5.1155080877314747E-2</v>
      </c>
      <c r="J2589" s="12">
        <f>G2589*(D2589*Assumptions!$B$6+E2589*Assumptions!$B$7)</f>
        <v>3.8260432680144738E-3</v>
      </c>
    </row>
    <row r="2590" spans="1:10" x14ac:dyDescent="0.2">
      <c r="A2590" s="2">
        <v>2582</v>
      </c>
      <c r="B2590" s="14">
        <f>A2590*Assumptions!$B$12</f>
        <v>25.82</v>
      </c>
      <c r="C2590" s="15">
        <f>IF(A2590&lt;=Assumptions!$B$13,IF(OR(A2590=0,A2590=Assumptions!$B$13),0.5,1),0)*Assumptions!$B$12</f>
        <v>0</v>
      </c>
      <c r="D2590" s="12">
        <f>D2589*(1-Assumptions!$B$12*(Assumptions!$B$5+Assumptions!$B$6))</f>
        <v>0.46083454118397421</v>
      </c>
      <c r="E2590" s="12">
        <f>E2589+Assumptions!$B$12*(D2589*Assumptions!$B$5-E2589*Assumptions!$B$7)</f>
        <v>0.18592766139898256</v>
      </c>
      <c r="F2590" s="12">
        <f t="shared" si="120"/>
        <v>0.3532377974170432</v>
      </c>
      <c r="G2590" s="12">
        <f>EXP(-Assumptions!$B$8*B2590)</f>
        <v>0.27499564989618708</v>
      </c>
      <c r="H2590" s="12">
        <f t="shared" si="121"/>
        <v>0.12672749414749818</v>
      </c>
      <c r="I2590" s="12">
        <f t="shared" si="122"/>
        <v>5.1129298080091423E-2</v>
      </c>
      <c r="J2590" s="12">
        <f>G2590*(D2590*Assumptions!$B$6+E2590*Assumptions!$B$7)</f>
        <v>3.8237398454795532E-3</v>
      </c>
    </row>
    <row r="2591" spans="1:10" x14ac:dyDescent="0.2">
      <c r="A2591" s="2">
        <v>2583</v>
      </c>
      <c r="B2591" s="14">
        <f>A2591*Assumptions!$B$12</f>
        <v>25.830000000000002</v>
      </c>
      <c r="C2591" s="15">
        <f>IF(A2591&lt;=Assumptions!$B$13,IF(OR(A2591=0,A2591=Assumptions!$B$13),0.5,1),0)*Assumptions!$B$12</f>
        <v>0</v>
      </c>
      <c r="D2591" s="12">
        <f>D2590*(1-Assumptions!$B$12*(Assumptions!$B$5+Assumptions!$B$6))</f>
        <v>0.46069629082161906</v>
      </c>
      <c r="E2591" s="12">
        <f>E2590+Assumptions!$B$12*(D2590*Assumptions!$B$5-E2590*Assumptions!$B$7)</f>
        <v>0.18592686447651988</v>
      </c>
      <c r="F2591" s="12">
        <f t="shared" si="120"/>
        <v>0.35337684470186115</v>
      </c>
      <c r="G2591" s="12">
        <f>EXP(-Assumptions!$B$8*B2591)</f>
        <v>0.2748581864399669</v>
      </c>
      <c r="H2591" s="12">
        <f t="shared" si="121"/>
        <v>0.12662614699484978</v>
      </c>
      <c r="I2591" s="12">
        <f t="shared" si="122"/>
        <v>5.1103520780485759E-2</v>
      </c>
      <c r="J2591" s="12">
        <f>G2591*(D2591*Assumptions!$B$6+E2591*Assumptions!$B$7)</f>
        <v>3.8214375089727858E-3</v>
      </c>
    </row>
    <row r="2592" spans="1:10" x14ac:dyDescent="0.2">
      <c r="A2592" s="2">
        <v>2584</v>
      </c>
      <c r="B2592" s="14">
        <f>A2592*Assumptions!$B$12</f>
        <v>25.84</v>
      </c>
      <c r="C2592" s="15">
        <f>IF(A2592&lt;=Assumptions!$B$13,IF(OR(A2592=0,A2592=Assumptions!$B$13),0.5,1),0)*Assumptions!$B$12</f>
        <v>0</v>
      </c>
      <c r="D2592" s="12">
        <f>D2591*(1-Assumptions!$B$12*(Assumptions!$B$5+Assumptions!$B$6))</f>
        <v>0.46055808193437259</v>
      </c>
      <c r="E2592" s="12">
        <f>E2591+Assumptions!$B$12*(D2591*Assumptions!$B$5-E2591*Assumptions!$B$7)</f>
        <v>0.18592604030244594</v>
      </c>
      <c r="F2592" s="12">
        <f t="shared" si="120"/>
        <v>0.35351587776318139</v>
      </c>
      <c r="G2592" s="12">
        <f>EXP(-Assumptions!$B$8*B2592)</f>
        <v>0.27472079169829472</v>
      </c>
      <c r="H2592" s="12">
        <f t="shared" si="121"/>
        <v>0.12652488089205893</v>
      </c>
      <c r="I2592" s="12">
        <f t="shared" si="122"/>
        <v>5.1077748989216999E-2</v>
      </c>
      <c r="J2592" s="12">
        <f>G2592*(D2592*Assumptions!$B$6+E2592*Assumptions!$B$7)</f>
        <v>3.8191362583814394E-3</v>
      </c>
    </row>
    <row r="2593" spans="1:10" x14ac:dyDescent="0.2">
      <c r="A2593" s="2">
        <v>2585</v>
      </c>
      <c r="B2593" s="14">
        <f>A2593*Assumptions!$B$12</f>
        <v>25.85</v>
      </c>
      <c r="C2593" s="15">
        <f>IF(A2593&lt;=Assumptions!$B$13,IF(OR(A2593=0,A2593=Assumptions!$B$13),0.5,1),0)*Assumptions!$B$12</f>
        <v>0</v>
      </c>
      <c r="D2593" s="12">
        <f>D2592*(1-Assumptions!$B$12*(Assumptions!$B$5+Assumptions!$B$6))</f>
        <v>0.46041991450979231</v>
      </c>
      <c r="E2593" s="12">
        <f>E2592+Assumptions!$B$12*(D2592*Assumptions!$B$5-E2592*Assumptions!$B$7)</f>
        <v>0.18592518889868159</v>
      </c>
      <c r="F2593" s="12">
        <f t="shared" si="120"/>
        <v>0.35365489659152616</v>
      </c>
      <c r="G2593" s="12">
        <f>EXP(-Assumptions!$B$8*B2593)</f>
        <v>0.27458346563682184</v>
      </c>
      <c r="H2593" s="12">
        <f t="shared" si="121"/>
        <v>0.12642369577430801</v>
      </c>
      <c r="I2593" s="12">
        <f t="shared" si="122"/>
        <v>5.1051982716980748E-2</v>
      </c>
      <c r="J2593" s="12">
        <f>G2593*(D2593*Assumptions!$B$6+E2593*Assumptions!$B$7)</f>
        <v>3.8168360935921177E-3</v>
      </c>
    </row>
    <row r="2594" spans="1:10" x14ac:dyDescent="0.2">
      <c r="A2594" s="2">
        <v>2586</v>
      </c>
      <c r="B2594" s="14">
        <f>A2594*Assumptions!$B$12</f>
        <v>25.86</v>
      </c>
      <c r="C2594" s="15">
        <f>IF(A2594&lt;=Assumptions!$B$13,IF(OR(A2594=0,A2594=Assumptions!$B$13),0.5,1),0)*Assumptions!$B$12</f>
        <v>0</v>
      </c>
      <c r="D2594" s="12">
        <f>D2593*(1-Assumptions!$B$12*(Assumptions!$B$5+Assumptions!$B$6))</f>
        <v>0.46028178853543938</v>
      </c>
      <c r="E2594" s="12">
        <f>E2593+Assumptions!$B$12*(D2593*Assumptions!$B$5-E2593*Assumptions!$B$7)</f>
        <v>0.18592431028713421</v>
      </c>
      <c r="F2594" s="12">
        <f t="shared" si="120"/>
        <v>0.35379390117742648</v>
      </c>
      <c r="G2594" s="12">
        <f>EXP(-Assumptions!$B$8*B2594)</f>
        <v>0.2744462082212169</v>
      </c>
      <c r="H2594" s="12">
        <f t="shared" si="121"/>
        <v>0.12632259157683132</v>
      </c>
      <c r="I2594" s="12">
        <f t="shared" si="122"/>
        <v>5.1026221974448976E-2</v>
      </c>
      <c r="J2594" s="12">
        <f>G2594*(D2594*Assumptions!$B$6+E2594*Assumptions!$B$7)</f>
        <v>3.8145370144907625E-3</v>
      </c>
    </row>
    <row r="2595" spans="1:10" x14ac:dyDescent="0.2">
      <c r="A2595" s="2">
        <v>2587</v>
      </c>
      <c r="B2595" s="14">
        <f>A2595*Assumptions!$B$12</f>
        <v>25.87</v>
      </c>
      <c r="C2595" s="15">
        <f>IF(A2595&lt;=Assumptions!$B$13,IF(OR(A2595=0,A2595=Assumptions!$B$13),0.5,1),0)*Assumptions!$B$12</f>
        <v>0</v>
      </c>
      <c r="D2595" s="12">
        <f>D2594*(1-Assumptions!$B$12*(Assumptions!$B$5+Assumptions!$B$6))</f>
        <v>0.46014370399887877</v>
      </c>
      <c r="E2595" s="12">
        <f>E2594+Assumptions!$B$12*(D2594*Assumptions!$B$5-E2594*Assumptions!$B$7)</f>
        <v>0.18592340448969774</v>
      </c>
      <c r="F2595" s="12">
        <f t="shared" si="120"/>
        <v>0.35393289151142354</v>
      </c>
      <c r="G2595" s="12">
        <f>EXP(-Assumptions!$B$8*B2595)</f>
        <v>0.2743090194171654</v>
      </c>
      <c r="H2595" s="12">
        <f t="shared" si="121"/>
        <v>0.12622156823491484</v>
      </c>
      <c r="I2595" s="12">
        <f t="shared" si="122"/>
        <v>5.1000466772269992E-2</v>
      </c>
      <c r="J2595" s="12">
        <f>G2595*(D2595*Assumptions!$B$6+E2595*Assumptions!$B$7)</f>
        <v>3.8122390209626481E-3</v>
      </c>
    </row>
    <row r="2596" spans="1:10" x14ac:dyDescent="0.2">
      <c r="A2596" s="2">
        <v>2588</v>
      </c>
      <c r="B2596" s="14">
        <f>A2596*Assumptions!$B$12</f>
        <v>25.88</v>
      </c>
      <c r="C2596" s="15">
        <f>IF(A2596&lt;=Assumptions!$B$13,IF(OR(A2596=0,A2596=Assumptions!$B$13),0.5,1),0)*Assumptions!$B$12</f>
        <v>0</v>
      </c>
      <c r="D2596" s="12">
        <f>D2595*(1-Assumptions!$B$12*(Assumptions!$B$5+Assumptions!$B$6))</f>
        <v>0.46000566088767914</v>
      </c>
      <c r="E2596" s="12">
        <f>E2595+Assumptions!$B$12*(D2595*Assumptions!$B$5-E2595*Assumptions!$B$7)</f>
        <v>0.18592247152825267</v>
      </c>
      <c r="F2596" s="12">
        <f t="shared" si="120"/>
        <v>0.35407186758406817</v>
      </c>
      <c r="G2596" s="12">
        <f>EXP(-Assumptions!$B$8*B2596)</f>
        <v>0.27417189919037022</v>
      </c>
      <c r="H2596" s="12">
        <f t="shared" si="121"/>
        <v>0.1261206256838964</v>
      </c>
      <c r="I2596" s="12">
        <f t="shared" si="122"/>
        <v>5.0974717121068568E-2</v>
      </c>
      <c r="J2596" s="12">
        <f>G2596*(D2596*Assumptions!$B$6+E2596*Assumptions!$B$7)</f>
        <v>3.8099421128923931E-3</v>
      </c>
    </row>
    <row r="2597" spans="1:10" x14ac:dyDescent="0.2">
      <c r="A2597" s="2">
        <v>2589</v>
      </c>
      <c r="B2597" s="14">
        <f>A2597*Assumptions!$B$12</f>
        <v>25.89</v>
      </c>
      <c r="C2597" s="15">
        <f>IF(A2597&lt;=Assumptions!$B$13,IF(OR(A2597=0,A2597=Assumptions!$B$13),0.5,1),0)*Assumptions!$B$12</f>
        <v>0</v>
      </c>
      <c r="D2597" s="12">
        <f>D2596*(1-Assumptions!$B$12*(Assumptions!$B$5+Assumptions!$B$6))</f>
        <v>0.45986765918941286</v>
      </c>
      <c r="E2597" s="12">
        <f>E2596+Assumptions!$B$12*(D2596*Assumptions!$B$5-E2596*Assumptions!$B$7)</f>
        <v>0.18592151142466609</v>
      </c>
      <c r="F2597" s="12">
        <f t="shared" si="120"/>
        <v>0.35421082938592108</v>
      </c>
      <c r="G2597" s="12">
        <f>EXP(-Assumptions!$B$8*B2597)</f>
        <v>0.27403484750655122</v>
      </c>
      <c r="H2597" s="12">
        <f t="shared" si="121"/>
        <v>0.12601976385916541</v>
      </c>
      <c r="I2597" s="12">
        <f t="shared" si="122"/>
        <v>5.0948973031445889E-2</v>
      </c>
      <c r="J2597" s="12">
        <f>G2597*(D2597*Assumptions!$B$6+E2597*Assumptions!$B$7)</f>
        <v>3.8076462901639489E-3</v>
      </c>
    </row>
    <row r="2598" spans="1:10" x14ac:dyDescent="0.2">
      <c r="A2598" s="2">
        <v>2590</v>
      </c>
      <c r="B2598" s="14">
        <f>A2598*Assumptions!$B$12</f>
        <v>25.900000000000002</v>
      </c>
      <c r="C2598" s="15">
        <f>IF(A2598&lt;=Assumptions!$B$13,IF(OR(A2598=0,A2598=Assumptions!$B$13),0.5,1),0)*Assumptions!$B$12</f>
        <v>0</v>
      </c>
      <c r="D2598" s="12">
        <f>D2597*(1-Assumptions!$B$12*(Assumptions!$B$5+Assumptions!$B$6))</f>
        <v>0.45972969889165605</v>
      </c>
      <c r="E2598" s="12">
        <f>E2597+Assumptions!$B$12*(D2597*Assumptions!$B$5-E2597*Assumptions!$B$7)</f>
        <v>0.18592052420079164</v>
      </c>
      <c r="F2598" s="12">
        <f t="shared" si="120"/>
        <v>0.35434977690755232</v>
      </c>
      <c r="G2598" s="12">
        <f>EXP(-Assumptions!$B$8*B2598)</f>
        <v>0.27389786433144553</v>
      </c>
      <c r="H2598" s="12">
        <f t="shared" si="121"/>
        <v>0.12591898269616311</v>
      </c>
      <c r="I2598" s="12">
        <f t="shared" si="122"/>
        <v>5.0923234513979662E-2</v>
      </c>
      <c r="J2598" s="12">
        <f>G2598*(D2598*Assumptions!$B$6+E2598*Assumptions!$B$7)</f>
        <v>3.8053515526606141E-3</v>
      </c>
    </row>
    <row r="2599" spans="1:10" x14ac:dyDescent="0.2">
      <c r="A2599" s="2">
        <v>2591</v>
      </c>
      <c r="B2599" s="14">
        <f>A2599*Assumptions!$B$12</f>
        <v>25.91</v>
      </c>
      <c r="C2599" s="15">
        <f>IF(A2599&lt;=Assumptions!$B$13,IF(OR(A2599=0,A2599=Assumptions!$B$13),0.5,1),0)*Assumptions!$B$12</f>
        <v>0</v>
      </c>
      <c r="D2599" s="12">
        <f>D2598*(1-Assumptions!$B$12*(Assumptions!$B$5+Assumptions!$B$6))</f>
        <v>0.45959177998198858</v>
      </c>
      <c r="E2599" s="12">
        <f>E2598+Assumptions!$B$12*(D2598*Assumptions!$B$5-E2598*Assumptions!$B$7)</f>
        <v>0.18591950987846959</v>
      </c>
      <c r="F2599" s="12">
        <f t="shared" si="120"/>
        <v>0.35448871013954175</v>
      </c>
      <c r="G2599" s="12">
        <f>EXP(-Assumptions!$B$8*B2599)</f>
        <v>0.27376094963080738</v>
      </c>
      <c r="H2599" s="12">
        <f t="shared" si="121"/>
        <v>0.12581828213038229</v>
      </c>
      <c r="I2599" s="12">
        <f t="shared" si="122"/>
        <v>5.0897501579224111E-2</v>
      </c>
      <c r="J2599" s="12">
        <f>G2599*(D2599*Assumptions!$B$6+E2599*Assumptions!$B$7)</f>
        <v>3.8030579002650282E-3</v>
      </c>
    </row>
    <row r="2600" spans="1:10" x14ac:dyDescent="0.2">
      <c r="A2600" s="2">
        <v>2592</v>
      </c>
      <c r="B2600" s="14">
        <f>A2600*Assumptions!$B$12</f>
        <v>25.92</v>
      </c>
      <c r="C2600" s="15">
        <f>IF(A2600&lt;=Assumptions!$B$13,IF(OR(A2600=0,A2600=Assumptions!$B$13),0.5,1),0)*Assumptions!$B$12</f>
        <v>0</v>
      </c>
      <c r="D2600" s="12">
        <f>D2599*(1-Assumptions!$B$12*(Assumptions!$B$5+Assumptions!$B$6))</f>
        <v>0.459453902447994</v>
      </c>
      <c r="E2600" s="12">
        <f>E2599+Assumptions!$B$12*(D2599*Assumptions!$B$5-E2599*Assumptions!$B$7)</f>
        <v>0.18591846847952676</v>
      </c>
      <c r="F2600" s="12">
        <f t="shared" si="120"/>
        <v>0.35462762907247924</v>
      </c>
      <c r="G2600" s="12">
        <f>EXP(-Assumptions!$B$8*B2600)</f>
        <v>0.27362410337040799</v>
      </c>
      <c r="H2600" s="12">
        <f t="shared" si="121"/>
        <v>0.12571766209736726</v>
      </c>
      <c r="I2600" s="12">
        <f t="shared" si="122"/>
        <v>5.0871774237709971E-2</v>
      </c>
      <c r="J2600" s="12">
        <f>G2600*(D2600*Assumptions!$B$6+E2600*Assumptions!$B$7)</f>
        <v>3.800765332859171E-3</v>
      </c>
    </row>
    <row r="2601" spans="1:10" x14ac:dyDescent="0.2">
      <c r="A2601" s="2">
        <v>2593</v>
      </c>
      <c r="B2601" s="14">
        <f>A2601*Assumptions!$B$12</f>
        <v>25.93</v>
      </c>
      <c r="C2601" s="15">
        <f>IF(A2601&lt;=Assumptions!$B$13,IF(OR(A2601=0,A2601=Assumptions!$B$13),0.5,1),0)*Assumptions!$B$12</f>
        <v>0</v>
      </c>
      <c r="D2601" s="12">
        <f>D2600*(1-Assumptions!$B$12*(Assumptions!$B$5+Assumptions!$B$6))</f>
        <v>0.45931606627725963</v>
      </c>
      <c r="E2601" s="12">
        <f>E2600+Assumptions!$B$12*(D2600*Assumptions!$B$5-E2600*Assumptions!$B$7)</f>
        <v>0.18591740002577659</v>
      </c>
      <c r="F2601" s="12">
        <f t="shared" si="120"/>
        <v>0.35476653369696376</v>
      </c>
      <c r="G2601" s="12">
        <f>EXP(-Assumptions!$B$8*B2601)</f>
        <v>0.273487325516036</v>
      </c>
      <c r="H2601" s="12">
        <f t="shared" si="121"/>
        <v>0.12561712253271407</v>
      </c>
      <c r="I2601" s="12">
        <f t="shared" si="122"/>
        <v>5.0846052499944637E-2</v>
      </c>
      <c r="J2601" s="12">
        <f>G2601*(D2601*Assumptions!$B$6+E2601*Assumptions!$B$7)</f>
        <v>3.7984738503243727E-3</v>
      </c>
    </row>
    <row r="2602" spans="1:10" x14ac:dyDescent="0.2">
      <c r="A2602" s="2">
        <v>2594</v>
      </c>
      <c r="B2602" s="14">
        <f>A2602*Assumptions!$B$12</f>
        <v>25.94</v>
      </c>
      <c r="C2602" s="15">
        <f>IF(A2602&lt;=Assumptions!$B$13,IF(OR(A2602=0,A2602=Assumptions!$B$13),0.5,1),0)*Assumptions!$B$12</f>
        <v>0</v>
      </c>
      <c r="D2602" s="12">
        <f>D2601*(1-Assumptions!$B$12*(Assumptions!$B$5+Assumptions!$B$6))</f>
        <v>0.45917827145737644</v>
      </c>
      <c r="E2602" s="12">
        <f>E2601+Assumptions!$B$12*(D2601*Assumptions!$B$5-E2601*Assumptions!$B$7)</f>
        <v>0.18591630453901914</v>
      </c>
      <c r="F2602" s="12">
        <f t="shared" si="120"/>
        <v>0.35490542400360442</v>
      </c>
      <c r="G2602" s="12">
        <f>EXP(-Assumptions!$B$8*B2602)</f>
        <v>0.27335061603349664</v>
      </c>
      <c r="H2602" s="12">
        <f t="shared" si="121"/>
        <v>0.12551666337206999</v>
      </c>
      <c r="I2602" s="12">
        <f t="shared" si="122"/>
        <v>5.0820336376412048E-2</v>
      </c>
      <c r="J2602" s="12">
        <f>G2602*(D2602*Assumptions!$B$6+E2602*Assumptions!$B$7)</f>
        <v>3.7961834525413025E-3</v>
      </c>
    </row>
    <row r="2603" spans="1:10" x14ac:dyDescent="0.2">
      <c r="A2603" s="2">
        <v>2595</v>
      </c>
      <c r="B2603" s="14">
        <f>A2603*Assumptions!$B$12</f>
        <v>25.95</v>
      </c>
      <c r="C2603" s="15">
        <f>IF(A2603&lt;=Assumptions!$B$13,IF(OR(A2603=0,A2603=Assumptions!$B$13),0.5,1),0)*Assumptions!$B$12</f>
        <v>0</v>
      </c>
      <c r="D2603" s="12">
        <f>D2602*(1-Assumptions!$B$12*(Assumptions!$B$5+Assumptions!$B$6))</f>
        <v>0.45904051797593926</v>
      </c>
      <c r="E2603" s="12">
        <f>E2602+Assumptions!$B$12*(D2602*Assumptions!$B$5-E2602*Assumptions!$B$7)</f>
        <v>0.1859151820410411</v>
      </c>
      <c r="F2603" s="12">
        <f t="shared" si="120"/>
        <v>0.35504429998301967</v>
      </c>
      <c r="G2603" s="12">
        <f>EXP(-Assumptions!$B$8*B2603)</f>
        <v>0.27321397488861282</v>
      </c>
      <c r="H2603" s="12">
        <f t="shared" si="121"/>
        <v>0.1254162845511341</v>
      </c>
      <c r="I2603" s="12">
        <f t="shared" si="122"/>
        <v>5.0794625877572885E-2</v>
      </c>
      <c r="J2603" s="12">
        <f>G2603*(D2603*Assumptions!$B$6+E2603*Assumptions!$B$7)</f>
        <v>3.7938941393899856E-3</v>
      </c>
    </row>
    <row r="2604" spans="1:10" x14ac:dyDescent="0.2">
      <c r="A2604" s="2">
        <v>2596</v>
      </c>
      <c r="B2604" s="14">
        <f>A2604*Assumptions!$B$12</f>
        <v>25.96</v>
      </c>
      <c r="C2604" s="15">
        <f>IF(A2604&lt;=Assumptions!$B$13,IF(OR(A2604=0,A2604=Assumptions!$B$13),0.5,1),0)*Assumptions!$B$12</f>
        <v>0</v>
      </c>
      <c r="D2604" s="12">
        <f>D2603*(1-Assumptions!$B$12*(Assumptions!$B$5+Assumptions!$B$6))</f>
        <v>0.45890280582054649</v>
      </c>
      <c r="E2604" s="12">
        <f>E2603+Assumptions!$B$12*(D2603*Assumptions!$B$5-E2603*Assumptions!$B$7)</f>
        <v>0.18591403255361577</v>
      </c>
      <c r="F2604" s="12">
        <f t="shared" si="120"/>
        <v>0.3551831616258378</v>
      </c>
      <c r="G2604" s="12">
        <f>EXP(-Assumptions!$B$8*B2604)</f>
        <v>0.27307740204722419</v>
      </c>
      <c r="H2604" s="12">
        <f t="shared" si="121"/>
        <v>0.12531598600565663</v>
      </c>
      <c r="I2604" s="12">
        <f t="shared" si="122"/>
        <v>5.076892101386446E-2</v>
      </c>
      <c r="J2604" s="12">
        <f>G2604*(D2604*Assumptions!$B$6+E2604*Assumptions!$B$7)</f>
        <v>3.7916059107497894E-3</v>
      </c>
    </row>
    <row r="2605" spans="1:10" x14ac:dyDescent="0.2">
      <c r="A2605" s="2">
        <v>2597</v>
      </c>
      <c r="B2605" s="14">
        <f>A2605*Assumptions!$B$12</f>
        <v>25.97</v>
      </c>
      <c r="C2605" s="15">
        <f>IF(A2605&lt;=Assumptions!$B$13,IF(OR(A2605=0,A2605=Assumptions!$B$13),0.5,1),0)*Assumptions!$B$12</f>
        <v>0</v>
      </c>
      <c r="D2605" s="12">
        <f>D2604*(1-Assumptions!$B$12*(Assumptions!$B$5+Assumptions!$B$6))</f>
        <v>0.45876513497880034</v>
      </c>
      <c r="E2605" s="12">
        <f>E2604+Assumptions!$B$12*(D2604*Assumptions!$B$5-E2604*Assumptions!$B$7)</f>
        <v>0.18591285609850308</v>
      </c>
      <c r="F2605" s="12">
        <f t="shared" si="120"/>
        <v>0.35532200892269661</v>
      </c>
      <c r="G2605" s="12">
        <f>EXP(-Assumptions!$B$8*B2605)</f>
        <v>0.27294089747518741</v>
      </c>
      <c r="H2605" s="12">
        <f t="shared" si="121"/>
        <v>0.12521576767143924</v>
      </c>
      <c r="I2605" s="12">
        <f t="shared" si="122"/>
        <v>5.0743221795700802E-2</v>
      </c>
      <c r="J2605" s="12">
        <f>G2605*(D2605*Assumptions!$B$6+E2605*Assumptions!$B$7)</f>
        <v>3.7893187664994324E-3</v>
      </c>
    </row>
    <row r="2606" spans="1:10" x14ac:dyDescent="0.2">
      <c r="A2606" s="2">
        <v>2598</v>
      </c>
      <c r="B2606" s="14">
        <f>A2606*Assumptions!$B$12</f>
        <v>25.98</v>
      </c>
      <c r="C2606" s="15">
        <f>IF(A2606&lt;=Assumptions!$B$13,IF(OR(A2606=0,A2606=Assumptions!$B$13),0.5,1),0)*Assumptions!$B$12</f>
        <v>0</v>
      </c>
      <c r="D2606" s="12">
        <f>D2605*(1-Assumptions!$B$12*(Assumptions!$B$5+Assumptions!$B$6))</f>
        <v>0.45862750543830672</v>
      </c>
      <c r="E2606" s="12">
        <f>E2605+Assumptions!$B$12*(D2605*Assumptions!$B$5-E2605*Assumptions!$B$7)</f>
        <v>0.18591165269744958</v>
      </c>
      <c r="F2606" s="12">
        <f t="shared" si="120"/>
        <v>0.35546084186424376</v>
      </c>
      <c r="G2606" s="12">
        <f>EXP(-Assumptions!$B$8*B2606)</f>
        <v>0.27280446113837642</v>
      </c>
      <c r="H2606" s="12">
        <f t="shared" si="121"/>
        <v>0.12511562948433508</v>
      </c>
      <c r="I2606" s="12">
        <f t="shared" si="122"/>
        <v>5.0717528233472718E-2</v>
      </c>
      <c r="J2606" s="12">
        <f>G2606*(D2606*Assumptions!$B$6+E2606*Assumptions!$B$7)</f>
        <v>3.7870327065169865E-3</v>
      </c>
    </row>
    <row r="2607" spans="1:10" x14ac:dyDescent="0.2">
      <c r="A2607" s="2">
        <v>2599</v>
      </c>
      <c r="B2607" s="14">
        <f>A2607*Assumptions!$B$12</f>
        <v>25.990000000000002</v>
      </c>
      <c r="C2607" s="15">
        <f>IF(A2607&lt;=Assumptions!$B$13,IF(OR(A2607=0,A2607=Assumptions!$B$13),0.5,1),0)*Assumptions!$B$12</f>
        <v>0</v>
      </c>
      <c r="D2607" s="12">
        <f>D2606*(1-Assumptions!$B$12*(Assumptions!$B$5+Assumptions!$B$6))</f>
        <v>0.45848991718667526</v>
      </c>
      <c r="E2607" s="12">
        <f>E2606+Assumptions!$B$12*(D2606*Assumptions!$B$5-E2606*Assumptions!$B$7)</f>
        <v>0.18591042237218852</v>
      </c>
      <c r="F2607" s="12">
        <f t="shared" si="120"/>
        <v>0.35559966044113628</v>
      </c>
      <c r="G2607" s="12">
        <f>EXP(-Assumptions!$B$8*B2607)</f>
        <v>0.27266809300268219</v>
      </c>
      <c r="H2607" s="12">
        <f t="shared" si="121"/>
        <v>0.12501557138024844</v>
      </c>
      <c r="I2607" s="12">
        <f t="shared" si="122"/>
        <v>5.0691840337547825E-2</v>
      </c>
      <c r="J2607" s="12">
        <f>G2607*(D2607*Assumptions!$B$6+E2607*Assumptions!$B$7)</f>
        <v>3.7847477306798757E-3</v>
      </c>
    </row>
    <row r="2608" spans="1:10" x14ac:dyDescent="0.2">
      <c r="A2608" s="2">
        <v>2600</v>
      </c>
      <c r="B2608" s="14">
        <f>A2608*Assumptions!$B$12</f>
        <v>26</v>
      </c>
      <c r="C2608" s="15">
        <f>IF(A2608&lt;=Assumptions!$B$13,IF(OR(A2608=0,A2608=Assumptions!$B$13),0.5,1),0)*Assumptions!$B$12</f>
        <v>0</v>
      </c>
      <c r="D2608" s="12">
        <f>D2607*(1-Assumptions!$B$12*(Assumptions!$B$5+Assumptions!$B$6))</f>
        <v>0.45835237021151926</v>
      </c>
      <c r="E2608" s="12">
        <f>E2607+Assumptions!$B$12*(D2607*Assumptions!$B$5-E2607*Assumptions!$B$7)</f>
        <v>0.18590916514443975</v>
      </c>
      <c r="F2608" s="12">
        <f t="shared" si="120"/>
        <v>0.35573846464404091</v>
      </c>
      <c r="G2608" s="12">
        <f>EXP(-Assumptions!$B$8*B2608)</f>
        <v>0.27253179303401259</v>
      </c>
      <c r="H2608" s="12">
        <f t="shared" si="121"/>
        <v>0.12491559329513488</v>
      </c>
      <c r="I2608" s="12">
        <f t="shared" si="122"/>
        <v>5.0666158118270521E-2</v>
      </c>
      <c r="J2608" s="12">
        <f>G2608*(D2608*Assumptions!$B$6+E2608*Assumptions!$B$7)</f>
        <v>3.7824638388648754E-3</v>
      </c>
    </row>
    <row r="2609" spans="1:10" x14ac:dyDescent="0.2">
      <c r="A2609" s="2">
        <v>2601</v>
      </c>
      <c r="B2609" s="14">
        <f>A2609*Assumptions!$B$12</f>
        <v>26.01</v>
      </c>
      <c r="C2609" s="15">
        <f>IF(A2609&lt;=Assumptions!$B$13,IF(OR(A2609=0,A2609=Assumptions!$B$13),0.5,1),0)*Assumptions!$B$12</f>
        <v>0</v>
      </c>
      <c r="D2609" s="12">
        <f>D2608*(1-Assumptions!$B$12*(Assumptions!$B$5+Assumptions!$B$6))</f>
        <v>0.45821486450045579</v>
      </c>
      <c r="E2609" s="12">
        <f>E2608+Assumptions!$B$12*(D2608*Assumptions!$B$5-E2608*Assumptions!$B$7)</f>
        <v>0.18590788103590983</v>
      </c>
      <c r="F2609" s="12">
        <f t="shared" si="120"/>
        <v>0.35587725446363438</v>
      </c>
      <c r="G2609" s="12">
        <f>EXP(-Assumptions!$B$8*B2609)</f>
        <v>0.27239556119829261</v>
      </c>
      <c r="H2609" s="12">
        <f t="shared" si="121"/>
        <v>0.12481569516500127</v>
      </c>
      <c r="I2609" s="12">
        <f t="shared" si="122"/>
        <v>5.0640481585962079E-2</v>
      </c>
      <c r="J2609" s="12">
        <f>G2609*(D2609*Assumptions!$B$6+E2609*Assumptions!$B$7)</f>
        <v>3.7801810309481165E-3</v>
      </c>
    </row>
    <row r="2610" spans="1:10" x14ac:dyDescent="0.2">
      <c r="A2610" s="2">
        <v>2602</v>
      </c>
      <c r="B2610" s="14">
        <f>A2610*Assumptions!$B$12</f>
        <v>26.02</v>
      </c>
      <c r="C2610" s="15">
        <f>IF(A2610&lt;=Assumptions!$B$13,IF(OR(A2610=0,A2610=Assumptions!$B$13),0.5,1),0)*Assumptions!$B$12</f>
        <v>0</v>
      </c>
      <c r="D2610" s="12">
        <f>D2609*(1-Assumptions!$B$12*(Assumptions!$B$5+Assumptions!$B$6))</f>
        <v>0.45807740004110564</v>
      </c>
      <c r="E2610" s="12">
        <f>E2609+Assumptions!$B$12*(D2609*Assumptions!$B$5-E2609*Assumptions!$B$7)</f>
        <v>0.18590657006829198</v>
      </c>
      <c r="F2610" s="12">
        <f t="shared" si="120"/>
        <v>0.35601602989060238</v>
      </c>
      <c r="G2610" s="12">
        <f>EXP(-Assumptions!$B$8*B2610)</f>
        <v>0.27225939746146444</v>
      </c>
      <c r="H2610" s="12">
        <f t="shared" si="121"/>
        <v>0.12471587692590563</v>
      </c>
      <c r="I2610" s="12">
        <f t="shared" si="122"/>
        <v>5.061481075092069E-2</v>
      </c>
      <c r="J2610" s="12">
        <f>G2610*(D2610*Assumptions!$B$6+E2610*Assumptions!$B$7)</f>
        <v>3.7778993068050912E-3</v>
      </c>
    </row>
    <row r="2611" spans="1:10" x14ac:dyDescent="0.2">
      <c r="A2611" s="2">
        <v>2603</v>
      </c>
      <c r="B2611" s="14">
        <f>A2611*Assumptions!$B$12</f>
        <v>26.03</v>
      </c>
      <c r="C2611" s="15">
        <f>IF(A2611&lt;=Assumptions!$B$13,IF(OR(A2611=0,A2611=Assumptions!$B$13),0.5,1),0)*Assumptions!$B$12</f>
        <v>0</v>
      </c>
      <c r="D2611" s="12">
        <f>D2610*(1-Assumptions!$B$12*(Assumptions!$B$5+Assumptions!$B$6))</f>
        <v>0.45793997682109333</v>
      </c>
      <c r="E2611" s="12">
        <f>E2610+Assumptions!$B$12*(D2610*Assumptions!$B$5-E2610*Assumptions!$B$7)</f>
        <v>0.18590523226326605</v>
      </c>
      <c r="F2611" s="12">
        <f t="shared" si="120"/>
        <v>0.35615479091564062</v>
      </c>
      <c r="G2611" s="12">
        <f>EXP(-Assumptions!$B$8*B2611)</f>
        <v>0.27212330178948707</v>
      </c>
      <c r="H2611" s="12">
        <f t="shared" si="121"/>
        <v>0.1246161385139571</v>
      </c>
      <c r="I2611" s="12">
        <f t="shared" si="122"/>
        <v>5.0589145623421435E-2</v>
      </c>
      <c r="J2611" s="12">
        <f>G2611*(D2611*Assumptions!$B$6+E2611*Assumptions!$B$7)</f>
        <v>3.7756186663106426E-3</v>
      </c>
    </row>
    <row r="2612" spans="1:10" x14ac:dyDescent="0.2">
      <c r="A2612" s="2">
        <v>2604</v>
      </c>
      <c r="B2612" s="14">
        <f>A2612*Assumptions!$B$12</f>
        <v>26.04</v>
      </c>
      <c r="C2612" s="15">
        <f>IF(A2612&lt;=Assumptions!$B$13,IF(OR(A2612=0,A2612=Assumptions!$B$13),0.5,1),0)*Assumptions!$B$12</f>
        <v>0</v>
      </c>
      <c r="D2612" s="12">
        <f>D2611*(1-Assumptions!$B$12*(Assumptions!$B$5+Assumptions!$B$6))</f>
        <v>0.45780259482804703</v>
      </c>
      <c r="E2612" s="12">
        <f>E2611+Assumptions!$B$12*(D2611*Assumptions!$B$5-E2611*Assumptions!$B$7)</f>
        <v>0.18590386764249864</v>
      </c>
      <c r="F2612" s="12">
        <f t="shared" si="120"/>
        <v>0.35629353752945425</v>
      </c>
      <c r="G2612" s="12">
        <f>EXP(-Assumptions!$B$8*B2612)</f>
        <v>0.27198727414833651</v>
      </c>
      <c r="H2612" s="12">
        <f t="shared" si="121"/>
        <v>0.12451647986531585</v>
      </c>
      <c r="I2612" s="12">
        <f t="shared" si="122"/>
        <v>5.0563486213716341E-2</v>
      </c>
      <c r="J2612" s="12">
        <f>G2612*(D2612*Assumptions!$B$6+E2612*Assumptions!$B$7)</f>
        <v>3.7733391093389759E-3</v>
      </c>
    </row>
    <row r="2613" spans="1:10" x14ac:dyDescent="0.2">
      <c r="A2613" s="2">
        <v>2605</v>
      </c>
      <c r="B2613" s="14">
        <f>A2613*Assumptions!$B$12</f>
        <v>26.05</v>
      </c>
      <c r="C2613" s="15">
        <f>IF(A2613&lt;=Assumptions!$B$13,IF(OR(A2613=0,A2613=Assumptions!$B$13),0.5,1),0)*Assumptions!$B$12</f>
        <v>0</v>
      </c>
      <c r="D2613" s="12">
        <f>D2612*(1-Assumptions!$B$12*(Assumptions!$B$5+Assumptions!$B$6))</f>
        <v>0.45766525404959862</v>
      </c>
      <c r="E2613" s="12">
        <f>E2612+Assumptions!$B$12*(D2612*Assumptions!$B$5-E2612*Assumptions!$B$7)</f>
        <v>0.185902476227643</v>
      </c>
      <c r="F2613" s="12">
        <f t="shared" si="120"/>
        <v>0.35643226972275832</v>
      </c>
      <c r="G2613" s="12">
        <f>EXP(-Assumptions!$B$8*B2613)</f>
        <v>0.2718513145040059</v>
      </c>
      <c r="H2613" s="12">
        <f t="shared" si="121"/>
        <v>0.1244169009161932</v>
      </c>
      <c r="I2613" s="12">
        <f t="shared" si="122"/>
        <v>5.0537832532034456E-2</v>
      </c>
      <c r="J2613" s="12">
        <f>G2613*(D2613*Assumptions!$B$6+E2613*Assumptions!$B$7)</f>
        <v>3.771060635763655E-3</v>
      </c>
    </row>
    <row r="2614" spans="1:10" x14ac:dyDescent="0.2">
      <c r="A2614" s="2">
        <v>2606</v>
      </c>
      <c r="B2614" s="14">
        <f>A2614*Assumptions!$B$12</f>
        <v>26.060000000000002</v>
      </c>
      <c r="C2614" s="15">
        <f>IF(A2614&lt;=Assumptions!$B$13,IF(OR(A2614=0,A2614=Assumptions!$B$13),0.5,1),0)*Assumptions!$B$12</f>
        <v>0</v>
      </c>
      <c r="D2614" s="12">
        <f>D2613*(1-Assumptions!$B$12*(Assumptions!$B$5+Assumptions!$B$6))</f>
        <v>0.45752795447338374</v>
      </c>
      <c r="E2614" s="12">
        <f>E2613+Assumptions!$B$12*(D2613*Assumptions!$B$5-E2613*Assumptions!$B$7)</f>
        <v>0.1859010580403391</v>
      </c>
      <c r="F2614" s="12">
        <f t="shared" si="120"/>
        <v>0.35657098748627725</v>
      </c>
      <c r="G2614" s="12">
        <f>EXP(-Assumptions!$B$8*B2614)</f>
        <v>0.27171542282250533</v>
      </c>
      <c r="H2614" s="12">
        <f t="shared" si="121"/>
        <v>0.12431740160285143</v>
      </c>
      <c r="I2614" s="12">
        <f t="shared" si="122"/>
        <v>5.0512184588581845E-2</v>
      </c>
      <c r="J2614" s="12">
        <f>G2614*(D2614*Assumptions!$B$6+E2614*Assumptions!$B$7)</f>
        <v>3.7687832454576069E-3</v>
      </c>
    </row>
    <row r="2615" spans="1:10" x14ac:dyDescent="0.2">
      <c r="A2615" s="2">
        <v>2607</v>
      </c>
      <c r="B2615" s="14">
        <f>A2615*Assumptions!$B$12</f>
        <v>26.07</v>
      </c>
      <c r="C2615" s="15">
        <f>IF(A2615&lt;=Assumptions!$B$13,IF(OR(A2615=0,A2615=Assumptions!$B$13),0.5,1),0)*Assumptions!$B$12</f>
        <v>0</v>
      </c>
      <c r="D2615" s="12">
        <f>D2614*(1-Assumptions!$B$12*(Assumptions!$B$5+Assumptions!$B$6))</f>
        <v>0.45739069608704175</v>
      </c>
      <c r="E2615" s="12">
        <f>E2614+Assumptions!$B$12*(D2614*Assumptions!$B$5-E2614*Assumptions!$B$7)</f>
        <v>0.18589961310221362</v>
      </c>
      <c r="F2615" s="12">
        <f t="shared" si="120"/>
        <v>0.35670969081074466</v>
      </c>
      <c r="G2615" s="12">
        <f>EXP(-Assumptions!$B$8*B2615)</f>
        <v>0.27157959906986195</v>
      </c>
      <c r="H2615" s="12">
        <f t="shared" si="121"/>
        <v>0.12421798186160388</v>
      </c>
      <c r="I2615" s="12">
        <f t="shared" si="122"/>
        <v>5.0486542393541632E-2</v>
      </c>
      <c r="J2615" s="12">
        <f>G2615*(D2615*Assumptions!$B$6+E2615*Assumptions!$B$7)</f>
        <v>3.7665069382931205E-3</v>
      </c>
    </row>
    <row r="2616" spans="1:10" x14ac:dyDescent="0.2">
      <c r="A2616" s="2">
        <v>2608</v>
      </c>
      <c r="B2616" s="14">
        <f>A2616*Assumptions!$B$12</f>
        <v>26.080000000000002</v>
      </c>
      <c r="C2616" s="15">
        <f>IF(A2616&lt;=Assumptions!$B$13,IF(OR(A2616=0,A2616=Assumptions!$B$13),0.5,1),0)*Assumptions!$B$12</f>
        <v>0</v>
      </c>
      <c r="D2616" s="12">
        <f>D2615*(1-Assumptions!$B$12*(Assumptions!$B$5+Assumptions!$B$6))</f>
        <v>0.45725347887821566</v>
      </c>
      <c r="E2616" s="12">
        <f>E2615+Assumptions!$B$12*(D2615*Assumptions!$B$5-E2615*Assumptions!$B$7)</f>
        <v>0.18589814143487993</v>
      </c>
      <c r="F2616" s="12">
        <f t="shared" si="120"/>
        <v>0.35684837968690442</v>
      </c>
      <c r="G2616" s="12">
        <f>EXP(-Assumptions!$B$8*B2616)</f>
        <v>0.27144384321211962</v>
      </c>
      <c r="H2616" s="12">
        <f t="shared" si="121"/>
        <v>0.12411864162881463</v>
      </c>
      <c r="I2616" s="12">
        <f t="shared" si="122"/>
        <v>5.0460905957073983E-2</v>
      </c>
      <c r="J2616" s="12">
        <f>G2616*(D2616*Assumptions!$B$6+E2616*Assumptions!$B$7)</f>
        <v>3.7642317141418449E-3</v>
      </c>
    </row>
    <row r="2617" spans="1:10" x14ac:dyDescent="0.2">
      <c r="A2617" s="2">
        <v>2609</v>
      </c>
      <c r="B2617" s="14">
        <f>A2617*Assumptions!$B$12</f>
        <v>26.09</v>
      </c>
      <c r="C2617" s="15">
        <f>IF(A2617&lt;=Assumptions!$B$13,IF(OR(A2617=0,A2617=Assumptions!$B$13),0.5,1),0)*Assumptions!$B$12</f>
        <v>0</v>
      </c>
      <c r="D2617" s="12">
        <f>D2616*(1-Assumptions!$B$12*(Assumptions!$B$5+Assumptions!$B$6))</f>
        <v>0.45711630283455224</v>
      </c>
      <c r="E2617" s="12">
        <f>E2616+Assumptions!$B$12*(D2616*Assumptions!$B$5-E2616*Assumptions!$B$7)</f>
        <v>0.18589664305993814</v>
      </c>
      <c r="F2617" s="12">
        <f t="shared" si="120"/>
        <v>0.35698705410550968</v>
      </c>
      <c r="G2617" s="12">
        <f>EXP(-Assumptions!$B$8*B2617)</f>
        <v>0.27130815521533969</v>
      </c>
      <c r="H2617" s="12">
        <f t="shared" si="121"/>
        <v>0.12401938084089892</v>
      </c>
      <c r="I2617" s="12">
        <f t="shared" si="122"/>
        <v>5.0435275289316295E-2</v>
      </c>
      <c r="J2617" s="12">
        <f>G2617*(D2617*Assumptions!$B$6+E2617*Assumptions!$B$7)</f>
        <v>3.7619575728748043E-3</v>
      </c>
    </row>
    <row r="2618" spans="1:10" x14ac:dyDescent="0.2">
      <c r="A2618" s="2">
        <v>2610</v>
      </c>
      <c r="B2618" s="14">
        <f>A2618*Assumptions!$B$12</f>
        <v>26.1</v>
      </c>
      <c r="C2618" s="15">
        <f>IF(A2618&lt;=Assumptions!$B$13,IF(OR(A2618=0,A2618=Assumptions!$B$13),0.5,1),0)*Assumptions!$B$12</f>
        <v>0</v>
      </c>
      <c r="D2618" s="12">
        <f>D2617*(1-Assumptions!$B$12*(Assumptions!$B$5+Assumptions!$B$6))</f>
        <v>0.45697916794370186</v>
      </c>
      <c r="E2618" s="12">
        <f>E2617+Assumptions!$B$12*(D2617*Assumptions!$B$5-E2617*Assumptions!$B$7)</f>
        <v>0.18589511799897507</v>
      </c>
      <c r="F2618" s="12">
        <f t="shared" si="120"/>
        <v>0.35712571405732307</v>
      </c>
      <c r="G2618" s="12">
        <f>EXP(-Assumptions!$B$8*B2618)</f>
        <v>0.27117253504559985</v>
      </c>
      <c r="H2618" s="12">
        <f t="shared" si="121"/>
        <v>0.12392019943432254</v>
      </c>
      <c r="I2618" s="12">
        <f t="shared" si="122"/>
        <v>5.0409650400382984E-2</v>
      </c>
      <c r="J2618" s="12">
        <f>G2618*(D2618*Assumptions!$B$6+E2618*Assumptions!$B$7)</f>
        <v>3.7596845143623753E-3</v>
      </c>
    </row>
    <row r="2619" spans="1:10" x14ac:dyDescent="0.2">
      <c r="A2619" s="2">
        <v>2611</v>
      </c>
      <c r="B2619" s="14">
        <f>A2619*Assumptions!$B$12</f>
        <v>26.11</v>
      </c>
      <c r="C2619" s="15">
        <f>IF(A2619&lt;=Assumptions!$B$13,IF(OR(A2619=0,A2619=Assumptions!$B$13),0.5,1),0)*Assumptions!$B$12</f>
        <v>0</v>
      </c>
      <c r="D2619" s="12">
        <f>D2618*(1-Assumptions!$B$12*(Assumptions!$B$5+Assumptions!$B$6))</f>
        <v>0.45684207419331874</v>
      </c>
      <c r="E2619" s="12">
        <f>E2618+Assumptions!$B$12*(D2618*Assumptions!$B$5-E2618*Assumptions!$B$7)</f>
        <v>0.18589356627356432</v>
      </c>
      <c r="F2619" s="12">
        <f t="shared" si="120"/>
        <v>0.35726435953311686</v>
      </c>
      <c r="G2619" s="12">
        <f>EXP(-Assumptions!$B$8*B2619)</f>
        <v>0.27103698266899517</v>
      </c>
      <c r="H2619" s="12">
        <f t="shared" si="121"/>
        <v>0.12382109734560234</v>
      </c>
      <c r="I2619" s="12">
        <f t="shared" si="122"/>
        <v>5.0384031300365756E-2</v>
      </c>
      <c r="J2619" s="12">
        <f>G2619*(D2619*Assumptions!$B$6+E2619*Assumptions!$B$7)</f>
        <v>3.7574125384743115E-3</v>
      </c>
    </row>
    <row r="2620" spans="1:10" x14ac:dyDescent="0.2">
      <c r="A2620" s="2">
        <v>2612</v>
      </c>
      <c r="B2620" s="14">
        <f>A2620*Assumptions!$B$12</f>
        <v>26.12</v>
      </c>
      <c r="C2620" s="15">
        <f>IF(A2620&lt;=Assumptions!$B$13,IF(OR(A2620=0,A2620=Assumptions!$B$13),0.5,1),0)*Assumptions!$B$12</f>
        <v>0</v>
      </c>
      <c r="D2620" s="12">
        <f>D2619*(1-Assumptions!$B$12*(Assumptions!$B$5+Assumptions!$B$6))</f>
        <v>0.45670502157106074</v>
      </c>
      <c r="E2620" s="12">
        <f>E2619+Assumptions!$B$12*(D2619*Assumptions!$B$5-E2619*Assumptions!$B$7)</f>
        <v>0.1858919879052662</v>
      </c>
      <c r="F2620" s="12">
        <f t="shared" si="120"/>
        <v>0.35740299052367308</v>
      </c>
      <c r="G2620" s="12">
        <f>EXP(-Assumptions!$B$8*B2620)</f>
        <v>0.27090149805163766</v>
      </c>
      <c r="H2620" s="12">
        <f t="shared" si="121"/>
        <v>0.12372207451130585</v>
      </c>
      <c r="I2620" s="12">
        <f t="shared" si="122"/>
        <v>5.0358417999333521E-2</v>
      </c>
      <c r="J2620" s="12">
        <f>G2620*(D2620*Assumptions!$B$6+E2620*Assumptions!$B$7)</f>
        <v>3.7551416450797345E-3</v>
      </c>
    </row>
    <row r="2621" spans="1:10" x14ac:dyDescent="0.2">
      <c r="A2621" s="2">
        <v>2613</v>
      </c>
      <c r="B2621" s="14">
        <f>A2621*Assumptions!$B$12</f>
        <v>26.13</v>
      </c>
      <c r="C2621" s="15">
        <f>IF(A2621&lt;=Assumptions!$B$13,IF(OR(A2621=0,A2621=Assumptions!$B$13),0.5,1),0)*Assumptions!$B$12</f>
        <v>0</v>
      </c>
      <c r="D2621" s="12">
        <f>D2620*(1-Assumptions!$B$12*(Assumptions!$B$5+Assumptions!$B$6))</f>
        <v>0.45656801006458941</v>
      </c>
      <c r="E2621" s="12">
        <f>E2620+Assumptions!$B$12*(D2620*Assumptions!$B$5-E2620*Assumptions!$B$7)</f>
        <v>0.18589038291562779</v>
      </c>
      <c r="F2621" s="12">
        <f t="shared" si="120"/>
        <v>0.35754160701978277</v>
      </c>
      <c r="G2621" s="12">
        <f>EXP(-Assumptions!$B$8*B2621)</f>
        <v>0.270766081159656</v>
      </c>
      <c r="H2621" s="12">
        <f t="shared" si="121"/>
        <v>0.12362313086805125</v>
      </c>
      <c r="I2621" s="12">
        <f t="shared" si="122"/>
        <v>5.0332810507332404E-2</v>
      </c>
      <c r="J2621" s="12">
        <f>G2621*(D2621*Assumptions!$B$6+E2621*Assumptions!$B$7)</f>
        <v>3.7528718340471331E-3</v>
      </c>
    </row>
    <row r="2622" spans="1:10" x14ac:dyDescent="0.2">
      <c r="A2622" s="2">
        <v>2614</v>
      </c>
      <c r="B2622" s="14">
        <f>A2622*Assumptions!$B$12</f>
        <v>26.14</v>
      </c>
      <c r="C2622" s="15">
        <f>IF(A2622&lt;=Assumptions!$B$13,IF(OR(A2622=0,A2622=Assumptions!$B$13),0.5,1),0)*Assumptions!$B$12</f>
        <v>0</v>
      </c>
      <c r="D2622" s="12">
        <f>D2621*(1-Assumptions!$B$12*(Assumptions!$B$5+Assumptions!$B$6))</f>
        <v>0.45643103966157006</v>
      </c>
      <c r="E2622" s="12">
        <f>E2621+Assumptions!$B$12*(D2621*Assumptions!$B$5-E2621*Assumptions!$B$7)</f>
        <v>0.1858887513261829</v>
      </c>
      <c r="F2622" s="12">
        <f t="shared" si="120"/>
        <v>0.35768020901224706</v>
      </c>
      <c r="G2622" s="12">
        <f>EXP(-Assumptions!$B$8*B2622)</f>
        <v>0.27063073195919607</v>
      </c>
      <c r="H2622" s="12">
        <f t="shared" si="121"/>
        <v>0.12352426635250756</v>
      </c>
      <c r="I2622" s="12">
        <f t="shared" si="122"/>
        <v>5.0307208834385858E-2</v>
      </c>
      <c r="J2622" s="12">
        <f>G2622*(D2622*Assumptions!$B$6+E2622*Assumptions!$B$7)</f>
        <v>3.7506031052443687E-3</v>
      </c>
    </row>
    <row r="2623" spans="1:10" x14ac:dyDescent="0.2">
      <c r="A2623" s="2">
        <v>2615</v>
      </c>
      <c r="B2623" s="14">
        <f>A2623*Assumptions!$B$12</f>
        <v>26.150000000000002</v>
      </c>
      <c r="C2623" s="15">
        <f>IF(A2623&lt;=Assumptions!$B$13,IF(OR(A2623=0,A2623=Assumptions!$B$13),0.5,1),0)*Assumptions!$B$12</f>
        <v>0</v>
      </c>
      <c r="D2623" s="12">
        <f>D2622*(1-Assumptions!$B$12*(Assumptions!$B$5+Assumptions!$B$6))</f>
        <v>0.4562941103496716</v>
      </c>
      <c r="E2623" s="12">
        <f>E2622+Assumptions!$B$12*(D2622*Assumptions!$B$5-E2622*Assumptions!$B$7)</f>
        <v>0.18588709315845212</v>
      </c>
      <c r="F2623" s="12">
        <f t="shared" si="120"/>
        <v>0.35781879649187631</v>
      </c>
      <c r="G2623" s="12">
        <f>EXP(-Assumptions!$B$8*B2623)</f>
        <v>0.27049545041642054</v>
      </c>
      <c r="H2623" s="12">
        <f t="shared" si="121"/>
        <v>0.12342548090139431</v>
      </c>
      <c r="I2623" s="12">
        <f t="shared" si="122"/>
        <v>5.0281612990494627E-2</v>
      </c>
      <c r="J2623" s="12">
        <f>G2623*(D2623*Assumptions!$B$6+E2623*Assumptions!$B$7)</f>
        <v>3.7483354585386747E-3</v>
      </c>
    </row>
    <row r="2624" spans="1:10" x14ac:dyDescent="0.2">
      <c r="A2624" s="2">
        <v>2616</v>
      </c>
      <c r="B2624" s="14">
        <f>A2624*Assumptions!$B$12</f>
        <v>26.16</v>
      </c>
      <c r="C2624" s="15">
        <f>IF(A2624&lt;=Assumptions!$B$13,IF(OR(A2624=0,A2624=Assumptions!$B$13),0.5,1),0)*Assumptions!$B$12</f>
        <v>0</v>
      </c>
      <c r="D2624" s="12">
        <f>D2623*(1-Assumptions!$B$12*(Assumptions!$B$5+Assumptions!$B$6))</f>
        <v>0.45615722211656673</v>
      </c>
      <c r="E2624" s="12">
        <f>E2623+Assumptions!$B$12*(D2623*Assumptions!$B$5-E2623*Assumptions!$B$7)</f>
        <v>0.18588540843394283</v>
      </c>
      <c r="F2624" s="12">
        <f t="shared" si="120"/>
        <v>0.35795736944949041</v>
      </c>
      <c r="G2624" s="12">
        <f>EXP(-Assumptions!$B$8*B2624)</f>
        <v>0.27036023649750901</v>
      </c>
      <c r="H2624" s="12">
        <f t="shared" si="121"/>
        <v>0.12332677445148173</v>
      </c>
      <c r="I2624" s="12">
        <f t="shared" si="122"/>
        <v>5.025602298563684E-2</v>
      </c>
      <c r="J2624" s="12">
        <f>G2624*(D2624*Assumptions!$B$6+E2624*Assumptions!$B$7)</f>
        <v>3.746068893796659E-3</v>
      </c>
    </row>
    <row r="2625" spans="1:10" x14ac:dyDescent="0.2">
      <c r="A2625" s="2">
        <v>2617</v>
      </c>
      <c r="B2625" s="14">
        <f>A2625*Assumptions!$B$12</f>
        <v>26.17</v>
      </c>
      <c r="C2625" s="15">
        <f>IF(A2625&lt;=Assumptions!$B$13,IF(OR(A2625=0,A2625=Assumptions!$B$13),0.5,1),0)*Assumptions!$B$12</f>
        <v>0</v>
      </c>
      <c r="D2625" s="12">
        <f>D2624*(1-Assumptions!$B$12*(Assumptions!$B$5+Assumptions!$B$6))</f>
        <v>0.45602037494993175</v>
      </c>
      <c r="E2625" s="12">
        <f>E2624+Assumptions!$B$12*(D2624*Assumptions!$B$5-E2624*Assumptions!$B$7)</f>
        <v>0.18588369717414918</v>
      </c>
      <c r="F2625" s="12">
        <f t="shared" si="120"/>
        <v>0.35809592787591904</v>
      </c>
      <c r="G2625" s="12">
        <f>EXP(-Assumptions!$B$8*B2625)</f>
        <v>0.27022509016865798</v>
      </c>
      <c r="H2625" s="12">
        <f t="shared" si="121"/>
        <v>0.12322814693959053</v>
      </c>
      <c r="I2625" s="12">
        <f t="shared" si="122"/>
        <v>5.0230438829767979E-2</v>
      </c>
      <c r="J2625" s="12">
        <f>G2625*(D2625*Assumptions!$B$6+E2625*Assumptions!$B$7)</f>
        <v>3.7438034108843044E-3</v>
      </c>
    </row>
    <row r="2626" spans="1:10" x14ac:dyDescent="0.2">
      <c r="A2626" s="2">
        <v>2618</v>
      </c>
      <c r="B2626" s="14">
        <f>A2626*Assumptions!$B$12</f>
        <v>26.18</v>
      </c>
      <c r="C2626" s="15">
        <f>IF(A2626&lt;=Assumptions!$B$13,IF(OR(A2626=0,A2626=Assumptions!$B$13),0.5,1),0)*Assumptions!$B$12</f>
        <v>0</v>
      </c>
      <c r="D2626" s="12">
        <f>D2625*(1-Assumptions!$B$12*(Assumptions!$B$5+Assumptions!$B$6))</f>
        <v>0.4558835688374468</v>
      </c>
      <c r="E2626" s="12">
        <f>E2625+Assumptions!$B$12*(D2625*Assumptions!$B$5-E2625*Assumptions!$B$7)</f>
        <v>0.1858819594005521</v>
      </c>
      <c r="F2626" s="12">
        <f t="shared" si="120"/>
        <v>0.35823447176200118</v>
      </c>
      <c r="G2626" s="12">
        <f>EXP(-Assumptions!$B$8*B2626)</f>
        <v>0.27009001139608096</v>
      </c>
      <c r="H2626" s="12">
        <f t="shared" si="121"/>
        <v>0.12312959830259207</v>
      </c>
      <c r="I2626" s="12">
        <f t="shared" si="122"/>
        <v>5.0204860532820979E-2</v>
      </c>
      <c r="J2626" s="12">
        <f>G2626*(D2626*Assumptions!$B$6+E2626*Assumptions!$B$7)</f>
        <v>3.7415390096669698E-3</v>
      </c>
    </row>
    <row r="2627" spans="1:10" x14ac:dyDescent="0.2">
      <c r="A2627" s="2">
        <v>2619</v>
      </c>
      <c r="B2627" s="14">
        <f>A2627*Assumptions!$B$12</f>
        <v>26.19</v>
      </c>
      <c r="C2627" s="15">
        <f>IF(A2627&lt;=Assumptions!$B$13,IF(OR(A2627=0,A2627=Assumptions!$B$13),0.5,1),0)*Assumptions!$B$12</f>
        <v>0</v>
      </c>
      <c r="D2627" s="12">
        <f>D2626*(1-Assumptions!$B$12*(Assumptions!$B$5+Assumptions!$B$6))</f>
        <v>0.45574680376679555</v>
      </c>
      <c r="E2627" s="12">
        <f>E2626+Assumptions!$B$12*(D2626*Assumptions!$B$5-E2626*Assumptions!$B$7)</f>
        <v>0.18588019513461931</v>
      </c>
      <c r="F2627" s="12">
        <f t="shared" si="120"/>
        <v>0.35837300109858516</v>
      </c>
      <c r="G2627" s="12">
        <f>EXP(-Assumptions!$B$8*B2627)</f>
        <v>0.26995500014600815</v>
      </c>
      <c r="H2627" s="12">
        <f t="shared" si="121"/>
        <v>0.12303112847740805</v>
      </c>
      <c r="I2627" s="12">
        <f t="shared" si="122"/>
        <v>5.0179288104706184E-2</v>
      </c>
      <c r="J2627" s="12">
        <f>G2627*(D2627*Assumptions!$B$6+E2627*Assumptions!$B$7)</f>
        <v>3.7392756900093897E-3</v>
      </c>
    </row>
    <row r="2628" spans="1:10" x14ac:dyDescent="0.2">
      <c r="A2628" s="2">
        <v>2620</v>
      </c>
      <c r="B2628" s="14">
        <f>A2628*Assumptions!$B$12</f>
        <v>26.2</v>
      </c>
      <c r="C2628" s="15">
        <f>IF(A2628&lt;=Assumptions!$B$13,IF(OR(A2628=0,A2628=Assumptions!$B$13),0.5,1),0)*Assumptions!$B$12</f>
        <v>0</v>
      </c>
      <c r="D2628" s="12">
        <f>D2627*(1-Assumptions!$B$12*(Assumptions!$B$5+Assumptions!$B$6))</f>
        <v>0.45561007972566553</v>
      </c>
      <c r="E2628" s="12">
        <f>E2627+Assumptions!$B$12*(D2627*Assumptions!$B$5-E2627*Assumptions!$B$7)</f>
        <v>0.18587840439780537</v>
      </c>
      <c r="F2628" s="12">
        <f t="shared" si="120"/>
        <v>0.35851151587652919</v>
      </c>
      <c r="G2628" s="12">
        <f>EXP(-Assumptions!$B$8*B2628)</f>
        <v>0.26982005638468681</v>
      </c>
      <c r="H2628" s="12">
        <f t="shared" si="121"/>
        <v>0.12293273740101072</v>
      </c>
      <c r="I2628" s="12">
        <f t="shared" si="122"/>
        <v>5.0153721555311462E-2</v>
      </c>
      <c r="J2628" s="12">
        <f>G2628*(D2628*Assumptions!$B$6+E2628*Assumptions!$B$7)</f>
        <v>3.7370134517756802E-3</v>
      </c>
    </row>
    <row r="2629" spans="1:10" x14ac:dyDescent="0.2">
      <c r="A2629" s="2">
        <v>2621</v>
      </c>
      <c r="B2629" s="14">
        <f>A2629*Assumptions!$B$12</f>
        <v>26.21</v>
      </c>
      <c r="C2629" s="15">
        <f>IF(A2629&lt;=Assumptions!$B$13,IF(OR(A2629=0,A2629=Assumptions!$B$13),0.5,1),0)*Assumptions!$B$12</f>
        <v>0</v>
      </c>
      <c r="D2629" s="12">
        <f>D2628*(1-Assumptions!$B$12*(Assumptions!$B$5+Assumptions!$B$6))</f>
        <v>0.45547339670174786</v>
      </c>
      <c r="E2629" s="12">
        <f>E2628+Assumptions!$B$12*(D2628*Assumptions!$B$5-E2628*Assumptions!$B$7)</f>
        <v>0.18587658721155159</v>
      </c>
      <c r="F2629" s="12">
        <f t="shared" si="120"/>
        <v>0.3586500160867005</v>
      </c>
      <c r="G2629" s="12">
        <f>EXP(-Assumptions!$B$8*B2629)</f>
        <v>0.26968518007838094</v>
      </c>
      <c r="H2629" s="12">
        <f t="shared" si="121"/>
        <v>0.12283442501042272</v>
      </c>
      <c r="I2629" s="12">
        <f t="shared" si="122"/>
        <v>5.0128160894502172E-2</v>
      </c>
      <c r="J2629" s="12">
        <f>G2629*(D2629*Assumptions!$B$6+E2629*Assumptions!$B$7)</f>
        <v>3.7347522948293355E-3</v>
      </c>
    </row>
    <row r="2630" spans="1:10" x14ac:dyDescent="0.2">
      <c r="A2630" s="2">
        <v>2622</v>
      </c>
      <c r="B2630" s="14">
        <f>A2630*Assumptions!$B$12</f>
        <v>26.22</v>
      </c>
      <c r="C2630" s="15">
        <f>IF(A2630&lt;=Assumptions!$B$13,IF(OR(A2630=0,A2630=Assumptions!$B$13),0.5,1),0)*Assumptions!$B$12</f>
        <v>0</v>
      </c>
      <c r="D2630" s="12">
        <f>D2629*(1-Assumptions!$B$12*(Assumptions!$B$5+Assumptions!$B$6))</f>
        <v>0.45533675468273732</v>
      </c>
      <c r="E2630" s="12">
        <f>E2629+Assumptions!$B$12*(D2629*Assumptions!$B$5-E2629*Assumptions!$B$7)</f>
        <v>0.18587474359728617</v>
      </c>
      <c r="F2630" s="12">
        <f t="shared" si="120"/>
        <v>0.35878850171997645</v>
      </c>
      <c r="G2630" s="12">
        <f>EXP(-Assumptions!$B$8*B2630)</f>
        <v>0.26955037119337161</v>
      </c>
      <c r="H2630" s="12">
        <f t="shared" si="121"/>
        <v>0.12273619124271704</v>
      </c>
      <c r="I2630" s="12">
        <f t="shared" si="122"/>
        <v>5.0102606132121259E-2</v>
      </c>
      <c r="J2630" s="12">
        <f>G2630*(D2630*Assumptions!$B$6+E2630*Assumptions!$B$7)</f>
        <v>3.7324922190332334E-3</v>
      </c>
    </row>
    <row r="2631" spans="1:10" x14ac:dyDescent="0.2">
      <c r="A2631" s="2">
        <v>2623</v>
      </c>
      <c r="B2631" s="14">
        <f>A2631*Assumptions!$B$12</f>
        <v>26.23</v>
      </c>
      <c r="C2631" s="15">
        <f>IF(A2631&lt;=Assumptions!$B$13,IF(OR(A2631=0,A2631=Assumptions!$B$13),0.5,1),0)*Assumptions!$B$12</f>
        <v>0</v>
      </c>
      <c r="D2631" s="12">
        <f>D2630*(1-Assumptions!$B$12*(Assumptions!$B$5+Assumptions!$B$6))</f>
        <v>0.45520015365633254</v>
      </c>
      <c r="E2631" s="12">
        <f>E2630+Assumptions!$B$12*(D2630*Assumptions!$B$5-E2630*Assumptions!$B$7)</f>
        <v>0.18587287357642407</v>
      </c>
      <c r="F2631" s="12">
        <f t="shared" si="120"/>
        <v>0.35892697276724334</v>
      </c>
      <c r="G2631" s="12">
        <f>EXP(-Assumptions!$B$8*B2631)</f>
        <v>0.26941562969595634</v>
      </c>
      <c r="H2631" s="12">
        <f t="shared" si="121"/>
        <v>0.12263803603501691</v>
      </c>
      <c r="I2631" s="12">
        <f t="shared" si="122"/>
        <v>5.0077057277989175E-2</v>
      </c>
      <c r="J2631" s="12">
        <f>G2631*(D2631*Assumptions!$B$6+E2631*Assumptions!$B$7)</f>
        <v>3.7302332242496283E-3</v>
      </c>
    </row>
    <row r="2632" spans="1:10" x14ac:dyDescent="0.2">
      <c r="A2632" s="2">
        <v>2624</v>
      </c>
      <c r="B2632" s="14">
        <f>A2632*Assumptions!$B$12</f>
        <v>26.240000000000002</v>
      </c>
      <c r="C2632" s="15">
        <f>IF(A2632&lt;=Assumptions!$B$13,IF(OR(A2632=0,A2632=Assumptions!$B$13),0.5,1),0)*Assumptions!$B$12</f>
        <v>0</v>
      </c>
      <c r="D2632" s="12">
        <f>D2631*(1-Assumptions!$B$12*(Assumptions!$B$5+Assumptions!$B$6))</f>
        <v>0.45506359361023563</v>
      </c>
      <c r="E2632" s="12">
        <f>E2631+Assumptions!$B$12*(D2631*Assumptions!$B$5-E2631*Assumptions!$B$7)</f>
        <v>0.18587097717036713</v>
      </c>
      <c r="F2632" s="12">
        <f t="shared" ref="F2632:F2695" si="123">1-D2632-E2632</f>
        <v>0.35906542921939721</v>
      </c>
      <c r="G2632" s="12">
        <f>EXP(-Assumptions!$B$8*B2632)</f>
        <v>0.26928095555244991</v>
      </c>
      <c r="H2632" s="12">
        <f t="shared" ref="H2632:H2695" si="124">G2632*D2632</f>
        <v>0.12253995932449599</v>
      </c>
      <c r="I2632" s="12">
        <f t="shared" ref="I2632:I2695" si="125">G2632*E2632</f>
        <v>5.0051514341904066E-2</v>
      </c>
      <c r="J2632" s="12">
        <f>G2632*(D2632*Assumptions!$B$6+E2632*Assumptions!$B$7)</f>
        <v>3.7279753103401634E-3</v>
      </c>
    </row>
    <row r="2633" spans="1:10" x14ac:dyDescent="0.2">
      <c r="A2633" s="2">
        <v>2625</v>
      </c>
      <c r="B2633" s="14">
        <f>A2633*Assumptions!$B$12</f>
        <v>26.25</v>
      </c>
      <c r="C2633" s="15">
        <f>IF(A2633&lt;=Assumptions!$B$13,IF(OR(A2633=0,A2633=Assumptions!$B$13),0.5,1),0)*Assumptions!$B$12</f>
        <v>0</v>
      </c>
      <c r="D2633" s="12">
        <f>D2632*(1-Assumptions!$B$12*(Assumptions!$B$5+Assumptions!$B$6))</f>
        <v>0.45492707453215259</v>
      </c>
      <c r="E2633" s="12">
        <f>E2632+Assumptions!$B$12*(D2632*Assumptions!$B$5-E2632*Assumptions!$B$7)</f>
        <v>0.185869054400504</v>
      </c>
      <c r="F2633" s="12">
        <f t="shared" si="123"/>
        <v>0.35920387106734347</v>
      </c>
      <c r="G2633" s="12">
        <f>EXP(-Assumptions!$B$8*B2633)</f>
        <v>0.26914634872918386</v>
      </c>
      <c r="H2633" s="12">
        <f t="shared" si="124"/>
        <v>0.12244196104837815</v>
      </c>
      <c r="I2633" s="12">
        <f t="shared" si="125"/>
        <v>5.0025977333641697E-2</v>
      </c>
      <c r="J2633" s="12">
        <f>G2633*(D2633*Assumptions!$B$6+E2633*Assumptions!$B$7)</f>
        <v>3.7257184771658665E-3</v>
      </c>
    </row>
    <row r="2634" spans="1:10" x14ac:dyDescent="0.2">
      <c r="A2634" s="2">
        <v>2626</v>
      </c>
      <c r="B2634" s="14">
        <f>A2634*Assumptions!$B$12</f>
        <v>26.26</v>
      </c>
      <c r="C2634" s="15">
        <f>IF(A2634&lt;=Assumptions!$B$13,IF(OR(A2634=0,A2634=Assumptions!$B$13),0.5,1),0)*Assumptions!$B$12</f>
        <v>0</v>
      </c>
      <c r="D2634" s="12">
        <f>D2633*(1-Assumptions!$B$12*(Assumptions!$B$5+Assumptions!$B$6))</f>
        <v>0.45479059640979297</v>
      </c>
      <c r="E2634" s="12">
        <f>E2633+Assumptions!$B$12*(D2633*Assumptions!$B$5-E2633*Assumptions!$B$7)</f>
        <v>0.18586710528821018</v>
      </c>
      <c r="F2634" s="12">
        <f t="shared" si="123"/>
        <v>0.35934229830199693</v>
      </c>
      <c r="G2634" s="12">
        <f>EXP(-Assumptions!$B$8*B2634)</f>
        <v>0.26901180919250633</v>
      </c>
      <c r="H2634" s="12">
        <f t="shared" si="124"/>
        <v>0.12234404114393738</v>
      </c>
      <c r="I2634" s="12">
        <f t="shared" si="125"/>
        <v>5.0000446262955481E-2</v>
      </c>
      <c r="J2634" s="12">
        <f>G2634*(D2634*Assumptions!$B$6+E2634*Assumptions!$B$7)</f>
        <v>3.723462724587148E-3</v>
      </c>
    </row>
    <row r="2635" spans="1:10" x14ac:dyDescent="0.2">
      <c r="A2635" s="2">
        <v>2627</v>
      </c>
      <c r="B2635" s="14">
        <f>A2635*Assumptions!$B$12</f>
        <v>26.27</v>
      </c>
      <c r="C2635" s="15">
        <f>IF(A2635&lt;=Assumptions!$B$13,IF(OR(A2635=0,A2635=Assumptions!$B$13),0.5,1),0)*Assumptions!$B$12</f>
        <v>0</v>
      </c>
      <c r="D2635" s="12">
        <f>D2634*(1-Assumptions!$B$12*(Assumptions!$B$5+Assumptions!$B$6))</f>
        <v>0.45465415923087005</v>
      </c>
      <c r="E2635" s="12">
        <f>E2634+Assumptions!$B$12*(D2634*Assumptions!$B$5-E2634*Assumptions!$B$7)</f>
        <v>0.18586512985484804</v>
      </c>
      <c r="F2635" s="12">
        <f t="shared" si="123"/>
        <v>0.35948071091428191</v>
      </c>
      <c r="G2635" s="12">
        <f>EXP(-Assumptions!$B$8*B2635)</f>
        <v>0.26887733690878252</v>
      </c>
      <c r="H2635" s="12">
        <f t="shared" si="124"/>
        <v>0.1222461995484979</v>
      </c>
      <c r="I2635" s="12">
        <f t="shared" si="125"/>
        <v>4.9974921139576592E-2</v>
      </c>
      <c r="J2635" s="12">
        <f>G2635*(D2635*Assumptions!$B$6+E2635*Assumptions!$B$7)</f>
        <v>3.7212080524638082E-3</v>
      </c>
    </row>
    <row r="2636" spans="1:10" x14ac:dyDescent="0.2">
      <c r="A2636" s="2">
        <v>2628</v>
      </c>
      <c r="B2636" s="14">
        <f>A2636*Assumptions!$B$12</f>
        <v>26.28</v>
      </c>
      <c r="C2636" s="15">
        <f>IF(A2636&lt;=Assumptions!$B$13,IF(OR(A2636=0,A2636=Assumptions!$B$13),0.5,1),0)*Assumptions!$B$12</f>
        <v>0</v>
      </c>
      <c r="D2636" s="12">
        <f>D2635*(1-Assumptions!$B$12*(Assumptions!$B$5+Assumptions!$B$6))</f>
        <v>0.45451776298310081</v>
      </c>
      <c r="E2636" s="12">
        <f>E2635+Assumptions!$B$12*(D2635*Assumptions!$B$5-E2635*Assumptions!$B$7)</f>
        <v>0.18586312812176678</v>
      </c>
      <c r="F2636" s="12">
        <f t="shared" si="123"/>
        <v>0.35961910889513249</v>
      </c>
      <c r="G2636" s="12">
        <f>EXP(-Assumptions!$B$8*B2636)</f>
        <v>0.26874293184439435</v>
      </c>
      <c r="H2636" s="12">
        <f t="shared" si="124"/>
        <v>0.12214843619943405</v>
      </c>
      <c r="I2636" s="12">
        <f t="shared" si="125"/>
        <v>4.9949401973213903E-2</v>
      </c>
      <c r="J2636" s="12">
        <f>G2636*(D2636*Assumptions!$B$6+E2636*Assumptions!$B$7)</f>
        <v>3.7189544606550358E-3</v>
      </c>
    </row>
    <row r="2637" spans="1:10" x14ac:dyDescent="0.2">
      <c r="A2637" s="2">
        <v>2629</v>
      </c>
      <c r="B2637" s="14">
        <f>A2637*Assumptions!$B$12</f>
        <v>26.29</v>
      </c>
      <c r="C2637" s="15">
        <f>IF(A2637&lt;=Assumptions!$B$13,IF(OR(A2637=0,A2637=Assumptions!$B$13),0.5,1),0)*Assumptions!$B$12</f>
        <v>0</v>
      </c>
      <c r="D2637" s="12">
        <f>D2636*(1-Assumptions!$B$12*(Assumptions!$B$5+Assumptions!$B$6))</f>
        <v>0.45438140765420593</v>
      </c>
      <c r="E2637" s="12">
        <f>E2636+Assumptions!$B$12*(D2636*Assumptions!$B$5-E2636*Assumptions!$B$7)</f>
        <v>0.18586110011030252</v>
      </c>
      <c r="F2637" s="12">
        <f t="shared" si="123"/>
        <v>0.35975749223549158</v>
      </c>
      <c r="G2637" s="12">
        <f>EXP(-Assumptions!$B$8*B2637)</f>
        <v>0.26860859396574055</v>
      </c>
      <c r="H2637" s="12">
        <f t="shared" si="124"/>
        <v>0.12205075103417024</v>
      </c>
      <c r="I2637" s="12">
        <f t="shared" si="125"/>
        <v>4.9923888773554102E-2</v>
      </c>
      <c r="J2637" s="12">
        <f>G2637*(D2637*Assumptions!$B$6+E2637*Assumptions!$B$7)</f>
        <v>3.7167019490194075E-3</v>
      </c>
    </row>
    <row r="2638" spans="1:10" x14ac:dyDescent="0.2">
      <c r="A2638" s="2">
        <v>2630</v>
      </c>
      <c r="B2638" s="14">
        <f>A2638*Assumptions!$B$12</f>
        <v>26.3</v>
      </c>
      <c r="C2638" s="15">
        <f>IF(A2638&lt;=Assumptions!$B$13,IF(OR(A2638=0,A2638=Assumptions!$B$13),0.5,1),0)*Assumptions!$B$12</f>
        <v>0</v>
      </c>
      <c r="D2638" s="12">
        <f>D2637*(1-Assumptions!$B$12*(Assumptions!$B$5+Assumptions!$B$6))</f>
        <v>0.4542450932319097</v>
      </c>
      <c r="E2638" s="12">
        <f>E2637+Assumptions!$B$12*(D2637*Assumptions!$B$5-E2637*Assumptions!$B$7)</f>
        <v>0.1858590458417782</v>
      </c>
      <c r="F2638" s="12">
        <f t="shared" si="123"/>
        <v>0.35989586092631204</v>
      </c>
      <c r="G2638" s="12">
        <f>EXP(-Assumptions!$B$8*B2638)</f>
        <v>0.26847432323923653</v>
      </c>
      <c r="H2638" s="12">
        <f t="shared" si="124"/>
        <v>0.12195314399018087</v>
      </c>
      <c r="I2638" s="12">
        <f t="shared" si="125"/>
        <v>4.989838155026164E-2</v>
      </c>
      <c r="J2638" s="12">
        <f>G2638*(D2638*Assumptions!$B$6+E2638*Assumptions!$B$7)</f>
        <v>3.7144505174148907E-3</v>
      </c>
    </row>
    <row r="2639" spans="1:10" x14ac:dyDescent="0.2">
      <c r="A2639" s="2">
        <v>2631</v>
      </c>
      <c r="B2639" s="14">
        <f>A2639*Assumptions!$B$12</f>
        <v>26.310000000000002</v>
      </c>
      <c r="C2639" s="15">
        <f>IF(A2639&lt;=Assumptions!$B$13,IF(OR(A2639=0,A2639=Assumptions!$B$13),0.5,1),0)*Assumptions!$B$12</f>
        <v>0</v>
      </c>
      <c r="D2639" s="12">
        <f>D2638*(1-Assumptions!$B$12*(Assumptions!$B$5+Assumptions!$B$6))</f>
        <v>0.45410881970394013</v>
      </c>
      <c r="E2639" s="12">
        <f>E2638+Assumptions!$B$12*(D2638*Assumptions!$B$5-E2638*Assumptions!$B$7)</f>
        <v>0.1858569653375037</v>
      </c>
      <c r="F2639" s="12">
        <f t="shared" si="123"/>
        <v>0.36003421495855614</v>
      </c>
      <c r="G2639" s="12">
        <f>EXP(-Assumptions!$B$8*B2639)</f>
        <v>0.26834011963131482</v>
      </c>
      <c r="H2639" s="12">
        <f t="shared" si="124"/>
        <v>0.12185561500499047</v>
      </c>
      <c r="I2639" s="12">
        <f t="shared" si="125"/>
        <v>4.9872880312978873E-2</v>
      </c>
      <c r="J2639" s="12">
        <f>G2639*(D2639*Assumptions!$B$6+E2639*Assumptions!$B$7)</f>
        <v>3.7122001656988493E-3</v>
      </c>
    </row>
    <row r="2640" spans="1:10" x14ac:dyDescent="0.2">
      <c r="A2640" s="2">
        <v>2632</v>
      </c>
      <c r="B2640" s="14">
        <f>A2640*Assumptions!$B$12</f>
        <v>26.32</v>
      </c>
      <c r="C2640" s="15">
        <f>IF(A2640&lt;=Assumptions!$B$13,IF(OR(A2640=0,A2640=Assumptions!$B$13),0.5,1),0)*Assumptions!$B$12</f>
        <v>0</v>
      </c>
      <c r="D2640" s="12">
        <f>D2639*(1-Assumptions!$B$12*(Assumptions!$B$5+Assumptions!$B$6))</f>
        <v>0.45397258705802895</v>
      </c>
      <c r="E2640" s="12">
        <f>E2639+Assumptions!$B$12*(D2639*Assumptions!$B$5-E2639*Assumptions!$B$7)</f>
        <v>0.18585485861877574</v>
      </c>
      <c r="F2640" s="12">
        <f t="shared" si="123"/>
        <v>0.36017255432319539</v>
      </c>
      <c r="G2640" s="12">
        <f>EXP(-Assumptions!$B$8*B2640)</f>
        <v>0.26820598310842442</v>
      </c>
      <c r="H2640" s="12">
        <f t="shared" si="124"/>
        <v>0.12175816401617345</v>
      </c>
      <c r="I2640" s="12">
        <f t="shared" si="125"/>
        <v>4.9847385071325974E-2</v>
      </c>
      <c r="J2640" s="12">
        <f>G2640*(D2640*Assumptions!$B$6+E2640*Assumptions!$B$7)</f>
        <v>3.7099508937280335E-3</v>
      </c>
    </row>
    <row r="2641" spans="1:10" x14ac:dyDescent="0.2">
      <c r="A2641" s="2">
        <v>2633</v>
      </c>
      <c r="B2641" s="14">
        <f>A2641*Assumptions!$B$12</f>
        <v>26.330000000000002</v>
      </c>
      <c r="C2641" s="15">
        <f>IF(A2641&lt;=Assumptions!$B$13,IF(OR(A2641=0,A2641=Assumptions!$B$13),0.5,1),0)*Assumptions!$B$12</f>
        <v>0</v>
      </c>
      <c r="D2641" s="12">
        <f>D2640*(1-Assumptions!$B$12*(Assumptions!$B$5+Assumptions!$B$6))</f>
        <v>0.45383639528191155</v>
      </c>
      <c r="E2641" s="12">
        <f>E2640+Assumptions!$B$12*(D2640*Assumptions!$B$5-E2640*Assumptions!$B$7)</f>
        <v>0.18585272570687794</v>
      </c>
      <c r="F2641" s="12">
        <f t="shared" si="123"/>
        <v>0.36031087901121051</v>
      </c>
      <c r="G2641" s="12">
        <f>EXP(-Assumptions!$B$8*B2641)</f>
        <v>0.26807191363703115</v>
      </c>
      <c r="H2641" s="12">
        <f t="shared" si="124"/>
        <v>0.12166079096135413</v>
      </c>
      <c r="I2641" s="12">
        <f t="shared" si="125"/>
        <v>4.9821895834901021E-2</v>
      </c>
      <c r="J2641" s="12">
        <f>G2641*(D2641*Assumptions!$B$6+E2641*Assumptions!$B$7)</f>
        <v>3.7077027013585925E-3</v>
      </c>
    </row>
    <row r="2642" spans="1:10" x14ac:dyDescent="0.2">
      <c r="A2642" s="2">
        <v>2634</v>
      </c>
      <c r="B2642" s="14">
        <f>A2642*Assumptions!$B$12</f>
        <v>26.34</v>
      </c>
      <c r="C2642" s="15">
        <f>IF(A2642&lt;=Assumptions!$B$13,IF(OR(A2642=0,A2642=Assumptions!$B$13),0.5,1),0)*Assumptions!$B$12</f>
        <v>0</v>
      </c>
      <c r="D2642" s="12">
        <f>D2641*(1-Assumptions!$B$12*(Assumptions!$B$5+Assumptions!$B$6))</f>
        <v>0.45370024436332701</v>
      </c>
      <c r="E2642" s="12">
        <f>E2641+Assumptions!$B$12*(D2641*Assumptions!$B$5-E2641*Assumptions!$B$7)</f>
        <v>0.18585056662308089</v>
      </c>
      <c r="F2642" s="12">
        <f t="shared" si="123"/>
        <v>0.36044918901359213</v>
      </c>
      <c r="G2642" s="12">
        <f>EXP(-Assumptions!$B$8*B2642)</f>
        <v>0.26793791118361771</v>
      </c>
      <c r="H2642" s="12">
        <f t="shared" si="124"/>
        <v>0.12156349577820676</v>
      </c>
      <c r="I2642" s="12">
        <f t="shared" si="125"/>
        <v>4.9796412613280071E-2</v>
      </c>
      <c r="J2642" s="12">
        <f>G2642*(D2642*Assumptions!$B$6+E2642*Assumptions!$B$7)</f>
        <v>3.7054555884460708E-3</v>
      </c>
    </row>
    <row r="2643" spans="1:10" x14ac:dyDescent="0.2">
      <c r="A2643" s="2">
        <v>2635</v>
      </c>
      <c r="B2643" s="14">
        <f>A2643*Assumptions!$B$12</f>
        <v>26.35</v>
      </c>
      <c r="C2643" s="15">
        <f>IF(A2643&lt;=Assumptions!$B$13,IF(OR(A2643=0,A2643=Assumptions!$B$13),0.5,1),0)*Assumptions!$B$12</f>
        <v>0</v>
      </c>
      <c r="D2643" s="12">
        <f>D2642*(1-Assumptions!$B$12*(Assumptions!$B$5+Assumptions!$B$6))</f>
        <v>0.45356413429001802</v>
      </c>
      <c r="E2643" s="12">
        <f>E2642+Assumptions!$B$12*(D2642*Assumptions!$B$5-E2642*Assumptions!$B$7)</f>
        <v>0.18584838138864201</v>
      </c>
      <c r="F2643" s="12">
        <f t="shared" si="123"/>
        <v>0.36058748432133991</v>
      </c>
      <c r="G2643" s="12">
        <f>EXP(-Assumptions!$B$8*B2643)</f>
        <v>0.26780397571468345</v>
      </c>
      <c r="H2643" s="12">
        <f t="shared" si="124"/>
        <v>0.12146627840445541</v>
      </c>
      <c r="I2643" s="12">
        <f t="shared" si="125"/>
        <v>4.9770935416017112E-2</v>
      </c>
      <c r="J2643" s="12">
        <f>G2643*(D2643*Assumptions!$B$6+E2643*Assumptions!$B$7)</f>
        <v>3.7032095548454099E-3</v>
      </c>
    </row>
    <row r="2644" spans="1:10" x14ac:dyDescent="0.2">
      <c r="A2644" s="2">
        <v>2636</v>
      </c>
      <c r="B2644" s="14">
        <f>A2644*Assumptions!$B$12</f>
        <v>26.36</v>
      </c>
      <c r="C2644" s="15">
        <f>IF(A2644&lt;=Assumptions!$B$13,IF(OR(A2644=0,A2644=Assumptions!$B$13),0.5,1),0)*Assumptions!$B$12</f>
        <v>0</v>
      </c>
      <c r="D2644" s="12">
        <f>D2643*(1-Assumptions!$B$12*(Assumptions!$B$5+Assumptions!$B$6))</f>
        <v>0.45342806504973104</v>
      </c>
      <c r="E2644" s="12">
        <f>E2643+Assumptions!$B$12*(D2643*Assumptions!$B$5-E2643*Assumptions!$B$7)</f>
        <v>0.18584617002480569</v>
      </c>
      <c r="F2644" s="12">
        <f t="shared" si="123"/>
        <v>0.36072576492546321</v>
      </c>
      <c r="G2644" s="12">
        <f>EXP(-Assumptions!$B$8*B2644)</f>
        <v>0.26767010719674456</v>
      </c>
      <c r="H2644" s="12">
        <f t="shared" si="124"/>
        <v>0.12136913877787397</v>
      </c>
      <c r="I2644" s="12">
        <f t="shared" si="125"/>
        <v>4.9745464252644152E-2</v>
      </c>
      <c r="J2644" s="12">
        <f>G2644*(D2644*Assumptions!$B$6+E2644*Assumptions!$B$7)</f>
        <v>3.7009646004109473E-3</v>
      </c>
    </row>
    <row r="2645" spans="1:10" x14ac:dyDescent="0.2">
      <c r="A2645" s="2">
        <v>2637</v>
      </c>
      <c r="B2645" s="14">
        <f>A2645*Assumptions!$B$12</f>
        <v>26.37</v>
      </c>
      <c r="C2645" s="15">
        <f>IF(A2645&lt;=Assumptions!$B$13,IF(OR(A2645=0,A2645=Assumptions!$B$13),0.5,1),0)*Assumptions!$B$12</f>
        <v>0</v>
      </c>
      <c r="D2645" s="12">
        <f>D2644*(1-Assumptions!$B$12*(Assumptions!$B$5+Assumptions!$B$6))</f>
        <v>0.45329203663021617</v>
      </c>
      <c r="E2645" s="12">
        <f>E2644+Assumptions!$B$12*(D2644*Assumptions!$B$5-E2644*Assumptions!$B$7)</f>
        <v>0.18584393255280324</v>
      </c>
      <c r="F2645" s="12">
        <f t="shared" si="123"/>
        <v>0.36086403081698054</v>
      </c>
      <c r="G2645" s="12">
        <f>EXP(-Assumptions!$B$8*B2645)</f>
        <v>0.26753630559633379</v>
      </c>
      <c r="H2645" s="12">
        <f t="shared" si="124"/>
        <v>0.12127207683628605</v>
      </c>
      <c r="I2645" s="12">
        <f t="shared" si="125"/>
        <v>4.9719999132671215E-2</v>
      </c>
      <c r="J2645" s="12">
        <f>G2645*(D2645*Assumptions!$B$6+E2645*Assumptions!$B$7)</f>
        <v>3.6987207249964214E-3</v>
      </c>
    </row>
    <row r="2646" spans="1:10" x14ac:dyDescent="0.2">
      <c r="A2646" s="2">
        <v>2638</v>
      </c>
      <c r="B2646" s="14">
        <f>A2646*Assumptions!$B$12</f>
        <v>26.38</v>
      </c>
      <c r="C2646" s="15">
        <f>IF(A2646&lt;=Assumptions!$B$13,IF(OR(A2646=0,A2646=Assumptions!$B$13),0.5,1),0)*Assumptions!$B$12</f>
        <v>0</v>
      </c>
      <c r="D2646" s="12">
        <f>D2645*(1-Assumptions!$B$12*(Assumptions!$B$5+Assumptions!$B$6))</f>
        <v>0.45315604901922713</v>
      </c>
      <c r="E2646" s="12">
        <f>E2645+Assumptions!$B$12*(D2645*Assumptions!$B$5-E2645*Assumptions!$B$7)</f>
        <v>0.18584166899385288</v>
      </c>
      <c r="F2646" s="12">
        <f t="shared" si="123"/>
        <v>0.36100228198691997</v>
      </c>
      <c r="G2646" s="12">
        <f>EXP(-Assumptions!$B$8*B2646)</f>
        <v>0.26740257088000091</v>
      </c>
      <c r="H2646" s="12">
        <f t="shared" si="124"/>
        <v>0.12117509251756504</v>
      </c>
      <c r="I2646" s="12">
        <f t="shared" si="125"/>
        <v>4.9694540065586414E-2</v>
      </c>
      <c r="J2646" s="12">
        <f>G2646*(D2646*Assumptions!$B$6+E2646*Assumptions!$B$7)</f>
        <v>3.6964779284549714E-3</v>
      </c>
    </row>
    <row r="2647" spans="1:10" x14ac:dyDescent="0.2">
      <c r="A2647" s="2">
        <v>2639</v>
      </c>
      <c r="B2647" s="14">
        <f>A2647*Assumptions!$B$12</f>
        <v>26.39</v>
      </c>
      <c r="C2647" s="15">
        <f>IF(A2647&lt;=Assumptions!$B$13,IF(OR(A2647=0,A2647=Assumptions!$B$13),0.5,1),0)*Assumptions!$B$12</f>
        <v>0</v>
      </c>
      <c r="D2647" s="12">
        <f>D2646*(1-Assumptions!$B$12*(Assumptions!$B$5+Assumptions!$B$6))</f>
        <v>0.45302010220452138</v>
      </c>
      <c r="E2647" s="12">
        <f>E2646+Assumptions!$B$12*(D2646*Assumptions!$B$5-E2646*Assumptions!$B$7)</f>
        <v>0.18583937936915979</v>
      </c>
      <c r="F2647" s="12">
        <f t="shared" si="123"/>
        <v>0.36114051842631884</v>
      </c>
      <c r="G2647" s="12">
        <f>EXP(-Assumptions!$B$8*B2647)</f>
        <v>0.267268903014312</v>
      </c>
      <c r="H2647" s="12">
        <f t="shared" si="124"/>
        <v>0.12107818575963393</v>
      </c>
      <c r="I2647" s="12">
        <f t="shared" si="125"/>
        <v>4.9669087060855897E-2</v>
      </c>
      <c r="J2647" s="12">
        <f>G2647*(D2647*Assumptions!$B$6+E2647*Assumptions!$B$7)</f>
        <v>3.6942362106391347E-3</v>
      </c>
    </row>
    <row r="2648" spans="1:10" x14ac:dyDescent="0.2">
      <c r="A2648" s="2">
        <v>2640</v>
      </c>
      <c r="B2648" s="14">
        <f>A2648*Assumptions!$B$12</f>
        <v>26.400000000000002</v>
      </c>
      <c r="C2648" s="15">
        <f>IF(A2648&lt;=Assumptions!$B$13,IF(OR(A2648=0,A2648=Assumptions!$B$13),0.5,1),0)*Assumptions!$B$12</f>
        <v>0</v>
      </c>
      <c r="D2648" s="12">
        <f>D2647*(1-Assumptions!$B$12*(Assumptions!$B$5+Assumptions!$B$6))</f>
        <v>0.45288419617386005</v>
      </c>
      <c r="E2648" s="12">
        <f>E2647+Assumptions!$B$12*(D2647*Assumptions!$B$5-E2647*Assumptions!$B$7)</f>
        <v>0.18583706369991612</v>
      </c>
      <c r="F2648" s="12">
        <f t="shared" si="123"/>
        <v>0.36127874012622374</v>
      </c>
      <c r="G2648" s="12">
        <f>EXP(-Assumptions!$B$8*B2648)</f>
        <v>0.26713530196585028</v>
      </c>
      <c r="H2648" s="12">
        <f t="shared" si="124"/>
        <v>0.12098135650046549</v>
      </c>
      <c r="I2648" s="12">
        <f t="shared" si="125"/>
        <v>4.9643640127924049E-2</v>
      </c>
      <c r="J2648" s="12">
        <f>G2648*(D2648*Assumptions!$B$6+E2648*Assumptions!$B$7)</f>
        <v>3.6919955714008572E-3</v>
      </c>
    </row>
    <row r="2649" spans="1:10" x14ac:dyDescent="0.2">
      <c r="A2649" s="2">
        <v>2641</v>
      </c>
      <c r="B2649" s="14">
        <f>A2649*Assumptions!$B$12</f>
        <v>26.41</v>
      </c>
      <c r="C2649" s="15">
        <f>IF(A2649&lt;=Assumptions!$B$13,IF(OR(A2649=0,A2649=Assumptions!$B$13),0.5,1),0)*Assumptions!$B$12</f>
        <v>0</v>
      </c>
      <c r="D2649" s="12">
        <f>D2648*(1-Assumptions!$B$12*(Assumptions!$B$5+Assumptions!$B$6))</f>
        <v>0.45274833091500793</v>
      </c>
      <c r="E2649" s="12">
        <f>E2648+Assumptions!$B$12*(D2648*Assumptions!$B$5-E2648*Assumptions!$B$7)</f>
        <v>0.18583472200730095</v>
      </c>
      <c r="F2649" s="12">
        <f t="shared" si="123"/>
        <v>0.36141694707769106</v>
      </c>
      <c r="G2649" s="12">
        <f>EXP(-Assumptions!$B$8*B2649)</f>
        <v>0.26700176770121559</v>
      </c>
      <c r="H2649" s="12">
        <f t="shared" si="124"/>
        <v>0.12088460467808203</v>
      </c>
      <c r="I2649" s="12">
        <f t="shared" si="125"/>
        <v>4.9618199276213346E-2</v>
      </c>
      <c r="J2649" s="12">
        <f>G2649*(D2649*Assumptions!$B$6+E2649*Assumptions!$B$7)</f>
        <v>3.6897560105914875E-3</v>
      </c>
    </row>
    <row r="2650" spans="1:10" x14ac:dyDescent="0.2">
      <c r="A2650" s="2">
        <v>2642</v>
      </c>
      <c r="B2650" s="14">
        <f>A2650*Assumptions!$B$12</f>
        <v>26.42</v>
      </c>
      <c r="C2650" s="15">
        <f>IF(A2650&lt;=Assumptions!$B$13,IF(OR(A2650=0,A2650=Assumptions!$B$13),0.5,1),0)*Assumptions!$B$12</f>
        <v>0</v>
      </c>
      <c r="D2650" s="12">
        <f>D2649*(1-Assumptions!$B$12*(Assumptions!$B$5+Assumptions!$B$6))</f>
        <v>0.45261250641573347</v>
      </c>
      <c r="E2650" s="12">
        <f>E2649+Assumptions!$B$12*(D2649*Assumptions!$B$5-E2649*Assumptions!$B$7)</f>
        <v>0.1858323543124803</v>
      </c>
      <c r="F2650" s="12">
        <f t="shared" si="123"/>
        <v>0.36155513927178623</v>
      </c>
      <c r="G2650" s="12">
        <f>EXP(-Assumptions!$B$8*B2650)</f>
        <v>0.26686830018702401</v>
      </c>
      <c r="H2650" s="12">
        <f t="shared" si="124"/>
        <v>0.12078793023055528</v>
      </c>
      <c r="I2650" s="12">
        <f t="shared" si="125"/>
        <v>4.9592764515124399E-2</v>
      </c>
      <c r="J2650" s="12">
        <f>G2650*(D2650*Assumptions!$B$6+E2650*Assumptions!$B$7)</f>
        <v>3.6875175280617727E-3</v>
      </c>
    </row>
    <row r="2651" spans="1:10" x14ac:dyDescent="0.2">
      <c r="A2651" s="2">
        <v>2643</v>
      </c>
      <c r="B2651" s="14">
        <f>A2651*Assumptions!$B$12</f>
        <v>26.43</v>
      </c>
      <c r="C2651" s="15">
        <f>IF(A2651&lt;=Assumptions!$B$13,IF(OR(A2651=0,A2651=Assumptions!$B$13),0.5,1),0)*Assumptions!$B$12</f>
        <v>0</v>
      </c>
      <c r="D2651" s="12">
        <f>D2650*(1-Assumptions!$B$12*(Assumptions!$B$5+Assumptions!$B$6))</f>
        <v>0.45247672266380878</v>
      </c>
      <c r="E2651" s="12">
        <f>E2650+Assumptions!$B$12*(D2650*Assumptions!$B$5-E2650*Assumptions!$B$7)</f>
        <v>0.1858299606366072</v>
      </c>
      <c r="F2651" s="12">
        <f t="shared" si="123"/>
        <v>0.36169331669958404</v>
      </c>
      <c r="G2651" s="12">
        <f>EXP(-Assumptions!$B$8*B2651)</f>
        <v>0.26673489938990902</v>
      </c>
      <c r="H2651" s="12">
        <f t="shared" si="124"/>
        <v>0.1206913330960068</v>
      </c>
      <c r="I2651" s="12">
        <f t="shared" si="125"/>
        <v>4.9567335854036172E-2</v>
      </c>
      <c r="J2651" s="12">
        <f>G2651*(D2651*Assumptions!$B$6+E2651*Assumptions!$B$7)</f>
        <v>3.6852801236618772E-3</v>
      </c>
    </row>
    <row r="2652" spans="1:10" x14ac:dyDescent="0.2">
      <c r="A2652" s="2">
        <v>2644</v>
      </c>
      <c r="B2652" s="14">
        <f>A2652*Assumptions!$B$12</f>
        <v>26.44</v>
      </c>
      <c r="C2652" s="15">
        <f>IF(A2652&lt;=Assumptions!$B$13,IF(OR(A2652=0,A2652=Assumptions!$B$13),0.5,1),0)*Assumptions!$B$12</f>
        <v>0</v>
      </c>
      <c r="D2652" s="12">
        <f>D2651*(1-Assumptions!$B$12*(Assumptions!$B$5+Assumptions!$B$6))</f>
        <v>0.45234097964700964</v>
      </c>
      <c r="E2652" s="12">
        <f>E2651+Assumptions!$B$12*(D2651*Assumptions!$B$5-E2651*Assumptions!$B$7)</f>
        <v>0.18582754100082166</v>
      </c>
      <c r="F2652" s="12">
        <f t="shared" si="123"/>
        <v>0.36183147935216864</v>
      </c>
      <c r="G2652" s="12">
        <f>EXP(-Assumptions!$B$8*B2652)</f>
        <v>0.26660156527652018</v>
      </c>
      <c r="H2652" s="12">
        <f t="shared" si="124"/>
        <v>0.12059481321260733</v>
      </c>
      <c r="I2652" s="12">
        <f t="shared" si="125"/>
        <v>4.9541913302305784E-2</v>
      </c>
      <c r="J2652" s="12">
        <f>G2652*(D2652*Assumptions!$B$6+E2652*Assumptions!$B$7)</f>
        <v>3.6830437972413628E-3</v>
      </c>
    </row>
    <row r="2653" spans="1:10" x14ac:dyDescent="0.2">
      <c r="A2653" s="2">
        <v>2645</v>
      </c>
      <c r="B2653" s="14">
        <f>A2653*Assumptions!$B$12</f>
        <v>26.45</v>
      </c>
      <c r="C2653" s="15">
        <f>IF(A2653&lt;=Assumptions!$B$13,IF(OR(A2653=0,A2653=Assumptions!$B$13),0.5,1),0)*Assumptions!$B$12</f>
        <v>0</v>
      </c>
      <c r="D2653" s="12">
        <f>D2652*(1-Assumptions!$B$12*(Assumptions!$B$5+Assumptions!$B$6))</f>
        <v>0.45220527735311555</v>
      </c>
      <c r="E2653" s="12">
        <f>E2652+Assumptions!$B$12*(D2652*Assumptions!$B$5-E2652*Assumptions!$B$7)</f>
        <v>0.18582509542625064</v>
      </c>
      <c r="F2653" s="12">
        <f t="shared" si="123"/>
        <v>0.36196962722063381</v>
      </c>
      <c r="G2653" s="12">
        <f>EXP(-Assumptions!$B$8*B2653)</f>
        <v>0.2664682978135241</v>
      </c>
      <c r="H2653" s="12">
        <f t="shared" si="124"/>
        <v>0.12049837051857726</v>
      </c>
      <c r="I2653" s="12">
        <f t="shared" si="125"/>
        <v>4.9516496869268692E-2</v>
      </c>
      <c r="J2653" s="12">
        <f>G2653*(D2653*Assumptions!$B$6+E2653*Assumptions!$B$7)</f>
        <v>3.6808085486492071E-3</v>
      </c>
    </row>
    <row r="2654" spans="1:10" x14ac:dyDescent="0.2">
      <c r="A2654" s="2">
        <v>2646</v>
      </c>
      <c r="B2654" s="14">
        <f>A2654*Assumptions!$B$12</f>
        <v>26.46</v>
      </c>
      <c r="C2654" s="15">
        <f>IF(A2654&lt;=Assumptions!$B$13,IF(OR(A2654=0,A2654=Assumptions!$B$13),0.5,1),0)*Assumptions!$B$12</f>
        <v>0</v>
      </c>
      <c r="D2654" s="12">
        <f>D2653*(1-Assumptions!$B$12*(Assumptions!$B$5+Assumptions!$B$6))</f>
        <v>0.45206961576990962</v>
      </c>
      <c r="E2654" s="12">
        <f>E2653+Assumptions!$B$12*(D2653*Assumptions!$B$5-E2653*Assumptions!$B$7)</f>
        <v>0.18582262393400814</v>
      </c>
      <c r="F2654" s="12">
        <f t="shared" si="123"/>
        <v>0.36210776029608227</v>
      </c>
      <c r="G2654" s="12">
        <f>EXP(-Assumptions!$B$8*B2654)</f>
        <v>0.26633509696760382</v>
      </c>
      <c r="H2654" s="12">
        <f t="shared" si="124"/>
        <v>0.12040200495218628</v>
      </c>
      <c r="I2654" s="12">
        <f t="shared" si="125"/>
        <v>4.9491086564238639E-2</v>
      </c>
      <c r="J2654" s="12">
        <f>G2654*(D2654*Assumptions!$B$6+E2654*Assumptions!$B$7)</f>
        <v>3.6785743777337948E-3</v>
      </c>
    </row>
    <row r="2655" spans="1:10" x14ac:dyDescent="0.2">
      <c r="A2655" s="2">
        <v>2647</v>
      </c>
      <c r="B2655" s="14">
        <f>A2655*Assumptions!$B$12</f>
        <v>26.47</v>
      </c>
      <c r="C2655" s="15">
        <f>IF(A2655&lt;=Assumptions!$B$13,IF(OR(A2655=0,A2655=Assumptions!$B$13),0.5,1),0)*Assumptions!$B$12</f>
        <v>0</v>
      </c>
      <c r="D2655" s="12">
        <f>D2654*(1-Assumptions!$B$12*(Assumptions!$B$5+Assumptions!$B$6))</f>
        <v>0.45193399488517866</v>
      </c>
      <c r="E2655" s="12">
        <f>E2654+Assumptions!$B$12*(D2654*Assumptions!$B$5-E2654*Assumptions!$B$7)</f>
        <v>0.18582012654519511</v>
      </c>
      <c r="F2655" s="12">
        <f t="shared" si="123"/>
        <v>0.36224587856962631</v>
      </c>
      <c r="G2655" s="12">
        <f>EXP(-Assumptions!$B$8*B2655)</f>
        <v>0.26620196270545921</v>
      </c>
      <c r="H2655" s="12">
        <f t="shared" si="124"/>
        <v>0.12030571645175352</v>
      </c>
      <c r="I2655" s="12">
        <f t="shared" si="125"/>
        <v>4.946568239650774E-2</v>
      </c>
      <c r="J2655" s="12">
        <f>G2655*(D2655*Assumptions!$B$6+E2655*Assumptions!$B$7)</f>
        <v>3.676341284342923E-3</v>
      </c>
    </row>
    <row r="2656" spans="1:10" x14ac:dyDescent="0.2">
      <c r="A2656" s="2">
        <v>2648</v>
      </c>
      <c r="B2656" s="14">
        <f>A2656*Assumptions!$B$12</f>
        <v>26.48</v>
      </c>
      <c r="C2656" s="15">
        <f>IF(A2656&lt;=Assumptions!$B$13,IF(OR(A2656=0,A2656=Assumptions!$B$13),0.5,1),0)*Assumptions!$B$12</f>
        <v>0</v>
      </c>
      <c r="D2656" s="12">
        <f>D2655*(1-Assumptions!$B$12*(Assumptions!$B$5+Assumptions!$B$6))</f>
        <v>0.45179841468671311</v>
      </c>
      <c r="E2656" s="12">
        <f>E2655+Assumptions!$B$12*(D2655*Assumptions!$B$5-E2655*Assumptions!$B$7)</f>
        <v>0.18581760328089955</v>
      </c>
      <c r="F2656" s="12">
        <f t="shared" si="123"/>
        <v>0.36238398203238731</v>
      </c>
      <c r="G2656" s="12">
        <f>EXP(-Assumptions!$B$8*B2656)</f>
        <v>0.26606889499380665</v>
      </c>
      <c r="H2656" s="12">
        <f t="shared" si="124"/>
        <v>0.12020950495564739</v>
      </c>
      <c r="I2656" s="12">
        <f t="shared" si="125"/>
        <v>4.9440284375346484E-2</v>
      </c>
      <c r="J2656" s="12">
        <f>G2656*(D2656*Assumptions!$B$6+E2656*Assumptions!$B$7)</f>
        <v>3.6741092683237981E-3</v>
      </c>
    </row>
    <row r="2657" spans="1:10" x14ac:dyDescent="0.2">
      <c r="A2657" s="2">
        <v>2649</v>
      </c>
      <c r="B2657" s="14">
        <f>A2657*Assumptions!$B$12</f>
        <v>26.490000000000002</v>
      </c>
      <c r="C2657" s="15">
        <f>IF(A2657&lt;=Assumptions!$B$13,IF(OR(A2657=0,A2657=Assumptions!$B$13),0.5,1),0)*Assumptions!$B$12</f>
        <v>0</v>
      </c>
      <c r="D2657" s="12">
        <f>D2656*(1-Assumptions!$B$12*(Assumptions!$B$5+Assumptions!$B$6))</f>
        <v>0.45166287516230713</v>
      </c>
      <c r="E2657" s="12">
        <f>E2656+Assumptions!$B$12*(D2656*Assumptions!$B$5-E2656*Assumptions!$B$7)</f>
        <v>0.18581505416219646</v>
      </c>
      <c r="F2657" s="12">
        <f t="shared" si="123"/>
        <v>0.36252207067549647</v>
      </c>
      <c r="G2657" s="12">
        <f>EXP(-Assumptions!$B$8*B2657)</f>
        <v>0.26593589379937915</v>
      </c>
      <c r="H2657" s="12">
        <f t="shared" si="124"/>
        <v>0.12011337040228555</v>
      </c>
      <c r="I2657" s="12">
        <f t="shared" si="125"/>
        <v>4.9414892510003763E-2</v>
      </c>
      <c r="J2657" s="12">
        <f>G2657*(D2657*Assumptions!$B$6+E2657*Assumptions!$B$7)</f>
        <v>3.6718783295230438E-3</v>
      </c>
    </row>
    <row r="2658" spans="1:10" x14ac:dyDescent="0.2">
      <c r="A2658" s="2">
        <v>2650</v>
      </c>
      <c r="B2658" s="14">
        <f>A2658*Assumptions!$B$12</f>
        <v>26.5</v>
      </c>
      <c r="C2658" s="15">
        <f>IF(A2658&lt;=Assumptions!$B$13,IF(OR(A2658=0,A2658=Assumptions!$B$13),0.5,1),0)*Assumptions!$B$12</f>
        <v>0</v>
      </c>
      <c r="D2658" s="12">
        <f>D2657*(1-Assumptions!$B$12*(Assumptions!$B$5+Assumptions!$B$6))</f>
        <v>0.45152737629975848</v>
      </c>
      <c r="E2658" s="12">
        <f>E2657+Assumptions!$B$12*(D2657*Assumptions!$B$5-E2657*Assumptions!$B$7)</f>
        <v>0.18581247921014782</v>
      </c>
      <c r="F2658" s="12">
        <f t="shared" si="123"/>
        <v>0.36266014449009371</v>
      </c>
      <c r="G2658" s="12">
        <f>EXP(-Assumptions!$B$8*B2658)</f>
        <v>0.26580295908892654</v>
      </c>
      <c r="H2658" s="12">
        <f t="shared" si="124"/>
        <v>0.12001731273013504</v>
      </c>
      <c r="I2658" s="12">
        <f t="shared" si="125"/>
        <v>4.9389506809706933E-2</v>
      </c>
      <c r="J2658" s="12">
        <f>G2658*(D2658*Assumptions!$B$6+E2658*Assumptions!$B$7)</f>
        <v>3.6696484677866971E-3</v>
      </c>
    </row>
    <row r="2659" spans="1:10" x14ac:dyDescent="0.2">
      <c r="A2659" s="2">
        <v>2651</v>
      </c>
      <c r="B2659" s="14">
        <f>A2659*Assumptions!$B$12</f>
        <v>26.51</v>
      </c>
      <c r="C2659" s="15">
        <f>IF(A2659&lt;=Assumptions!$B$13,IF(OR(A2659=0,A2659=Assumptions!$B$13),0.5,1),0)*Assumptions!$B$12</f>
        <v>0</v>
      </c>
      <c r="D2659" s="12">
        <f>D2658*(1-Assumptions!$B$12*(Assumptions!$B$5+Assumptions!$B$6))</f>
        <v>0.45139191808686857</v>
      </c>
      <c r="E2659" s="12">
        <f>E2658+Assumptions!$B$12*(D2658*Assumptions!$B$5-E2658*Assumptions!$B$7)</f>
        <v>0.18580987844580268</v>
      </c>
      <c r="F2659" s="12">
        <f t="shared" si="123"/>
        <v>0.36279820346732872</v>
      </c>
      <c r="G2659" s="12">
        <f>EXP(-Assumptions!$B$8*B2659)</f>
        <v>0.26567009082921511</v>
      </c>
      <c r="H2659" s="12">
        <f t="shared" si="124"/>
        <v>0.11992133187771201</v>
      </c>
      <c r="I2659" s="12">
        <f t="shared" si="125"/>
        <v>4.9364127283661817E-2</v>
      </c>
      <c r="J2659" s="12">
        <f>G2659*(D2659*Assumptions!$B$6+E2659*Assumptions!$B$7)</f>
        <v>3.6674196829602108E-3</v>
      </c>
    </row>
    <row r="2660" spans="1:10" x14ac:dyDescent="0.2">
      <c r="A2660" s="2">
        <v>2652</v>
      </c>
      <c r="B2660" s="14">
        <f>A2660*Assumptions!$B$12</f>
        <v>26.52</v>
      </c>
      <c r="C2660" s="15">
        <f>IF(A2660&lt;=Assumptions!$B$13,IF(OR(A2660=0,A2660=Assumptions!$B$13),0.5,1),0)*Assumptions!$B$12</f>
        <v>0</v>
      </c>
      <c r="D2660" s="12">
        <f>D2659*(1-Assumptions!$B$12*(Assumptions!$B$5+Assumptions!$B$6))</f>
        <v>0.4512565005114425</v>
      </c>
      <c r="E2660" s="12">
        <f>E2659+Assumptions!$B$12*(D2659*Assumptions!$B$5-E2659*Assumptions!$B$7)</f>
        <v>0.18580725189019714</v>
      </c>
      <c r="F2660" s="12">
        <f t="shared" si="123"/>
        <v>0.36293624759836035</v>
      </c>
      <c r="G2660" s="12">
        <f>EXP(-Assumptions!$B$8*B2660)</f>
        <v>0.26553728898702778</v>
      </c>
      <c r="H2660" s="12">
        <f t="shared" si="124"/>
        <v>0.11982542778358175</v>
      </c>
      <c r="I2660" s="12">
        <f t="shared" si="125"/>
        <v>4.9338753941052742E-2</v>
      </c>
      <c r="J2660" s="12">
        <f>G2660*(D2660*Assumptions!$B$6+E2660*Assumptions!$B$7)</f>
        <v>3.6651919748884551E-3</v>
      </c>
    </row>
    <row r="2661" spans="1:10" x14ac:dyDescent="0.2">
      <c r="A2661" s="2">
        <v>2653</v>
      </c>
      <c r="B2661" s="14">
        <f>A2661*Assumptions!$B$12</f>
        <v>26.53</v>
      </c>
      <c r="C2661" s="15">
        <f>IF(A2661&lt;=Assumptions!$B$13,IF(OR(A2661=0,A2661=Assumptions!$B$13),0.5,1),0)*Assumptions!$B$12</f>
        <v>0</v>
      </c>
      <c r="D2661" s="12">
        <f>D2660*(1-Assumptions!$B$12*(Assumptions!$B$5+Assumptions!$B$6))</f>
        <v>0.45112112356128908</v>
      </c>
      <c r="E2661" s="12">
        <f>E2660+Assumptions!$B$12*(D2660*Assumptions!$B$5-E2660*Assumptions!$B$7)</f>
        <v>0.18580459956435433</v>
      </c>
      <c r="F2661" s="12">
        <f t="shared" si="123"/>
        <v>0.36307427687435656</v>
      </c>
      <c r="G2661" s="12">
        <f>EXP(-Assumptions!$B$8*B2661)</f>
        <v>0.26540455352916403</v>
      </c>
      <c r="H2661" s="12">
        <f t="shared" si="124"/>
        <v>0.11972960038635877</v>
      </c>
      <c r="I2661" s="12">
        <f t="shared" si="125"/>
        <v>4.9313386791042566E-2</v>
      </c>
      <c r="J2661" s="12">
        <f>G2661*(D2661*Assumptions!$B$6+E2661*Assumptions!$B$7)</f>
        <v>3.6629653434157158E-3</v>
      </c>
    </row>
    <row r="2662" spans="1:10" x14ac:dyDescent="0.2">
      <c r="A2662" s="2">
        <v>2654</v>
      </c>
      <c r="B2662" s="14">
        <f>A2662*Assumptions!$B$12</f>
        <v>26.54</v>
      </c>
      <c r="C2662" s="15">
        <f>IF(A2662&lt;=Assumptions!$B$13,IF(OR(A2662=0,A2662=Assumptions!$B$13),0.5,1),0)*Assumptions!$B$12</f>
        <v>0</v>
      </c>
      <c r="D2662" s="12">
        <f>D2661*(1-Assumptions!$B$12*(Assumptions!$B$5+Assumptions!$B$6))</f>
        <v>0.45098578722422072</v>
      </c>
      <c r="E2662" s="12">
        <f>E2661+Assumptions!$B$12*(D2661*Assumptions!$B$5-E2661*Assumptions!$B$7)</f>
        <v>0.1858019214892844</v>
      </c>
      <c r="F2662" s="12">
        <f t="shared" si="123"/>
        <v>0.3632122912864949</v>
      </c>
      <c r="G2662" s="12">
        <f>EXP(-Assumptions!$B$8*B2662)</f>
        <v>0.2652718844224401</v>
      </c>
      <c r="H2662" s="12">
        <f t="shared" si="124"/>
        <v>0.11963384962470665</v>
      </c>
      <c r="I2662" s="12">
        <f t="shared" si="125"/>
        <v>4.928802584277274E-2</v>
      </c>
      <c r="J2662" s="12">
        <f>G2662*(D2662*Assumptions!$B$6+E2662*Assumptions!$B$7)</f>
        <v>3.660739788385704E-3</v>
      </c>
    </row>
    <row r="2663" spans="1:10" x14ac:dyDescent="0.2">
      <c r="A2663" s="2">
        <v>2655</v>
      </c>
      <c r="B2663" s="14">
        <f>A2663*Assumptions!$B$12</f>
        <v>26.55</v>
      </c>
      <c r="C2663" s="15">
        <f>IF(A2663&lt;=Assumptions!$B$13,IF(OR(A2663=0,A2663=Assumptions!$B$13),0.5,1),0)*Assumptions!$B$12</f>
        <v>0</v>
      </c>
      <c r="D2663" s="12">
        <f>D2662*(1-Assumptions!$B$12*(Assumptions!$B$5+Assumptions!$B$6))</f>
        <v>0.45085049148805345</v>
      </c>
      <c r="E2663" s="12">
        <f>E2662+Assumptions!$B$12*(D2662*Assumptions!$B$5-E2662*Assumptions!$B$7)</f>
        <v>0.18579921768598459</v>
      </c>
      <c r="F2663" s="12">
        <f t="shared" si="123"/>
        <v>0.36335029082596193</v>
      </c>
      <c r="G2663" s="12">
        <f>EXP(-Assumptions!$B$8*B2663)</f>
        <v>0.26513928163368861</v>
      </c>
      <c r="H2663" s="12">
        <f t="shared" si="124"/>
        <v>0.11953817543733793</v>
      </c>
      <c r="I2663" s="12">
        <f t="shared" si="125"/>
        <v>4.9262671105363288E-2</v>
      </c>
      <c r="J2663" s="12">
        <f>G2663*(D2663*Assumptions!$B$6+E2663*Assumptions!$B$7)</f>
        <v>3.6585153096415435E-3</v>
      </c>
    </row>
    <row r="2664" spans="1:10" x14ac:dyDescent="0.2">
      <c r="A2664" s="2">
        <v>2656</v>
      </c>
      <c r="B2664" s="14">
        <f>A2664*Assumptions!$B$12</f>
        <v>26.560000000000002</v>
      </c>
      <c r="C2664" s="15">
        <f>IF(A2664&lt;=Assumptions!$B$13,IF(OR(A2664=0,A2664=Assumptions!$B$13),0.5,1),0)*Assumptions!$B$12</f>
        <v>0</v>
      </c>
      <c r="D2664" s="12">
        <f>D2663*(1-Assumptions!$B$12*(Assumptions!$B$5+Assumptions!$B$6))</f>
        <v>0.45071523634060706</v>
      </c>
      <c r="E2664" s="12">
        <f>E2663+Assumptions!$B$12*(D2663*Assumptions!$B$5-E2663*Assumptions!$B$7)</f>
        <v>0.1857964881754392</v>
      </c>
      <c r="F2664" s="12">
        <f t="shared" si="123"/>
        <v>0.36348827548395374</v>
      </c>
      <c r="G2664" s="12">
        <f>EXP(-Assumptions!$B$8*B2664)</f>
        <v>0.26500674512975886</v>
      </c>
      <c r="H2664" s="12">
        <f t="shared" si="124"/>
        <v>0.11944257776301428</v>
      </c>
      <c r="I2664" s="12">
        <f t="shared" si="125"/>
        <v>4.9237322587912871E-2</v>
      </c>
      <c r="J2664" s="12">
        <f>G2664*(D2664*Assumptions!$B$6+E2664*Assumptions!$B$7)</f>
        <v>3.6562919070257868E-3</v>
      </c>
    </row>
    <row r="2665" spans="1:10" x14ac:dyDescent="0.2">
      <c r="A2665" s="2">
        <v>2657</v>
      </c>
      <c r="B2665" s="14">
        <f>A2665*Assumptions!$B$12</f>
        <v>26.57</v>
      </c>
      <c r="C2665" s="15">
        <f>IF(A2665&lt;=Assumptions!$B$13,IF(OR(A2665=0,A2665=Assumptions!$B$13),0.5,1),0)*Assumptions!$B$12</f>
        <v>0</v>
      </c>
      <c r="D2665" s="12">
        <f>D2664*(1-Assumptions!$B$12*(Assumptions!$B$5+Assumptions!$B$6))</f>
        <v>0.45058002176970491</v>
      </c>
      <c r="E2665" s="12">
        <f>E2664+Assumptions!$B$12*(D2664*Assumptions!$B$5-E2664*Assumptions!$B$7)</f>
        <v>0.18579373297861959</v>
      </c>
      <c r="F2665" s="12">
        <f t="shared" si="123"/>
        <v>0.36362624525167553</v>
      </c>
      <c r="G2665" s="12">
        <f>EXP(-Assumptions!$B$8*B2665)</f>
        <v>0.26487427487751691</v>
      </c>
      <c r="H2665" s="12">
        <f t="shared" si="124"/>
        <v>0.11934705654054638</v>
      </c>
      <c r="I2665" s="12">
        <f t="shared" si="125"/>
        <v>4.9211980299498866E-2</v>
      </c>
      <c r="J2665" s="12">
        <f>G2665*(D2665*Assumptions!$B$6+E2665*Assumptions!$B$7)</f>
        <v>3.6540695803804072E-3</v>
      </c>
    </row>
    <row r="2666" spans="1:10" x14ac:dyDescent="0.2">
      <c r="A2666" s="2">
        <v>2658</v>
      </c>
      <c r="B2666" s="14">
        <f>A2666*Assumptions!$B$12</f>
        <v>26.580000000000002</v>
      </c>
      <c r="C2666" s="15">
        <f>IF(A2666&lt;=Assumptions!$B$13,IF(OR(A2666=0,A2666=Assumptions!$B$13),0.5,1),0)*Assumptions!$B$12</f>
        <v>0</v>
      </c>
      <c r="D2666" s="12">
        <f>D2665*(1-Assumptions!$B$12*(Assumptions!$B$5+Assumptions!$B$6))</f>
        <v>0.45044484776317401</v>
      </c>
      <c r="E2666" s="12">
        <f>E2665+Assumptions!$B$12*(D2665*Assumptions!$B$5-E2665*Assumptions!$B$7)</f>
        <v>0.18579095211648422</v>
      </c>
      <c r="F2666" s="12">
        <f t="shared" si="123"/>
        <v>0.36376420012034183</v>
      </c>
      <c r="G2666" s="12">
        <f>EXP(-Assumptions!$B$8*B2666)</f>
        <v>0.26474187084384493</v>
      </c>
      <c r="H2666" s="12">
        <f t="shared" si="124"/>
        <v>0.1192516117087936</v>
      </c>
      <c r="I2666" s="12">
        <f t="shared" si="125"/>
        <v>4.9186644249177243E-2</v>
      </c>
      <c r="J2666" s="12">
        <f>G2666*(D2666*Assumptions!$B$6+E2666*Assumptions!$B$7)</f>
        <v>3.6518483295467979E-3</v>
      </c>
    </row>
    <row r="2667" spans="1:10" x14ac:dyDescent="0.2">
      <c r="A2667" s="2">
        <v>2659</v>
      </c>
      <c r="B2667" s="14">
        <f>A2667*Assumptions!$B$12</f>
        <v>26.59</v>
      </c>
      <c r="C2667" s="15">
        <f>IF(A2667&lt;=Assumptions!$B$13,IF(OR(A2667=0,A2667=Assumptions!$B$13),0.5,1),0)*Assumptions!$B$12</f>
        <v>0</v>
      </c>
      <c r="D2667" s="12">
        <f>D2666*(1-Assumptions!$B$12*(Assumptions!$B$5+Assumptions!$B$6))</f>
        <v>0.45030971430884509</v>
      </c>
      <c r="E2667" s="12">
        <f>E2666+Assumptions!$B$12*(D2666*Assumptions!$B$5-E2666*Assumptions!$B$7)</f>
        <v>0.18578814560997861</v>
      </c>
      <c r="F2667" s="12">
        <f t="shared" si="123"/>
        <v>0.36390214008117638</v>
      </c>
      <c r="G2667" s="12">
        <f>EXP(-Assumptions!$B$8*B2667)</f>
        <v>0.26460953299564216</v>
      </c>
      <c r="H2667" s="12">
        <f t="shared" si="124"/>
        <v>0.11915624320666454</v>
      </c>
      <c r="I2667" s="12">
        <f t="shared" si="125"/>
        <v>4.9161314445982804E-2</v>
      </c>
      <c r="J2667" s="12">
        <f>G2667*(D2667*Assumptions!$B$6+E2667*Assumptions!$B$7)</f>
        <v>3.6496281543657856E-3</v>
      </c>
    </row>
    <row r="2668" spans="1:10" x14ac:dyDescent="0.2">
      <c r="A2668" s="2">
        <v>2660</v>
      </c>
      <c r="B2668" s="14">
        <f>A2668*Assumptions!$B$12</f>
        <v>26.6</v>
      </c>
      <c r="C2668" s="15">
        <f>IF(A2668&lt;=Assumptions!$B$13,IF(OR(A2668=0,A2668=Assumptions!$B$13),0.5,1),0)*Assumptions!$B$12</f>
        <v>0</v>
      </c>
      <c r="D2668" s="12">
        <f>D2667*(1-Assumptions!$B$12*(Assumptions!$B$5+Assumptions!$B$6))</f>
        <v>0.45017462139455244</v>
      </c>
      <c r="E2668" s="12">
        <f>E2667+Assumptions!$B$12*(D2667*Assumptions!$B$5-E2667*Assumptions!$B$7)</f>
        <v>0.18578531348003538</v>
      </c>
      <c r="F2668" s="12">
        <f t="shared" si="123"/>
        <v>0.3640400651254122</v>
      </c>
      <c r="G2668" s="12">
        <f>EXP(-Assumptions!$B$8*B2668)</f>
        <v>0.26447726129982396</v>
      </c>
      <c r="H2668" s="12">
        <f t="shared" si="124"/>
        <v>0.11906095097311636</v>
      </c>
      <c r="I2668" s="12">
        <f t="shared" si="125"/>
        <v>4.9135990898929026E-2</v>
      </c>
      <c r="J2668" s="12">
        <f>G2668*(D2668*Assumptions!$B$6+E2668*Assumptions!$B$7)</f>
        <v>3.6474090546776152E-3</v>
      </c>
    </row>
    <row r="2669" spans="1:10" x14ac:dyDescent="0.2">
      <c r="A2669" s="2">
        <v>2661</v>
      </c>
      <c r="B2669" s="14">
        <f>A2669*Assumptions!$B$12</f>
        <v>26.61</v>
      </c>
      <c r="C2669" s="15">
        <f>IF(A2669&lt;=Assumptions!$B$13,IF(OR(A2669=0,A2669=Assumptions!$B$13),0.5,1),0)*Assumptions!$B$12</f>
        <v>0</v>
      </c>
      <c r="D2669" s="12">
        <f>D2668*(1-Assumptions!$B$12*(Assumptions!$B$5+Assumptions!$B$6))</f>
        <v>0.45003956900813408</v>
      </c>
      <c r="E2669" s="12">
        <f>E2668+Assumptions!$B$12*(D2668*Assumptions!$B$5-E2668*Assumptions!$B$7)</f>
        <v>0.18578245574757427</v>
      </c>
      <c r="F2669" s="12">
        <f t="shared" si="123"/>
        <v>0.36417797524429174</v>
      </c>
      <c r="G2669" s="12">
        <f>EXP(-Assumptions!$B$8*B2669)</f>
        <v>0.26434505572332245</v>
      </c>
      <c r="H2669" s="12">
        <f t="shared" si="124"/>
        <v>0.11896573494715522</v>
      </c>
      <c r="I2669" s="12">
        <f t="shared" si="125"/>
        <v>4.9110673617008209E-2</v>
      </c>
      <c r="J2669" s="12">
        <f>G2669*(D2669*Assumptions!$B$6+E2669*Assumptions!$B$7)</f>
        <v>3.6451910303219627E-3</v>
      </c>
    </row>
    <row r="2670" spans="1:10" x14ac:dyDescent="0.2">
      <c r="A2670" s="2">
        <v>2662</v>
      </c>
      <c r="B2670" s="14">
        <f>A2670*Assumptions!$B$12</f>
        <v>26.62</v>
      </c>
      <c r="C2670" s="15">
        <f>IF(A2670&lt;=Assumptions!$B$13,IF(OR(A2670=0,A2670=Assumptions!$B$13),0.5,1),0)*Assumptions!$B$12</f>
        <v>0</v>
      </c>
      <c r="D2670" s="12">
        <f>D2669*(1-Assumptions!$B$12*(Assumptions!$B$5+Assumptions!$B$6))</f>
        <v>0.44990455713743166</v>
      </c>
      <c r="E2670" s="12">
        <f>E2669+Assumptions!$B$12*(D2669*Assumptions!$B$5-E2669*Assumptions!$B$7)</f>
        <v>0.1857795724335021</v>
      </c>
      <c r="F2670" s="12">
        <f t="shared" si="123"/>
        <v>0.36431587042906632</v>
      </c>
      <c r="G2670" s="12">
        <f>EXP(-Assumptions!$B$8*B2670)</f>
        <v>0.26421291623308624</v>
      </c>
      <c r="H2670" s="12">
        <f t="shared" si="124"/>
        <v>0.118870595067836</v>
      </c>
      <c r="I2670" s="12">
        <f t="shared" si="125"/>
        <v>4.9085362609191469E-2</v>
      </c>
      <c r="J2670" s="12">
        <f>G2670*(D2670*Assumptions!$B$6+E2670*Assumptions!$B$7)</f>
        <v>3.6429740811379338E-3</v>
      </c>
    </row>
    <row r="2671" spans="1:10" x14ac:dyDescent="0.2">
      <c r="A2671" s="2">
        <v>2663</v>
      </c>
      <c r="B2671" s="14">
        <f>A2671*Assumptions!$B$12</f>
        <v>26.63</v>
      </c>
      <c r="C2671" s="15">
        <f>IF(A2671&lt;=Assumptions!$B$13,IF(OR(A2671=0,A2671=Assumptions!$B$13),0.5,1),0)*Assumptions!$B$12</f>
        <v>0</v>
      </c>
      <c r="D2671" s="12">
        <f>D2670*(1-Assumptions!$B$12*(Assumptions!$B$5+Assumptions!$B$6))</f>
        <v>0.44976958577029047</v>
      </c>
      <c r="E2671" s="12">
        <f>E2670+Assumptions!$B$12*(D2670*Assumptions!$B$5-E2670*Assumptions!$B$7)</f>
        <v>0.18577666355871283</v>
      </c>
      <c r="F2671" s="12">
        <f t="shared" si="123"/>
        <v>0.36445375067099672</v>
      </c>
      <c r="G2671" s="12">
        <f>EXP(-Assumptions!$B$8*B2671)</f>
        <v>0.26408084279608046</v>
      </c>
      <c r="H2671" s="12">
        <f t="shared" si="124"/>
        <v>0.11877553127426231</v>
      </c>
      <c r="I2671" s="12">
        <f t="shared" si="125"/>
        <v>4.906005788442877E-2</v>
      </c>
      <c r="J2671" s="12">
        <f>G2671*(D2671*Assumptions!$B$6+E2671*Assumptions!$B$7)</f>
        <v>3.6407582069640618E-3</v>
      </c>
    </row>
    <row r="2672" spans="1:10" x14ac:dyDescent="0.2">
      <c r="A2672" s="2">
        <v>2664</v>
      </c>
      <c r="B2672" s="14">
        <f>A2672*Assumptions!$B$12</f>
        <v>26.64</v>
      </c>
      <c r="C2672" s="15">
        <f>IF(A2672&lt;=Assumptions!$B$13,IF(OR(A2672=0,A2672=Assumptions!$B$13),0.5,1),0)*Assumptions!$B$12</f>
        <v>0</v>
      </c>
      <c r="D2672" s="12">
        <f>D2671*(1-Assumptions!$B$12*(Assumptions!$B$5+Assumptions!$B$6))</f>
        <v>0.44963465489455939</v>
      </c>
      <c r="E2672" s="12">
        <f>E2671+Assumptions!$B$12*(D2671*Assumptions!$B$5-E2671*Assumptions!$B$7)</f>
        <v>0.18577372914408755</v>
      </c>
      <c r="F2672" s="12">
        <f t="shared" si="123"/>
        <v>0.36459161596135314</v>
      </c>
      <c r="G2672" s="12">
        <f>EXP(-Assumptions!$B$8*B2672)</f>
        <v>0.26394883537928682</v>
      </c>
      <c r="H2672" s="12">
        <f t="shared" si="124"/>
        <v>0.1186805435055865</v>
      </c>
      <c r="I2672" s="12">
        <f t="shared" si="125"/>
        <v>4.9034759451648979E-2</v>
      </c>
      <c r="J2672" s="12">
        <f>G2672*(D2672*Assumptions!$B$6+E2672*Assumptions!$B$7)</f>
        <v>3.6385434076383143E-3</v>
      </c>
    </row>
    <row r="2673" spans="1:10" x14ac:dyDescent="0.2">
      <c r="A2673" s="2">
        <v>2665</v>
      </c>
      <c r="B2673" s="14">
        <f>A2673*Assumptions!$B$12</f>
        <v>26.650000000000002</v>
      </c>
      <c r="C2673" s="15">
        <f>IF(A2673&lt;=Assumptions!$B$13,IF(OR(A2673=0,A2673=Assumptions!$B$13),0.5,1),0)*Assumptions!$B$12</f>
        <v>0</v>
      </c>
      <c r="D2673" s="12">
        <f>D2672*(1-Assumptions!$B$12*(Assumptions!$B$5+Assumptions!$B$6))</f>
        <v>0.44949976449809104</v>
      </c>
      <c r="E2673" s="12">
        <f>E2672+Assumptions!$B$12*(D2672*Assumptions!$B$5-E2672*Assumptions!$B$7)</f>
        <v>0.1857707692104944</v>
      </c>
      <c r="F2673" s="12">
        <f t="shared" si="123"/>
        <v>0.36472946629141456</v>
      </c>
      <c r="G2673" s="12">
        <f>EXP(-Assumptions!$B$8*B2673)</f>
        <v>0.26381689394970326</v>
      </c>
      <c r="H2673" s="12">
        <f t="shared" si="124"/>
        <v>0.11858563170100947</v>
      </c>
      <c r="I2673" s="12">
        <f t="shared" si="125"/>
        <v>4.9009467319759803E-2</v>
      </c>
      <c r="J2673" s="12">
        <f>G2673*(D2673*Assumptions!$B$6+E2673*Assumptions!$B$7)</f>
        <v>3.6363296829980849E-3</v>
      </c>
    </row>
    <row r="2674" spans="1:10" x14ac:dyDescent="0.2">
      <c r="A2674" s="2">
        <v>2666</v>
      </c>
      <c r="B2674" s="14">
        <f>A2674*Assumptions!$B$12</f>
        <v>26.66</v>
      </c>
      <c r="C2674" s="15">
        <f>IF(A2674&lt;=Assumptions!$B$13,IF(OR(A2674=0,A2674=Assumptions!$B$13),0.5,1),0)*Assumptions!$B$12</f>
        <v>0</v>
      </c>
      <c r="D2674" s="12">
        <f>D2673*(1-Assumptions!$B$12*(Assumptions!$B$5+Assumptions!$B$6))</f>
        <v>0.44936491456874161</v>
      </c>
      <c r="E2674" s="12">
        <f>E2673+Assumptions!$B$12*(D2673*Assumptions!$B$5-E2673*Assumptions!$B$7)</f>
        <v>0.18576778377878878</v>
      </c>
      <c r="F2674" s="12">
        <f t="shared" si="123"/>
        <v>0.36486730165246961</v>
      </c>
      <c r="G2674" s="12">
        <f>EXP(-Assumptions!$B$8*B2674)</f>
        <v>0.26368501847434467</v>
      </c>
      <c r="H2674" s="12">
        <f t="shared" si="124"/>
        <v>0.11849079579978095</v>
      </c>
      <c r="I2674" s="12">
        <f t="shared" si="125"/>
        <v>4.8984181497647987E-2</v>
      </c>
      <c r="J2674" s="12">
        <f>G2674*(D2674*Assumptions!$B$6+E2674*Assumptions!$B$7)</f>
        <v>3.634117032880209E-3</v>
      </c>
    </row>
    <row r="2675" spans="1:10" x14ac:dyDescent="0.2">
      <c r="A2675" s="2">
        <v>2667</v>
      </c>
      <c r="B2675" s="14">
        <f>A2675*Assumptions!$B$12</f>
        <v>26.67</v>
      </c>
      <c r="C2675" s="15">
        <f>IF(A2675&lt;=Assumptions!$B$13,IF(OR(A2675=0,A2675=Assumptions!$B$13),0.5,1),0)*Assumptions!$B$12</f>
        <v>0</v>
      </c>
      <c r="D2675" s="12">
        <f>D2674*(1-Assumptions!$B$12*(Assumptions!$B$5+Assumptions!$B$6))</f>
        <v>0.449230105094371</v>
      </c>
      <c r="E2675" s="12">
        <f>E2674+Assumptions!$B$12*(D2674*Assumptions!$B$5-E2674*Assumptions!$B$7)</f>
        <v>0.18576477286981313</v>
      </c>
      <c r="F2675" s="12">
        <f t="shared" si="123"/>
        <v>0.36500512203581587</v>
      </c>
      <c r="G2675" s="12">
        <f>EXP(-Assumptions!$B$8*B2675)</f>
        <v>0.26355320892024209</v>
      </c>
      <c r="H2675" s="12">
        <f t="shared" si="124"/>
        <v>0.11839603574119907</v>
      </c>
      <c r="I2675" s="12">
        <f t="shared" si="125"/>
        <v>4.8958901994179183E-2</v>
      </c>
      <c r="J2675" s="12">
        <f>G2675*(D2675*Assumptions!$B$6+E2675*Assumptions!$B$7)</f>
        <v>3.63190545712095E-3</v>
      </c>
    </row>
    <row r="2676" spans="1:10" x14ac:dyDescent="0.2">
      <c r="A2676" s="2">
        <v>2668</v>
      </c>
      <c r="B2676" s="14">
        <f>A2676*Assumptions!$B$12</f>
        <v>26.68</v>
      </c>
      <c r="C2676" s="15">
        <f>IF(A2676&lt;=Assumptions!$B$13,IF(OR(A2676=0,A2676=Assumptions!$B$13),0.5,1),0)*Assumptions!$B$12</f>
        <v>0</v>
      </c>
      <c r="D2676" s="12">
        <f>D2675*(1-Assumptions!$B$12*(Assumptions!$B$5+Assumptions!$B$6))</f>
        <v>0.44909533606284269</v>
      </c>
      <c r="E2676" s="12">
        <f>E2675+Assumptions!$B$12*(D2675*Assumptions!$B$5-E2675*Assumptions!$B$7)</f>
        <v>0.18576173650439709</v>
      </c>
      <c r="F2676" s="12">
        <f t="shared" si="123"/>
        <v>0.36514292743276022</v>
      </c>
      <c r="G2676" s="12">
        <f>EXP(-Assumptions!$B$8*B2676)</f>
        <v>0.2634214652544431</v>
      </c>
      <c r="H2676" s="12">
        <f t="shared" si="124"/>
        <v>0.11830135146461056</v>
      </c>
      <c r="I2676" s="12">
        <f t="shared" si="125"/>
        <v>4.8933628818198051E-2</v>
      </c>
      <c r="J2676" s="12">
        <f>G2676*(D2676*Assumptions!$B$6+E2676*Assumptions!$B$7)</f>
        <v>3.6296949555560086E-3</v>
      </c>
    </row>
    <row r="2677" spans="1:10" x14ac:dyDescent="0.2">
      <c r="A2677" s="2">
        <v>2669</v>
      </c>
      <c r="B2677" s="14">
        <f>A2677*Assumptions!$B$12</f>
        <v>26.69</v>
      </c>
      <c r="C2677" s="15">
        <f>IF(A2677&lt;=Assumptions!$B$13,IF(OR(A2677=0,A2677=Assumptions!$B$13),0.5,1),0)*Assumptions!$B$12</f>
        <v>0</v>
      </c>
      <c r="D2677" s="12">
        <f>D2676*(1-Assumptions!$B$12*(Assumptions!$B$5+Assumptions!$B$6))</f>
        <v>0.44896060746202388</v>
      </c>
      <c r="E2677" s="12">
        <f>E2676+Assumptions!$B$12*(D2676*Assumptions!$B$5-E2676*Assumptions!$B$7)</f>
        <v>0.18575867470335747</v>
      </c>
      <c r="F2677" s="12">
        <f t="shared" si="123"/>
        <v>0.36528071783461868</v>
      </c>
      <c r="G2677" s="12">
        <f>EXP(-Assumptions!$B$8*B2677)</f>
        <v>0.26328978744401171</v>
      </c>
      <c r="H2677" s="12">
        <f t="shared" si="124"/>
        <v>0.11820674290941065</v>
      </c>
      <c r="I2677" s="12">
        <f t="shared" si="125"/>
        <v>4.8908361978528304E-2</v>
      </c>
      <c r="J2677" s="12">
        <f>G2677*(D2677*Assumptions!$B$6+E2677*Assumptions!$B$7)</f>
        <v>3.627485528020522E-3</v>
      </c>
    </row>
    <row r="2678" spans="1:10" x14ac:dyDescent="0.2">
      <c r="A2678" s="2">
        <v>2670</v>
      </c>
      <c r="B2678" s="14">
        <f>A2678*Assumptions!$B$12</f>
        <v>26.7</v>
      </c>
      <c r="C2678" s="15">
        <f>IF(A2678&lt;=Assumptions!$B$13,IF(OR(A2678=0,A2678=Assumptions!$B$13),0.5,1),0)*Assumptions!$B$12</f>
        <v>0</v>
      </c>
      <c r="D2678" s="12">
        <f>D2677*(1-Assumptions!$B$12*(Assumptions!$B$5+Assumptions!$B$6))</f>
        <v>0.44882591927978527</v>
      </c>
      <c r="E2678" s="12">
        <f>E2677+Assumptions!$B$12*(D2677*Assumptions!$B$5-E2677*Assumptions!$B$7)</f>
        <v>0.18575558748749818</v>
      </c>
      <c r="F2678" s="12">
        <f t="shared" si="123"/>
        <v>0.36541849323271658</v>
      </c>
      <c r="G2678" s="12">
        <f>EXP(-Assumptions!$B$8*B2678)</f>
        <v>0.26315817545602871</v>
      </c>
      <c r="H2678" s="12">
        <f t="shared" si="124"/>
        <v>0.11811221001504311</v>
      </c>
      <c r="I2678" s="12">
        <f t="shared" si="125"/>
        <v>4.8883101483972735E-2</v>
      </c>
      <c r="J2678" s="12">
        <f>G2678*(D2678*Assumptions!$B$6+E2678*Assumptions!$B$7)</f>
        <v>3.6252771743490678E-3</v>
      </c>
    </row>
    <row r="2679" spans="1:10" x14ac:dyDescent="0.2">
      <c r="A2679" s="2">
        <v>2671</v>
      </c>
      <c r="B2679" s="14">
        <f>A2679*Assumptions!$B$12</f>
        <v>26.71</v>
      </c>
      <c r="C2679" s="15">
        <f>IF(A2679&lt;=Assumptions!$B$13,IF(OR(A2679=0,A2679=Assumptions!$B$13),0.5,1),0)*Assumptions!$B$12</f>
        <v>0</v>
      </c>
      <c r="D2679" s="12">
        <f>D2678*(1-Assumptions!$B$12*(Assumptions!$B$5+Assumptions!$B$6))</f>
        <v>0.44869127150400134</v>
      </c>
      <c r="E2679" s="12">
        <f>E2678+Assumptions!$B$12*(D2678*Assumptions!$B$5-E2678*Assumptions!$B$7)</f>
        <v>0.1857524748776104</v>
      </c>
      <c r="F2679" s="12">
        <f t="shared" si="123"/>
        <v>0.36555625361838828</v>
      </c>
      <c r="G2679" s="12">
        <f>EXP(-Assumptions!$B$8*B2679)</f>
        <v>0.26302662925759079</v>
      </c>
      <c r="H2679" s="12">
        <f t="shared" si="124"/>
        <v>0.11801775272099997</v>
      </c>
      <c r="I2679" s="12">
        <f t="shared" si="125"/>
        <v>4.8857847343313179E-2</v>
      </c>
      <c r="J2679" s="12">
        <f>G2679*(D2679*Assumptions!$B$6+E2679*Assumptions!$B$7)</f>
        <v>3.6230698943756586E-3</v>
      </c>
    </row>
    <row r="2680" spans="1:10" x14ac:dyDescent="0.2">
      <c r="A2680" s="2">
        <v>2672</v>
      </c>
      <c r="B2680" s="14">
        <f>A2680*Assumptions!$B$12</f>
        <v>26.72</v>
      </c>
      <c r="C2680" s="15">
        <f>IF(A2680&lt;=Assumptions!$B$13,IF(OR(A2680=0,A2680=Assumptions!$B$13),0.5,1),0)*Assumptions!$B$12</f>
        <v>0</v>
      </c>
      <c r="D2680" s="12">
        <f>D2679*(1-Assumptions!$B$12*(Assumptions!$B$5+Assumptions!$B$6))</f>
        <v>0.44855666412255013</v>
      </c>
      <c r="E2680" s="12">
        <f>E2679+Assumptions!$B$12*(D2679*Assumptions!$B$5-E2679*Assumptions!$B$7)</f>
        <v>0.1857493368944724</v>
      </c>
      <c r="F2680" s="12">
        <f t="shared" si="123"/>
        <v>0.3656939989829775</v>
      </c>
      <c r="G2680" s="12">
        <f>EXP(-Assumptions!$B$8*B2680)</f>
        <v>0.26289514881581166</v>
      </c>
      <c r="H2680" s="12">
        <f t="shared" si="124"/>
        <v>0.11792337096682186</v>
      </c>
      <c r="I2680" s="12">
        <f t="shared" si="125"/>
        <v>4.8832599565310657E-2</v>
      </c>
      <c r="J2680" s="12">
        <f>G2680*(D2680*Assumptions!$B$6+E2680*Assumptions!$B$7)</f>
        <v>3.6208636879337518E-3</v>
      </c>
    </row>
    <row r="2681" spans="1:10" x14ac:dyDescent="0.2">
      <c r="A2681" s="2">
        <v>2673</v>
      </c>
      <c r="B2681" s="14">
        <f>A2681*Assumptions!$B$12</f>
        <v>26.73</v>
      </c>
      <c r="C2681" s="15">
        <f>IF(A2681&lt;=Assumptions!$B$13,IF(OR(A2681=0,A2681=Assumptions!$B$13),0.5,1),0)*Assumptions!$B$12</f>
        <v>0</v>
      </c>
      <c r="D2681" s="12">
        <f>D2680*(1-Assumptions!$B$12*(Assumptions!$B$5+Assumptions!$B$6))</f>
        <v>0.44842209712331338</v>
      </c>
      <c r="E2681" s="12">
        <f>E2680+Assumptions!$B$12*(D2680*Assumptions!$B$5-E2680*Assumptions!$B$7)</f>
        <v>0.18574617355884968</v>
      </c>
      <c r="F2681" s="12">
        <f t="shared" si="123"/>
        <v>0.36583172931783692</v>
      </c>
      <c r="G2681" s="12">
        <f>EXP(-Assumptions!$B$8*B2681)</f>
        <v>0.26276373409782106</v>
      </c>
      <c r="H2681" s="12">
        <f t="shared" si="124"/>
        <v>0.1178290646920976</v>
      </c>
      <c r="I2681" s="12">
        <f t="shared" si="125"/>
        <v>4.8807358158705294E-2</v>
      </c>
      <c r="J2681" s="12">
        <f>G2681*(D2681*Assumptions!$B$6+E2681*Assumptions!$B$7)</f>
        <v>3.6186585548562407E-3</v>
      </c>
    </row>
    <row r="2682" spans="1:10" x14ac:dyDescent="0.2">
      <c r="A2682" s="2">
        <v>2674</v>
      </c>
      <c r="B2682" s="14">
        <f>A2682*Assumptions!$B$12</f>
        <v>26.740000000000002</v>
      </c>
      <c r="C2682" s="15">
        <f>IF(A2682&lt;=Assumptions!$B$13,IF(OR(A2682=0,A2682=Assumptions!$B$13),0.5,1),0)*Assumptions!$B$12</f>
        <v>0</v>
      </c>
      <c r="D2682" s="12">
        <f>D2681*(1-Assumptions!$B$12*(Assumptions!$B$5+Assumptions!$B$6))</f>
        <v>0.44828757049417639</v>
      </c>
      <c r="E2682" s="12">
        <f>E2681+Assumptions!$B$12*(D2681*Assumptions!$B$5-E2681*Assumptions!$B$7)</f>
        <v>0.18574298489149491</v>
      </c>
      <c r="F2682" s="12">
        <f t="shared" si="123"/>
        <v>0.36596944461432868</v>
      </c>
      <c r="G2682" s="12">
        <f>EXP(-Assumptions!$B$8*B2682)</f>
        <v>0.26263238507076531</v>
      </c>
      <c r="H2682" s="12">
        <f t="shared" si="124"/>
        <v>0.11773483383646438</v>
      </c>
      <c r="I2682" s="12">
        <f t="shared" si="125"/>
        <v>4.8782123132216436E-2</v>
      </c>
      <c r="J2682" s="12">
        <f>G2682*(D2682*Assumptions!$B$6+E2682*Assumptions!$B$7)</f>
        <v>3.6164544949754654E-3</v>
      </c>
    </row>
    <row r="2683" spans="1:10" x14ac:dyDescent="0.2">
      <c r="A2683" s="2">
        <v>2675</v>
      </c>
      <c r="B2683" s="14">
        <f>A2683*Assumptions!$B$12</f>
        <v>26.75</v>
      </c>
      <c r="C2683" s="15">
        <f>IF(A2683&lt;=Assumptions!$B$13,IF(OR(A2683=0,A2683=Assumptions!$B$13),0.5,1),0)*Assumptions!$B$12</f>
        <v>0</v>
      </c>
      <c r="D2683" s="12">
        <f>D2682*(1-Assumptions!$B$12*(Assumptions!$B$5+Assumptions!$B$6))</f>
        <v>0.44815308422302813</v>
      </c>
      <c r="E2683" s="12">
        <f>E2682+Assumptions!$B$12*(D2682*Assumptions!$B$5-E2682*Assumptions!$B$7)</f>
        <v>0.185739770913148</v>
      </c>
      <c r="F2683" s="12">
        <f t="shared" si="123"/>
        <v>0.3661071448638239</v>
      </c>
      <c r="G2683" s="12">
        <f>EXP(-Assumptions!$B$8*B2683)</f>
        <v>0.26250110170180724</v>
      </c>
      <c r="H2683" s="12">
        <f t="shared" si="124"/>
        <v>0.11764067833960769</v>
      </c>
      <c r="I2683" s="12">
        <f t="shared" si="125"/>
        <v>4.8756894494542638E-2</v>
      </c>
      <c r="J2683" s="12">
        <f>G2683*(D2683*Assumptions!$B$6+E2683*Assumptions!$B$7)</f>
        <v>3.6142515081232091E-3</v>
      </c>
    </row>
    <row r="2684" spans="1:10" x14ac:dyDescent="0.2">
      <c r="A2684" s="2">
        <v>2676</v>
      </c>
      <c r="B2684" s="14">
        <f>A2684*Assumptions!$B$12</f>
        <v>26.76</v>
      </c>
      <c r="C2684" s="15">
        <f>IF(A2684&lt;=Assumptions!$B$13,IF(OR(A2684=0,A2684=Assumptions!$B$13),0.5,1),0)*Assumptions!$B$12</f>
        <v>0</v>
      </c>
      <c r="D2684" s="12">
        <f>D2683*(1-Assumptions!$B$12*(Assumptions!$B$5+Assumptions!$B$6))</f>
        <v>0.44801863829776123</v>
      </c>
      <c r="E2684" s="12">
        <f>E2683+Assumptions!$B$12*(D2683*Assumptions!$B$5-E2683*Assumptions!$B$7)</f>
        <v>0.18573653164453602</v>
      </c>
      <c r="F2684" s="12">
        <f t="shared" si="123"/>
        <v>0.36624483005770275</v>
      </c>
      <c r="G2684" s="12">
        <f>EXP(-Assumptions!$B$8*B2684)</f>
        <v>0.26236988395812599</v>
      </c>
      <c r="H2684" s="12">
        <f t="shared" si="124"/>
        <v>0.11754659814126124</v>
      </c>
      <c r="I2684" s="12">
        <f t="shared" si="125"/>
        <v>4.8731672254361709E-2</v>
      </c>
      <c r="J2684" s="12">
        <f>G2684*(D2684*Assumptions!$B$6+E2684*Assumptions!$B$7)</f>
        <v>3.6120495941306978E-3</v>
      </c>
    </row>
    <row r="2685" spans="1:10" x14ac:dyDescent="0.2">
      <c r="A2685" s="2">
        <v>2677</v>
      </c>
      <c r="B2685" s="14">
        <f>A2685*Assumptions!$B$12</f>
        <v>26.77</v>
      </c>
      <c r="C2685" s="15">
        <f>IF(A2685&lt;=Assumptions!$B$13,IF(OR(A2685=0,A2685=Assumptions!$B$13),0.5,1),0)*Assumptions!$B$12</f>
        <v>0</v>
      </c>
      <c r="D2685" s="12">
        <f>D2684*(1-Assumptions!$B$12*(Assumptions!$B$5+Assumptions!$B$6))</f>
        <v>0.44788423270627192</v>
      </c>
      <c r="E2685" s="12">
        <f>E2684+Assumptions!$B$12*(D2684*Assumptions!$B$5-E2684*Assumptions!$B$7)</f>
        <v>0.18573326710637331</v>
      </c>
      <c r="F2685" s="12">
        <f t="shared" si="123"/>
        <v>0.36638250018735474</v>
      </c>
      <c r="G2685" s="12">
        <f>EXP(-Assumptions!$B$8*B2685)</f>
        <v>0.26223873180691709</v>
      </c>
      <c r="H2685" s="12">
        <f t="shared" si="124"/>
        <v>0.11745259318120689</v>
      </c>
      <c r="I2685" s="12">
        <f t="shared" si="125"/>
        <v>4.8706456420330724E-2</v>
      </c>
      <c r="J2685" s="12">
        <f>G2685*(D2685*Assumptions!$B$6+E2685*Assumptions!$B$7)</f>
        <v>3.6098487528286051E-3</v>
      </c>
    </row>
    <row r="2686" spans="1:10" x14ac:dyDescent="0.2">
      <c r="A2686" s="2">
        <v>2678</v>
      </c>
      <c r="B2686" s="14">
        <f>A2686*Assumptions!$B$12</f>
        <v>26.78</v>
      </c>
      <c r="C2686" s="15">
        <f>IF(A2686&lt;=Assumptions!$B$13,IF(OR(A2686=0,A2686=Assumptions!$B$13),0.5,1),0)*Assumptions!$B$12</f>
        <v>0</v>
      </c>
      <c r="D2686" s="12">
        <f>D2685*(1-Assumptions!$B$12*(Assumptions!$B$5+Assumptions!$B$6))</f>
        <v>0.44774986743646006</v>
      </c>
      <c r="E2686" s="12">
        <f>E2685+Assumptions!$B$12*(D2685*Assumptions!$B$5-E2685*Assumptions!$B$7)</f>
        <v>0.18572997731936136</v>
      </c>
      <c r="F2686" s="12">
        <f t="shared" si="123"/>
        <v>0.36652015524417858</v>
      </c>
      <c r="G2686" s="12">
        <f>EXP(-Assumptions!$B$8*B2686)</f>
        <v>0.26210764521539243</v>
      </c>
      <c r="H2686" s="12">
        <f t="shared" si="124"/>
        <v>0.11735866339927466</v>
      </c>
      <c r="I2686" s="12">
        <f t="shared" si="125"/>
        <v>4.8681247001086052E-2</v>
      </c>
      <c r="J2686" s="12">
        <f>G2686*(D2686*Assumptions!$B$6+E2686*Assumptions!$B$7)</f>
        <v>3.6076489840470493E-3</v>
      </c>
    </row>
    <row r="2687" spans="1:10" x14ac:dyDescent="0.2">
      <c r="A2687" s="2">
        <v>2679</v>
      </c>
      <c r="B2687" s="14">
        <f>A2687*Assumptions!$B$12</f>
        <v>26.79</v>
      </c>
      <c r="C2687" s="15">
        <f>IF(A2687&lt;=Assumptions!$B$13,IF(OR(A2687=0,A2687=Assumptions!$B$13),0.5,1),0)*Assumptions!$B$12</f>
        <v>0</v>
      </c>
      <c r="D2687" s="12">
        <f>D2686*(1-Assumptions!$B$12*(Assumptions!$B$5+Assumptions!$B$6))</f>
        <v>0.44761554247622914</v>
      </c>
      <c r="E2687" s="12">
        <f>E2686+Assumptions!$B$12*(D2686*Assumptions!$B$5-E2686*Assumptions!$B$7)</f>
        <v>0.18572666230418897</v>
      </c>
      <c r="F2687" s="12">
        <f t="shared" si="123"/>
        <v>0.36665779521958186</v>
      </c>
      <c r="G2687" s="12">
        <f>EXP(-Assumptions!$B$8*B2687)</f>
        <v>0.26197662415078049</v>
      </c>
      <c r="H2687" s="12">
        <f t="shared" si="124"/>
        <v>0.1172648087353428</v>
      </c>
      <c r="I2687" s="12">
        <f t="shared" si="125"/>
        <v>4.8656044005243447E-2</v>
      </c>
      <c r="J2687" s="12">
        <f>G2687*(D2687*Assumptions!$B$6+E2687*Assumptions!$B$7)</f>
        <v>3.6054502876156007E-3</v>
      </c>
    </row>
    <row r="2688" spans="1:10" x14ac:dyDescent="0.2">
      <c r="A2688" s="2">
        <v>2680</v>
      </c>
      <c r="B2688" s="14">
        <f>A2688*Assumptions!$B$12</f>
        <v>26.8</v>
      </c>
      <c r="C2688" s="15">
        <f>IF(A2688&lt;=Assumptions!$B$13,IF(OR(A2688=0,A2688=Assumptions!$B$13),0.5,1),0)*Assumptions!$B$12</f>
        <v>0</v>
      </c>
      <c r="D2688" s="12">
        <f>D2687*(1-Assumptions!$B$12*(Assumptions!$B$5+Assumptions!$B$6))</f>
        <v>0.4474812578134863</v>
      </c>
      <c r="E2688" s="12">
        <f>E2687+Assumptions!$B$12*(D2687*Assumptions!$B$5-E2687*Assumptions!$B$7)</f>
        <v>0.18572332208153211</v>
      </c>
      <c r="F2688" s="12">
        <f t="shared" si="123"/>
        <v>0.36679542010498156</v>
      </c>
      <c r="G2688" s="12">
        <f>EXP(-Assumptions!$B$8*B2688)</f>
        <v>0.26184566858032599</v>
      </c>
      <c r="H2688" s="12">
        <f t="shared" si="124"/>
        <v>0.11717102912933754</v>
      </c>
      <c r="I2688" s="12">
        <f t="shared" si="125"/>
        <v>4.8630847441397992E-2</v>
      </c>
      <c r="J2688" s="12">
        <f>G2688*(D2688*Assumptions!$B$6+E2688*Assumptions!$B$7)</f>
        <v>3.6032526633632753E-3</v>
      </c>
    </row>
    <row r="2689" spans="1:10" x14ac:dyDescent="0.2">
      <c r="A2689" s="2">
        <v>2681</v>
      </c>
      <c r="B2689" s="14">
        <f>A2689*Assumptions!$B$12</f>
        <v>26.810000000000002</v>
      </c>
      <c r="C2689" s="15">
        <f>IF(A2689&lt;=Assumptions!$B$13,IF(OR(A2689=0,A2689=Assumptions!$B$13),0.5,1),0)*Assumptions!$B$12</f>
        <v>0</v>
      </c>
      <c r="D2689" s="12">
        <f>D2688*(1-Assumptions!$B$12*(Assumptions!$B$5+Assumptions!$B$6))</f>
        <v>0.44734701343614225</v>
      </c>
      <c r="E2689" s="12">
        <f>E2688+Assumptions!$B$12*(D2688*Assumptions!$B$5-E2688*Assumptions!$B$7)</f>
        <v>0.18571995667205404</v>
      </c>
      <c r="F2689" s="12">
        <f t="shared" si="123"/>
        <v>0.36693302989180371</v>
      </c>
      <c r="G2689" s="12">
        <f>EXP(-Assumptions!$B$8*B2689)</f>
        <v>0.26171477847128988</v>
      </c>
      <c r="H2689" s="12">
        <f t="shared" si="124"/>
        <v>0.11707732452123311</v>
      </c>
      <c r="I2689" s="12">
        <f t="shared" si="125"/>
        <v>4.8605657318124176E-2</v>
      </c>
      <c r="J2689" s="12">
        <f>G2689*(D2689*Assumptions!$B$6+E2689*Assumptions!$B$7)</f>
        <v>3.6010561111185406E-3</v>
      </c>
    </row>
    <row r="2690" spans="1:10" x14ac:dyDescent="0.2">
      <c r="A2690" s="2">
        <v>2682</v>
      </c>
      <c r="B2690" s="14">
        <f>A2690*Assumptions!$B$12</f>
        <v>26.82</v>
      </c>
      <c r="C2690" s="15">
        <f>IF(A2690&lt;=Assumptions!$B$13,IF(OR(A2690=0,A2690=Assumptions!$B$13),0.5,1),0)*Assumptions!$B$12</f>
        <v>0</v>
      </c>
      <c r="D2690" s="12">
        <f>D2689*(1-Assumptions!$B$12*(Assumptions!$B$5+Assumptions!$B$6))</f>
        <v>0.44721280933211144</v>
      </c>
      <c r="E2690" s="12">
        <f>E2689+Assumptions!$B$12*(D2689*Assumptions!$B$5-E2689*Assumptions!$B$7)</f>
        <v>0.18571656609640524</v>
      </c>
      <c r="F2690" s="12">
        <f t="shared" si="123"/>
        <v>0.36707062457148326</v>
      </c>
      <c r="G2690" s="12">
        <f>EXP(-Assumptions!$B$8*B2690)</f>
        <v>0.2615839537909499</v>
      </c>
      <c r="H2690" s="12">
        <f t="shared" si="124"/>
        <v>0.11698369485105192</v>
      </c>
      <c r="I2690" s="12">
        <f t="shared" si="125"/>
        <v>4.8580473643975962E-2</v>
      </c>
      <c r="J2690" s="12">
        <f>G2690*(D2690*Assumptions!$B$6+E2690*Assumptions!$B$7)</f>
        <v>3.598860630709317E-3</v>
      </c>
    </row>
    <row r="2691" spans="1:10" x14ac:dyDescent="0.2">
      <c r="A2691" s="2">
        <v>2683</v>
      </c>
      <c r="B2691" s="14">
        <f>A2691*Assumptions!$B$12</f>
        <v>26.830000000000002</v>
      </c>
      <c r="C2691" s="15">
        <f>IF(A2691&lt;=Assumptions!$B$13,IF(OR(A2691=0,A2691=Assumptions!$B$13),0.5,1),0)*Assumptions!$B$12</f>
        <v>0</v>
      </c>
      <c r="D2691" s="12">
        <f>D2690*(1-Assumptions!$B$12*(Assumptions!$B$5+Assumptions!$B$6))</f>
        <v>0.44707864548931181</v>
      </c>
      <c r="E2691" s="12">
        <f>E2690+Assumptions!$B$12*(D2690*Assumptions!$B$5-E2690*Assumptions!$B$7)</f>
        <v>0.18571315037522346</v>
      </c>
      <c r="F2691" s="12">
        <f t="shared" si="123"/>
        <v>0.36720820413546468</v>
      </c>
      <c r="G2691" s="12">
        <f>EXP(-Assumptions!$B$8*B2691)</f>
        <v>0.26145319450659965</v>
      </c>
      <c r="H2691" s="12">
        <f t="shared" si="124"/>
        <v>0.11689014005886415</v>
      </c>
      <c r="I2691" s="12">
        <f t="shared" si="125"/>
        <v>4.855529642748669E-2</v>
      </c>
      <c r="J2691" s="12">
        <f>G2691*(D2691*Assumptions!$B$6+E2691*Assumptions!$B$7)</f>
        <v>3.5966662219629763E-3</v>
      </c>
    </row>
    <row r="2692" spans="1:10" x14ac:dyDescent="0.2">
      <c r="A2692" s="2">
        <v>2684</v>
      </c>
      <c r="B2692" s="14">
        <f>A2692*Assumptions!$B$12</f>
        <v>26.84</v>
      </c>
      <c r="C2692" s="15">
        <f>IF(A2692&lt;=Assumptions!$B$13,IF(OR(A2692=0,A2692=Assumptions!$B$13),0.5,1),0)*Assumptions!$B$12</f>
        <v>0</v>
      </c>
      <c r="D2692" s="12">
        <f>D2691*(1-Assumptions!$B$12*(Assumptions!$B$5+Assumptions!$B$6))</f>
        <v>0.44694452189566503</v>
      </c>
      <c r="E2692" s="12">
        <f>E2691+Assumptions!$B$12*(D2691*Assumptions!$B$5-E2691*Assumptions!$B$7)</f>
        <v>0.18570970952913371</v>
      </c>
      <c r="F2692" s="12">
        <f t="shared" si="123"/>
        <v>0.36734576857520129</v>
      </c>
      <c r="G2692" s="12">
        <f>EXP(-Assumptions!$B$8*B2692)</f>
        <v>0.2613225005855494</v>
      </c>
      <c r="H2692" s="12">
        <f t="shared" si="124"/>
        <v>0.11679666008478802</v>
      </c>
      <c r="I2692" s="12">
        <f t="shared" si="125"/>
        <v>4.8530125677169252E-2</v>
      </c>
      <c r="J2692" s="12">
        <f>G2692*(D2692*Assumptions!$B$6+E2692*Assumptions!$B$7)</f>
        <v>3.5944728847063429E-3</v>
      </c>
    </row>
    <row r="2693" spans="1:10" x14ac:dyDescent="0.2">
      <c r="A2693" s="2">
        <v>2685</v>
      </c>
      <c r="B2693" s="14">
        <f>A2693*Assumptions!$B$12</f>
        <v>26.85</v>
      </c>
      <c r="C2693" s="15">
        <f>IF(A2693&lt;=Assumptions!$B$13,IF(OR(A2693=0,A2693=Assumptions!$B$13),0.5,1),0)*Assumptions!$B$12</f>
        <v>0</v>
      </c>
      <c r="D2693" s="12">
        <f>D2692*(1-Assumptions!$B$12*(Assumptions!$B$5+Assumptions!$B$6))</f>
        <v>0.44681043853909636</v>
      </c>
      <c r="E2693" s="12">
        <f>E2692+Assumptions!$B$12*(D2692*Assumptions!$B$5-E2692*Assumptions!$B$7)</f>
        <v>0.18570624357874826</v>
      </c>
      <c r="F2693" s="12">
        <f t="shared" si="123"/>
        <v>0.36748331788215544</v>
      </c>
      <c r="G2693" s="12">
        <f>EXP(-Assumptions!$B$8*B2693)</f>
        <v>0.26119187199512561</v>
      </c>
      <c r="H2693" s="12">
        <f t="shared" si="124"/>
        <v>0.11670325486898959</v>
      </c>
      <c r="I2693" s="12">
        <f t="shared" si="125"/>
        <v>4.8504961401516035E-2</v>
      </c>
      <c r="J2693" s="12">
        <f>G2693*(D2693*Assumptions!$B$6+E2693*Assumptions!$B$7)</f>
        <v>3.5922806187656977E-3</v>
      </c>
    </row>
    <row r="2694" spans="1:10" x14ac:dyDescent="0.2">
      <c r="A2694" s="2">
        <v>2686</v>
      </c>
      <c r="B2694" s="14">
        <f>A2694*Assumptions!$B$12</f>
        <v>26.86</v>
      </c>
      <c r="C2694" s="15">
        <f>IF(A2694&lt;=Assumptions!$B$13,IF(OR(A2694=0,A2694=Assumptions!$B$13),0.5,1),0)*Assumptions!$B$12</f>
        <v>0</v>
      </c>
      <c r="D2694" s="12">
        <f>D2693*(1-Assumptions!$B$12*(Assumptions!$B$5+Assumptions!$B$6))</f>
        <v>0.44667639540753462</v>
      </c>
      <c r="E2694" s="12">
        <f>E2693+Assumptions!$B$12*(D2693*Assumptions!$B$5-E2693*Assumptions!$B$7)</f>
        <v>0.1857027525446667</v>
      </c>
      <c r="F2694" s="12">
        <f t="shared" si="123"/>
        <v>0.36762085204779871</v>
      </c>
      <c r="G2694" s="12">
        <f>EXP(-Assumptions!$B$8*B2694)</f>
        <v>0.2610613087026713</v>
      </c>
      <c r="H2694" s="12">
        <f t="shared" si="124"/>
        <v>0.11660992435168287</v>
      </c>
      <c r="I2694" s="12">
        <f t="shared" si="125"/>
        <v>4.8479803608999013E-2</v>
      </c>
      <c r="J2694" s="12">
        <f>G2694*(D2694*Assumptions!$B$6+E2694*Assumptions!$B$7)</f>
        <v>3.5900894239667795E-3</v>
      </c>
    </row>
    <row r="2695" spans="1:10" x14ac:dyDescent="0.2">
      <c r="A2695" s="2">
        <v>2687</v>
      </c>
      <c r="B2695" s="14">
        <f>A2695*Assumptions!$B$12</f>
        <v>26.87</v>
      </c>
      <c r="C2695" s="15">
        <f>IF(A2695&lt;=Assumptions!$B$13,IF(OR(A2695=0,A2695=Assumptions!$B$13),0.5,1),0)*Assumptions!$B$12</f>
        <v>0</v>
      </c>
      <c r="D2695" s="12">
        <f>D2694*(1-Assumptions!$B$12*(Assumptions!$B$5+Assumptions!$B$6))</f>
        <v>0.44654239248891237</v>
      </c>
      <c r="E2695" s="12">
        <f>E2694+Assumptions!$B$12*(D2694*Assumptions!$B$5-E2694*Assumptions!$B$7)</f>
        <v>0.18569923644747588</v>
      </c>
      <c r="F2695" s="12">
        <f t="shared" si="123"/>
        <v>0.36775837106361176</v>
      </c>
      <c r="G2695" s="12">
        <f>EXP(-Assumptions!$B$8*B2695)</f>
        <v>0.26093081067554541</v>
      </c>
      <c r="H2695" s="12">
        <f t="shared" si="124"/>
        <v>0.11651666847312948</v>
      </c>
      <c r="I2695" s="12">
        <f t="shared" si="125"/>
        <v>4.8454652308069668E-2</v>
      </c>
      <c r="J2695" s="12">
        <f>G2695*(D2695*Assumptions!$B$6+E2695*Assumptions!$B$7)</f>
        <v>3.5878993001347784E-3</v>
      </c>
    </row>
    <row r="2696" spans="1:10" x14ac:dyDescent="0.2">
      <c r="A2696" s="2">
        <v>2688</v>
      </c>
      <c r="B2696" s="14">
        <f>A2696*Assumptions!$B$12</f>
        <v>26.88</v>
      </c>
      <c r="C2696" s="15">
        <f>IF(A2696&lt;=Assumptions!$B$13,IF(OR(A2696=0,A2696=Assumptions!$B$13),0.5,1),0)*Assumptions!$B$12</f>
        <v>0</v>
      </c>
      <c r="D2696" s="12">
        <f>D2695*(1-Assumptions!$B$12*(Assumptions!$B$5+Assumptions!$B$6))</f>
        <v>0.44640842977116568</v>
      </c>
      <c r="E2696" s="12">
        <f>E2695+Assumptions!$B$12*(D2695*Assumptions!$B$5-E2695*Assumptions!$B$7)</f>
        <v>0.18569569530774993</v>
      </c>
      <c r="F2696" s="12">
        <f t="shared" ref="F2696:F2759" si="126">1-D2696-E2696</f>
        <v>0.36789587492108439</v>
      </c>
      <c r="G2696" s="12">
        <f>EXP(-Assumptions!$B$8*B2696)</f>
        <v>0.26080037788112365</v>
      </c>
      <c r="H2696" s="12">
        <f t="shared" ref="H2696:H2759" si="127">G2696*D2696</f>
        <v>0.11642348717363905</v>
      </c>
      <c r="I2696" s="12">
        <f t="shared" ref="I2696:I2759" si="128">G2696*E2696</f>
        <v>4.8429507507159179E-2</v>
      </c>
      <c r="J2696" s="12">
        <f>G2696*(D2696*Assumptions!$B$6+E2696*Assumptions!$B$7)</f>
        <v>3.58571024709435E-3</v>
      </c>
    </row>
    <row r="2697" spans="1:10" x14ac:dyDescent="0.2">
      <c r="A2697" s="2">
        <v>2689</v>
      </c>
      <c r="B2697" s="14">
        <f>A2697*Assumptions!$B$12</f>
        <v>26.89</v>
      </c>
      <c r="C2697" s="15">
        <f>IF(A2697&lt;=Assumptions!$B$13,IF(OR(A2697=0,A2697=Assumptions!$B$13),0.5,1),0)*Assumptions!$B$12</f>
        <v>0</v>
      </c>
      <c r="D2697" s="12">
        <f>D2696*(1-Assumptions!$B$12*(Assumptions!$B$5+Assumptions!$B$6))</f>
        <v>0.44627450724223433</v>
      </c>
      <c r="E2697" s="12">
        <f>E2696+Assumptions!$B$12*(D2696*Assumptions!$B$5-E2696*Assumptions!$B$7)</f>
        <v>0.18569212914605029</v>
      </c>
      <c r="F2697" s="12">
        <f t="shared" si="126"/>
        <v>0.36803336361171546</v>
      </c>
      <c r="G2697" s="12">
        <f>EXP(-Assumptions!$B$8*B2697)</f>
        <v>0.26067001028679765</v>
      </c>
      <c r="H2697" s="12">
        <f t="shared" si="127"/>
        <v>0.11633038039356877</v>
      </c>
      <c r="I2697" s="12">
        <f t="shared" si="128"/>
        <v>4.8404369214678285E-2</v>
      </c>
      <c r="J2697" s="12">
        <f>G2697*(D2697*Assumptions!$B$6+E2697*Assumptions!$B$7)</f>
        <v>3.5835222646696018E-3</v>
      </c>
    </row>
    <row r="2698" spans="1:10" x14ac:dyDescent="0.2">
      <c r="A2698" s="2">
        <v>2690</v>
      </c>
      <c r="B2698" s="14">
        <f>A2698*Assumptions!$B$12</f>
        <v>26.900000000000002</v>
      </c>
      <c r="C2698" s="15">
        <f>IF(A2698&lt;=Assumptions!$B$13,IF(OR(A2698=0,A2698=Assumptions!$B$13),0.5,1),0)*Assumptions!$B$12</f>
        <v>0</v>
      </c>
      <c r="D2698" s="12">
        <f>D2697*(1-Assumptions!$B$12*(Assumptions!$B$5+Assumptions!$B$6))</f>
        <v>0.44614062489006168</v>
      </c>
      <c r="E2698" s="12">
        <f>E2697+Assumptions!$B$12*(D2697*Assumptions!$B$5-E2697*Assumptions!$B$7)</f>
        <v>0.18568853798292573</v>
      </c>
      <c r="F2698" s="12">
        <f t="shared" si="126"/>
        <v>0.3681708371270126</v>
      </c>
      <c r="G2698" s="12">
        <f>EXP(-Assumptions!$B$8*B2698)</f>
        <v>0.26053970785997554</v>
      </c>
      <c r="H2698" s="12">
        <f t="shared" si="127"/>
        <v>0.1162373480733236</v>
      </c>
      <c r="I2698" s="12">
        <f t="shared" si="128"/>
        <v>4.8379237439017439E-2</v>
      </c>
      <c r="J2698" s="12">
        <f>G2698*(D2698*Assumptions!$B$6+E2698*Assumptions!$B$7)</f>
        <v>3.5813353526841082E-3</v>
      </c>
    </row>
    <row r="2699" spans="1:10" x14ac:dyDescent="0.2">
      <c r="A2699" s="2">
        <v>2691</v>
      </c>
      <c r="B2699" s="14">
        <f>A2699*Assumptions!$B$12</f>
        <v>26.91</v>
      </c>
      <c r="C2699" s="15">
        <f>IF(A2699&lt;=Assumptions!$B$13,IF(OR(A2699=0,A2699=Assumptions!$B$13),0.5,1),0)*Assumptions!$B$12</f>
        <v>0</v>
      </c>
      <c r="D2699" s="12">
        <f>D2698*(1-Assumptions!$B$12*(Assumptions!$B$5+Assumptions!$B$6))</f>
        <v>0.4460067827025947</v>
      </c>
      <c r="E2699" s="12">
        <f>E2698+Assumptions!$B$12*(D2698*Assumptions!$B$5-E2698*Assumptions!$B$7)</f>
        <v>0.18568492183891228</v>
      </c>
      <c r="F2699" s="12">
        <f t="shared" si="126"/>
        <v>0.36830829545849308</v>
      </c>
      <c r="G2699" s="12">
        <f>EXP(-Assumptions!$B$8*B2699)</f>
        <v>0.26040947056808184</v>
      </c>
      <c r="H2699" s="12">
        <f t="shared" si="127"/>
        <v>0.1161443901533562</v>
      </c>
      <c r="I2699" s="12">
        <f t="shared" si="128"/>
        <v>4.8354112188546801E-2</v>
      </c>
      <c r="J2699" s="12">
        <f>G2699*(D2699*Assumptions!$B$6+E2699*Assumptions!$B$7)</f>
        <v>3.5791495109609018E-3</v>
      </c>
    </row>
    <row r="2700" spans="1:10" x14ac:dyDescent="0.2">
      <c r="A2700" s="2">
        <v>2692</v>
      </c>
      <c r="B2700" s="14">
        <f>A2700*Assumptions!$B$12</f>
        <v>26.92</v>
      </c>
      <c r="C2700" s="15">
        <f>IF(A2700&lt;=Assumptions!$B$13,IF(OR(A2700=0,A2700=Assumptions!$B$13),0.5,1),0)*Assumptions!$B$12</f>
        <v>0</v>
      </c>
      <c r="D2700" s="12">
        <f>D2699*(1-Assumptions!$B$12*(Assumptions!$B$5+Assumptions!$B$6))</f>
        <v>0.44587298066778391</v>
      </c>
      <c r="E2700" s="12">
        <f>E2699+Assumptions!$B$12*(D2699*Assumptions!$B$5-E2699*Assumptions!$B$7)</f>
        <v>0.18568128073453333</v>
      </c>
      <c r="F2700" s="12">
        <f t="shared" si="126"/>
        <v>0.36844573859768276</v>
      </c>
      <c r="G2700" s="12">
        <f>EXP(-Assumptions!$B$8*B2700)</f>
        <v>0.26027929837855712</v>
      </c>
      <c r="H2700" s="12">
        <f t="shared" si="127"/>
        <v>0.11605150657416675</v>
      </c>
      <c r="I2700" s="12">
        <f t="shared" si="128"/>
        <v>4.8328993471616233E-2</v>
      </c>
      <c r="J2700" s="12">
        <f>G2700*(D2700*Assumptions!$B$6+E2700*Assumptions!$B$7)</f>
        <v>3.5769647393224793E-3</v>
      </c>
    </row>
    <row r="2701" spans="1:10" x14ac:dyDescent="0.2">
      <c r="A2701" s="2">
        <v>2693</v>
      </c>
      <c r="B2701" s="14">
        <f>A2701*Assumptions!$B$12</f>
        <v>26.93</v>
      </c>
      <c r="C2701" s="15">
        <f>IF(A2701&lt;=Assumptions!$B$13,IF(OR(A2701=0,A2701=Assumptions!$B$13),0.5,1),0)*Assumptions!$B$12</f>
        <v>0</v>
      </c>
      <c r="D2701" s="12">
        <f>D2700*(1-Assumptions!$B$12*(Assumptions!$B$5+Assumptions!$B$6))</f>
        <v>0.44573921877358358</v>
      </c>
      <c r="E2701" s="12">
        <f>E2700+Assumptions!$B$12*(D2700*Assumptions!$B$5-E2700*Assumptions!$B$7)</f>
        <v>0.18567761469029961</v>
      </c>
      <c r="F2701" s="12">
        <f t="shared" si="126"/>
        <v>0.36858316653611678</v>
      </c>
      <c r="G2701" s="12">
        <f>EXP(-Assumptions!$B$8*B2701)</f>
        <v>0.26014919125885833</v>
      </c>
      <c r="H2701" s="12">
        <f t="shared" si="127"/>
        <v>0.11595869727630309</v>
      </c>
      <c r="I2701" s="12">
        <f t="shared" si="128"/>
        <v>4.8303881296555357E-2</v>
      </c>
      <c r="J2701" s="12">
        <f>G2701*(D2701*Assumptions!$B$6+E2701*Assumptions!$B$7)</f>
        <v>3.5747810375907985E-3</v>
      </c>
    </row>
    <row r="2702" spans="1:10" x14ac:dyDescent="0.2">
      <c r="A2702" s="2">
        <v>2694</v>
      </c>
      <c r="B2702" s="14">
        <f>A2702*Assumptions!$B$12</f>
        <v>26.94</v>
      </c>
      <c r="C2702" s="15">
        <f>IF(A2702&lt;=Assumptions!$B$13,IF(OR(A2702=0,A2702=Assumptions!$B$13),0.5,1),0)*Assumptions!$B$12</f>
        <v>0</v>
      </c>
      <c r="D2702" s="12">
        <f>D2701*(1-Assumptions!$B$12*(Assumptions!$B$5+Assumptions!$B$6))</f>
        <v>0.44560549700795155</v>
      </c>
      <c r="E2702" s="12">
        <f>E2701+Assumptions!$B$12*(D2701*Assumptions!$B$5-E2701*Assumptions!$B$7)</f>
        <v>0.18567392372670918</v>
      </c>
      <c r="F2702" s="12">
        <f t="shared" si="126"/>
        <v>0.3687205792653393</v>
      </c>
      <c r="G2702" s="12">
        <f>EXP(-Assumptions!$B$8*B2702)</f>
        <v>0.26001914917645869</v>
      </c>
      <c r="H2702" s="12">
        <f t="shared" si="127"/>
        <v>0.11586596220036056</v>
      </c>
      <c r="I2702" s="12">
        <f t="shared" si="128"/>
        <v>4.8278775671673609E-2</v>
      </c>
      <c r="J2702" s="12">
        <f>G2702*(D2702*Assumptions!$B$6+E2702*Assumptions!$B$7)</f>
        <v>3.5725984055872866E-3</v>
      </c>
    </row>
    <row r="2703" spans="1:10" x14ac:dyDescent="0.2">
      <c r="A2703" s="2">
        <v>2695</v>
      </c>
      <c r="B2703" s="14">
        <f>A2703*Assumptions!$B$12</f>
        <v>26.95</v>
      </c>
      <c r="C2703" s="15">
        <f>IF(A2703&lt;=Assumptions!$B$13,IF(OR(A2703=0,A2703=Assumptions!$B$13),0.5,1),0)*Assumptions!$B$12</f>
        <v>0</v>
      </c>
      <c r="D2703" s="12">
        <f>D2702*(1-Assumptions!$B$12*(Assumptions!$B$5+Assumptions!$B$6))</f>
        <v>0.44547181535884917</v>
      </c>
      <c r="E2703" s="12">
        <f>E2702+Assumptions!$B$12*(D2702*Assumptions!$B$5-E2702*Assumptions!$B$7)</f>
        <v>0.18567020786424743</v>
      </c>
      <c r="F2703" s="12">
        <f t="shared" si="126"/>
        <v>0.36885797677690341</v>
      </c>
      <c r="G2703" s="12">
        <f>EXP(-Assumptions!$B$8*B2703)</f>
        <v>0.25988917209884771</v>
      </c>
      <c r="H2703" s="12">
        <f t="shared" si="127"/>
        <v>0.11577330128698206</v>
      </c>
      <c r="I2703" s="12">
        <f t="shared" si="128"/>
        <v>4.8253676605260226E-2</v>
      </c>
      <c r="J2703" s="12">
        <f>G2703*(D2703*Assumptions!$B$6+E2703*Assumptions!$B$7)</f>
        <v>3.5704168431328321E-3</v>
      </c>
    </row>
    <row r="2704" spans="1:10" x14ac:dyDescent="0.2">
      <c r="A2704" s="2">
        <v>2696</v>
      </c>
      <c r="B2704" s="14">
        <f>A2704*Assumptions!$B$12</f>
        <v>26.96</v>
      </c>
      <c r="C2704" s="15">
        <f>IF(A2704&lt;=Assumptions!$B$13,IF(OR(A2704=0,A2704=Assumptions!$B$13),0.5,1),0)*Assumptions!$B$12</f>
        <v>0</v>
      </c>
      <c r="D2704" s="12">
        <f>D2703*(1-Assumptions!$B$12*(Assumptions!$B$5+Assumptions!$B$6))</f>
        <v>0.44533817381424151</v>
      </c>
      <c r="E2704" s="12">
        <f>E2703+Assumptions!$B$12*(D2703*Assumptions!$B$5-E2703*Assumptions!$B$7)</f>
        <v>0.18566646712338708</v>
      </c>
      <c r="F2704" s="12">
        <f t="shared" si="126"/>
        <v>0.36899535906237146</v>
      </c>
      <c r="G2704" s="12">
        <f>EXP(-Assumptions!$B$8*B2704)</f>
        <v>0.25975925999353111</v>
      </c>
      <c r="H2704" s="12">
        <f t="shared" si="127"/>
        <v>0.1156807144768579</v>
      </c>
      <c r="I2704" s="12">
        <f t="shared" si="128"/>
        <v>4.8228584105584303E-2</v>
      </c>
      <c r="J2704" s="12">
        <f>G2704*(D2704*Assumptions!$B$6+E2704*Assumptions!$B$7)</f>
        <v>3.5682363500477939E-3</v>
      </c>
    </row>
    <row r="2705" spans="1:10" x14ac:dyDescent="0.2">
      <c r="A2705" s="2">
        <v>2697</v>
      </c>
      <c r="B2705" s="14">
        <f>A2705*Assumptions!$B$12</f>
        <v>26.97</v>
      </c>
      <c r="C2705" s="15">
        <f>IF(A2705&lt;=Assumptions!$B$13,IF(OR(A2705=0,A2705=Assumptions!$B$13),0.5,1),0)*Assumptions!$B$12</f>
        <v>0</v>
      </c>
      <c r="D2705" s="12">
        <f>D2704*(1-Assumptions!$B$12*(Assumptions!$B$5+Assumptions!$B$6))</f>
        <v>0.44520457236209726</v>
      </c>
      <c r="E2705" s="12">
        <f>E2704+Assumptions!$B$12*(D2704*Assumptions!$B$5-E2704*Assumptions!$B$7)</f>
        <v>0.18566270152458825</v>
      </c>
      <c r="F2705" s="12">
        <f t="shared" si="126"/>
        <v>0.36913272611331455</v>
      </c>
      <c r="G2705" s="12">
        <f>EXP(-Assumptions!$B$8*B2705)</f>
        <v>0.25962941282803093</v>
      </c>
      <c r="H2705" s="12">
        <f t="shared" si="127"/>
        <v>0.11558820171072592</v>
      </c>
      <c r="I2705" s="12">
        <f t="shared" si="128"/>
        <v>4.820349818089481E-2</v>
      </c>
      <c r="J2705" s="12">
        <f>G2705*(D2705*Assumptions!$B$6+E2705*Assumptions!$B$7)</f>
        <v>3.5660569261520003E-3</v>
      </c>
    </row>
    <row r="2706" spans="1:10" x14ac:dyDescent="0.2">
      <c r="A2706" s="2">
        <v>2698</v>
      </c>
      <c r="B2706" s="14">
        <f>A2706*Assumptions!$B$12</f>
        <v>26.98</v>
      </c>
      <c r="C2706" s="15">
        <f>IF(A2706&lt;=Assumptions!$B$13,IF(OR(A2706=0,A2706=Assumptions!$B$13),0.5,1),0)*Assumptions!$B$12</f>
        <v>0</v>
      </c>
      <c r="D2706" s="12">
        <f>D2705*(1-Assumptions!$B$12*(Assumptions!$B$5+Assumptions!$B$6))</f>
        <v>0.44507101099038865</v>
      </c>
      <c r="E2706" s="12">
        <f>E2705+Assumptions!$B$12*(D2705*Assumptions!$B$5-E2705*Assumptions!$B$7)</f>
        <v>0.18565891108829838</v>
      </c>
      <c r="F2706" s="12">
        <f t="shared" si="126"/>
        <v>0.36927007792131306</v>
      </c>
      <c r="G2706" s="12">
        <f>EXP(-Assumptions!$B$8*B2706)</f>
        <v>0.25949963056988518</v>
      </c>
      <c r="H2706" s="12">
        <f t="shared" si="127"/>
        <v>0.11549576292937117</v>
      </c>
      <c r="I2706" s="12">
        <f t="shared" si="128"/>
        <v>4.8178418839420589E-2</v>
      </c>
      <c r="J2706" s="12">
        <f>G2706*(D2706*Assumptions!$B$6+E2706*Assumptions!$B$7)</f>
        <v>3.5638785712647412E-3</v>
      </c>
    </row>
    <row r="2707" spans="1:10" x14ac:dyDescent="0.2">
      <c r="A2707" s="2">
        <v>2699</v>
      </c>
      <c r="B2707" s="14">
        <f>A2707*Assumptions!$B$12</f>
        <v>26.990000000000002</v>
      </c>
      <c r="C2707" s="15">
        <f>IF(A2707&lt;=Assumptions!$B$13,IF(OR(A2707=0,A2707=Assumptions!$B$13),0.5,1),0)*Assumptions!$B$12</f>
        <v>0</v>
      </c>
      <c r="D2707" s="12">
        <f>D2706*(1-Assumptions!$B$12*(Assumptions!$B$5+Assumptions!$B$6))</f>
        <v>0.44493748968709157</v>
      </c>
      <c r="E2707" s="12">
        <f>E2706+Assumptions!$B$12*(D2706*Assumptions!$B$5-E2706*Assumptions!$B$7)</f>
        <v>0.18565509583495229</v>
      </c>
      <c r="F2707" s="12">
        <f t="shared" si="126"/>
        <v>0.36940741447795611</v>
      </c>
      <c r="G2707" s="12">
        <f>EXP(-Assumptions!$B$8*B2707)</f>
        <v>0.25936991318664854</v>
      </c>
      <c r="H2707" s="12">
        <f t="shared" si="127"/>
        <v>0.11540339807362628</v>
      </c>
      <c r="I2707" s="12">
        <f t="shared" si="128"/>
        <v>4.815334608937049E-2</v>
      </c>
      <c r="J2707" s="12">
        <f>G2707*(D2707*Assumptions!$B$6+E2707*Assumptions!$B$7)</f>
        <v>3.5617012852047869E-3</v>
      </c>
    </row>
    <row r="2708" spans="1:10" x14ac:dyDescent="0.2">
      <c r="A2708" s="2">
        <v>2700</v>
      </c>
      <c r="B2708" s="14">
        <f>A2708*Assumptions!$B$12</f>
        <v>27</v>
      </c>
      <c r="C2708" s="15">
        <f>IF(A2708&lt;=Assumptions!$B$13,IF(OR(A2708=0,A2708=Assumptions!$B$13),0.5,1),0)*Assumptions!$B$12</f>
        <v>0</v>
      </c>
      <c r="D2708" s="12">
        <f>D2707*(1-Assumptions!$B$12*(Assumptions!$B$5+Assumptions!$B$6))</f>
        <v>0.44480400844018547</v>
      </c>
      <c r="E2708" s="12">
        <f>E2707+Assumptions!$B$12*(D2707*Assumptions!$B$5-E2707*Assumptions!$B$7)</f>
        <v>0.18565125578497224</v>
      </c>
      <c r="F2708" s="12">
        <f t="shared" si="126"/>
        <v>0.36954473577484237</v>
      </c>
      <c r="G2708" s="12">
        <f>EXP(-Assumptions!$B$8*B2708)</f>
        <v>0.25924026064589151</v>
      </c>
      <c r="H2708" s="12">
        <f t="shared" si="127"/>
        <v>0.11531110708437101</v>
      </c>
      <c r="I2708" s="12">
        <f t="shared" si="128"/>
        <v>4.8128279938933274E-2</v>
      </c>
      <c r="J2708" s="12">
        <f>G2708*(D2708*Assumptions!$B$6+E2708*Assumptions!$B$7)</f>
        <v>3.5595250677903736E-3</v>
      </c>
    </row>
    <row r="2709" spans="1:10" x14ac:dyDescent="0.2">
      <c r="A2709" s="2">
        <v>2701</v>
      </c>
      <c r="B2709" s="14">
        <f>A2709*Assumptions!$B$12</f>
        <v>27.01</v>
      </c>
      <c r="C2709" s="15">
        <f>IF(A2709&lt;=Assumptions!$B$13,IF(OR(A2709=0,A2709=Assumptions!$B$13),0.5,1),0)*Assumptions!$B$12</f>
        <v>0</v>
      </c>
      <c r="D2709" s="12">
        <f>D2708*(1-Assumptions!$B$12*(Assumptions!$B$5+Assumptions!$B$6))</f>
        <v>0.44467056723765341</v>
      </c>
      <c r="E2709" s="12">
        <f>E2708+Assumptions!$B$12*(D2708*Assumptions!$B$5-E2708*Assumptions!$B$7)</f>
        <v>0.18564739095876778</v>
      </c>
      <c r="F2709" s="12">
        <f t="shared" si="126"/>
        <v>0.36968204180357878</v>
      </c>
      <c r="G2709" s="12">
        <f>EXP(-Assumptions!$B$8*B2709)</f>
        <v>0.2591106729152009</v>
      </c>
      <c r="H2709" s="12">
        <f t="shared" si="127"/>
        <v>0.11521888990253247</v>
      </c>
      <c r="I2709" s="12">
        <f t="shared" si="128"/>
        <v>4.8103220396277707E-2</v>
      </c>
      <c r="J2709" s="12">
        <f>G2709*(D2709*Assumptions!$B$6+E2709*Assumptions!$B$7)</f>
        <v>3.5573499188392096E-3</v>
      </c>
    </row>
    <row r="2710" spans="1:10" x14ac:dyDescent="0.2">
      <c r="A2710" s="2">
        <v>2702</v>
      </c>
      <c r="B2710" s="14">
        <f>A2710*Assumptions!$B$12</f>
        <v>27.02</v>
      </c>
      <c r="C2710" s="15">
        <f>IF(A2710&lt;=Assumptions!$B$13,IF(OR(A2710=0,A2710=Assumptions!$B$13),0.5,1),0)*Assumptions!$B$12</f>
        <v>0</v>
      </c>
      <c r="D2710" s="12">
        <f>D2709*(1-Assumptions!$B$12*(Assumptions!$B$5+Assumptions!$B$6))</f>
        <v>0.44453716606748211</v>
      </c>
      <c r="E2710" s="12">
        <f>E2709+Assumptions!$B$12*(D2709*Assumptions!$B$5-E2709*Assumptions!$B$7)</f>
        <v>0.18564350137673594</v>
      </c>
      <c r="F2710" s="12">
        <f t="shared" si="126"/>
        <v>0.36981933255578192</v>
      </c>
      <c r="G2710" s="12">
        <f>EXP(-Assumptions!$B$8*B2710)</f>
        <v>0.25898114996218002</v>
      </c>
      <c r="H2710" s="12">
        <f t="shared" si="127"/>
        <v>0.11512674646908511</v>
      </c>
      <c r="I2710" s="12">
        <f t="shared" si="128"/>
        <v>4.8078167469552624E-2</v>
      </c>
      <c r="J2710" s="12">
        <f>G2710*(D2710*Assumptions!$B$6+E2710*Assumptions!$B$7)</f>
        <v>3.5551758381684824E-3</v>
      </c>
    </row>
    <row r="2711" spans="1:10" x14ac:dyDescent="0.2">
      <c r="A2711" s="2">
        <v>2703</v>
      </c>
      <c r="B2711" s="14">
        <f>A2711*Assumptions!$B$12</f>
        <v>27.03</v>
      </c>
      <c r="C2711" s="15">
        <f>IF(A2711&lt;=Assumptions!$B$13,IF(OR(A2711=0,A2711=Assumptions!$B$13),0.5,1),0)*Assumptions!$B$12</f>
        <v>0</v>
      </c>
      <c r="D2711" s="12">
        <f>D2710*(1-Assumptions!$B$12*(Assumptions!$B$5+Assumptions!$B$6))</f>
        <v>0.4444038049176619</v>
      </c>
      <c r="E2711" s="12">
        <f>E2710+Assumptions!$B$12*(D2710*Assumptions!$B$5-E2710*Assumptions!$B$7)</f>
        <v>0.18563958705926106</v>
      </c>
      <c r="F2711" s="12">
        <f t="shared" si="126"/>
        <v>0.36995660802307695</v>
      </c>
      <c r="G2711" s="12">
        <f>EXP(-Assumptions!$B$8*B2711)</f>
        <v>0.25885169175444789</v>
      </c>
      <c r="H2711" s="12">
        <f t="shared" si="127"/>
        <v>0.11503467672505041</v>
      </c>
      <c r="I2711" s="12">
        <f t="shared" si="128"/>
        <v>4.8053121166886835E-2</v>
      </c>
      <c r="J2711" s="12">
        <f>G2711*(D2711*Assumptions!$B$6+E2711*Assumptions!$B$7)</f>
        <v>3.5530028255948459E-3</v>
      </c>
    </row>
    <row r="2712" spans="1:10" x14ac:dyDescent="0.2">
      <c r="A2712" s="2">
        <v>2704</v>
      </c>
      <c r="B2712" s="14">
        <f>A2712*Assumptions!$B$12</f>
        <v>27.04</v>
      </c>
      <c r="C2712" s="15">
        <f>IF(A2712&lt;=Assumptions!$B$13,IF(OR(A2712=0,A2712=Assumptions!$B$13),0.5,1),0)*Assumptions!$B$12</f>
        <v>0</v>
      </c>
      <c r="D2712" s="12">
        <f>D2711*(1-Assumptions!$B$12*(Assumptions!$B$5+Assumptions!$B$6))</f>
        <v>0.44427048377618661</v>
      </c>
      <c r="E2712" s="12">
        <f>E2711+Assumptions!$B$12*(D2711*Assumptions!$B$5-E2711*Assumptions!$B$7)</f>
        <v>0.18563564802671498</v>
      </c>
      <c r="F2712" s="12">
        <f t="shared" si="126"/>
        <v>0.37009386819709844</v>
      </c>
      <c r="G2712" s="12">
        <f>EXP(-Assumptions!$B$8*B2712)</f>
        <v>0.25872229825964005</v>
      </c>
      <c r="H2712" s="12">
        <f t="shared" si="127"/>
        <v>0.11494268061149712</v>
      </c>
      <c r="I2712" s="12">
        <f t="shared" si="128"/>
        <v>4.8028081496389312E-2</v>
      </c>
      <c r="J2712" s="12">
        <f>G2712*(D2712*Assumptions!$B$6+E2712*Assumptions!$B$7)</f>
        <v>3.5508308809344374E-3</v>
      </c>
    </row>
    <row r="2713" spans="1:10" x14ac:dyDescent="0.2">
      <c r="A2713" s="2">
        <v>2705</v>
      </c>
      <c r="B2713" s="14">
        <f>A2713*Assumptions!$B$12</f>
        <v>27.05</v>
      </c>
      <c r="C2713" s="15">
        <f>IF(A2713&lt;=Assumptions!$B$13,IF(OR(A2713=0,A2713=Assumptions!$B$13),0.5,1),0)*Assumptions!$B$12</f>
        <v>0</v>
      </c>
      <c r="D2713" s="12">
        <f>D2712*(1-Assumptions!$B$12*(Assumptions!$B$5+Assumptions!$B$6))</f>
        <v>0.44413720263105377</v>
      </c>
      <c r="E2713" s="12">
        <f>E2712+Assumptions!$B$12*(D2712*Assumptions!$B$5-E2712*Assumptions!$B$7)</f>
        <v>0.18563168429945687</v>
      </c>
      <c r="F2713" s="12">
        <f t="shared" si="126"/>
        <v>0.37023111306948941</v>
      </c>
      <c r="G2713" s="12">
        <f>EXP(-Assumptions!$B$8*B2713)</f>
        <v>0.25859296944540816</v>
      </c>
      <c r="H2713" s="12">
        <f t="shared" si="127"/>
        <v>0.11485075806954115</v>
      </c>
      <c r="I2713" s="12">
        <f t="shared" si="128"/>
        <v>4.8003048466149105E-2</v>
      </c>
      <c r="J2713" s="12">
        <f>G2713*(D2713*Assumptions!$B$6+E2713*Assumptions!$B$7)</f>
        <v>3.548660004002867E-3</v>
      </c>
    </row>
    <row r="2714" spans="1:10" x14ac:dyDescent="0.2">
      <c r="A2714" s="2">
        <v>2706</v>
      </c>
      <c r="B2714" s="14">
        <f>A2714*Assumptions!$B$12</f>
        <v>27.060000000000002</v>
      </c>
      <c r="C2714" s="15">
        <f>IF(A2714&lt;=Assumptions!$B$13,IF(OR(A2714=0,A2714=Assumptions!$B$13),0.5,1),0)*Assumptions!$B$12</f>
        <v>0</v>
      </c>
      <c r="D2714" s="12">
        <f>D2713*(1-Assumptions!$B$12*(Assumptions!$B$5+Assumptions!$B$6))</f>
        <v>0.4440039614702645</v>
      </c>
      <c r="E2714" s="12">
        <f>E2713+Assumptions!$B$12*(D2713*Assumptions!$B$5-E2713*Assumptions!$B$7)</f>
        <v>0.18562769589783334</v>
      </c>
      <c r="F2714" s="12">
        <f t="shared" si="126"/>
        <v>0.37036834263190221</v>
      </c>
      <c r="G2714" s="12">
        <f>EXP(-Assumptions!$B$8*B2714)</f>
        <v>0.25846370527941992</v>
      </c>
      <c r="H2714" s="12">
        <f t="shared" si="127"/>
        <v>0.11475890904034536</v>
      </c>
      <c r="I2714" s="12">
        <f t="shared" si="128"/>
        <v>4.7978022084235385E-2</v>
      </c>
      <c r="J2714" s="12">
        <f>G2714*(D2714*Assumptions!$B$6+E2714*Assumptions!$B$7)</f>
        <v>3.546490194615223E-3</v>
      </c>
    </row>
    <row r="2715" spans="1:10" x14ac:dyDescent="0.2">
      <c r="A2715" s="2">
        <v>2707</v>
      </c>
      <c r="B2715" s="14">
        <f>A2715*Assumptions!$B$12</f>
        <v>27.07</v>
      </c>
      <c r="C2715" s="15">
        <f>IF(A2715&lt;=Assumptions!$B$13,IF(OR(A2715=0,A2715=Assumptions!$B$13),0.5,1),0)*Assumptions!$B$12</f>
        <v>0</v>
      </c>
      <c r="D2715" s="12">
        <f>D2714*(1-Assumptions!$B$12*(Assumptions!$B$5+Assumptions!$B$6))</f>
        <v>0.44387076028182343</v>
      </c>
      <c r="E2715" s="12">
        <f>E2714+Assumptions!$B$12*(D2714*Assumptions!$B$5-E2714*Assumptions!$B$7)</f>
        <v>0.18562368284217848</v>
      </c>
      <c r="F2715" s="12">
        <f t="shared" si="126"/>
        <v>0.37050555687599807</v>
      </c>
      <c r="G2715" s="12">
        <f>EXP(-Assumptions!$B$8*B2715)</f>
        <v>0.2583345057293594</v>
      </c>
      <c r="H2715" s="12">
        <f t="shared" si="127"/>
        <v>0.11466713346511982</v>
      </c>
      <c r="I2715" s="12">
        <f t="shared" si="128"/>
        <v>4.7953002358697545E-2</v>
      </c>
      <c r="J2715" s="12">
        <f>G2715*(D2715*Assumptions!$B$6+E2715*Assumptions!$B$7)</f>
        <v>3.5443214525860758E-3</v>
      </c>
    </row>
    <row r="2716" spans="1:10" x14ac:dyDescent="0.2">
      <c r="A2716" s="2">
        <v>2708</v>
      </c>
      <c r="B2716" s="14">
        <f>A2716*Assumptions!$B$12</f>
        <v>27.080000000000002</v>
      </c>
      <c r="C2716" s="15">
        <f>IF(A2716&lt;=Assumptions!$B$13,IF(OR(A2716=0,A2716=Assumptions!$B$13),0.5,1),0)*Assumptions!$B$12</f>
        <v>0</v>
      </c>
      <c r="D2716" s="12">
        <f>D2715*(1-Assumptions!$B$12*(Assumptions!$B$5+Assumptions!$B$6))</f>
        <v>0.44373759905373888</v>
      </c>
      <c r="E2716" s="12">
        <f>E2715+Assumptions!$B$12*(D2715*Assumptions!$B$5-E2715*Assumptions!$B$7)</f>
        <v>0.18561964515281376</v>
      </c>
      <c r="F2716" s="12">
        <f t="shared" si="126"/>
        <v>0.37064275579344735</v>
      </c>
      <c r="G2716" s="12">
        <f>EXP(-Assumptions!$B$8*B2716)</f>
        <v>0.25820537076292666</v>
      </c>
      <c r="H2716" s="12">
        <f t="shared" si="127"/>
        <v>0.11457543128512154</v>
      </c>
      <c r="I2716" s="12">
        <f t="shared" si="128"/>
        <v>4.7927989297565157E-2</v>
      </c>
      <c r="J2716" s="12">
        <f>G2716*(D2716*Assumptions!$B$6+E2716*Assumptions!$B$7)</f>
        <v>3.5421537777294734E-3</v>
      </c>
    </row>
    <row r="2717" spans="1:10" x14ac:dyDescent="0.2">
      <c r="A2717" s="2">
        <v>2709</v>
      </c>
      <c r="B2717" s="14">
        <f>A2717*Assumptions!$B$12</f>
        <v>27.09</v>
      </c>
      <c r="C2717" s="15">
        <f>IF(A2717&lt;=Assumptions!$B$13,IF(OR(A2717=0,A2717=Assumptions!$B$13),0.5,1),0)*Assumptions!$B$12</f>
        <v>0</v>
      </c>
      <c r="D2717" s="12">
        <f>D2716*(1-Assumptions!$B$12*(Assumptions!$B$5+Assumptions!$B$6))</f>
        <v>0.44360447777402279</v>
      </c>
      <c r="E2717" s="12">
        <f>E2716+Assumptions!$B$12*(D2716*Assumptions!$B$5-E2716*Assumptions!$B$7)</f>
        <v>0.18561558285004809</v>
      </c>
      <c r="F2717" s="12">
        <f t="shared" si="126"/>
        <v>0.37077993937592912</v>
      </c>
      <c r="G2717" s="12">
        <f>EXP(-Assumptions!$B$8*B2717)</f>
        <v>0.25807630034783796</v>
      </c>
      <c r="H2717" s="12">
        <f t="shared" si="127"/>
        <v>0.11448380244165451</v>
      </c>
      <c r="I2717" s="12">
        <f t="shared" si="128"/>
        <v>4.7902982908848014E-2</v>
      </c>
      <c r="J2717" s="12">
        <f>G2717*(D2717*Assumptions!$B$6+E2717*Assumptions!$B$7)</f>
        <v>3.539987169858946E-3</v>
      </c>
    </row>
    <row r="2718" spans="1:10" x14ac:dyDescent="0.2">
      <c r="A2718" s="2">
        <v>2710</v>
      </c>
      <c r="B2718" s="14">
        <f>A2718*Assumptions!$B$12</f>
        <v>27.1</v>
      </c>
      <c r="C2718" s="15">
        <f>IF(A2718&lt;=Assumptions!$B$13,IF(OR(A2718=0,A2718=Assumptions!$B$13),0.5,1),0)*Assumptions!$B$12</f>
        <v>0</v>
      </c>
      <c r="D2718" s="12">
        <f>D2717*(1-Assumptions!$B$12*(Assumptions!$B$5+Assumptions!$B$6))</f>
        <v>0.44347139643069061</v>
      </c>
      <c r="E2718" s="12">
        <f>E2717+Assumptions!$B$12*(D2717*Assumptions!$B$5-E2717*Assumptions!$B$7)</f>
        <v>0.18561149595417786</v>
      </c>
      <c r="F2718" s="12">
        <f t="shared" si="126"/>
        <v>0.37091710761513147</v>
      </c>
      <c r="G2718" s="12">
        <f>EXP(-Assumptions!$B$8*B2718)</f>
        <v>0.25794729445182563</v>
      </c>
      <c r="H2718" s="12">
        <f t="shared" si="127"/>
        <v>0.11439224687606964</v>
      </c>
      <c r="I2718" s="12">
        <f t="shared" si="128"/>
        <v>4.7877983200536156E-2</v>
      </c>
      <c r="J2718" s="12">
        <f>G2718*(D2718*Assumptions!$B$6+E2718*Assumptions!$B$7)</f>
        <v>3.5378216287875047E-3</v>
      </c>
    </row>
    <row r="2719" spans="1:10" x14ac:dyDescent="0.2">
      <c r="A2719" s="2">
        <v>2711</v>
      </c>
      <c r="B2719" s="14">
        <f>A2719*Assumptions!$B$12</f>
        <v>27.11</v>
      </c>
      <c r="C2719" s="15">
        <f>IF(A2719&lt;=Assumptions!$B$13,IF(OR(A2719=0,A2719=Assumptions!$B$13),0.5,1),0)*Assumptions!$B$12</f>
        <v>0</v>
      </c>
      <c r="D2719" s="12">
        <f>D2718*(1-Assumptions!$B$12*(Assumptions!$B$5+Assumptions!$B$6))</f>
        <v>0.44333835501176144</v>
      </c>
      <c r="E2719" s="12">
        <f>E2718+Assumptions!$B$12*(D2718*Assumptions!$B$5-E2718*Assumptions!$B$7)</f>
        <v>0.18560738448548691</v>
      </c>
      <c r="F2719" s="12">
        <f t="shared" si="126"/>
        <v>0.37105426050275164</v>
      </c>
      <c r="G2719" s="12">
        <f>EXP(-Assumptions!$B$8*B2719)</f>
        <v>0.25781835304263828</v>
      </c>
      <c r="H2719" s="12">
        <f t="shared" si="127"/>
        <v>0.11430076452976481</v>
      </c>
      <c r="I2719" s="12">
        <f t="shared" si="128"/>
        <v>4.7852990180599971E-2</v>
      </c>
      <c r="J2719" s="12">
        <f>G2719*(D2719*Assumptions!$B$6+E2719*Assumptions!$B$7)</f>
        <v>3.5356571543276464E-3</v>
      </c>
    </row>
    <row r="2720" spans="1:10" x14ac:dyDescent="0.2">
      <c r="A2720" s="2">
        <v>2712</v>
      </c>
      <c r="B2720" s="14">
        <f>A2720*Assumptions!$B$12</f>
        <v>27.12</v>
      </c>
      <c r="C2720" s="15">
        <f>IF(A2720&lt;=Assumptions!$B$13,IF(OR(A2720=0,A2720=Assumptions!$B$13),0.5,1),0)*Assumptions!$B$12</f>
        <v>0</v>
      </c>
      <c r="D2720" s="12">
        <f>D2719*(1-Assumptions!$B$12*(Assumptions!$B$5+Assumptions!$B$6))</f>
        <v>0.44320535350525792</v>
      </c>
      <c r="E2720" s="12">
        <f>E2719+Assumptions!$B$12*(D2719*Assumptions!$B$5-E2719*Assumptions!$B$7)</f>
        <v>0.18560324846424653</v>
      </c>
      <c r="F2720" s="12">
        <f t="shared" si="126"/>
        <v>0.37119139803049556</v>
      </c>
      <c r="G2720" s="12">
        <f>EXP(-Assumptions!$B$8*B2720)</f>
        <v>0.25768947608804055</v>
      </c>
      <c r="H2720" s="12">
        <f t="shared" si="127"/>
        <v>0.11420935534418472</v>
      </c>
      <c r="I2720" s="12">
        <f t="shared" si="128"/>
        <v>4.7828003856990105E-2</v>
      </c>
      <c r="J2720" s="12">
        <f>G2720*(D2720*Assumptions!$B$6+E2720*Assumptions!$B$7)</f>
        <v>3.533493746291352E-3</v>
      </c>
    </row>
    <row r="2721" spans="1:10" x14ac:dyDescent="0.2">
      <c r="A2721" s="2">
        <v>2713</v>
      </c>
      <c r="B2721" s="14">
        <f>A2721*Assumptions!$B$12</f>
        <v>27.13</v>
      </c>
      <c r="C2721" s="15">
        <f>IF(A2721&lt;=Assumptions!$B$13,IF(OR(A2721=0,A2721=Assumptions!$B$13),0.5,1),0)*Assumptions!$B$12</f>
        <v>0</v>
      </c>
      <c r="D2721" s="12">
        <f>D2720*(1-Assumptions!$B$12*(Assumptions!$B$5+Assumptions!$B$6))</f>
        <v>0.44307239189920633</v>
      </c>
      <c r="E2721" s="12">
        <f>E2720+Assumptions!$B$12*(D2720*Assumptions!$B$5-E2720*Assumptions!$B$7)</f>
        <v>0.18559908791071544</v>
      </c>
      <c r="F2721" s="12">
        <f t="shared" si="126"/>
        <v>0.37132852019007823</v>
      </c>
      <c r="G2721" s="12">
        <f>EXP(-Assumptions!$B$8*B2721)</f>
        <v>0.2575606635558132</v>
      </c>
      <c r="H2721" s="12">
        <f t="shared" si="127"/>
        <v>0.11411801926082089</v>
      </c>
      <c r="I2721" s="12">
        <f t="shared" si="128"/>
        <v>4.7803024237637576E-2</v>
      </c>
      <c r="J2721" s="12">
        <f>G2721*(D2721*Assumptions!$B$6+E2721*Assumptions!$B$7)</f>
        <v>3.5313314044900877E-3</v>
      </c>
    </row>
    <row r="2722" spans="1:10" x14ac:dyDescent="0.2">
      <c r="A2722" s="2">
        <v>2714</v>
      </c>
      <c r="B2722" s="14">
        <f>A2722*Assumptions!$B$12</f>
        <v>27.14</v>
      </c>
      <c r="C2722" s="15">
        <f>IF(A2722&lt;=Assumptions!$B$13,IF(OR(A2722=0,A2722=Assumptions!$B$13),0.5,1),0)*Assumptions!$B$12</f>
        <v>0</v>
      </c>
      <c r="D2722" s="12">
        <f>D2721*(1-Assumptions!$B$12*(Assumptions!$B$5+Assumptions!$B$6))</f>
        <v>0.4429394701816366</v>
      </c>
      <c r="E2722" s="12">
        <f>E2721+Assumptions!$B$12*(D2721*Assumptions!$B$5-E2721*Assumptions!$B$7)</f>
        <v>0.18559490284513994</v>
      </c>
      <c r="F2722" s="12">
        <f t="shared" si="126"/>
        <v>0.37146562697322349</v>
      </c>
      <c r="G2722" s="12">
        <f>EXP(-Assumptions!$B$8*B2722)</f>
        <v>0.25743191541375304</v>
      </c>
      <c r="H2722" s="12">
        <f t="shared" si="127"/>
        <v>0.11402675622121167</v>
      </c>
      <c r="I2722" s="12">
        <f t="shared" si="128"/>
        <v>4.7778051330453777E-2</v>
      </c>
      <c r="J2722" s="12">
        <f>G2722*(D2722*Assumptions!$B$6+E2722*Assumptions!$B$7)</f>
        <v>3.5291701287348052E-3</v>
      </c>
    </row>
    <row r="2723" spans="1:10" x14ac:dyDescent="0.2">
      <c r="A2723" s="2">
        <v>2715</v>
      </c>
      <c r="B2723" s="14">
        <f>A2723*Assumptions!$B$12</f>
        <v>27.150000000000002</v>
      </c>
      <c r="C2723" s="15">
        <f>IF(A2723&lt;=Assumptions!$B$13,IF(OR(A2723=0,A2723=Assumptions!$B$13),0.5,1),0)*Assumptions!$B$12</f>
        <v>0</v>
      </c>
      <c r="D2723" s="12">
        <f>D2722*(1-Assumptions!$B$12*(Assumptions!$B$5+Assumptions!$B$6))</f>
        <v>0.44280658834058212</v>
      </c>
      <c r="E2723" s="12">
        <f>E2722+Assumptions!$B$12*(D2722*Assumptions!$B$5-E2722*Assumptions!$B$7)</f>
        <v>0.18559069328775368</v>
      </c>
      <c r="F2723" s="12">
        <f t="shared" si="126"/>
        <v>0.37160271837166425</v>
      </c>
      <c r="G2723" s="12">
        <f>EXP(-Assumptions!$B$8*B2723)</f>
        <v>0.25730323162967311</v>
      </c>
      <c r="H2723" s="12">
        <f t="shared" si="127"/>
        <v>0.11393556616694211</v>
      </c>
      <c r="I2723" s="12">
        <f t="shared" si="128"/>
        <v>4.7753085143330508E-2</v>
      </c>
      <c r="J2723" s="12">
        <f>G2723*(D2723*Assumptions!$B$6+E2723*Assumptions!$B$7)</f>
        <v>3.5270099188359464E-3</v>
      </c>
    </row>
    <row r="2724" spans="1:10" x14ac:dyDescent="0.2">
      <c r="A2724" s="2">
        <v>2716</v>
      </c>
      <c r="B2724" s="14">
        <f>A2724*Assumptions!$B$12</f>
        <v>27.16</v>
      </c>
      <c r="C2724" s="15">
        <f>IF(A2724&lt;=Assumptions!$B$13,IF(OR(A2724=0,A2724=Assumptions!$B$13),0.5,1),0)*Assumptions!$B$12</f>
        <v>0</v>
      </c>
      <c r="D2724" s="12">
        <f>D2723*(1-Assumptions!$B$12*(Assumptions!$B$5+Assumptions!$B$6))</f>
        <v>0.44267374636407997</v>
      </c>
      <c r="E2724" s="12">
        <f>E2723+Assumptions!$B$12*(D2723*Assumptions!$B$5-E2723*Assumptions!$B$7)</f>
        <v>0.18558645925877792</v>
      </c>
      <c r="F2724" s="12">
        <f t="shared" si="126"/>
        <v>0.37173979437714211</v>
      </c>
      <c r="G2724" s="12">
        <f>EXP(-Assumptions!$B$8*B2724)</f>
        <v>0.25717461217140242</v>
      </c>
      <c r="H2724" s="12">
        <f t="shared" si="127"/>
        <v>0.11384444903964402</v>
      </c>
      <c r="I2724" s="12">
        <f t="shared" si="128"/>
        <v>4.7728125684139991E-2</v>
      </c>
      <c r="J2724" s="12">
        <f>G2724*(D2724*Assumptions!$B$6+E2724*Assumptions!$B$7)</f>
        <v>3.5248507746034395E-3</v>
      </c>
    </row>
    <row r="2725" spans="1:10" x14ac:dyDescent="0.2">
      <c r="A2725" s="2">
        <v>2717</v>
      </c>
      <c r="B2725" s="14">
        <f>A2725*Assumptions!$B$12</f>
        <v>27.17</v>
      </c>
      <c r="C2725" s="15">
        <f>IF(A2725&lt;=Assumptions!$B$13,IF(OR(A2725=0,A2725=Assumptions!$B$13),0.5,1),0)*Assumptions!$B$12</f>
        <v>0</v>
      </c>
      <c r="D2725" s="12">
        <f>D2724*(1-Assumptions!$B$12*(Assumptions!$B$5+Assumptions!$B$6))</f>
        <v>0.44254094424017076</v>
      </c>
      <c r="E2725" s="12">
        <f>E2724+Assumptions!$B$12*(D2724*Assumptions!$B$5-E2724*Assumptions!$B$7)</f>
        <v>0.18558220077842136</v>
      </c>
      <c r="F2725" s="12">
        <f t="shared" si="126"/>
        <v>0.37187685498140788</v>
      </c>
      <c r="G2725" s="12">
        <f>EXP(-Assumptions!$B$8*B2725)</f>
        <v>0.25704605700678607</v>
      </c>
      <c r="H2725" s="12">
        <f t="shared" si="127"/>
        <v>0.11375340478099587</v>
      </c>
      <c r="I2725" s="12">
        <f t="shared" si="128"/>
        <v>4.7703172960734917E-2</v>
      </c>
      <c r="J2725" s="12">
        <f>G2725*(D2725*Assumptions!$B$6+E2725*Assumptions!$B$7)</f>
        <v>3.5226926958467041E-3</v>
      </c>
    </row>
    <row r="2726" spans="1:10" x14ac:dyDescent="0.2">
      <c r="A2726" s="2">
        <v>2718</v>
      </c>
      <c r="B2726" s="14">
        <f>A2726*Assumptions!$B$12</f>
        <v>27.18</v>
      </c>
      <c r="C2726" s="15">
        <f>IF(A2726&lt;=Assumptions!$B$13,IF(OR(A2726=0,A2726=Assumptions!$B$13),0.5,1),0)*Assumptions!$B$12</f>
        <v>0</v>
      </c>
      <c r="D2726" s="12">
        <f>D2725*(1-Assumptions!$B$12*(Assumptions!$B$5+Assumptions!$B$6))</f>
        <v>0.44240818195689874</v>
      </c>
      <c r="E2726" s="12">
        <f>E2725+Assumptions!$B$12*(D2725*Assumptions!$B$5-E2725*Assumptions!$B$7)</f>
        <v>0.18557791786688019</v>
      </c>
      <c r="F2726" s="12">
        <f t="shared" si="126"/>
        <v>0.37201390017622105</v>
      </c>
      <c r="G2726" s="12">
        <f>EXP(-Assumptions!$B$8*B2726)</f>
        <v>0.25691756610368544</v>
      </c>
      <c r="H2726" s="12">
        <f t="shared" si="127"/>
        <v>0.11366243333272283</v>
      </c>
      <c r="I2726" s="12">
        <f t="shared" si="128"/>
        <v>4.76782269809485E-2</v>
      </c>
      <c r="J2726" s="12">
        <f>G2726*(D2726*Assumptions!$B$6+E2726*Assumptions!$B$7)</f>
        <v>3.5205356823746533E-3</v>
      </c>
    </row>
    <row r="2727" spans="1:10" x14ac:dyDescent="0.2">
      <c r="A2727" s="2">
        <v>2719</v>
      </c>
      <c r="B2727" s="14">
        <f>A2727*Assumptions!$B$12</f>
        <v>27.19</v>
      </c>
      <c r="C2727" s="15">
        <f>IF(A2727&lt;=Assumptions!$B$13,IF(OR(A2727=0,A2727=Assumptions!$B$13),0.5,1),0)*Assumptions!$B$12</f>
        <v>0</v>
      </c>
      <c r="D2727" s="12">
        <f>D2726*(1-Assumptions!$B$12*(Assumptions!$B$5+Assumptions!$B$6))</f>
        <v>0.44227545950231167</v>
      </c>
      <c r="E2727" s="12">
        <f>E2726+Assumptions!$B$12*(D2726*Assumptions!$B$5-E2726*Assumptions!$B$7)</f>
        <v>0.18557361054433813</v>
      </c>
      <c r="F2727" s="12">
        <f t="shared" si="126"/>
        <v>0.37215092995335014</v>
      </c>
      <c r="G2727" s="12">
        <f>EXP(-Assumptions!$B$8*B2727)</f>
        <v>0.2567891394299775</v>
      </c>
      <c r="H2727" s="12">
        <f t="shared" si="127"/>
        <v>0.11357153463659647</v>
      </c>
      <c r="I2727" s="12">
        <f t="shared" si="128"/>
        <v>4.7653287752594385E-2</v>
      </c>
      <c r="J2727" s="12">
        <f>G2727*(D2727*Assumptions!$B$6+E2727*Assumptions!$B$7)</f>
        <v>3.518379733995684E-3</v>
      </c>
    </row>
    <row r="2728" spans="1:10" x14ac:dyDescent="0.2">
      <c r="A2728" s="2">
        <v>2720</v>
      </c>
      <c r="B2728" s="14">
        <f>A2728*Assumptions!$B$12</f>
        <v>27.2</v>
      </c>
      <c r="C2728" s="15">
        <f>IF(A2728&lt;=Assumptions!$B$13,IF(OR(A2728=0,A2728=Assumptions!$B$13),0.5,1),0)*Assumptions!$B$12</f>
        <v>0</v>
      </c>
      <c r="D2728" s="12">
        <f>D2727*(1-Assumptions!$B$12*(Assumptions!$B$5+Assumptions!$B$6))</f>
        <v>0.44214277686446102</v>
      </c>
      <c r="E2728" s="12">
        <f>E2727+Assumptions!$B$12*(D2727*Assumptions!$B$5-E2727*Assumptions!$B$7)</f>
        <v>0.18556927883096641</v>
      </c>
      <c r="F2728" s="12">
        <f t="shared" si="126"/>
        <v>0.37228794430457257</v>
      </c>
      <c r="G2728" s="12">
        <f>EXP(-Assumptions!$B$8*B2728)</f>
        <v>0.25666077695355588</v>
      </c>
      <c r="H2728" s="12">
        <f t="shared" si="127"/>
        <v>0.11348070863443525</v>
      </c>
      <c r="I2728" s="12">
        <f t="shared" si="128"/>
        <v>4.7628355283466886E-2</v>
      </c>
      <c r="J2728" s="12">
        <f>G2728*(D2728*Assumptions!$B$6+E2728*Assumptions!$B$7)</f>
        <v>3.5162248505176972E-3</v>
      </c>
    </row>
    <row r="2729" spans="1:10" x14ac:dyDescent="0.2">
      <c r="A2729" s="2">
        <v>2721</v>
      </c>
      <c r="B2729" s="14">
        <f>A2729*Assumptions!$B$12</f>
        <v>27.21</v>
      </c>
      <c r="C2729" s="15">
        <f>IF(A2729&lt;=Assumptions!$B$13,IF(OR(A2729=0,A2729=Assumptions!$B$13),0.5,1),0)*Assumptions!$B$12</f>
        <v>0</v>
      </c>
      <c r="D2729" s="12">
        <f>D2728*(1-Assumptions!$B$12*(Assumptions!$B$5+Assumptions!$B$6))</f>
        <v>0.44201013403140171</v>
      </c>
      <c r="E2729" s="12">
        <f>E2728+Assumptions!$B$12*(D2728*Assumptions!$B$5-E2728*Assumptions!$B$7)</f>
        <v>0.18556492274692382</v>
      </c>
      <c r="F2729" s="12">
        <f t="shared" si="126"/>
        <v>0.37242494322167441</v>
      </c>
      <c r="G2729" s="12">
        <f>EXP(-Assumptions!$B$8*B2729)</f>
        <v>0.25653247864232975</v>
      </c>
      <c r="H2729" s="12">
        <f t="shared" si="127"/>
        <v>0.11338995526810387</v>
      </c>
      <c r="I2729" s="12">
        <f t="shared" si="128"/>
        <v>4.7603429581340805E-2</v>
      </c>
      <c r="J2729" s="12">
        <f>G2729*(D2729*Assumptions!$B$6+E2729*Assumptions!$B$7)</f>
        <v>3.5140710317480795E-3</v>
      </c>
    </row>
    <row r="2730" spans="1:10" x14ac:dyDescent="0.2">
      <c r="A2730" s="2">
        <v>2722</v>
      </c>
      <c r="B2730" s="14">
        <f>A2730*Assumptions!$B$12</f>
        <v>27.22</v>
      </c>
      <c r="C2730" s="15">
        <f>IF(A2730&lt;=Assumptions!$B$13,IF(OR(A2730=0,A2730=Assumptions!$B$13),0.5,1),0)*Assumptions!$B$12</f>
        <v>0</v>
      </c>
      <c r="D2730" s="12">
        <f>D2729*(1-Assumptions!$B$12*(Assumptions!$B$5+Assumptions!$B$6))</f>
        <v>0.44187753099119231</v>
      </c>
      <c r="E2730" s="12">
        <f>E2729+Assumptions!$B$12*(D2729*Assumptions!$B$5-E2729*Assumptions!$B$7)</f>
        <v>0.18556054231235664</v>
      </c>
      <c r="F2730" s="12">
        <f t="shared" si="126"/>
        <v>0.37256192669645105</v>
      </c>
      <c r="G2730" s="12">
        <f>EXP(-Assumptions!$B$8*B2730)</f>
        <v>0.25640424446422472</v>
      </c>
      <c r="H2730" s="12">
        <f t="shared" si="127"/>
        <v>0.11329927447951371</v>
      </c>
      <c r="I2730" s="12">
        <f t="shared" si="128"/>
        <v>4.7578510653971604E-2</v>
      </c>
      <c r="J2730" s="12">
        <f>G2730*(D2730*Assumptions!$B$6+E2730*Assumptions!$B$7)</f>
        <v>3.5119182774937174E-3</v>
      </c>
    </row>
    <row r="2731" spans="1:10" x14ac:dyDescent="0.2">
      <c r="A2731" s="2">
        <v>2723</v>
      </c>
      <c r="B2731" s="14">
        <f>A2731*Assumptions!$B$12</f>
        <v>27.23</v>
      </c>
      <c r="C2731" s="15">
        <f>IF(A2731&lt;=Assumptions!$B$13,IF(OR(A2731=0,A2731=Assumptions!$B$13),0.5,1),0)*Assumptions!$B$12</f>
        <v>0</v>
      </c>
      <c r="D2731" s="12">
        <f>D2730*(1-Assumptions!$B$12*(Assumptions!$B$5+Assumptions!$B$6))</f>
        <v>0.44174496773189498</v>
      </c>
      <c r="E2731" s="12">
        <f>E2730+Assumptions!$B$12*(D2730*Assumptions!$B$5-E2730*Assumptions!$B$7)</f>
        <v>0.18555613754739869</v>
      </c>
      <c r="F2731" s="12">
        <f t="shared" si="126"/>
        <v>0.37269889472070633</v>
      </c>
      <c r="G2731" s="12">
        <f>EXP(-Assumptions!$B$8*B2731)</f>
        <v>0.25627607438718203</v>
      </c>
      <c r="H2731" s="12">
        <f t="shared" si="127"/>
        <v>0.11320866621062244</v>
      </c>
      <c r="I2731" s="12">
        <f t="shared" si="128"/>
        <v>4.7553598509095331E-2</v>
      </c>
      <c r="J2731" s="12">
        <f>G2731*(D2731*Assumptions!$B$6+E2731*Assumptions!$B$7)</f>
        <v>3.5097665875609908E-3</v>
      </c>
    </row>
    <row r="2732" spans="1:10" x14ac:dyDescent="0.2">
      <c r="A2732" s="2">
        <v>2724</v>
      </c>
      <c r="B2732" s="14">
        <f>A2732*Assumptions!$B$12</f>
        <v>27.240000000000002</v>
      </c>
      <c r="C2732" s="15">
        <f>IF(A2732&lt;=Assumptions!$B$13,IF(OR(A2732=0,A2732=Assumptions!$B$13),0.5,1),0)*Assumptions!$B$12</f>
        <v>0</v>
      </c>
      <c r="D2732" s="12">
        <f>D2731*(1-Assumptions!$B$12*(Assumptions!$B$5+Assumptions!$B$6))</f>
        <v>0.44161244424157542</v>
      </c>
      <c r="E2732" s="12">
        <f>E2731+Assumptions!$B$12*(D2731*Assumptions!$B$5-E2731*Assumptions!$B$7)</f>
        <v>0.18555170847217137</v>
      </c>
      <c r="F2732" s="12">
        <f t="shared" si="126"/>
        <v>0.37283584728625319</v>
      </c>
      <c r="G2732" s="12">
        <f>EXP(-Assumptions!$B$8*B2732)</f>
        <v>0.25614796837915932</v>
      </c>
      <c r="H2732" s="12">
        <f t="shared" si="127"/>
        <v>0.11311813040343432</v>
      </c>
      <c r="I2732" s="12">
        <f t="shared" si="128"/>
        <v>4.7528693154428737E-2</v>
      </c>
      <c r="J2732" s="12">
        <f>G2732*(D2732*Assumptions!$B$6+E2732*Assumptions!$B$7)</f>
        <v>3.5076159617557804E-3</v>
      </c>
    </row>
    <row r="2733" spans="1:10" x14ac:dyDescent="0.2">
      <c r="A2733" s="2">
        <v>2725</v>
      </c>
      <c r="B2733" s="14">
        <f>A2733*Assumptions!$B$12</f>
        <v>27.25</v>
      </c>
      <c r="C2733" s="15">
        <f>IF(A2733&lt;=Assumptions!$B$13,IF(OR(A2733=0,A2733=Assumptions!$B$13),0.5,1),0)*Assumptions!$B$12</f>
        <v>0</v>
      </c>
      <c r="D2733" s="12">
        <f>D2732*(1-Assumptions!$B$12*(Assumptions!$B$5+Assumptions!$B$6))</f>
        <v>0.44147996050830296</v>
      </c>
      <c r="E2733" s="12">
        <f>E2732+Assumptions!$B$12*(D2732*Assumptions!$B$5-E2732*Assumptions!$B$7)</f>
        <v>0.1855472551067836</v>
      </c>
      <c r="F2733" s="12">
        <f t="shared" si="126"/>
        <v>0.37297278438491344</v>
      </c>
      <c r="G2733" s="12">
        <f>EXP(-Assumptions!$B$8*B2733)</f>
        <v>0.25601992640813004</v>
      </c>
      <c r="H2733" s="12">
        <f t="shared" si="127"/>
        <v>0.11302766699999987</v>
      </c>
      <c r="I2733" s="12">
        <f t="shared" si="128"/>
        <v>4.750379459766927E-2</v>
      </c>
      <c r="J2733" s="12">
        <f>G2733*(D2733*Assumptions!$B$6+E2733*Assumptions!$B$7)</f>
        <v>3.5054663998834623E-3</v>
      </c>
    </row>
    <row r="2734" spans="1:10" x14ac:dyDescent="0.2">
      <c r="A2734" s="2">
        <v>2726</v>
      </c>
      <c r="B2734" s="14">
        <f>A2734*Assumptions!$B$12</f>
        <v>27.26</v>
      </c>
      <c r="C2734" s="15">
        <f>IF(A2734&lt;=Assumptions!$B$13,IF(OR(A2734=0,A2734=Assumptions!$B$13),0.5,1),0)*Assumptions!$B$12</f>
        <v>0</v>
      </c>
      <c r="D2734" s="12">
        <f>D2733*(1-Assumptions!$B$12*(Assumptions!$B$5+Assumptions!$B$6))</f>
        <v>0.44134751652015047</v>
      </c>
      <c r="E2734" s="12">
        <f>E2733+Assumptions!$B$12*(D2733*Assumptions!$B$5-E2733*Assumptions!$B$7)</f>
        <v>0.18554277747133188</v>
      </c>
      <c r="F2734" s="12">
        <f t="shared" si="126"/>
        <v>0.37310970600851767</v>
      </c>
      <c r="G2734" s="12">
        <f>EXP(-Assumptions!$B$8*B2734)</f>
        <v>0.25589194844208368</v>
      </c>
      <c r="H2734" s="12">
        <f t="shared" si="127"/>
        <v>0.11293727594241602</v>
      </c>
      <c r="I2734" s="12">
        <f t="shared" si="128"/>
        <v>4.7478902846495065E-2</v>
      </c>
      <c r="J2734" s="12">
        <f>G2734*(D2734*Assumptions!$B$6+E2734*Assumptions!$B$7)</f>
        <v>3.5033179017489135E-3</v>
      </c>
    </row>
    <row r="2735" spans="1:10" x14ac:dyDescent="0.2">
      <c r="A2735" s="2">
        <v>2727</v>
      </c>
      <c r="B2735" s="14">
        <f>A2735*Assumptions!$B$12</f>
        <v>27.27</v>
      </c>
      <c r="C2735" s="15">
        <f>IF(A2735&lt;=Assumptions!$B$13,IF(OR(A2735=0,A2735=Assumptions!$B$13),0.5,1),0)*Assumptions!$B$12</f>
        <v>0</v>
      </c>
      <c r="D2735" s="12">
        <f>D2734*(1-Assumptions!$B$12*(Assumptions!$B$5+Assumptions!$B$6))</f>
        <v>0.44121511226519444</v>
      </c>
      <c r="E2735" s="12">
        <f>E2734+Assumptions!$B$12*(D2734*Assumptions!$B$5-E2734*Assumptions!$B$7)</f>
        <v>0.18553827558590025</v>
      </c>
      <c r="F2735" s="12">
        <f t="shared" si="126"/>
        <v>0.37324661214890537</v>
      </c>
      <c r="G2735" s="12">
        <f>EXP(-Assumptions!$B$8*B2735)</f>
        <v>0.25576403444902579</v>
      </c>
      <c r="H2735" s="12">
        <f t="shared" si="127"/>
        <v>0.11284695717282597</v>
      </c>
      <c r="I2735" s="12">
        <f t="shared" si="128"/>
        <v>4.745401790856503E-2</v>
      </c>
      <c r="J2735" s="12">
        <f>G2735*(D2735*Assumptions!$B$6+E2735*Assumptions!$B$7)</f>
        <v>3.5011704671565119E-3</v>
      </c>
    </row>
    <row r="2736" spans="1:10" x14ac:dyDescent="0.2">
      <c r="A2736" s="2">
        <v>2728</v>
      </c>
      <c r="B2736" s="14">
        <f>A2736*Assumptions!$B$12</f>
        <v>27.28</v>
      </c>
      <c r="C2736" s="15">
        <f>IF(A2736&lt;=Assumptions!$B$13,IF(OR(A2736=0,A2736=Assumptions!$B$13),0.5,1),0)*Assumptions!$B$12</f>
        <v>0</v>
      </c>
      <c r="D2736" s="12">
        <f>D2735*(1-Assumptions!$B$12*(Assumptions!$B$5+Assumptions!$B$6))</f>
        <v>0.4410827477315149</v>
      </c>
      <c r="E2736" s="12">
        <f>E2735+Assumptions!$B$12*(D2735*Assumptions!$B$5-E2735*Assumptions!$B$7)</f>
        <v>0.18553374947056034</v>
      </c>
      <c r="F2736" s="12">
        <f t="shared" si="126"/>
        <v>0.37338350279792476</v>
      </c>
      <c r="G2736" s="12">
        <f>EXP(-Assumptions!$B$8*B2736)</f>
        <v>0.25563618439697783</v>
      </c>
      <c r="H2736" s="12">
        <f t="shared" si="127"/>
        <v>0.1127567106334192</v>
      </c>
      <c r="I2736" s="12">
        <f t="shared" si="128"/>
        <v>4.7429139791518853E-2</v>
      </c>
      <c r="J2736" s="12">
        <f>G2736*(D2736*Assumptions!$B$6+E2736*Assumptions!$B$7)</f>
        <v>3.4990240959101343E-3</v>
      </c>
    </row>
    <row r="2737" spans="1:10" x14ac:dyDescent="0.2">
      <c r="A2737" s="2">
        <v>2729</v>
      </c>
      <c r="B2737" s="14">
        <f>A2737*Assumptions!$B$12</f>
        <v>27.29</v>
      </c>
      <c r="C2737" s="15">
        <f>IF(A2737&lt;=Assumptions!$B$13,IF(OR(A2737=0,A2737=Assumptions!$B$13),0.5,1),0)*Assumptions!$B$12</f>
        <v>0</v>
      </c>
      <c r="D2737" s="12">
        <f>D2736*(1-Assumptions!$B$12*(Assumptions!$B$5+Assumptions!$B$6))</f>
        <v>0.44095042290719544</v>
      </c>
      <c r="E2737" s="12">
        <f>E2736+Assumptions!$B$12*(D2736*Assumptions!$B$5-E2736*Assumptions!$B$7)</f>
        <v>0.18552919914537136</v>
      </c>
      <c r="F2737" s="12">
        <f t="shared" si="126"/>
        <v>0.3735203779474332</v>
      </c>
      <c r="G2737" s="12">
        <f>EXP(-Assumptions!$B$8*B2737)</f>
        <v>0.25550839825397731</v>
      </c>
      <c r="H2737" s="12">
        <f t="shared" si="127"/>
        <v>0.11266653626643142</v>
      </c>
      <c r="I2737" s="12">
        <f t="shared" si="128"/>
        <v>4.7404268502977014E-2</v>
      </c>
      <c r="J2737" s="12">
        <f>G2737*(D2737*Assumptions!$B$6+E2737*Assumptions!$B$7)</f>
        <v>3.4968787878131651E-3</v>
      </c>
    </row>
    <row r="2738" spans="1:10" x14ac:dyDescent="0.2">
      <c r="A2738" s="2">
        <v>2730</v>
      </c>
      <c r="B2738" s="14">
        <f>A2738*Assumptions!$B$12</f>
        <v>27.3</v>
      </c>
      <c r="C2738" s="15">
        <f>IF(A2738&lt;=Assumptions!$B$13,IF(OR(A2738=0,A2738=Assumptions!$B$13),0.5,1),0)*Assumptions!$B$12</f>
        <v>0</v>
      </c>
      <c r="D2738" s="12">
        <f>D2737*(1-Assumptions!$B$12*(Assumptions!$B$5+Assumptions!$B$6))</f>
        <v>0.4408181377803233</v>
      </c>
      <c r="E2738" s="12">
        <f>E2737+Assumptions!$B$12*(D2737*Assumptions!$B$5-E2737*Assumptions!$B$7)</f>
        <v>0.18552462463038011</v>
      </c>
      <c r="F2738" s="12">
        <f t="shared" si="126"/>
        <v>0.37365723758929659</v>
      </c>
      <c r="G2738" s="12">
        <f>EXP(-Assumptions!$B$8*B2738)</f>
        <v>0.25538067598807762</v>
      </c>
      <c r="H2738" s="12">
        <f t="shared" si="127"/>
        <v>0.11257643401414451</v>
      </c>
      <c r="I2738" s="12">
        <f t="shared" si="128"/>
        <v>4.7379404050540828E-2</v>
      </c>
      <c r="J2738" s="12">
        <f>G2738*(D2738*Assumptions!$B$6+E2738*Assumptions!$B$7)</f>
        <v>3.4947345426684863E-3</v>
      </c>
    </row>
    <row r="2739" spans="1:10" x14ac:dyDescent="0.2">
      <c r="A2739" s="2">
        <v>2731</v>
      </c>
      <c r="B2739" s="14">
        <f>A2739*Assumptions!$B$12</f>
        <v>27.310000000000002</v>
      </c>
      <c r="C2739" s="15">
        <f>IF(A2739&lt;=Assumptions!$B$13,IF(OR(A2739=0,A2739=Assumptions!$B$13),0.5,1),0)*Assumptions!$B$12</f>
        <v>0</v>
      </c>
      <c r="D2739" s="12">
        <f>D2738*(1-Assumptions!$B$12*(Assumptions!$B$5+Assumptions!$B$6))</f>
        <v>0.44068589233898925</v>
      </c>
      <c r="E2739" s="12">
        <f>E2738+Assumptions!$B$12*(D2738*Assumptions!$B$5-E2738*Assumptions!$B$7)</f>
        <v>0.18552002594562098</v>
      </c>
      <c r="F2739" s="12">
        <f t="shared" si="126"/>
        <v>0.37379408171538975</v>
      </c>
      <c r="G2739" s="12">
        <f>EXP(-Assumptions!$B$8*B2739)</f>
        <v>0.25525301756734836</v>
      </c>
      <c r="H2739" s="12">
        <f t="shared" si="127"/>
        <v>0.11248640381888661</v>
      </c>
      <c r="I2739" s="12">
        <f t="shared" si="128"/>
        <v>4.7354546441792517E-2</v>
      </c>
      <c r="J2739" s="12">
        <f>G2739*(D2739*Assumptions!$B$6+E2739*Assumptions!$B$7)</f>
        <v>3.4925913602784917E-3</v>
      </c>
    </row>
    <row r="2740" spans="1:10" x14ac:dyDescent="0.2">
      <c r="A2740" s="2">
        <v>2732</v>
      </c>
      <c r="B2740" s="14">
        <f>A2740*Assumptions!$B$12</f>
        <v>27.32</v>
      </c>
      <c r="C2740" s="15">
        <f>IF(A2740&lt;=Assumptions!$B$13,IF(OR(A2740=0,A2740=Assumptions!$B$13),0.5,1),0)*Assumptions!$B$12</f>
        <v>0</v>
      </c>
      <c r="D2740" s="12">
        <f>D2739*(1-Assumptions!$B$12*(Assumptions!$B$5+Assumptions!$B$6))</f>
        <v>0.44055368657128757</v>
      </c>
      <c r="E2740" s="12">
        <f>E2739+Assumptions!$B$12*(D2739*Assumptions!$B$5-E2739*Assumptions!$B$7)</f>
        <v>0.18551540311111597</v>
      </c>
      <c r="F2740" s="12">
        <f t="shared" si="126"/>
        <v>0.37393091031759645</v>
      </c>
      <c r="G2740" s="12">
        <f>EXP(-Assumptions!$B$8*B2740)</f>
        <v>0.25512542295987478</v>
      </c>
      <c r="H2740" s="12">
        <f t="shared" si="127"/>
        <v>0.11239644562303185</v>
      </c>
      <c r="I2740" s="12">
        <f t="shared" si="128"/>
        <v>4.7329695684295132E-2</v>
      </c>
      <c r="J2740" s="12">
        <f>G2740*(D2740*Assumptions!$B$6+E2740*Assumptions!$B$7)</f>
        <v>3.4904492404450749E-3</v>
      </c>
    </row>
    <row r="2741" spans="1:10" x14ac:dyDescent="0.2">
      <c r="A2741" s="2">
        <v>2733</v>
      </c>
      <c r="B2741" s="14">
        <f>A2741*Assumptions!$B$12</f>
        <v>27.330000000000002</v>
      </c>
      <c r="C2741" s="15">
        <f>IF(A2741&lt;=Assumptions!$B$13,IF(OR(A2741=0,A2741=Assumptions!$B$13),0.5,1),0)*Assumptions!$B$12</f>
        <v>0</v>
      </c>
      <c r="D2741" s="12">
        <f>D2740*(1-Assumptions!$B$12*(Assumptions!$B$5+Assumptions!$B$6))</f>
        <v>0.44042152046531619</v>
      </c>
      <c r="E2741" s="12">
        <f>E2740+Assumptions!$B$12*(D2740*Assumptions!$B$5-E2740*Assumptions!$B$7)</f>
        <v>0.18551075614687468</v>
      </c>
      <c r="F2741" s="12">
        <f t="shared" si="126"/>
        <v>0.37406772338780919</v>
      </c>
      <c r="G2741" s="12">
        <f>EXP(-Assumptions!$B$8*B2741)</f>
        <v>0.25499789213375823</v>
      </c>
      <c r="H2741" s="12">
        <f t="shared" si="127"/>
        <v>0.11230655936900048</v>
      </c>
      <c r="I2741" s="12">
        <f t="shared" si="128"/>
        <v>4.7304851785592676E-2</v>
      </c>
      <c r="J2741" s="12">
        <f>G2741*(D2741*Assumptions!$B$6+E2741*Assumptions!$B$7)</f>
        <v>3.4883081829696389E-3</v>
      </c>
    </row>
    <row r="2742" spans="1:10" x14ac:dyDescent="0.2">
      <c r="A2742" s="2">
        <v>2734</v>
      </c>
      <c r="B2742" s="14">
        <f>A2742*Assumptions!$B$12</f>
        <v>27.34</v>
      </c>
      <c r="C2742" s="15">
        <f>IF(A2742&lt;=Assumptions!$B$13,IF(OR(A2742=0,A2742=Assumptions!$B$13),0.5,1),0)*Assumptions!$B$12</f>
        <v>0</v>
      </c>
      <c r="D2742" s="12">
        <f>D2741*(1-Assumptions!$B$12*(Assumptions!$B$5+Assumptions!$B$6))</f>
        <v>0.4402893940091766</v>
      </c>
      <c r="E2742" s="12">
        <f>E2741+Assumptions!$B$12*(D2741*Assumptions!$B$5-E2741*Assumptions!$B$7)</f>
        <v>0.18550608507289432</v>
      </c>
      <c r="F2742" s="12">
        <f t="shared" si="126"/>
        <v>0.37420452091792911</v>
      </c>
      <c r="G2742" s="12">
        <f>EXP(-Assumptions!$B$8*B2742)</f>
        <v>0.25487042505711616</v>
      </c>
      <c r="H2742" s="12">
        <f t="shared" si="127"/>
        <v>0.11221674499925893</v>
      </c>
      <c r="I2742" s="12">
        <f t="shared" si="128"/>
        <v>4.7280014753210128E-2</v>
      </c>
      <c r="J2742" s="12">
        <f>G2742*(D2742*Assumptions!$B$6+E2742*Assumptions!$B$7)</f>
        <v>3.4861681876530957E-3</v>
      </c>
    </row>
    <row r="2743" spans="1:10" x14ac:dyDescent="0.2">
      <c r="A2743" s="2">
        <v>2735</v>
      </c>
      <c r="B2743" s="14">
        <f>A2743*Assumptions!$B$12</f>
        <v>27.35</v>
      </c>
      <c r="C2743" s="15">
        <f>IF(A2743&lt;=Assumptions!$B$13,IF(OR(A2743=0,A2743=Assumptions!$B$13),0.5,1),0)*Assumptions!$B$12</f>
        <v>0</v>
      </c>
      <c r="D2743" s="12">
        <f>D2742*(1-Assumptions!$B$12*(Assumptions!$B$5+Assumptions!$B$6))</f>
        <v>0.44015730719097385</v>
      </c>
      <c r="E2743" s="12">
        <f>E2742+Assumptions!$B$12*(D2742*Assumptions!$B$5-E2742*Assumptions!$B$7)</f>
        <v>0.18550138990915971</v>
      </c>
      <c r="F2743" s="12">
        <f t="shared" si="126"/>
        <v>0.37434130289986639</v>
      </c>
      <c r="G2743" s="12">
        <f>EXP(-Assumptions!$B$8*B2743)</f>
        <v>0.25474302169808155</v>
      </c>
      <c r="H2743" s="12">
        <f t="shared" si="127"/>
        <v>0.1121270024563194</v>
      </c>
      <c r="I2743" s="12">
        <f t="shared" si="128"/>
        <v>4.725518459465336E-2</v>
      </c>
      <c r="J2743" s="12">
        <f>G2743*(D2743*Assumptions!$B$6+E2743*Assumptions!$B$7)</f>
        <v>3.4840292542958622E-3</v>
      </c>
    </row>
    <row r="2744" spans="1:10" x14ac:dyDescent="0.2">
      <c r="A2744" s="2">
        <v>2736</v>
      </c>
      <c r="B2744" s="14">
        <f>A2744*Assumptions!$B$12</f>
        <v>27.36</v>
      </c>
      <c r="C2744" s="15">
        <f>IF(A2744&lt;=Assumptions!$B$13,IF(OR(A2744=0,A2744=Assumptions!$B$13),0.5,1),0)*Assumptions!$B$12</f>
        <v>0</v>
      </c>
      <c r="D2744" s="12">
        <f>D2743*(1-Assumptions!$B$12*(Assumptions!$B$5+Assumptions!$B$6))</f>
        <v>0.44002525999881659</v>
      </c>
      <c r="E2744" s="12">
        <f>E2743+Assumptions!$B$12*(D2743*Assumptions!$B$5-E2743*Assumptions!$B$7)</f>
        <v>0.18549667067564332</v>
      </c>
      <c r="F2744" s="12">
        <f t="shared" si="126"/>
        <v>0.37447806932554006</v>
      </c>
      <c r="G2744" s="12">
        <f>EXP(-Assumptions!$B$8*B2744)</f>
        <v>0.25461568202480372</v>
      </c>
      <c r="H2744" s="12">
        <f t="shared" si="127"/>
        <v>0.11203733168274027</v>
      </c>
      <c r="I2744" s="12">
        <f t="shared" si="128"/>
        <v>4.7230361317409333E-2</v>
      </c>
      <c r="J2744" s="12">
        <f>G2744*(D2744*Assumptions!$B$6+E2744*Assumptions!$B$7)</f>
        <v>3.481891382697869E-3</v>
      </c>
    </row>
    <row r="2745" spans="1:10" x14ac:dyDescent="0.2">
      <c r="A2745" s="2">
        <v>2737</v>
      </c>
      <c r="B2745" s="14">
        <f>A2745*Assumptions!$B$12</f>
        <v>27.37</v>
      </c>
      <c r="C2745" s="15">
        <f>IF(A2745&lt;=Assumptions!$B$13,IF(OR(A2745=0,A2745=Assumptions!$B$13),0.5,1),0)*Assumptions!$B$12</f>
        <v>0</v>
      </c>
      <c r="D2745" s="12">
        <f>D2744*(1-Assumptions!$B$12*(Assumptions!$B$5+Assumptions!$B$6))</f>
        <v>0.43989325242081695</v>
      </c>
      <c r="E2745" s="12">
        <f>E2744+Assumptions!$B$12*(D2744*Assumptions!$B$5-E2744*Assumptions!$B$7)</f>
        <v>0.18549192739230527</v>
      </c>
      <c r="F2745" s="12">
        <f t="shared" si="126"/>
        <v>0.37461482018687775</v>
      </c>
      <c r="G2745" s="12">
        <f>EXP(-Assumptions!$B$8*B2745)</f>
        <v>0.25448840600544775</v>
      </c>
      <c r="H2745" s="12">
        <f t="shared" si="127"/>
        <v>0.11194773262112577</v>
      </c>
      <c r="I2745" s="12">
        <f t="shared" si="128"/>
        <v>4.7205544928946019E-2</v>
      </c>
      <c r="J2745" s="12">
        <f>G2745*(D2745*Assumptions!$B$6+E2745*Assumptions!$B$7)</f>
        <v>3.4797545726585589E-3</v>
      </c>
    </row>
    <row r="2746" spans="1:10" x14ac:dyDescent="0.2">
      <c r="A2746" s="2">
        <v>2738</v>
      </c>
      <c r="B2746" s="14">
        <f>A2746*Assumptions!$B$12</f>
        <v>27.38</v>
      </c>
      <c r="C2746" s="15">
        <f>IF(A2746&lt;=Assumptions!$B$13,IF(OR(A2746=0,A2746=Assumptions!$B$13),0.5,1),0)*Assumptions!$B$12</f>
        <v>0</v>
      </c>
      <c r="D2746" s="12">
        <f>D2745*(1-Assumptions!$B$12*(Assumptions!$B$5+Assumptions!$B$6))</f>
        <v>0.43976128444509072</v>
      </c>
      <c r="E2746" s="12">
        <f>E2745+Assumptions!$B$12*(D2745*Assumptions!$B$5-E2745*Assumptions!$B$7)</f>
        <v>0.18548716007909327</v>
      </c>
      <c r="F2746" s="12">
        <f t="shared" si="126"/>
        <v>0.37475155547581607</v>
      </c>
      <c r="G2746" s="12">
        <f>EXP(-Assumptions!$B$8*B2746)</f>
        <v>0.25436119360819465</v>
      </c>
      <c r="H2746" s="12">
        <f t="shared" si="127"/>
        <v>0.11185820521412608</v>
      </c>
      <c r="I2746" s="12">
        <f t="shared" si="128"/>
        <v>4.7180735436712438E-2</v>
      </c>
      <c r="J2746" s="12">
        <f>G2746*(D2746*Assumptions!$B$6+E2746*Assumptions!$B$7)</f>
        <v>3.4776188239768828E-3</v>
      </c>
    </row>
    <row r="2747" spans="1:10" x14ac:dyDescent="0.2">
      <c r="A2747" s="2">
        <v>2739</v>
      </c>
      <c r="B2747" s="14">
        <f>A2747*Assumptions!$B$12</f>
        <v>27.39</v>
      </c>
      <c r="C2747" s="15">
        <f>IF(A2747&lt;=Assumptions!$B$13,IF(OR(A2747=0,A2747=Assumptions!$B$13),0.5,1),0)*Assumptions!$B$12</f>
        <v>0</v>
      </c>
      <c r="D2747" s="12">
        <f>D2746*(1-Assumptions!$B$12*(Assumptions!$B$5+Assumptions!$B$6))</f>
        <v>0.43962935605975723</v>
      </c>
      <c r="E2747" s="12">
        <f>E2746+Assumptions!$B$12*(D2746*Assumptions!$B$5-E2746*Assumptions!$B$7)</f>
        <v>0.18548236875594273</v>
      </c>
      <c r="F2747" s="12">
        <f t="shared" si="126"/>
        <v>0.37488827518430001</v>
      </c>
      <c r="G2747" s="12">
        <f>EXP(-Assumptions!$B$8*B2747)</f>
        <v>0.25423404480124118</v>
      </c>
      <c r="H2747" s="12">
        <f t="shared" si="127"/>
        <v>0.11176874940443712</v>
      </c>
      <c r="I2747" s="12">
        <f t="shared" si="128"/>
        <v>4.7155932848138682E-2</v>
      </c>
      <c r="J2747" s="12">
        <f>G2747*(D2747*Assumptions!$B$6+E2747*Assumptions!$B$7)</f>
        <v>3.4754841364513056E-3</v>
      </c>
    </row>
    <row r="2748" spans="1:10" x14ac:dyDescent="0.2">
      <c r="A2748" s="2">
        <v>2740</v>
      </c>
      <c r="B2748" s="14">
        <f>A2748*Assumptions!$B$12</f>
        <v>27.400000000000002</v>
      </c>
      <c r="C2748" s="15">
        <f>IF(A2748&lt;=Assumptions!$B$13,IF(OR(A2748=0,A2748=Assumptions!$B$13),0.5,1),0)*Assumptions!$B$12</f>
        <v>0</v>
      </c>
      <c r="D2748" s="12">
        <f>D2747*(1-Assumptions!$B$12*(Assumptions!$B$5+Assumptions!$B$6))</f>
        <v>0.43949746725293931</v>
      </c>
      <c r="E2748" s="12">
        <f>E2747+Assumptions!$B$12*(D2747*Assumptions!$B$5-E2747*Assumptions!$B$7)</f>
        <v>0.18547755344277672</v>
      </c>
      <c r="F2748" s="12">
        <f t="shared" si="126"/>
        <v>0.37502497930428402</v>
      </c>
      <c r="G2748" s="12">
        <f>EXP(-Assumptions!$B$8*B2748)</f>
        <v>0.25410695955280027</v>
      </c>
      <c r="H2748" s="12">
        <f t="shared" si="127"/>
        <v>0.11167936513480081</v>
      </c>
      <c r="I2748" s="12">
        <f t="shared" si="128"/>
        <v>4.7131137170636016E-2</v>
      </c>
      <c r="J2748" s="12">
        <f>G2748*(D2748*Assumptions!$B$6+E2748*Assumptions!$B$7)</f>
        <v>3.473350509879809E-3</v>
      </c>
    </row>
    <row r="2749" spans="1:10" x14ac:dyDescent="0.2">
      <c r="A2749" s="2">
        <v>2741</v>
      </c>
      <c r="B2749" s="14">
        <f>A2749*Assumptions!$B$12</f>
        <v>27.41</v>
      </c>
      <c r="C2749" s="15">
        <f>IF(A2749&lt;=Assumptions!$B$13,IF(OR(A2749=0,A2749=Assumptions!$B$13),0.5,1),0)*Assumptions!$B$12</f>
        <v>0</v>
      </c>
      <c r="D2749" s="12">
        <f>D2748*(1-Assumptions!$B$12*(Assumptions!$B$5+Assumptions!$B$6))</f>
        <v>0.43936561801276347</v>
      </c>
      <c r="E2749" s="12">
        <f>E2748+Assumptions!$B$12*(D2748*Assumptions!$B$5-E2748*Assumptions!$B$7)</f>
        <v>0.18547271415950592</v>
      </c>
      <c r="F2749" s="12">
        <f t="shared" si="126"/>
        <v>0.37516166782773064</v>
      </c>
      <c r="G2749" s="12">
        <f>EXP(-Assumptions!$B$8*B2749)</f>
        <v>0.25397993783110062</v>
      </c>
      <c r="H2749" s="12">
        <f t="shared" si="127"/>
        <v>0.11159005234800477</v>
      </c>
      <c r="I2749" s="12">
        <f t="shared" si="128"/>
        <v>4.7106348411596811E-2</v>
      </c>
      <c r="J2749" s="12">
        <f>G2749*(D2749*Assumptions!$B$6+E2749*Assumptions!$B$7)</f>
        <v>3.4712179440598888E-3</v>
      </c>
    </row>
    <row r="2750" spans="1:10" x14ac:dyDescent="0.2">
      <c r="A2750" s="2">
        <v>2742</v>
      </c>
      <c r="B2750" s="14">
        <f>A2750*Assumptions!$B$12</f>
        <v>27.42</v>
      </c>
      <c r="C2750" s="15">
        <f>IF(A2750&lt;=Assumptions!$B$13,IF(OR(A2750=0,A2750=Assumptions!$B$13),0.5,1),0)*Assumptions!$B$12</f>
        <v>0</v>
      </c>
      <c r="D2750" s="12">
        <f>D2749*(1-Assumptions!$B$12*(Assumptions!$B$5+Assumptions!$B$6))</f>
        <v>0.43923380832735964</v>
      </c>
      <c r="E2750" s="12">
        <f>E2749+Assumptions!$B$12*(D2749*Assumptions!$B$5-E2749*Assumptions!$B$7)</f>
        <v>0.18546785092602872</v>
      </c>
      <c r="F2750" s="12">
        <f t="shared" si="126"/>
        <v>0.37529834074661161</v>
      </c>
      <c r="G2750" s="12">
        <f>EXP(-Assumptions!$B$8*B2750)</f>
        <v>0.25385297960438663</v>
      </c>
      <c r="H2750" s="12">
        <f t="shared" si="127"/>
        <v>0.11150081098688229</v>
      </c>
      <c r="I2750" s="12">
        <f t="shared" si="128"/>
        <v>4.7081566578394587E-2</v>
      </c>
      <c r="J2750" s="12">
        <f>G2750*(D2750*Assumptions!$B$6+E2750*Assumptions!$B$7)</f>
        <v>3.4690864387885521E-3</v>
      </c>
    </row>
    <row r="2751" spans="1:10" x14ac:dyDescent="0.2">
      <c r="A2751" s="2">
        <v>2743</v>
      </c>
      <c r="B2751" s="14">
        <f>A2751*Assumptions!$B$12</f>
        <v>27.43</v>
      </c>
      <c r="C2751" s="15">
        <f>IF(A2751&lt;=Assumptions!$B$13,IF(OR(A2751=0,A2751=Assumptions!$B$13),0.5,1),0)*Assumptions!$B$12</f>
        <v>0</v>
      </c>
      <c r="D2751" s="12">
        <f>D2750*(1-Assumptions!$B$12*(Assumptions!$B$5+Assumptions!$B$6))</f>
        <v>0.43910203818486143</v>
      </c>
      <c r="E2751" s="12">
        <f>E2750+Assumptions!$B$12*(D2750*Assumptions!$B$5-E2750*Assumptions!$B$7)</f>
        <v>0.18546296376223118</v>
      </c>
      <c r="F2751" s="12">
        <f t="shared" si="126"/>
        <v>0.37543499805290748</v>
      </c>
      <c r="G2751" s="12">
        <f>EXP(-Assumptions!$B$8*B2751)</f>
        <v>0.25372608484091896</v>
      </c>
      <c r="H2751" s="12">
        <f t="shared" si="127"/>
        <v>0.1114116409943126</v>
      </c>
      <c r="I2751" s="12">
        <f t="shared" si="128"/>
        <v>4.7056791678384148E-2</v>
      </c>
      <c r="J2751" s="12">
        <f>G2751*(D2751*Assumptions!$B$6+E2751*Assumptions!$B$7)</f>
        <v>3.4669559938623334E-3</v>
      </c>
    </row>
    <row r="2752" spans="1:10" x14ac:dyDescent="0.2">
      <c r="A2752" s="2">
        <v>2744</v>
      </c>
      <c r="B2752" s="14">
        <f>A2752*Assumptions!$B$12</f>
        <v>27.44</v>
      </c>
      <c r="C2752" s="15">
        <f>IF(A2752&lt;=Assumptions!$B$13,IF(OR(A2752=0,A2752=Assumptions!$B$13),0.5,1),0)*Assumptions!$B$12</f>
        <v>0</v>
      </c>
      <c r="D2752" s="12">
        <f>D2751*(1-Assumptions!$B$12*(Assumptions!$B$5+Assumptions!$B$6))</f>
        <v>0.43897030757340599</v>
      </c>
      <c r="E2752" s="12">
        <f>E2751+Assumptions!$B$12*(D2751*Assumptions!$B$5-E2751*Assumptions!$B$7)</f>
        <v>0.18545805268798704</v>
      </c>
      <c r="F2752" s="12">
        <f t="shared" si="126"/>
        <v>0.37557163973860702</v>
      </c>
      <c r="G2752" s="12">
        <f>EXP(-Assumptions!$B$8*B2752)</f>
        <v>0.25359925350897383</v>
      </c>
      <c r="H2752" s="12">
        <f t="shared" si="127"/>
        <v>0.1113225423132204</v>
      </c>
      <c r="I2752" s="12">
        <f t="shared" si="128"/>
        <v>4.7032023718901451E-2</v>
      </c>
      <c r="J2752" s="12">
        <f>G2752*(D2752*Assumptions!$B$6+E2752*Assumptions!$B$7)</f>
        <v>3.4648266090772763E-3</v>
      </c>
    </row>
    <row r="2753" spans="1:10" x14ac:dyDescent="0.2">
      <c r="A2753" s="2">
        <v>2745</v>
      </c>
      <c r="B2753" s="14">
        <f>A2753*Assumptions!$B$12</f>
        <v>27.45</v>
      </c>
      <c r="C2753" s="15">
        <f>IF(A2753&lt;=Assumptions!$B$13,IF(OR(A2753=0,A2753=Assumptions!$B$13),0.5,1),0)*Assumptions!$B$12</f>
        <v>0</v>
      </c>
      <c r="D2753" s="12">
        <f>D2752*(1-Assumptions!$B$12*(Assumptions!$B$5+Assumptions!$B$6))</f>
        <v>0.43883861648113398</v>
      </c>
      <c r="E2753" s="12">
        <f>E2752+Assumptions!$B$12*(D2752*Assumptions!$B$5-E2752*Assumptions!$B$7)</f>
        <v>0.18545311772315773</v>
      </c>
      <c r="F2753" s="12">
        <f t="shared" si="126"/>
        <v>0.37570826579570826</v>
      </c>
      <c r="G2753" s="12">
        <f>EXP(-Assumptions!$B$8*B2753)</f>
        <v>0.25347248557684338</v>
      </c>
      <c r="H2753" s="12">
        <f t="shared" si="127"/>
        <v>0.11123351488657614</v>
      </c>
      <c r="I2753" s="12">
        <f t="shared" si="128"/>
        <v>4.7007262707263735E-2</v>
      </c>
      <c r="J2753" s="12">
        <f>G2753*(D2753*Assumptions!$B$6+E2753*Assumptions!$B$7)</f>
        <v>3.4626982842289483E-3</v>
      </c>
    </row>
    <row r="2754" spans="1:10" x14ac:dyDescent="0.2">
      <c r="A2754" s="2">
        <v>2746</v>
      </c>
      <c r="B2754" s="14">
        <f>A2754*Assumptions!$B$12</f>
        <v>27.46</v>
      </c>
      <c r="C2754" s="15">
        <f>IF(A2754&lt;=Assumptions!$B$13,IF(OR(A2754=0,A2754=Assumptions!$B$13),0.5,1),0)*Assumptions!$B$12</f>
        <v>0</v>
      </c>
      <c r="D2754" s="12">
        <f>D2753*(1-Assumptions!$B$12*(Assumptions!$B$5+Assumptions!$B$6))</f>
        <v>0.43870696489618966</v>
      </c>
      <c r="E2754" s="12">
        <f>E2753+Assumptions!$B$12*(D2753*Assumptions!$B$5-E2753*Assumptions!$B$7)</f>
        <v>0.18544815888759239</v>
      </c>
      <c r="F2754" s="12">
        <f t="shared" si="126"/>
        <v>0.37584487621621798</v>
      </c>
      <c r="G2754" s="12">
        <f>EXP(-Assumptions!$B$8*B2754)</f>
        <v>0.25334578101283561</v>
      </c>
      <c r="H2754" s="12">
        <f t="shared" si="127"/>
        <v>0.11114455865739582</v>
      </c>
      <c r="I2754" s="12">
        <f t="shared" si="128"/>
        <v>4.6982508650769528E-2</v>
      </c>
      <c r="J2754" s="12">
        <f>G2754*(D2754*Assumptions!$B$6+E2754*Assumptions!$B$7)</f>
        <v>3.4605710191124347E-3</v>
      </c>
    </row>
    <row r="2755" spans="1:10" x14ac:dyDescent="0.2">
      <c r="A2755" s="2">
        <v>2747</v>
      </c>
      <c r="B2755" s="14">
        <f>A2755*Assumptions!$B$12</f>
        <v>27.47</v>
      </c>
      <c r="C2755" s="15">
        <f>IF(A2755&lt;=Assumptions!$B$13,IF(OR(A2755=0,A2755=Assumptions!$B$13),0.5,1),0)*Assumptions!$B$12</f>
        <v>0</v>
      </c>
      <c r="D2755" s="12">
        <f>D2754*(1-Assumptions!$B$12*(Assumptions!$B$5+Assumptions!$B$6))</f>
        <v>0.43857535280672083</v>
      </c>
      <c r="E2755" s="12">
        <f>E2754+Assumptions!$B$12*(D2754*Assumptions!$B$5-E2754*Assumptions!$B$7)</f>
        <v>0.18544317620112782</v>
      </c>
      <c r="F2755" s="12">
        <f t="shared" si="126"/>
        <v>0.37598147099215129</v>
      </c>
      <c r="G2755" s="12">
        <f>EXP(-Assumptions!$B$8*B2755)</f>
        <v>0.25321913978527449</v>
      </c>
      <c r="H2755" s="12">
        <f t="shared" si="127"/>
        <v>0.11105567356874112</v>
      </c>
      <c r="I2755" s="12">
        <f t="shared" si="128"/>
        <v>4.6957761556698674E-2</v>
      </c>
      <c r="J2755" s="12">
        <f>G2755*(D2755*Assumptions!$B$6+E2755*Assumptions!$B$7)</f>
        <v>3.4584448135223452E-3</v>
      </c>
    </row>
    <row r="2756" spans="1:10" x14ac:dyDescent="0.2">
      <c r="A2756" s="2">
        <v>2748</v>
      </c>
      <c r="B2756" s="14">
        <f>A2756*Assumptions!$B$12</f>
        <v>27.48</v>
      </c>
      <c r="C2756" s="15">
        <f>IF(A2756&lt;=Assumptions!$B$13,IF(OR(A2756=0,A2756=Assumptions!$B$13),0.5,1),0)*Assumptions!$B$12</f>
        <v>0</v>
      </c>
      <c r="D2756" s="12">
        <f>D2755*(1-Assumptions!$B$12*(Assumptions!$B$5+Assumptions!$B$6))</f>
        <v>0.43844378020087882</v>
      </c>
      <c r="E2756" s="12">
        <f>E2755+Assumptions!$B$12*(D2755*Assumptions!$B$5-E2755*Assumptions!$B$7)</f>
        <v>0.18543816968358862</v>
      </c>
      <c r="F2756" s="12">
        <f t="shared" si="126"/>
        <v>0.37611805011553257</v>
      </c>
      <c r="G2756" s="12">
        <f>EXP(-Assumptions!$B$8*B2756)</f>
        <v>0.25309256186249957</v>
      </c>
      <c r="H2756" s="12">
        <f t="shared" si="127"/>
        <v>0.11096685956371909</v>
      </c>
      <c r="I2756" s="12">
        <f t="shared" si="128"/>
        <v>4.6933021432312344E-2</v>
      </c>
      <c r="J2756" s="12">
        <f>G2756*(D2756*Assumptions!$B$6+E2756*Assumptions!$B$7)</f>
        <v>3.4563196672528079E-3</v>
      </c>
    </row>
    <row r="2757" spans="1:10" x14ac:dyDescent="0.2">
      <c r="A2757" s="2">
        <v>2749</v>
      </c>
      <c r="B2757" s="14">
        <f>A2757*Assumptions!$B$12</f>
        <v>27.490000000000002</v>
      </c>
      <c r="C2757" s="15">
        <f>IF(A2757&lt;=Assumptions!$B$13,IF(OR(A2757=0,A2757=Assumptions!$B$13),0.5,1),0)*Assumptions!$B$12</f>
        <v>0</v>
      </c>
      <c r="D2757" s="12">
        <f>D2756*(1-Assumptions!$B$12*(Assumptions!$B$5+Assumptions!$B$6))</f>
        <v>0.43831224706681859</v>
      </c>
      <c r="E2757" s="12">
        <f>E2756+Assumptions!$B$12*(D2756*Assumptions!$B$5-E2756*Assumptions!$B$7)</f>
        <v>0.185433139354787</v>
      </c>
      <c r="F2757" s="12">
        <f t="shared" si="126"/>
        <v>0.3762546135783944</v>
      </c>
      <c r="G2757" s="12">
        <f>EXP(-Assumptions!$B$8*B2757)</f>
        <v>0.25296604721286642</v>
      </c>
      <c r="H2757" s="12">
        <f t="shared" si="127"/>
        <v>0.1108781165854824</v>
      </c>
      <c r="I2757" s="12">
        <f t="shared" si="128"/>
        <v>4.6908288284853085E-2</v>
      </c>
      <c r="J2757" s="12">
        <f>G2757*(D2757*Assumptions!$B$6+E2757*Assumptions!$B$7)</f>
        <v>3.4541955800974785E-3</v>
      </c>
    </row>
    <row r="2758" spans="1:10" x14ac:dyDescent="0.2">
      <c r="A2758" s="2">
        <v>2750</v>
      </c>
      <c r="B2758" s="14">
        <f>A2758*Assumptions!$B$12</f>
        <v>27.5</v>
      </c>
      <c r="C2758" s="15">
        <f>IF(A2758&lt;=Assumptions!$B$13,IF(OR(A2758=0,A2758=Assumptions!$B$13),0.5,1),0)*Assumptions!$B$12</f>
        <v>0</v>
      </c>
      <c r="D2758" s="12">
        <f>D2757*(1-Assumptions!$B$12*(Assumptions!$B$5+Assumptions!$B$6))</f>
        <v>0.43818075339269857</v>
      </c>
      <c r="E2758" s="12">
        <f>E2757+Assumptions!$B$12*(D2757*Assumptions!$B$5-E2757*Assumptions!$B$7)</f>
        <v>0.18542808523452298</v>
      </c>
      <c r="F2758" s="12">
        <f t="shared" si="126"/>
        <v>0.37639116137277845</v>
      </c>
      <c r="G2758" s="12">
        <f>EXP(-Assumptions!$B$8*B2758)</f>
        <v>0.25283959580474646</v>
      </c>
      <c r="H2758" s="12">
        <f t="shared" si="127"/>
        <v>0.1107894445772292</v>
      </c>
      <c r="I2758" s="12">
        <f t="shared" si="128"/>
        <v>4.6883562121544868E-2</v>
      </c>
      <c r="J2758" s="12">
        <f>G2758*(D2758*Assumptions!$B$6+E2758*Assumptions!$B$7)</f>
        <v>3.4520725518495353E-3</v>
      </c>
    </row>
    <row r="2759" spans="1:10" x14ac:dyDescent="0.2">
      <c r="A2759" s="2">
        <v>2751</v>
      </c>
      <c r="B2759" s="14">
        <f>A2759*Assumptions!$B$12</f>
        <v>27.51</v>
      </c>
      <c r="C2759" s="15">
        <f>IF(A2759&lt;=Assumptions!$B$13,IF(OR(A2759=0,A2759=Assumptions!$B$13),0.5,1),0)*Assumptions!$B$12</f>
        <v>0</v>
      </c>
      <c r="D2759" s="12">
        <f>D2758*(1-Assumptions!$B$12*(Assumptions!$B$5+Assumptions!$B$6))</f>
        <v>0.43804929916668078</v>
      </c>
      <c r="E2759" s="12">
        <f>E2758+Assumptions!$B$12*(D2758*Assumptions!$B$5-E2758*Assumptions!$B$7)</f>
        <v>0.18542300734258427</v>
      </c>
      <c r="F2759" s="12">
        <f t="shared" si="126"/>
        <v>0.37652769349073495</v>
      </c>
      <c r="G2759" s="12">
        <f>EXP(-Assumptions!$B$8*B2759)</f>
        <v>0.25271320760652671</v>
      </c>
      <c r="H2759" s="12">
        <f t="shared" si="127"/>
        <v>0.11070084348220292</v>
      </c>
      <c r="I2759" s="12">
        <f t="shared" si="128"/>
        <v>4.6858842949593027E-2</v>
      </c>
      <c r="J2759" s="12">
        <f>G2759*(D2759*Assumptions!$B$6+E2759*Assumptions!$B$7)</f>
        <v>3.4499505823016806E-3</v>
      </c>
    </row>
    <row r="2760" spans="1:10" x14ac:dyDescent="0.2">
      <c r="A2760" s="2">
        <v>2752</v>
      </c>
      <c r="B2760" s="14">
        <f>A2760*Assumptions!$B$12</f>
        <v>27.52</v>
      </c>
      <c r="C2760" s="15">
        <f>IF(A2760&lt;=Assumptions!$B$13,IF(OR(A2760=0,A2760=Assumptions!$B$13),0.5,1),0)*Assumptions!$B$12</f>
        <v>0</v>
      </c>
      <c r="D2760" s="12">
        <f>D2759*(1-Assumptions!$B$12*(Assumptions!$B$5+Assumptions!$B$6))</f>
        <v>0.4379178843769308</v>
      </c>
      <c r="E2760" s="12">
        <f>E2759+Assumptions!$B$12*(D2759*Assumptions!$B$5-E2759*Assumptions!$B$7)</f>
        <v>0.1854179056987463</v>
      </c>
      <c r="F2760" s="12">
        <f t="shared" ref="F2760:F2823" si="129">1-D2760-E2760</f>
        <v>0.37666420992432292</v>
      </c>
      <c r="G2760" s="12">
        <f>EXP(-Assumptions!$B$8*B2760)</f>
        <v>0.25258688258661022</v>
      </c>
      <c r="H2760" s="12">
        <f t="shared" ref="H2760:H2823" si="130">G2760*D2760</f>
        <v>0.11061231324369257</v>
      </c>
      <c r="I2760" s="12">
        <f t="shared" ref="I2760:I2823" si="131">G2760*E2760</f>
        <v>4.6834130776184396E-2</v>
      </c>
      <c r="J2760" s="12">
        <f>G2760*(D2760*Assumptions!$B$6+E2760*Assumptions!$B$7)</f>
        <v>3.4478296712461458E-3</v>
      </c>
    </row>
    <row r="2761" spans="1:10" x14ac:dyDescent="0.2">
      <c r="A2761" s="2">
        <v>2753</v>
      </c>
      <c r="B2761" s="14">
        <f>A2761*Assumptions!$B$12</f>
        <v>27.53</v>
      </c>
      <c r="C2761" s="15">
        <f>IF(A2761&lt;=Assumptions!$B$13,IF(OR(A2761=0,A2761=Assumptions!$B$13),0.5,1),0)*Assumptions!$B$12</f>
        <v>0</v>
      </c>
      <c r="D2761" s="12">
        <f>D2760*(1-Assumptions!$B$12*(Assumptions!$B$5+Assumptions!$B$6))</f>
        <v>0.43778650901161775</v>
      </c>
      <c r="E2761" s="12">
        <f>E2760+Assumptions!$B$12*(D2760*Assumptions!$B$5-E2760*Assumptions!$B$7)</f>
        <v>0.18541278032277231</v>
      </c>
      <c r="F2761" s="12">
        <f t="shared" si="129"/>
        <v>0.37680071066560994</v>
      </c>
      <c r="G2761" s="12">
        <f>EXP(-Assumptions!$B$8*B2761)</f>
        <v>0.25246062071341568</v>
      </c>
      <c r="H2761" s="12">
        <f t="shared" si="130"/>
        <v>0.11052385380503237</v>
      </c>
      <c r="I2761" s="12">
        <f t="shared" si="131"/>
        <v>4.6809425608487283E-2</v>
      </c>
      <c r="J2761" s="12">
        <f>G2761*(D2761*Assumptions!$B$6+E2761*Assumptions!$B$7)</f>
        <v>3.4457098184746877E-3</v>
      </c>
    </row>
    <row r="2762" spans="1:10" x14ac:dyDescent="0.2">
      <c r="A2762" s="2">
        <v>2754</v>
      </c>
      <c r="B2762" s="14">
        <f>A2762*Assumptions!$B$12</f>
        <v>27.54</v>
      </c>
      <c r="C2762" s="15">
        <f>IF(A2762&lt;=Assumptions!$B$13,IF(OR(A2762=0,A2762=Assumptions!$B$13),0.5,1),0)*Assumptions!$B$12</f>
        <v>0</v>
      </c>
      <c r="D2762" s="12">
        <f>D2761*(1-Assumptions!$B$12*(Assumptions!$B$5+Assumptions!$B$6))</f>
        <v>0.43765517305891427</v>
      </c>
      <c r="E2762" s="12">
        <f>E2761+Assumptions!$B$12*(D2761*Assumptions!$B$5-E2761*Assumptions!$B$7)</f>
        <v>0.18540763123441326</v>
      </c>
      <c r="F2762" s="12">
        <f t="shared" si="129"/>
        <v>0.3769371957066725</v>
      </c>
      <c r="G2762" s="12">
        <f>EXP(-Assumptions!$B$8*B2762)</f>
        <v>0.25233442195537764</v>
      </c>
      <c r="H2762" s="12">
        <f t="shared" si="130"/>
        <v>0.11043546510960189</v>
      </c>
      <c r="I2762" s="12">
        <f t="shared" si="131"/>
        <v>4.678472745365149E-2</v>
      </c>
      <c r="J2762" s="12">
        <f>G2762*(D2762*Assumptions!$B$6+E2762*Assumptions!$B$7)</f>
        <v>3.4435910237785934E-3</v>
      </c>
    </row>
    <row r="2763" spans="1:10" x14ac:dyDescent="0.2">
      <c r="A2763" s="2">
        <v>2755</v>
      </c>
      <c r="B2763" s="14">
        <f>A2763*Assumptions!$B$12</f>
        <v>27.55</v>
      </c>
      <c r="C2763" s="15">
        <f>IF(A2763&lt;=Assumptions!$B$13,IF(OR(A2763=0,A2763=Assumptions!$B$13),0.5,1),0)*Assumptions!$B$12</f>
        <v>0</v>
      </c>
      <c r="D2763" s="12">
        <f>D2762*(1-Assumptions!$B$12*(Assumptions!$B$5+Assumptions!$B$6))</f>
        <v>0.43752387650699659</v>
      </c>
      <c r="E2763" s="12">
        <f>E2762+Assumptions!$B$12*(D2762*Assumptions!$B$5-E2762*Assumptions!$B$7)</f>
        <v>0.18540245845340783</v>
      </c>
      <c r="F2763" s="12">
        <f t="shared" si="129"/>
        <v>0.3770736650395955</v>
      </c>
      <c r="G2763" s="12">
        <f>EXP(-Assumptions!$B$8*B2763)</f>
        <v>0.25220828628094633</v>
      </c>
      <c r="H2763" s="12">
        <f t="shared" si="130"/>
        <v>0.11034714710082601</v>
      </c>
      <c r="I2763" s="12">
        <f t="shared" si="131"/>
        <v>4.6760036318808339E-2</v>
      </c>
      <c r="J2763" s="12">
        <f>G2763*(D2763*Assumptions!$B$6+E2763*Assumptions!$B$7)</f>
        <v>3.4414732869486771E-3</v>
      </c>
    </row>
    <row r="2764" spans="1:10" x14ac:dyDescent="0.2">
      <c r="A2764" s="2">
        <v>2756</v>
      </c>
      <c r="B2764" s="14">
        <f>A2764*Assumptions!$B$12</f>
        <v>27.560000000000002</v>
      </c>
      <c r="C2764" s="15">
        <f>IF(A2764&lt;=Assumptions!$B$13,IF(OR(A2764=0,A2764=Assumptions!$B$13),0.5,1),0)*Assumptions!$B$12</f>
        <v>0</v>
      </c>
      <c r="D2764" s="12">
        <f>D2763*(1-Assumptions!$B$12*(Assumptions!$B$5+Assumptions!$B$6))</f>
        <v>0.4373926193440445</v>
      </c>
      <c r="E2764" s="12">
        <f>E2763+Assumptions!$B$12*(D2763*Assumptions!$B$5-E2763*Assumptions!$B$7)</f>
        <v>0.18539726199948253</v>
      </c>
      <c r="F2764" s="12">
        <f t="shared" si="129"/>
        <v>0.37721011865647297</v>
      </c>
      <c r="G2764" s="12">
        <f>EXP(-Assumptions!$B$8*B2764)</f>
        <v>0.25208221365858796</v>
      </c>
      <c r="H2764" s="12">
        <f t="shared" si="130"/>
        <v>0.11025889972217486</v>
      </c>
      <c r="I2764" s="12">
        <f t="shared" si="131"/>
        <v>4.6735352211070766E-2</v>
      </c>
      <c r="J2764" s="12">
        <f>G2764*(D2764*Assumptions!$B$6+E2764*Assumptions!$B$7)</f>
        <v>3.4393566077752873E-3</v>
      </c>
    </row>
    <row r="2765" spans="1:10" x14ac:dyDescent="0.2">
      <c r="A2765" s="2">
        <v>2757</v>
      </c>
      <c r="B2765" s="14">
        <f>A2765*Assumptions!$B$12</f>
        <v>27.57</v>
      </c>
      <c r="C2765" s="15">
        <f>IF(A2765&lt;=Assumptions!$B$13,IF(OR(A2765=0,A2765=Assumptions!$B$13),0.5,1),0)*Assumptions!$B$12</f>
        <v>0</v>
      </c>
      <c r="D2765" s="12">
        <f>D2764*(1-Assumptions!$B$12*(Assumptions!$B$5+Assumptions!$B$6))</f>
        <v>0.43726140155824128</v>
      </c>
      <c r="E2765" s="12">
        <f>E2764+Assumptions!$B$12*(D2764*Assumptions!$B$5-E2764*Assumptions!$B$7)</f>
        <v>0.18539204189235159</v>
      </c>
      <c r="F2765" s="12">
        <f t="shared" si="129"/>
        <v>0.37734655654940719</v>
      </c>
      <c r="G2765" s="12">
        <f>EXP(-Assumptions!$B$8*B2765)</f>
        <v>0.25195620405678432</v>
      </c>
      <c r="H2765" s="12">
        <f t="shared" si="130"/>
        <v>0.11017072291716375</v>
      </c>
      <c r="I2765" s="12">
        <f t="shared" si="131"/>
        <v>4.6710675137533242E-2</v>
      </c>
      <c r="J2765" s="12">
        <f>G2765*(D2765*Assumptions!$B$6+E2765*Assumptions!$B$7)</f>
        <v>3.4372409860483001E-3</v>
      </c>
    </row>
    <row r="2766" spans="1:10" x14ac:dyDescent="0.2">
      <c r="A2766" s="2">
        <v>2758</v>
      </c>
      <c r="B2766" s="14">
        <f>A2766*Assumptions!$B$12</f>
        <v>27.580000000000002</v>
      </c>
      <c r="C2766" s="15">
        <f>IF(A2766&lt;=Assumptions!$B$13,IF(OR(A2766=0,A2766=Assumptions!$B$13),0.5,1),0)*Assumptions!$B$12</f>
        <v>0</v>
      </c>
      <c r="D2766" s="12">
        <f>D2765*(1-Assumptions!$B$12*(Assumptions!$B$5+Assumptions!$B$6))</f>
        <v>0.43713022313777383</v>
      </c>
      <c r="E2766" s="12">
        <f>E2765+Assumptions!$B$12*(D2765*Assumptions!$B$5-E2765*Assumptions!$B$7)</f>
        <v>0.18538679815171707</v>
      </c>
      <c r="F2766" s="12">
        <f t="shared" si="129"/>
        <v>0.37748297871050907</v>
      </c>
      <c r="G2766" s="12">
        <f>EXP(-Assumptions!$B$8*B2766)</f>
        <v>0.25183025744403298</v>
      </c>
      <c r="H2766" s="12">
        <f t="shared" si="130"/>
        <v>0.11008261662935316</v>
      </c>
      <c r="I2766" s="12">
        <f t="shared" si="131"/>
        <v>4.6686005105271891E-2</v>
      </c>
      <c r="J2766" s="12">
        <f>G2766*(D2766*Assumptions!$B$6+E2766*Assumptions!$B$7)</f>
        <v>3.4351264215571262E-3</v>
      </c>
    </row>
    <row r="2767" spans="1:10" x14ac:dyDescent="0.2">
      <c r="A2767" s="2">
        <v>2759</v>
      </c>
      <c r="B2767" s="14">
        <f>A2767*Assumptions!$B$12</f>
        <v>27.59</v>
      </c>
      <c r="C2767" s="15">
        <f>IF(A2767&lt;=Assumptions!$B$13,IF(OR(A2767=0,A2767=Assumptions!$B$13),0.5,1),0)*Assumptions!$B$12</f>
        <v>0</v>
      </c>
      <c r="D2767" s="12">
        <f>D2766*(1-Assumptions!$B$12*(Assumptions!$B$5+Assumptions!$B$6))</f>
        <v>0.43699908407083249</v>
      </c>
      <c r="E2767" s="12">
        <f>E2766+Assumptions!$B$12*(D2766*Assumptions!$B$5-E2766*Assumptions!$B$7)</f>
        <v>0.18538153079726877</v>
      </c>
      <c r="F2767" s="12">
        <f t="shared" si="129"/>
        <v>0.3776193851318988</v>
      </c>
      <c r="G2767" s="12">
        <f>EXP(-Assumptions!$B$8*B2767)</f>
        <v>0.25170437378884736</v>
      </c>
      <c r="H2767" s="12">
        <f t="shared" si="130"/>
        <v>0.10999458080234875</v>
      </c>
      <c r="I2767" s="12">
        <f t="shared" si="131"/>
        <v>4.6661342121344457E-2</v>
      </c>
      <c r="J2767" s="12">
        <f>G2767*(D2767*Assumptions!$B$6+E2767*Assumptions!$B$7)</f>
        <v>3.4330129140907103E-3</v>
      </c>
    </row>
    <row r="2768" spans="1:10" x14ac:dyDescent="0.2">
      <c r="A2768" s="2">
        <v>2760</v>
      </c>
      <c r="B2768" s="14">
        <f>A2768*Assumptions!$B$12</f>
        <v>27.6</v>
      </c>
      <c r="C2768" s="15">
        <f>IF(A2768&lt;=Assumptions!$B$13,IF(OR(A2768=0,A2768=Assumptions!$B$13),0.5,1),0)*Assumptions!$B$12</f>
        <v>0</v>
      </c>
      <c r="D2768" s="12">
        <f>D2767*(1-Assumptions!$B$12*(Assumptions!$B$5+Assumptions!$B$6))</f>
        <v>0.43686798434561125</v>
      </c>
      <c r="E2768" s="12">
        <f>E2767+Assumptions!$B$12*(D2767*Assumptions!$B$5-E2767*Assumptions!$B$7)</f>
        <v>0.18537623984868429</v>
      </c>
      <c r="F2768" s="12">
        <f t="shared" si="129"/>
        <v>0.37775577580570446</v>
      </c>
      <c r="G2768" s="12">
        <f>EXP(-Assumptions!$B$8*B2768)</f>
        <v>0.25157855305975646</v>
      </c>
      <c r="H2768" s="12">
        <f t="shared" si="130"/>
        <v>0.10990661537980122</v>
      </c>
      <c r="I2768" s="12">
        <f t="shared" si="131"/>
        <v>4.6636686192790357E-2</v>
      </c>
      <c r="J2768" s="12">
        <f>G2768*(D2768*Assumptions!$B$6+E2768*Assumptions!$B$7)</f>
        <v>3.4309004634375303E-3</v>
      </c>
    </row>
    <row r="2769" spans="1:10" x14ac:dyDescent="0.2">
      <c r="A2769" s="2">
        <v>2761</v>
      </c>
      <c r="B2769" s="14">
        <f>A2769*Assumptions!$B$12</f>
        <v>27.61</v>
      </c>
      <c r="C2769" s="15">
        <f>IF(A2769&lt;=Assumptions!$B$13,IF(OR(A2769=0,A2769=Assumptions!$B$13),0.5,1),0)*Assumptions!$B$12</f>
        <v>0</v>
      </c>
      <c r="D2769" s="12">
        <f>D2768*(1-Assumptions!$B$12*(Assumptions!$B$5+Assumptions!$B$6))</f>
        <v>0.43673692395030755</v>
      </c>
      <c r="E2769" s="12">
        <f>E2768+Assumptions!$B$12*(D2768*Assumptions!$B$5-E2768*Assumptions!$B$7)</f>
        <v>0.18537092532562907</v>
      </c>
      <c r="F2769" s="12">
        <f t="shared" si="129"/>
        <v>0.37789215072406335</v>
      </c>
      <c r="G2769" s="12">
        <f>EXP(-Assumptions!$B$8*B2769)</f>
        <v>0.25145279522530517</v>
      </c>
      <c r="H2769" s="12">
        <f t="shared" si="130"/>
        <v>0.10981872030540636</v>
      </c>
      <c r="I2769" s="12">
        <f t="shared" si="131"/>
        <v>4.6612037326630745E-2</v>
      </c>
      <c r="J2769" s="12">
        <f>G2769*(D2769*Assumptions!$B$6+E2769*Assumptions!$B$7)</f>
        <v>3.4287890693856012E-3</v>
      </c>
    </row>
    <row r="2770" spans="1:10" x14ac:dyDescent="0.2">
      <c r="A2770" s="2">
        <v>2762</v>
      </c>
      <c r="B2770" s="14">
        <f>A2770*Assumptions!$B$12</f>
        <v>27.62</v>
      </c>
      <c r="C2770" s="15">
        <f>IF(A2770&lt;=Assumptions!$B$13,IF(OR(A2770=0,A2770=Assumptions!$B$13),0.5,1),0)*Assumptions!$B$12</f>
        <v>0</v>
      </c>
      <c r="D2770" s="12">
        <f>D2769*(1-Assumptions!$B$12*(Assumptions!$B$5+Assumptions!$B$6))</f>
        <v>0.43660590287312245</v>
      </c>
      <c r="E2770" s="12">
        <f>E2769+Assumptions!$B$12*(D2769*Assumptions!$B$5-E2769*Assumptions!$B$7)</f>
        <v>0.18536558724775631</v>
      </c>
      <c r="F2770" s="12">
        <f t="shared" si="129"/>
        <v>0.37802850987912129</v>
      </c>
      <c r="G2770" s="12">
        <f>EXP(-Assumptions!$B$8*B2770)</f>
        <v>0.25132710025405397</v>
      </c>
      <c r="H2770" s="12">
        <f t="shared" si="130"/>
        <v>0.10973089552290499</v>
      </c>
      <c r="I2770" s="12">
        <f t="shared" si="131"/>
        <v>4.6587395529868438E-2</v>
      </c>
      <c r="J2770" s="12">
        <f>G2770*(D2770*Assumptions!$B$6+E2770*Assumptions!$B$7)</f>
        <v>3.426678731722472E-3</v>
      </c>
    </row>
    <row r="2771" spans="1:10" x14ac:dyDescent="0.2">
      <c r="A2771" s="2">
        <v>2763</v>
      </c>
      <c r="B2771" s="14">
        <f>A2771*Assumptions!$B$12</f>
        <v>27.63</v>
      </c>
      <c r="C2771" s="15">
        <f>IF(A2771&lt;=Assumptions!$B$13,IF(OR(A2771=0,A2771=Assumptions!$B$13),0.5,1),0)*Assumptions!$B$12</f>
        <v>0</v>
      </c>
      <c r="D2771" s="12">
        <f>D2770*(1-Assumptions!$B$12*(Assumptions!$B$5+Assumptions!$B$6))</f>
        <v>0.43647492110226055</v>
      </c>
      <c r="E2771" s="12">
        <f>E2770+Assumptions!$B$12*(D2770*Assumptions!$B$5-E2770*Assumptions!$B$7)</f>
        <v>0.18536022563470705</v>
      </c>
      <c r="F2771" s="12">
        <f t="shared" si="129"/>
        <v>0.37816485326303245</v>
      </c>
      <c r="G2771" s="12">
        <f>EXP(-Assumptions!$B$8*B2771)</f>
        <v>0.25120146811457922</v>
      </c>
      <c r="H2771" s="12">
        <f t="shared" si="130"/>
        <v>0.10964314097608298</v>
      </c>
      <c r="I2771" s="12">
        <f t="shared" si="131"/>
        <v>4.6562760809488075E-2</v>
      </c>
      <c r="J2771" s="12">
        <f>G2771*(D2771*Assumptions!$B$6+E2771*Assumptions!$B$7)</f>
        <v>3.4245694502352342E-3</v>
      </c>
    </row>
    <row r="2772" spans="1:10" x14ac:dyDescent="0.2">
      <c r="A2772" s="2">
        <v>2764</v>
      </c>
      <c r="B2772" s="14">
        <f>A2772*Assumptions!$B$12</f>
        <v>27.64</v>
      </c>
      <c r="C2772" s="15">
        <f>IF(A2772&lt;=Assumptions!$B$13,IF(OR(A2772=0,A2772=Assumptions!$B$13),0.5,1),0)*Assumptions!$B$12</f>
        <v>0</v>
      </c>
      <c r="D2772" s="12">
        <f>D2771*(1-Assumptions!$B$12*(Assumptions!$B$5+Assumptions!$B$6))</f>
        <v>0.43634397862592988</v>
      </c>
      <c r="E2772" s="12">
        <f>E2771+Assumptions!$B$12*(D2771*Assumptions!$B$5-E2771*Assumptions!$B$7)</f>
        <v>0.18535484050611015</v>
      </c>
      <c r="F2772" s="12">
        <f t="shared" si="129"/>
        <v>0.37830118086795994</v>
      </c>
      <c r="G2772" s="12">
        <f>EXP(-Assumptions!$B$8*B2772)</f>
        <v>0.25107589877547265</v>
      </c>
      <c r="H2772" s="12">
        <f t="shared" si="130"/>
        <v>0.10955545660877097</v>
      </c>
      <c r="I2772" s="12">
        <f t="shared" si="131"/>
        <v>4.6538133172455989E-2</v>
      </c>
      <c r="J2772" s="12">
        <f>G2772*(D2772*Assumptions!$B$6+E2772*Assumptions!$B$7)</f>
        <v>3.4224612247105097E-3</v>
      </c>
    </row>
    <row r="2773" spans="1:10" x14ac:dyDescent="0.2">
      <c r="A2773" s="2">
        <v>2765</v>
      </c>
      <c r="B2773" s="14">
        <f>A2773*Assumptions!$B$12</f>
        <v>27.650000000000002</v>
      </c>
      <c r="C2773" s="15">
        <f>IF(A2773&lt;=Assumptions!$B$13,IF(OR(A2773=0,A2773=Assumptions!$B$13),0.5,1),0)*Assumptions!$B$12</f>
        <v>0</v>
      </c>
      <c r="D2773" s="12">
        <f>D2772*(1-Assumptions!$B$12*(Assumptions!$B$5+Assumptions!$B$6))</f>
        <v>0.43621307543234211</v>
      </c>
      <c r="E2773" s="12">
        <f>E2772+Assumptions!$B$12*(D2772*Assumptions!$B$5-E2772*Assumptions!$B$7)</f>
        <v>0.18534943188158229</v>
      </c>
      <c r="F2773" s="12">
        <f t="shared" si="129"/>
        <v>0.37843749268607563</v>
      </c>
      <c r="G2773" s="12">
        <f>EXP(-Assumptions!$B$8*B2773)</f>
        <v>0.25095039220534215</v>
      </c>
      <c r="H2773" s="12">
        <f t="shared" si="130"/>
        <v>0.10946784236484476</v>
      </c>
      <c r="I2773" s="12">
        <f t="shared" si="131"/>
        <v>4.6513512625720427E-2</v>
      </c>
      <c r="J2773" s="12">
        <f>G2773*(D2773*Assumptions!$B$6+E2773*Assumptions!$B$7)</f>
        <v>3.4203540549344693E-3</v>
      </c>
    </row>
    <row r="2774" spans="1:10" x14ac:dyDescent="0.2">
      <c r="A2774" s="2">
        <v>2766</v>
      </c>
      <c r="B2774" s="14">
        <f>A2774*Assumptions!$B$12</f>
        <v>27.66</v>
      </c>
      <c r="C2774" s="15">
        <f>IF(A2774&lt;=Assumptions!$B$13,IF(OR(A2774=0,A2774=Assumptions!$B$13),0.5,1),0)*Assumptions!$B$12</f>
        <v>0</v>
      </c>
      <c r="D2774" s="12">
        <f>D2773*(1-Assumptions!$B$12*(Assumptions!$B$5+Assumptions!$B$6))</f>
        <v>0.43608221150971244</v>
      </c>
      <c r="E2774" s="12">
        <f>E2773+Assumptions!$B$12*(D2773*Assumptions!$B$5-E2773*Assumptions!$B$7)</f>
        <v>0.18534399978072796</v>
      </c>
      <c r="F2774" s="12">
        <f t="shared" si="129"/>
        <v>0.37857378870955954</v>
      </c>
      <c r="G2774" s="12">
        <f>EXP(-Assumptions!$B$8*B2774)</f>
        <v>0.25082494837281111</v>
      </c>
      <c r="H2774" s="12">
        <f t="shared" si="130"/>
        <v>0.10938029818822491</v>
      </c>
      <c r="I2774" s="12">
        <f t="shared" si="131"/>
        <v>4.6488899176211407E-2</v>
      </c>
      <c r="J2774" s="12">
        <f>G2774*(D2774*Assumptions!$B$6+E2774*Assumptions!$B$7)</f>
        <v>3.4182479406928193E-3</v>
      </c>
    </row>
    <row r="2775" spans="1:10" x14ac:dyDescent="0.2">
      <c r="A2775" s="2">
        <v>2767</v>
      </c>
      <c r="B2775" s="14">
        <f>A2775*Assumptions!$B$12</f>
        <v>27.67</v>
      </c>
      <c r="C2775" s="15">
        <f>IF(A2775&lt;=Assumptions!$B$13,IF(OR(A2775=0,A2775=Assumptions!$B$13),0.5,1),0)*Assumptions!$B$12</f>
        <v>0</v>
      </c>
      <c r="D2775" s="12">
        <f>D2774*(1-Assumptions!$B$12*(Assumptions!$B$5+Assumptions!$B$6))</f>
        <v>0.43595138684625956</v>
      </c>
      <c r="E2775" s="12">
        <f>E2774+Assumptions!$B$12*(D2774*Assumptions!$B$5-E2774*Assumptions!$B$7)</f>
        <v>0.18533854422313953</v>
      </c>
      <c r="F2775" s="12">
        <f t="shared" si="129"/>
        <v>0.37871006893060088</v>
      </c>
      <c r="G2775" s="12">
        <f>EXP(-Assumptions!$B$8*B2775)</f>
        <v>0.25069956724651832</v>
      </c>
      <c r="H2775" s="12">
        <f t="shared" si="130"/>
        <v>0.10929282402287677</v>
      </c>
      <c r="I2775" s="12">
        <f t="shared" si="131"/>
        <v>4.6464292830840775E-2</v>
      </c>
      <c r="J2775" s="12">
        <f>G2775*(D2775*Assumptions!$B$6+E2775*Assumptions!$B$7)</f>
        <v>3.4161428817708066E-3</v>
      </c>
    </row>
    <row r="2776" spans="1:10" x14ac:dyDescent="0.2">
      <c r="A2776" s="2">
        <v>2768</v>
      </c>
      <c r="B2776" s="14">
        <f>A2776*Assumptions!$B$12</f>
        <v>27.68</v>
      </c>
      <c r="C2776" s="15">
        <f>IF(A2776&lt;=Assumptions!$B$13,IF(OR(A2776=0,A2776=Assumptions!$B$13),0.5,1),0)*Assumptions!$B$12</f>
        <v>0</v>
      </c>
      <c r="D2776" s="12">
        <f>D2775*(1-Assumptions!$B$12*(Assumptions!$B$5+Assumptions!$B$6))</f>
        <v>0.43582060143020568</v>
      </c>
      <c r="E2776" s="12">
        <f>E2775+Assumptions!$B$12*(D2775*Assumptions!$B$5-E2775*Assumptions!$B$7)</f>
        <v>0.18533306522839721</v>
      </c>
      <c r="F2776" s="12">
        <f t="shared" si="129"/>
        <v>0.37884633334139706</v>
      </c>
      <c r="G2776" s="12">
        <f>EXP(-Assumptions!$B$8*B2776)</f>
        <v>0.25057424879511875</v>
      </c>
      <c r="H2776" s="12">
        <f t="shared" si="130"/>
        <v>0.10920541981281065</v>
      </c>
      <c r="I2776" s="12">
        <f t="shared" si="131"/>
        <v>4.6439693596502372E-2</v>
      </c>
      <c r="J2776" s="12">
        <f>G2776*(D2776*Assumptions!$B$6+E2776*Assumptions!$B$7)</f>
        <v>3.4140388779532252E-3</v>
      </c>
    </row>
    <row r="2777" spans="1:10" x14ac:dyDescent="0.2">
      <c r="A2777" s="2">
        <v>2769</v>
      </c>
      <c r="B2777" s="14">
        <f>A2777*Assumptions!$B$12</f>
        <v>27.69</v>
      </c>
      <c r="C2777" s="15">
        <f>IF(A2777&lt;=Assumptions!$B$13,IF(OR(A2777=0,A2777=Assumptions!$B$13),0.5,1),0)*Assumptions!$B$12</f>
        <v>0</v>
      </c>
      <c r="D2777" s="12">
        <f>D2776*(1-Assumptions!$B$12*(Assumptions!$B$5+Assumptions!$B$6))</f>
        <v>0.43568985524977666</v>
      </c>
      <c r="E2777" s="12">
        <f>E2776+Assumptions!$B$12*(D2776*Assumptions!$B$5-E2776*Assumptions!$B$7)</f>
        <v>0.18532756281606905</v>
      </c>
      <c r="F2777" s="12">
        <f t="shared" si="129"/>
        <v>0.37898258193415429</v>
      </c>
      <c r="G2777" s="12">
        <f>EXP(-Assumptions!$B$8*B2777)</f>
        <v>0.25044899298728263</v>
      </c>
      <c r="H2777" s="12">
        <f t="shared" si="130"/>
        <v>0.10911808550208149</v>
      </c>
      <c r="I2777" s="12">
        <f t="shared" si="131"/>
        <v>4.6415101480071858E-2</v>
      </c>
      <c r="J2777" s="12">
        <f>G2777*(D2777*Assumptions!$B$6+E2777*Assumptions!$B$7)</f>
        <v>3.4119359290244078E-3</v>
      </c>
    </row>
    <row r="2778" spans="1:10" x14ac:dyDescent="0.2">
      <c r="A2778" s="2">
        <v>2770</v>
      </c>
      <c r="B2778" s="14">
        <f>A2778*Assumptions!$B$12</f>
        <v>27.7</v>
      </c>
      <c r="C2778" s="15">
        <f>IF(A2778&lt;=Assumptions!$B$13,IF(OR(A2778=0,A2778=Assumptions!$B$13),0.5,1),0)*Assumptions!$B$12</f>
        <v>0</v>
      </c>
      <c r="D2778" s="12">
        <f>D2777*(1-Assumptions!$B$12*(Assumptions!$B$5+Assumptions!$B$6))</f>
        <v>0.43555914829320175</v>
      </c>
      <c r="E2778" s="12">
        <f>E2777+Assumptions!$B$12*(D2777*Assumptions!$B$5-E2777*Assumptions!$B$7)</f>
        <v>0.18532203700571095</v>
      </c>
      <c r="F2778" s="12">
        <f t="shared" si="129"/>
        <v>0.37911881470108733</v>
      </c>
      <c r="G2778" s="12">
        <f>EXP(-Assumptions!$B$8*B2778)</f>
        <v>0.25032379979169611</v>
      </c>
      <c r="H2778" s="12">
        <f t="shared" si="130"/>
        <v>0.10903082103478912</v>
      </c>
      <c r="I2778" s="12">
        <f t="shared" si="131"/>
        <v>4.6390516488406884E-2</v>
      </c>
      <c r="J2778" s="12">
        <f>G2778*(D2778*Assumptions!$B$6+E2778*Assumptions!$B$7)</f>
        <v>3.4098340347682356E-3</v>
      </c>
    </row>
    <row r="2779" spans="1:10" x14ac:dyDescent="0.2">
      <c r="A2779" s="2">
        <v>2771</v>
      </c>
      <c r="B2779" s="14">
        <f>A2779*Assumptions!$B$12</f>
        <v>27.71</v>
      </c>
      <c r="C2779" s="15">
        <f>IF(A2779&lt;=Assumptions!$B$13,IF(OR(A2779=0,A2779=Assumptions!$B$13),0.5,1),0)*Assumptions!$B$12</f>
        <v>0</v>
      </c>
      <c r="D2779" s="12">
        <f>D2778*(1-Assumptions!$B$12*(Assumptions!$B$5+Assumptions!$B$6))</f>
        <v>0.4354284805487138</v>
      </c>
      <c r="E2779" s="12">
        <f>E2778+Assumptions!$B$12*(D2778*Assumptions!$B$5-E2778*Assumptions!$B$7)</f>
        <v>0.18531648781686674</v>
      </c>
      <c r="F2779" s="12">
        <f t="shared" si="129"/>
        <v>0.37925503163441943</v>
      </c>
      <c r="G2779" s="12">
        <f>EXP(-Assumptions!$B$8*B2779)</f>
        <v>0.25019866917706074</v>
      </c>
      <c r="H2779" s="12">
        <f t="shared" si="130"/>
        <v>0.10894362635507787</v>
      </c>
      <c r="I2779" s="12">
        <f t="shared" si="131"/>
        <v>4.636593862834705E-2</v>
      </c>
      <c r="J2779" s="12">
        <f>G2779*(D2779*Assumptions!$B$6+E2779*Assumptions!$B$7)</f>
        <v>3.4077331949681311E-3</v>
      </c>
    </row>
    <row r="2780" spans="1:10" x14ac:dyDescent="0.2">
      <c r="A2780" s="2">
        <v>2772</v>
      </c>
      <c r="B2780" s="14">
        <f>A2780*Assumptions!$B$12</f>
        <v>27.72</v>
      </c>
      <c r="C2780" s="15">
        <f>IF(A2780&lt;=Assumptions!$B$13,IF(OR(A2780=0,A2780=Assumptions!$B$13),0.5,1),0)*Assumptions!$B$12</f>
        <v>0</v>
      </c>
      <c r="D2780" s="12">
        <f>D2779*(1-Assumptions!$B$12*(Assumptions!$B$5+Assumptions!$B$6))</f>
        <v>0.43529785200454918</v>
      </c>
      <c r="E2780" s="12">
        <f>E2779+Assumptions!$B$12*(D2779*Assumptions!$B$5-E2779*Assumptions!$B$7)</f>
        <v>0.18531091526906807</v>
      </c>
      <c r="F2780" s="12">
        <f t="shared" si="129"/>
        <v>0.37939123272638275</v>
      </c>
      <c r="G2780" s="12">
        <f>EXP(-Assumptions!$B$8*B2780)</f>
        <v>0.25007360111209409</v>
      </c>
      <c r="H2780" s="12">
        <f t="shared" si="130"/>
        <v>0.108856501407137</v>
      </c>
      <c r="I2780" s="12">
        <f t="shared" si="131"/>
        <v>4.6341367906713997E-2</v>
      </c>
      <c r="J2780" s="12">
        <f>G2780*(D2780*Assumptions!$B$6+E2780*Assumptions!$B$7)</f>
        <v>3.4056334094070694E-3</v>
      </c>
    </row>
    <row r="2781" spans="1:10" x14ac:dyDescent="0.2">
      <c r="A2781" s="2">
        <v>2773</v>
      </c>
      <c r="B2781" s="14">
        <f>A2781*Assumptions!$B$12</f>
        <v>27.73</v>
      </c>
      <c r="C2781" s="15">
        <f>IF(A2781&lt;=Assumptions!$B$13,IF(OR(A2781=0,A2781=Assumptions!$B$13),0.5,1),0)*Assumptions!$B$12</f>
        <v>0</v>
      </c>
      <c r="D2781" s="12">
        <f>D2780*(1-Assumptions!$B$12*(Assumptions!$B$5+Assumptions!$B$6))</f>
        <v>0.43516726264894784</v>
      </c>
      <c r="E2781" s="12">
        <f>E2780+Assumptions!$B$12*(D2780*Assumptions!$B$5-E2780*Assumptions!$B$7)</f>
        <v>0.18530531938183445</v>
      </c>
      <c r="F2781" s="12">
        <f t="shared" si="129"/>
        <v>0.37952741796921774</v>
      </c>
      <c r="G2781" s="12">
        <f>EXP(-Assumptions!$B$8*B2781)</f>
        <v>0.24994859556552895</v>
      </c>
      <c r="H2781" s="12">
        <f t="shared" si="130"/>
        <v>0.10876944613520018</v>
      </c>
      <c r="I2781" s="12">
        <f t="shared" si="131"/>
        <v>4.6316804330311309E-2</v>
      </c>
      <c r="J2781" s="12">
        <f>G2781*(D2781*Assumptions!$B$6+E2781*Assumptions!$B$7)</f>
        <v>3.4035346778675674E-3</v>
      </c>
    </row>
    <row r="2782" spans="1:10" x14ac:dyDescent="0.2">
      <c r="A2782" s="2">
        <v>2774</v>
      </c>
      <c r="B2782" s="14">
        <f>A2782*Assumptions!$B$12</f>
        <v>27.740000000000002</v>
      </c>
      <c r="C2782" s="15">
        <f>IF(A2782&lt;=Assumptions!$B$13,IF(OR(A2782=0,A2782=Assumptions!$B$13),0.5,1),0)*Assumptions!$B$12</f>
        <v>0</v>
      </c>
      <c r="D2782" s="12">
        <f>D2781*(1-Assumptions!$B$12*(Assumptions!$B$5+Assumptions!$B$6))</f>
        <v>0.43503671247015319</v>
      </c>
      <c r="E2782" s="12">
        <f>E2781+Assumptions!$B$12*(D2781*Assumptions!$B$5-E2781*Assumptions!$B$7)</f>
        <v>0.18529970017467332</v>
      </c>
      <c r="F2782" s="12">
        <f t="shared" si="129"/>
        <v>0.37966358735517347</v>
      </c>
      <c r="G2782" s="12">
        <f>EXP(-Assumptions!$B$8*B2782)</f>
        <v>0.24982365250611399</v>
      </c>
      <c r="H2782" s="12">
        <f t="shared" si="130"/>
        <v>0.10868246048354578</v>
      </c>
      <c r="I2782" s="12">
        <f t="shared" si="131"/>
        <v>4.6292247905924698E-2</v>
      </c>
      <c r="J2782" s="12">
        <f>G2782*(D2782*Assumptions!$B$6+E2782*Assumptions!$B$7)</f>
        <v>3.4014370001316926E-3</v>
      </c>
    </row>
    <row r="2783" spans="1:10" x14ac:dyDescent="0.2">
      <c r="A2783" s="2">
        <v>2775</v>
      </c>
      <c r="B2783" s="14">
        <f>A2783*Assumptions!$B$12</f>
        <v>27.75</v>
      </c>
      <c r="C2783" s="15">
        <f>IF(A2783&lt;=Assumptions!$B$13,IF(OR(A2783=0,A2783=Assumptions!$B$13),0.5,1),0)*Assumptions!$B$12</f>
        <v>0</v>
      </c>
      <c r="D2783" s="12">
        <f>D2782*(1-Assumptions!$B$12*(Assumptions!$B$5+Assumptions!$B$6))</f>
        <v>0.43490620145641218</v>
      </c>
      <c r="E2783" s="12">
        <f>E2782+Assumptions!$B$12*(D2782*Assumptions!$B$5-E2782*Assumptions!$B$7)</f>
        <v>0.18529405766708001</v>
      </c>
      <c r="F2783" s="12">
        <f t="shared" si="129"/>
        <v>0.37979974087650775</v>
      </c>
      <c r="G2783" s="12">
        <f>EXP(-Assumptions!$B$8*B2783)</f>
        <v>0.2496987719026135</v>
      </c>
      <c r="H2783" s="12">
        <f t="shared" si="130"/>
        <v>0.10859554439649674</v>
      </c>
      <c r="I2783" s="12">
        <f t="shared" si="131"/>
        <v>4.6267698640321923E-2</v>
      </c>
      <c r="J2783" s="12">
        <f>G2783*(D2783*Assumptions!$B$6+E2783*Assumptions!$B$7)</f>
        <v>3.3993403759810634E-3</v>
      </c>
    </row>
    <row r="2784" spans="1:10" x14ac:dyDescent="0.2">
      <c r="A2784" s="2">
        <v>2776</v>
      </c>
      <c r="B2784" s="14">
        <f>A2784*Assumptions!$B$12</f>
        <v>27.76</v>
      </c>
      <c r="C2784" s="15">
        <f>IF(A2784&lt;=Assumptions!$B$13,IF(OR(A2784=0,A2784=Assumptions!$B$13),0.5,1),0)*Assumptions!$B$12</f>
        <v>0</v>
      </c>
      <c r="D2784" s="12">
        <f>D2783*(1-Assumptions!$B$12*(Assumptions!$B$5+Assumptions!$B$6))</f>
        <v>0.43477572959597527</v>
      </c>
      <c r="E2784" s="12">
        <f>E2783+Assumptions!$B$12*(D2783*Assumptions!$B$5-E2783*Assumptions!$B$7)</f>
        <v>0.18528839187853777</v>
      </c>
      <c r="F2784" s="12">
        <f t="shared" si="129"/>
        <v>0.37993587852548694</v>
      </c>
      <c r="G2784" s="12">
        <f>EXP(-Assumptions!$B$8*B2784)</f>
        <v>0.24957395372380728</v>
      </c>
      <c r="H2784" s="12">
        <f t="shared" si="130"/>
        <v>0.10850869781842049</v>
      </c>
      <c r="I2784" s="12">
        <f t="shared" si="131"/>
        <v>4.624315654025285E-2</v>
      </c>
      <c r="J2784" s="12">
        <f>G2784*(D2784*Assumptions!$B$6+E2784*Assumptions!$B$7)</f>
        <v>3.3972448051968474E-3</v>
      </c>
    </row>
    <row r="2785" spans="1:10" x14ac:dyDescent="0.2">
      <c r="A2785" s="2">
        <v>2777</v>
      </c>
      <c r="B2785" s="14">
        <f>A2785*Assumptions!$B$12</f>
        <v>27.77</v>
      </c>
      <c r="C2785" s="15">
        <f>IF(A2785&lt;=Assumptions!$B$13,IF(OR(A2785=0,A2785=Assumptions!$B$13),0.5,1),0)*Assumptions!$B$12</f>
        <v>0</v>
      </c>
      <c r="D2785" s="12">
        <f>D2784*(1-Assumptions!$B$12*(Assumptions!$B$5+Assumptions!$B$6))</f>
        <v>0.43464529687709647</v>
      </c>
      <c r="E2785" s="12">
        <f>E2784+Assumptions!$B$12*(D2784*Assumptions!$B$5-E2784*Assumptions!$B$7)</f>
        <v>0.18528270282851769</v>
      </c>
      <c r="F2785" s="12">
        <f t="shared" si="129"/>
        <v>0.38007200029438593</v>
      </c>
      <c r="G2785" s="12">
        <f>EXP(-Assumptions!$B$8*B2785)</f>
        <v>0.2494491979384908</v>
      </c>
      <c r="H2785" s="12">
        <f t="shared" si="130"/>
        <v>0.10842192069372893</v>
      </c>
      <c r="I2785" s="12">
        <f t="shared" si="131"/>
        <v>4.6218621612449481E-2</v>
      </c>
      <c r="J2785" s="12">
        <f>G2785*(D2785*Assumptions!$B$6+E2785*Assumptions!$B$7)</f>
        <v>3.3951502875597633E-3</v>
      </c>
    </row>
    <row r="2786" spans="1:10" x14ac:dyDescent="0.2">
      <c r="A2786" s="2">
        <v>2778</v>
      </c>
      <c r="B2786" s="14">
        <f>A2786*Assumptions!$B$12</f>
        <v>27.78</v>
      </c>
      <c r="C2786" s="15">
        <f>IF(A2786&lt;=Assumptions!$B$13,IF(OR(A2786=0,A2786=Assumptions!$B$13),0.5,1),0)*Assumptions!$B$12</f>
        <v>0</v>
      </c>
      <c r="D2786" s="12">
        <f>D2785*(1-Assumptions!$B$12*(Assumptions!$B$5+Assumptions!$B$6))</f>
        <v>0.43451490328803333</v>
      </c>
      <c r="E2786" s="12">
        <f>E2785+Assumptions!$B$12*(D2785*Assumptions!$B$5-E2785*Assumptions!$B$7)</f>
        <v>0.18527699053647886</v>
      </c>
      <c r="F2786" s="12">
        <f t="shared" si="129"/>
        <v>0.38020810617548784</v>
      </c>
      <c r="G2786" s="12">
        <f>EXP(-Assumptions!$B$8*B2786)</f>
        <v>0.24932450451547505</v>
      </c>
      <c r="H2786" s="12">
        <f t="shared" si="130"/>
        <v>0.10833521296687847</v>
      </c>
      <c r="I2786" s="12">
        <f t="shared" si="131"/>
        <v>4.6194093863625954E-2</v>
      </c>
      <c r="J2786" s="12">
        <f>G2786*(D2786*Assumptions!$B$6+E2786*Assumptions!$B$7)</f>
        <v>3.3930568228500825E-3</v>
      </c>
    </row>
    <row r="2787" spans="1:10" x14ac:dyDescent="0.2">
      <c r="A2787" s="2">
        <v>2779</v>
      </c>
      <c r="B2787" s="14">
        <f>A2787*Assumptions!$B$12</f>
        <v>27.79</v>
      </c>
      <c r="C2787" s="15">
        <f>IF(A2787&lt;=Assumptions!$B$13,IF(OR(A2787=0,A2787=Assumptions!$B$13),0.5,1),0)*Assumptions!$B$12</f>
        <v>0</v>
      </c>
      <c r="D2787" s="12">
        <f>D2786*(1-Assumptions!$B$12*(Assumptions!$B$5+Assumptions!$B$6))</f>
        <v>0.43438454881704691</v>
      </c>
      <c r="E2787" s="12">
        <f>E2786+Assumptions!$B$12*(D2786*Assumptions!$B$5-E2786*Assumptions!$B$7)</f>
        <v>0.18527125502186823</v>
      </c>
      <c r="F2787" s="12">
        <f t="shared" si="129"/>
        <v>0.38034419616108484</v>
      </c>
      <c r="G2787" s="12">
        <f>EXP(-Assumptions!$B$8*B2787)</f>
        <v>0.24919987342358682</v>
      </c>
      <c r="H2787" s="12">
        <f t="shared" si="130"/>
        <v>0.10824857458236996</v>
      </c>
      <c r="I2787" s="12">
        <f t="shared" si="131"/>
        <v>4.6169573300478634E-2</v>
      </c>
      <c r="J2787" s="12">
        <f>G2787*(D2787*Assumptions!$B$6+E2787*Assumptions!$B$7)</f>
        <v>3.3909644108476317E-3</v>
      </c>
    </row>
    <row r="2788" spans="1:10" x14ac:dyDescent="0.2">
      <c r="A2788" s="2">
        <v>2780</v>
      </c>
      <c r="B2788" s="14">
        <f>A2788*Assumptions!$B$12</f>
        <v>27.8</v>
      </c>
      <c r="C2788" s="15">
        <f>IF(A2788&lt;=Assumptions!$B$13,IF(OR(A2788=0,A2788=Assumptions!$B$13),0.5,1),0)*Assumptions!$B$12</f>
        <v>0</v>
      </c>
      <c r="D2788" s="12">
        <f>D2787*(1-Assumptions!$B$12*(Assumptions!$B$5+Assumptions!$B$6))</f>
        <v>0.43425423345240183</v>
      </c>
      <c r="E2788" s="12">
        <f>E2787+Assumptions!$B$12*(D2787*Assumptions!$B$5-E2787*Assumptions!$B$7)</f>
        <v>0.1852654963041207</v>
      </c>
      <c r="F2788" s="12">
        <f t="shared" si="129"/>
        <v>0.38048027024347753</v>
      </c>
      <c r="G2788" s="12">
        <f>EXP(-Assumptions!$B$8*B2788)</f>
        <v>0.24907530463166816</v>
      </c>
      <c r="H2788" s="12">
        <f t="shared" si="130"/>
        <v>0.10816200548474852</v>
      </c>
      <c r="I2788" s="12">
        <f t="shared" si="131"/>
        <v>4.6145059929686053E-2</v>
      </c>
      <c r="J2788" s="12">
        <f>G2788*(D2788*Assumptions!$B$6+E2788*Assumptions!$B$7)</f>
        <v>3.3888730513317884E-3</v>
      </c>
    </row>
    <row r="2789" spans="1:10" x14ac:dyDescent="0.2">
      <c r="A2789" s="2">
        <v>2781</v>
      </c>
      <c r="B2789" s="14">
        <f>A2789*Assumptions!$B$12</f>
        <v>27.810000000000002</v>
      </c>
      <c r="C2789" s="15">
        <f>IF(A2789&lt;=Assumptions!$B$13,IF(OR(A2789=0,A2789=Assumptions!$B$13),0.5,1),0)*Assumptions!$B$12</f>
        <v>0</v>
      </c>
      <c r="D2789" s="12">
        <f>D2788*(1-Assumptions!$B$12*(Assumptions!$B$5+Assumptions!$B$6))</f>
        <v>0.43412395718236613</v>
      </c>
      <c r="E2789" s="12">
        <f>E2788+Assumptions!$B$12*(D2788*Assumptions!$B$5-E2788*Assumptions!$B$7)</f>
        <v>0.18525971440265912</v>
      </c>
      <c r="F2789" s="12">
        <f t="shared" si="129"/>
        <v>0.38061632841497484</v>
      </c>
      <c r="G2789" s="12">
        <f>EXP(-Assumptions!$B$8*B2789)</f>
        <v>0.24895079810857693</v>
      </c>
      <c r="H2789" s="12">
        <f t="shared" si="130"/>
        <v>0.10807550561860373</v>
      </c>
      <c r="I2789" s="12">
        <f t="shared" si="131"/>
        <v>4.6120553757909015E-2</v>
      </c>
      <c r="J2789" s="12">
        <f>G2789*(D2789*Assumptions!$B$6+E2789*Assumptions!$B$7)</f>
        <v>3.3867827440814879E-3</v>
      </c>
    </row>
    <row r="2790" spans="1:10" x14ac:dyDescent="0.2">
      <c r="A2790" s="2">
        <v>2782</v>
      </c>
      <c r="B2790" s="14">
        <f>A2790*Assumptions!$B$12</f>
        <v>27.82</v>
      </c>
      <c r="C2790" s="15">
        <f>IF(A2790&lt;=Assumptions!$B$13,IF(OR(A2790=0,A2790=Assumptions!$B$13),0.5,1),0)*Assumptions!$B$12</f>
        <v>0</v>
      </c>
      <c r="D2790" s="12">
        <f>D2789*(1-Assumptions!$B$12*(Assumptions!$B$5+Assumptions!$B$6))</f>
        <v>0.43399371999521141</v>
      </c>
      <c r="E2790" s="12">
        <f>E2789+Assumptions!$B$12*(D2789*Assumptions!$B$5-E2789*Assumptions!$B$7)</f>
        <v>0.18525390933689426</v>
      </c>
      <c r="F2790" s="12">
        <f t="shared" si="129"/>
        <v>0.38075237066789436</v>
      </c>
      <c r="G2790" s="12">
        <f>EXP(-Assumptions!$B$8*B2790)</f>
        <v>0.24882635382318666</v>
      </c>
      <c r="H2790" s="12">
        <f t="shared" si="130"/>
        <v>0.10798907492856948</v>
      </c>
      <c r="I2790" s="12">
        <f t="shared" si="131"/>
        <v>4.6096054791790596E-2</v>
      </c>
      <c r="J2790" s="12">
        <f>G2790*(D2790*Assumptions!$B$6+E2790*Assumptions!$B$7)</f>
        <v>3.3846934888752244E-3</v>
      </c>
    </row>
    <row r="2791" spans="1:10" x14ac:dyDescent="0.2">
      <c r="A2791" s="2">
        <v>2783</v>
      </c>
      <c r="B2791" s="14">
        <f>A2791*Assumptions!$B$12</f>
        <v>27.830000000000002</v>
      </c>
      <c r="C2791" s="15">
        <f>IF(A2791&lt;=Assumptions!$B$13,IF(OR(A2791=0,A2791=Assumptions!$B$13),0.5,1),0)*Assumptions!$B$12</f>
        <v>0</v>
      </c>
      <c r="D2791" s="12">
        <f>D2790*(1-Assumptions!$B$12*(Assumptions!$B$5+Assumptions!$B$6))</f>
        <v>0.43386352187921284</v>
      </c>
      <c r="E2791" s="12">
        <f>E2790+Assumptions!$B$12*(D2790*Assumptions!$B$5-E2790*Assumptions!$B$7)</f>
        <v>0.18524808112622485</v>
      </c>
      <c r="F2791" s="12">
        <f t="shared" si="129"/>
        <v>0.38088839699456234</v>
      </c>
      <c r="G2791" s="12">
        <f>EXP(-Assumptions!$B$8*B2791)</f>
        <v>0.24870197174438602</v>
      </c>
      <c r="H2791" s="12">
        <f t="shared" si="130"/>
        <v>0.1079027133593238</v>
      </c>
      <c r="I2791" s="12">
        <f t="shared" si="131"/>
        <v>4.6071563037956099E-2</v>
      </c>
      <c r="J2791" s="12">
        <f>G2791*(D2791*Assumptions!$B$6+E2791*Assumptions!$B$7)</f>
        <v>3.382605285491043E-3</v>
      </c>
    </row>
    <row r="2792" spans="1:10" x14ac:dyDescent="0.2">
      <c r="A2792" s="2">
        <v>2784</v>
      </c>
      <c r="B2792" s="14">
        <f>A2792*Assumptions!$B$12</f>
        <v>27.84</v>
      </c>
      <c r="C2792" s="15">
        <f>IF(A2792&lt;=Assumptions!$B$13,IF(OR(A2792=0,A2792=Assumptions!$B$13),0.5,1),0)*Assumptions!$B$12</f>
        <v>0</v>
      </c>
      <c r="D2792" s="12">
        <f>D2791*(1-Assumptions!$B$12*(Assumptions!$B$5+Assumptions!$B$6))</f>
        <v>0.43373336282264907</v>
      </c>
      <c r="E2792" s="12">
        <f>E2791+Assumptions!$B$12*(D2791*Assumptions!$B$5-E2791*Assumptions!$B$7)</f>
        <v>0.18524222979003757</v>
      </c>
      <c r="F2792" s="12">
        <f t="shared" si="129"/>
        <v>0.38102440738731336</v>
      </c>
      <c r="G2792" s="12">
        <f>EXP(-Assumptions!$B$8*B2792)</f>
        <v>0.24857765184107966</v>
      </c>
      <c r="H2792" s="12">
        <f t="shared" si="130"/>
        <v>0.10781642085558915</v>
      </c>
      <c r="I2792" s="12">
        <f t="shared" si="131"/>
        <v>4.6047078503013233E-2</v>
      </c>
      <c r="J2792" s="12">
        <f>G2792*(D2792*Assumptions!$B$6+E2792*Assumptions!$B$7)</f>
        <v>3.3805181337065531E-3</v>
      </c>
    </row>
    <row r="2793" spans="1:10" x14ac:dyDescent="0.2">
      <c r="A2793" s="2">
        <v>2785</v>
      </c>
      <c r="B2793" s="14">
        <f>A2793*Assumptions!$B$12</f>
        <v>27.85</v>
      </c>
      <c r="C2793" s="15">
        <f>IF(A2793&lt;=Assumptions!$B$13,IF(OR(A2793=0,A2793=Assumptions!$B$13),0.5,1),0)*Assumptions!$B$12</f>
        <v>0</v>
      </c>
      <c r="D2793" s="12">
        <f>D2792*(1-Assumptions!$B$12*(Assumptions!$B$5+Assumptions!$B$6))</f>
        <v>0.4336032428138023</v>
      </c>
      <c r="E2793" s="12">
        <f>E2792+Assumptions!$B$12*(D2792*Assumptions!$B$5-E2792*Assumptions!$B$7)</f>
        <v>0.18523635534770708</v>
      </c>
      <c r="F2793" s="12">
        <f t="shared" si="129"/>
        <v>0.38116040183849054</v>
      </c>
      <c r="G2793" s="12">
        <f>EXP(-Assumptions!$B$8*B2793)</f>
        <v>0.24845339408218756</v>
      </c>
      <c r="H2793" s="12">
        <f t="shared" si="130"/>
        <v>0.10773019736213209</v>
      </c>
      <c r="I2793" s="12">
        <f t="shared" si="131"/>
        <v>4.6022601193551997E-2</v>
      </c>
      <c r="J2793" s="12">
        <f>G2793*(D2793*Assumptions!$B$6+E2793*Assumptions!$B$7)</f>
        <v>3.3784320332989207E-3</v>
      </c>
    </row>
    <row r="2794" spans="1:10" x14ac:dyDescent="0.2">
      <c r="A2794" s="2">
        <v>2786</v>
      </c>
      <c r="B2794" s="14">
        <f>A2794*Assumptions!$B$12</f>
        <v>27.86</v>
      </c>
      <c r="C2794" s="15">
        <f>IF(A2794&lt;=Assumptions!$B$13,IF(OR(A2794=0,A2794=Assumptions!$B$13),0.5,1),0)*Assumptions!$B$12</f>
        <v>0</v>
      </c>
      <c r="D2794" s="12">
        <f>D2793*(1-Assumptions!$B$12*(Assumptions!$B$5+Assumptions!$B$6))</f>
        <v>0.43347316184095819</v>
      </c>
      <c r="E2794" s="12">
        <f>E2793+Assumptions!$B$12*(D2793*Assumptions!$B$5-E2793*Assumptions!$B$7)</f>
        <v>0.18523045781859598</v>
      </c>
      <c r="F2794" s="12">
        <f t="shared" si="129"/>
        <v>0.38129638034044583</v>
      </c>
      <c r="G2794" s="12">
        <f>EXP(-Assumptions!$B$8*B2794)</f>
        <v>0.24832919843664528</v>
      </c>
      <c r="H2794" s="12">
        <f t="shared" si="130"/>
        <v>0.10764404282376336</v>
      </c>
      <c r="I2794" s="12">
        <f t="shared" si="131"/>
        <v>4.5998131116144772E-2</v>
      </c>
      <c r="J2794" s="12">
        <f>G2794*(D2794*Assumptions!$B$6+E2794*Assumptions!$B$7)</f>
        <v>3.3763469840448726E-3</v>
      </c>
    </row>
    <row r="2795" spans="1:10" x14ac:dyDescent="0.2">
      <c r="A2795" s="2">
        <v>2787</v>
      </c>
      <c r="B2795" s="14">
        <f>A2795*Assumptions!$B$12</f>
        <v>27.87</v>
      </c>
      <c r="C2795" s="15">
        <f>IF(A2795&lt;=Assumptions!$B$13,IF(OR(A2795=0,A2795=Assumptions!$B$13),0.5,1),0)*Assumptions!$B$12</f>
        <v>0</v>
      </c>
      <c r="D2795" s="12">
        <f>D2794*(1-Assumptions!$B$12*(Assumptions!$B$5+Assumptions!$B$6))</f>
        <v>0.43334311989240593</v>
      </c>
      <c r="E2795" s="12">
        <f>E2794+Assumptions!$B$12*(D2794*Assumptions!$B$5-E2794*Assumptions!$B$7)</f>
        <v>0.18522453722205487</v>
      </c>
      <c r="F2795" s="12">
        <f t="shared" si="129"/>
        <v>0.38143234288553918</v>
      </c>
      <c r="G2795" s="12">
        <f>EXP(-Assumptions!$B$8*B2795)</f>
        <v>0.24820506487340382</v>
      </c>
      <c r="H2795" s="12">
        <f t="shared" si="130"/>
        <v>0.10755795718533782</v>
      </c>
      <c r="I2795" s="12">
        <f t="shared" si="131"/>
        <v>4.5973668277346329E-2</v>
      </c>
      <c r="J2795" s="12">
        <f>G2795*(D2795*Assumptions!$B$6+E2795*Assumptions!$B$7)</f>
        <v>3.3742629857206946E-3</v>
      </c>
    </row>
    <row r="2796" spans="1:10" x14ac:dyDescent="0.2">
      <c r="A2796" s="2">
        <v>2788</v>
      </c>
      <c r="B2796" s="14">
        <f>A2796*Assumptions!$B$12</f>
        <v>27.88</v>
      </c>
      <c r="C2796" s="15">
        <f>IF(A2796&lt;=Assumptions!$B$13,IF(OR(A2796=0,A2796=Assumptions!$B$13),0.5,1),0)*Assumptions!$B$12</f>
        <v>0</v>
      </c>
      <c r="D2796" s="12">
        <f>D2795*(1-Assumptions!$B$12*(Assumptions!$B$5+Assumptions!$B$6))</f>
        <v>0.43321311695643822</v>
      </c>
      <c r="E2796" s="12">
        <f>E2795+Assumptions!$B$12*(D2795*Assumptions!$B$5-E2795*Assumptions!$B$7)</f>
        <v>0.18521859357742232</v>
      </c>
      <c r="F2796" s="12">
        <f t="shared" si="129"/>
        <v>0.38156828946613952</v>
      </c>
      <c r="G2796" s="12">
        <f>EXP(-Assumptions!$B$8*B2796)</f>
        <v>0.24808099336142997</v>
      </c>
      <c r="H2796" s="12">
        <f t="shared" si="130"/>
        <v>0.10747194039175453</v>
      </c>
      <c r="I2796" s="12">
        <f t="shared" si="131"/>
        <v>4.5949212683693903E-2</v>
      </c>
      <c r="J2796" s="12">
        <f>G2796*(D2796*Assumptions!$B$6+E2796*Assumptions!$B$7)</f>
        <v>3.3721800381022408E-3</v>
      </c>
    </row>
    <row r="2797" spans="1:10" x14ac:dyDescent="0.2">
      <c r="A2797" s="2">
        <v>2789</v>
      </c>
      <c r="B2797" s="14">
        <f>A2797*Assumptions!$B$12</f>
        <v>27.89</v>
      </c>
      <c r="C2797" s="15">
        <f>IF(A2797&lt;=Assumptions!$B$13,IF(OR(A2797=0,A2797=Assumptions!$B$13),0.5,1),0)*Assumptions!$B$12</f>
        <v>0</v>
      </c>
      <c r="D2797" s="12">
        <f>D2796*(1-Assumptions!$B$12*(Assumptions!$B$5+Assumptions!$B$6))</f>
        <v>0.43308315302135131</v>
      </c>
      <c r="E2797" s="12">
        <f>E2796+Assumptions!$B$12*(D2796*Assumptions!$B$5-E2796*Assumptions!$B$7)</f>
        <v>0.1852126269040249</v>
      </c>
      <c r="F2797" s="12">
        <f t="shared" si="129"/>
        <v>0.38170422007462385</v>
      </c>
      <c r="G2797" s="12">
        <f>EXP(-Assumptions!$B$8*B2797)</f>
        <v>0.24795698386970572</v>
      </c>
      <c r="H2797" s="12">
        <f t="shared" si="130"/>
        <v>0.1073859923879565</v>
      </c>
      <c r="I2797" s="12">
        <f t="shared" si="131"/>
        <v>4.5924764341707128E-2</v>
      </c>
      <c r="J2797" s="12">
        <f>G2797*(D2797*Assumptions!$B$6+E2797*Assumptions!$B$7)</f>
        <v>3.3700981409649218E-3</v>
      </c>
    </row>
    <row r="2798" spans="1:10" x14ac:dyDescent="0.2">
      <c r="A2798" s="2">
        <v>2790</v>
      </c>
      <c r="B2798" s="14">
        <f>A2798*Assumptions!$B$12</f>
        <v>27.900000000000002</v>
      </c>
      <c r="C2798" s="15">
        <f>IF(A2798&lt;=Assumptions!$B$13,IF(OR(A2798=0,A2798=Assumptions!$B$13),0.5,1),0)*Assumptions!$B$12</f>
        <v>0</v>
      </c>
      <c r="D2798" s="12">
        <f>D2797*(1-Assumptions!$B$12*(Assumptions!$B$5+Assumptions!$B$6))</f>
        <v>0.4329532280754449</v>
      </c>
      <c r="E2798" s="12">
        <f>E2797+Assumptions!$B$12*(D2797*Assumptions!$B$5-E2797*Assumptions!$B$7)</f>
        <v>0.18520663722117717</v>
      </c>
      <c r="F2798" s="12">
        <f t="shared" si="129"/>
        <v>0.38184013470337796</v>
      </c>
      <c r="G2798" s="12">
        <f>EXP(-Assumptions!$B$8*B2798)</f>
        <v>0.2478330363672287</v>
      </c>
      <c r="H2798" s="12">
        <f t="shared" si="130"/>
        <v>0.1073001131189308</v>
      </c>
      <c r="I2798" s="12">
        <f t="shared" si="131"/>
        <v>4.5900323257888134E-2</v>
      </c>
      <c r="J2798" s="12">
        <f>G2798*(D2798*Assumptions!$B$6+E2798*Assumptions!$B$7)</f>
        <v>3.3680172940837149E-3</v>
      </c>
    </row>
    <row r="2799" spans="1:10" x14ac:dyDescent="0.2">
      <c r="A2799" s="2">
        <v>2791</v>
      </c>
      <c r="B2799" s="14">
        <f>A2799*Assumptions!$B$12</f>
        <v>27.91</v>
      </c>
      <c r="C2799" s="15">
        <f>IF(A2799&lt;=Assumptions!$B$13,IF(OR(A2799=0,A2799=Assumptions!$B$13),0.5,1),0)*Assumptions!$B$12</f>
        <v>0</v>
      </c>
      <c r="D2799" s="12">
        <f>D2798*(1-Assumptions!$B$12*(Assumptions!$B$5+Assumptions!$B$6))</f>
        <v>0.43282334210702228</v>
      </c>
      <c r="E2799" s="12">
        <f>E2798+Assumptions!$B$12*(D2798*Assumptions!$B$5-E2798*Assumptions!$B$7)</f>
        <v>0.18520062454818167</v>
      </c>
      <c r="F2799" s="12">
        <f t="shared" si="129"/>
        <v>0.38197603334479613</v>
      </c>
      <c r="G2799" s="12">
        <f>EXP(-Assumptions!$B$8*B2799)</f>
        <v>0.24770915082301209</v>
      </c>
      <c r="H2799" s="12">
        <f t="shared" si="130"/>
        <v>0.10721430252970854</v>
      </c>
      <c r="I2799" s="12">
        <f t="shared" si="131"/>
        <v>4.5875889438721569E-2</v>
      </c>
      <c r="J2799" s="12">
        <f>G2799*(D2799*Assumptions!$B$6+E2799*Assumptions!$B$7)</f>
        <v>3.3659374972331642E-3</v>
      </c>
    </row>
    <row r="2800" spans="1:10" x14ac:dyDescent="0.2">
      <c r="A2800" s="2">
        <v>2792</v>
      </c>
      <c r="B2800" s="14">
        <f>A2800*Assumptions!$B$12</f>
        <v>27.92</v>
      </c>
      <c r="C2800" s="15">
        <f>IF(A2800&lt;=Assumptions!$B$13,IF(OR(A2800=0,A2800=Assumptions!$B$13),0.5,1),0)*Assumptions!$B$12</f>
        <v>0</v>
      </c>
      <c r="D2800" s="12">
        <f>D2799*(1-Assumptions!$B$12*(Assumptions!$B$5+Assumptions!$B$6))</f>
        <v>0.4326934951043902</v>
      </c>
      <c r="E2800" s="12">
        <f>E2799+Assumptions!$B$12*(D2799*Assumptions!$B$5-E2799*Assumptions!$B$7)</f>
        <v>0.18519458890432899</v>
      </c>
      <c r="F2800" s="12">
        <f t="shared" si="129"/>
        <v>0.38211191599128086</v>
      </c>
      <c r="G2800" s="12">
        <f>EXP(-Assumptions!$B$8*B2800)</f>
        <v>0.2475853272060845</v>
      </c>
      <c r="H2800" s="12">
        <f t="shared" si="130"/>
        <v>0.10712856056536477</v>
      </c>
      <c r="I2800" s="12">
        <f t="shared" si="131"/>
        <v>4.5851462890674599E-2</v>
      </c>
      <c r="J2800" s="12">
        <f>G2800*(D2800*Assumptions!$B$6+E2800*Assumptions!$B$7)</f>
        <v>3.3638587501873779E-3</v>
      </c>
    </row>
    <row r="2801" spans="1:10" x14ac:dyDescent="0.2">
      <c r="A2801" s="2">
        <v>2793</v>
      </c>
      <c r="B2801" s="14">
        <f>A2801*Assumptions!$B$12</f>
        <v>27.93</v>
      </c>
      <c r="C2801" s="15">
        <f>IF(A2801&lt;=Assumptions!$B$13,IF(OR(A2801=0,A2801=Assumptions!$B$13),0.5,1),0)*Assumptions!$B$12</f>
        <v>0</v>
      </c>
      <c r="D2801" s="12">
        <f>D2800*(1-Assumptions!$B$12*(Assumptions!$B$5+Assumptions!$B$6))</f>
        <v>0.4325636870558589</v>
      </c>
      <c r="E2801" s="12">
        <f>E2800+Assumptions!$B$12*(D2800*Assumptions!$B$5-E2800*Assumptions!$B$7)</f>
        <v>0.1851885303088977</v>
      </c>
      <c r="F2801" s="12">
        <f t="shared" si="129"/>
        <v>0.38224778263524339</v>
      </c>
      <c r="G2801" s="12">
        <f>EXP(-Assumptions!$B$8*B2801)</f>
        <v>0.24746156548548998</v>
      </c>
      <c r="H2801" s="12">
        <f t="shared" si="130"/>
        <v>0.10704288717101842</v>
      </c>
      <c r="I2801" s="12">
        <f t="shared" si="131"/>
        <v>4.5827043620196933E-2</v>
      </c>
      <c r="J2801" s="12">
        <f>G2801*(D2801*Assumptions!$B$6+E2801*Assumptions!$B$7)</f>
        <v>3.3617810527200313E-3</v>
      </c>
    </row>
    <row r="2802" spans="1:10" x14ac:dyDescent="0.2">
      <c r="A2802" s="2">
        <v>2794</v>
      </c>
      <c r="B2802" s="14">
        <f>A2802*Assumptions!$B$12</f>
        <v>27.94</v>
      </c>
      <c r="C2802" s="15">
        <f>IF(A2802&lt;=Assumptions!$B$13,IF(OR(A2802=0,A2802=Assumptions!$B$13),0.5,1),0)*Assumptions!$B$12</f>
        <v>0</v>
      </c>
      <c r="D2802" s="12">
        <f>D2801*(1-Assumptions!$B$12*(Assumptions!$B$5+Assumptions!$B$6))</f>
        <v>0.43243391794974217</v>
      </c>
      <c r="E2802" s="12">
        <f>E2801+Assumptions!$B$12*(D2801*Assumptions!$B$5-E2801*Assumptions!$B$7)</f>
        <v>0.18518244878115442</v>
      </c>
      <c r="F2802" s="12">
        <f t="shared" si="129"/>
        <v>0.38238363326910341</v>
      </c>
      <c r="G2802" s="12">
        <f>EXP(-Assumptions!$B$8*B2802)</f>
        <v>0.24733786563028809</v>
      </c>
      <c r="H2802" s="12">
        <f t="shared" si="130"/>
        <v>0.10695728229183235</v>
      </c>
      <c r="I2802" s="12">
        <f t="shared" si="131"/>
        <v>4.5802631633720878E-2</v>
      </c>
      <c r="J2802" s="12">
        <f>G2802*(D2802*Assumptions!$B$6+E2802*Assumptions!$B$7)</f>
        <v>3.3597044046043676E-3</v>
      </c>
    </row>
    <row r="2803" spans="1:10" x14ac:dyDescent="0.2">
      <c r="A2803" s="2">
        <v>2795</v>
      </c>
      <c r="B2803" s="14">
        <f>A2803*Assumptions!$B$12</f>
        <v>27.95</v>
      </c>
      <c r="C2803" s="15">
        <f>IF(A2803&lt;=Assumptions!$B$13,IF(OR(A2803=0,A2803=Assumptions!$B$13),0.5,1),0)*Assumptions!$B$12</f>
        <v>0</v>
      </c>
      <c r="D2803" s="12">
        <f>D2802*(1-Assumptions!$B$12*(Assumptions!$B$5+Assumptions!$B$6))</f>
        <v>0.43230418777435725</v>
      </c>
      <c r="E2803" s="12">
        <f>E2802+Assumptions!$B$12*(D2802*Assumptions!$B$5-E2802*Assumptions!$B$7)</f>
        <v>0.18517634434035379</v>
      </c>
      <c r="F2803" s="12">
        <f t="shared" si="129"/>
        <v>0.38251946788528901</v>
      </c>
      <c r="G2803" s="12">
        <f>EXP(-Assumptions!$B$8*B2803)</f>
        <v>0.24721422760955397</v>
      </c>
      <c r="H2803" s="12">
        <f t="shared" si="130"/>
        <v>0.10687174587301332</v>
      </c>
      <c r="I2803" s="12">
        <f t="shared" si="131"/>
        <v>4.5778226937661363E-2</v>
      </c>
      <c r="J2803" s="12">
        <f>G2803*(D2803*Assumptions!$B$6+E2803*Assumptions!$B$7)</f>
        <v>3.3576288056132017E-3</v>
      </c>
    </row>
    <row r="2804" spans="1:10" x14ac:dyDescent="0.2">
      <c r="A2804" s="2">
        <v>2796</v>
      </c>
      <c r="B2804" s="14">
        <f>A2804*Assumptions!$B$12</f>
        <v>27.96</v>
      </c>
      <c r="C2804" s="15">
        <f>IF(A2804&lt;=Assumptions!$B$13,IF(OR(A2804=0,A2804=Assumptions!$B$13),0.5,1),0)*Assumptions!$B$12</f>
        <v>0</v>
      </c>
      <c r="D2804" s="12">
        <f>D2803*(1-Assumptions!$B$12*(Assumptions!$B$5+Assumptions!$B$6))</f>
        <v>0.43217449651802498</v>
      </c>
      <c r="E2804" s="12">
        <f>E2803+Assumptions!$B$12*(D2803*Assumptions!$B$5-E2803*Assumptions!$B$7)</f>
        <v>0.18517021700573849</v>
      </c>
      <c r="F2804" s="12">
        <f t="shared" si="129"/>
        <v>0.38265528647623653</v>
      </c>
      <c r="G2804" s="12">
        <f>EXP(-Assumptions!$B$8*B2804)</f>
        <v>0.24709065139237796</v>
      </c>
      <c r="H2804" s="12">
        <f t="shared" si="130"/>
        <v>0.10678627785981178</v>
      </c>
      <c r="I2804" s="12">
        <f t="shared" si="131"/>
        <v>4.5753829538415905E-2</v>
      </c>
      <c r="J2804" s="12">
        <f>G2804*(D2804*Assumptions!$B$6+E2804*Assumptions!$B$7)</f>
        <v>3.3555542555189135E-3</v>
      </c>
    </row>
    <row r="2805" spans="1:10" x14ac:dyDescent="0.2">
      <c r="A2805" s="2">
        <v>2797</v>
      </c>
      <c r="B2805" s="14">
        <f>A2805*Assumptions!$B$12</f>
        <v>27.97</v>
      </c>
      <c r="C2805" s="15">
        <f>IF(A2805&lt;=Assumptions!$B$13,IF(OR(A2805=0,A2805=Assumptions!$B$13),0.5,1),0)*Assumptions!$B$12</f>
        <v>0</v>
      </c>
      <c r="D2805" s="12">
        <f>D2804*(1-Assumptions!$B$12*(Assumptions!$B$5+Assumptions!$B$6))</f>
        <v>0.43204484416906958</v>
      </c>
      <c r="E2805" s="12">
        <f>E2804+Assumptions!$B$12*(D2804*Assumptions!$B$5-E2804*Assumptions!$B$7)</f>
        <v>0.18516406679653924</v>
      </c>
      <c r="F2805" s="12">
        <f t="shared" si="129"/>
        <v>0.38279108903439113</v>
      </c>
      <c r="G2805" s="12">
        <f>EXP(-Assumptions!$B$8*B2805)</f>
        <v>0.24696713694786612</v>
      </c>
      <c r="H2805" s="12">
        <f t="shared" si="130"/>
        <v>0.10670087819752208</v>
      </c>
      <c r="I2805" s="12">
        <f t="shared" si="131"/>
        <v>4.5729439442364739E-2</v>
      </c>
      <c r="J2805" s="12">
        <f>G2805*(D2805*Assumptions!$B$6+E2805*Assumptions!$B$7)</f>
        <v>3.3534807540934581E-3</v>
      </c>
    </row>
    <row r="2806" spans="1:10" x14ac:dyDescent="0.2">
      <c r="A2806" s="2">
        <v>2798</v>
      </c>
      <c r="B2806" s="14">
        <f>A2806*Assumptions!$B$12</f>
        <v>27.98</v>
      </c>
      <c r="C2806" s="15">
        <f>IF(A2806&lt;=Assumptions!$B$13,IF(OR(A2806=0,A2806=Assumptions!$B$13),0.5,1),0)*Assumptions!$B$12</f>
        <v>0</v>
      </c>
      <c r="D2806" s="12">
        <f>D2805*(1-Assumptions!$B$12*(Assumptions!$B$5+Assumptions!$B$6))</f>
        <v>0.43191523071581889</v>
      </c>
      <c r="E2806" s="12">
        <f>E2805+Assumptions!$B$12*(D2805*Assumptions!$B$5-E2805*Assumptions!$B$7)</f>
        <v>0.18515789373197478</v>
      </c>
      <c r="F2806" s="12">
        <f t="shared" si="129"/>
        <v>0.38292687555220628</v>
      </c>
      <c r="G2806" s="12">
        <f>EXP(-Assumptions!$B$8*B2806)</f>
        <v>0.24684368424513983</v>
      </c>
      <c r="H2806" s="12">
        <f t="shared" si="130"/>
        <v>0.10661554683148232</v>
      </c>
      <c r="I2806" s="12">
        <f t="shared" si="131"/>
        <v>4.5705056655870741E-2</v>
      </c>
      <c r="J2806" s="12">
        <f>G2806*(D2806*Assumptions!$B$6+E2806*Assumptions!$B$7)</f>
        <v>3.3514083011083602E-3</v>
      </c>
    </row>
    <row r="2807" spans="1:10" x14ac:dyDescent="0.2">
      <c r="A2807" s="2">
        <v>2799</v>
      </c>
      <c r="B2807" s="14">
        <f>A2807*Assumptions!$B$12</f>
        <v>27.990000000000002</v>
      </c>
      <c r="C2807" s="15">
        <f>IF(A2807&lt;=Assumptions!$B$13,IF(OR(A2807=0,A2807=Assumptions!$B$13),0.5,1),0)*Assumptions!$B$12</f>
        <v>0</v>
      </c>
      <c r="D2807" s="12">
        <f>D2806*(1-Assumptions!$B$12*(Assumptions!$B$5+Assumptions!$B$6))</f>
        <v>0.43178565614660414</v>
      </c>
      <c r="E2807" s="12">
        <f>E2806+Assumptions!$B$12*(D2806*Assumptions!$B$5-E2806*Assumptions!$B$7)</f>
        <v>0.18515169783125196</v>
      </c>
      <c r="F2807" s="12">
        <f t="shared" si="129"/>
        <v>0.3830626460221439</v>
      </c>
      <c r="G2807" s="12">
        <f>EXP(-Assumptions!$B$8*B2807)</f>
        <v>0.2467202932533358</v>
      </c>
      <c r="H2807" s="12">
        <f t="shared" si="130"/>
        <v>0.10653028370707419</v>
      </c>
      <c r="I2807" s="12">
        <f t="shared" si="131"/>
        <v>4.5680681185279501E-2</v>
      </c>
      <c r="J2807" s="12">
        <f>G2807*(D2807*Assumptions!$B$6+E2807*Assumptions!$B$7)</f>
        <v>3.349336896334717E-3</v>
      </c>
    </row>
    <row r="2808" spans="1:10" x14ac:dyDescent="0.2">
      <c r="A2808" s="2">
        <v>2800</v>
      </c>
      <c r="B2808" s="14">
        <f>A2808*Assumptions!$B$12</f>
        <v>28</v>
      </c>
      <c r="C2808" s="15">
        <f>IF(A2808&lt;=Assumptions!$B$13,IF(OR(A2808=0,A2808=Assumptions!$B$13),0.5,1),0)*Assumptions!$B$12</f>
        <v>0</v>
      </c>
      <c r="D2808" s="12">
        <f>D2807*(1-Assumptions!$B$12*(Assumptions!$B$5+Assumptions!$B$6))</f>
        <v>0.43165612044976015</v>
      </c>
      <c r="E2808" s="12">
        <f>E2807+Assumptions!$B$12*(D2807*Assumptions!$B$5-E2807*Assumptions!$B$7)</f>
        <v>0.18514547911356566</v>
      </c>
      <c r="F2808" s="12">
        <f t="shared" si="129"/>
        <v>0.38319840043667414</v>
      </c>
      <c r="G2808" s="12">
        <f>EXP(-Assumptions!$B$8*B2808)</f>
        <v>0.24659696394160643</v>
      </c>
      <c r="H2808" s="12">
        <f t="shared" si="130"/>
        <v>0.10644508876972322</v>
      </c>
      <c r="I2808" s="12">
        <f t="shared" si="131"/>
        <v>4.5656313036919395E-2</v>
      </c>
      <c r="J2808" s="12">
        <f>G2808*(D2808*Assumptions!$B$6+E2808*Assumptions!$B$7)</f>
        <v>3.3472665395432024E-3</v>
      </c>
    </row>
    <row r="2809" spans="1:10" x14ac:dyDescent="0.2">
      <c r="A2809" s="2">
        <v>2801</v>
      </c>
      <c r="B2809" s="14">
        <f>A2809*Assumptions!$B$12</f>
        <v>28.01</v>
      </c>
      <c r="C2809" s="15">
        <f>IF(A2809&lt;=Assumptions!$B$13,IF(OR(A2809=0,A2809=Assumptions!$B$13),0.5,1),0)*Assumptions!$B$12</f>
        <v>0</v>
      </c>
      <c r="D2809" s="12">
        <f>D2808*(1-Assumptions!$B$12*(Assumptions!$B$5+Assumptions!$B$6))</f>
        <v>0.43152662361362526</v>
      </c>
      <c r="E2809" s="12">
        <f>E2808+Assumptions!$B$12*(D2808*Assumptions!$B$5-E2808*Assumptions!$B$7)</f>
        <v>0.18513923759809883</v>
      </c>
      <c r="F2809" s="12">
        <f t="shared" si="129"/>
        <v>0.38333413878827594</v>
      </c>
      <c r="G2809" s="12">
        <f>EXP(-Assumptions!$B$8*B2809)</f>
        <v>0.24647369627911936</v>
      </c>
      <c r="H2809" s="12">
        <f t="shared" si="130"/>
        <v>0.10635996196489853</v>
      </c>
      <c r="I2809" s="12">
        <f t="shared" si="131"/>
        <v>4.5631952217101528E-2</v>
      </c>
      <c r="J2809" s="12">
        <f>G2809*(D2809*Assumptions!$B$6+E2809*Assumptions!$B$7)</f>
        <v>3.3451972305040619E-3</v>
      </c>
    </row>
    <row r="2810" spans="1:10" x14ac:dyDescent="0.2">
      <c r="A2810" s="2">
        <v>2802</v>
      </c>
      <c r="B2810" s="14">
        <f>A2810*Assumptions!$B$12</f>
        <v>28.02</v>
      </c>
      <c r="C2810" s="15">
        <f>IF(A2810&lt;=Assumptions!$B$13,IF(OR(A2810=0,A2810=Assumptions!$B$13),0.5,1),0)*Assumptions!$B$12</f>
        <v>0</v>
      </c>
      <c r="D2810" s="12">
        <f>D2809*(1-Assumptions!$B$12*(Assumptions!$B$5+Assumptions!$B$6))</f>
        <v>0.43139716562654118</v>
      </c>
      <c r="E2810" s="12">
        <f>E2809+Assumptions!$B$12*(D2809*Assumptions!$B$5-E2809*Assumptions!$B$7)</f>
        <v>0.18513297330402251</v>
      </c>
      <c r="F2810" s="12">
        <f t="shared" si="129"/>
        <v>0.38346986106943631</v>
      </c>
      <c r="G2810" s="12">
        <f>EXP(-Assumptions!$B$8*B2810)</f>
        <v>0.24635049023505762</v>
      </c>
      <c r="H2810" s="12">
        <f t="shared" si="130"/>
        <v>0.10627490323811277</v>
      </c>
      <c r="I2810" s="12">
        <f t="shared" si="131"/>
        <v>4.5607598732119781E-2</v>
      </c>
      <c r="J2810" s="12">
        <f>G2810*(D2810*Assumptions!$B$6+E2810*Assumptions!$B$7)</f>
        <v>3.3431289689871166E-3</v>
      </c>
    </row>
    <row r="2811" spans="1:10" x14ac:dyDescent="0.2">
      <c r="A2811" s="2">
        <v>2803</v>
      </c>
      <c r="B2811" s="14">
        <f>A2811*Assumptions!$B$12</f>
        <v>28.03</v>
      </c>
      <c r="C2811" s="15">
        <f>IF(A2811&lt;=Assumptions!$B$13,IF(OR(A2811=0,A2811=Assumptions!$B$13),0.5,1),0)*Assumptions!$B$12</f>
        <v>0</v>
      </c>
      <c r="D2811" s="12">
        <f>D2810*(1-Assumptions!$B$12*(Assumptions!$B$5+Assumptions!$B$6))</f>
        <v>0.43126774647685323</v>
      </c>
      <c r="E2811" s="12">
        <f>E2810+Assumptions!$B$12*(D2810*Assumptions!$B$5-E2810*Assumptions!$B$7)</f>
        <v>0.1851266862504958</v>
      </c>
      <c r="F2811" s="12">
        <f t="shared" si="129"/>
        <v>0.38360556727265094</v>
      </c>
      <c r="G2811" s="12">
        <f>EXP(-Assumptions!$B$8*B2811)</f>
        <v>0.24622734577861966</v>
      </c>
      <c r="H2811" s="12">
        <f t="shared" si="130"/>
        <v>0.10618991253492222</v>
      </c>
      <c r="I2811" s="12">
        <f t="shared" si="131"/>
        <v>4.5583252588250862E-2</v>
      </c>
      <c r="J2811" s="12">
        <f>G2811*(D2811*Assumptions!$B$6+E2811*Assumptions!$B$7)</f>
        <v>3.3410617547617654E-3</v>
      </c>
    </row>
    <row r="2812" spans="1:10" x14ac:dyDescent="0.2">
      <c r="A2812" s="2">
        <v>2804</v>
      </c>
      <c r="B2812" s="14">
        <f>A2812*Assumptions!$B$12</f>
        <v>28.04</v>
      </c>
      <c r="C2812" s="15">
        <f>IF(A2812&lt;=Assumptions!$B$13,IF(OR(A2812=0,A2812=Assumptions!$B$13),0.5,1),0)*Assumptions!$B$12</f>
        <v>0</v>
      </c>
      <c r="D2812" s="12">
        <f>D2811*(1-Assumptions!$B$12*(Assumptions!$B$5+Assumptions!$B$6))</f>
        <v>0.43113836615291018</v>
      </c>
      <c r="E2812" s="12">
        <f>E2811+Assumptions!$B$12*(D2811*Assumptions!$B$5-E2811*Assumptions!$B$7)</f>
        <v>0.18512037645666593</v>
      </c>
      <c r="F2812" s="12">
        <f t="shared" si="129"/>
        <v>0.38374125739042386</v>
      </c>
      <c r="G2812" s="12">
        <f>EXP(-Assumptions!$B$8*B2812)</f>
        <v>0.24610426287901949</v>
      </c>
      <c r="H2812" s="12">
        <f t="shared" si="130"/>
        <v>0.10610498980092677</v>
      </c>
      <c r="I2812" s="12">
        <f t="shared" si="131"/>
        <v>4.5558913791754363E-2</v>
      </c>
      <c r="J2812" s="12">
        <f>G2812*(D2812*Assumptions!$B$6+E2812*Assumptions!$B$7)</f>
        <v>3.3389955875969862E-3</v>
      </c>
    </row>
    <row r="2813" spans="1:10" x14ac:dyDescent="0.2">
      <c r="A2813" s="2">
        <v>2805</v>
      </c>
      <c r="B2813" s="14">
        <f>A2813*Assumptions!$B$12</f>
        <v>28.05</v>
      </c>
      <c r="C2813" s="15">
        <f>IF(A2813&lt;=Assumptions!$B$13,IF(OR(A2813=0,A2813=Assumptions!$B$13),0.5,1),0)*Assumptions!$B$12</f>
        <v>0</v>
      </c>
      <c r="D2813" s="12">
        <f>D2812*(1-Assumptions!$B$12*(Assumptions!$B$5+Assumptions!$B$6))</f>
        <v>0.43100902464306434</v>
      </c>
      <c r="E2813" s="12">
        <f>E2812+Assumptions!$B$12*(D2812*Assumptions!$B$5-E2812*Assumptions!$B$7)</f>
        <v>0.18511404394166817</v>
      </c>
      <c r="F2813" s="12">
        <f t="shared" si="129"/>
        <v>0.38387693141526746</v>
      </c>
      <c r="G2813" s="12">
        <f>EXP(-Assumptions!$B$8*B2813)</f>
        <v>0.24598124150548634</v>
      </c>
      <c r="H2813" s="12">
        <f t="shared" si="130"/>
        <v>0.10602013498176972</v>
      </c>
      <c r="I2813" s="12">
        <f t="shared" si="131"/>
        <v>4.5534582348872685E-2</v>
      </c>
      <c r="J2813" s="12">
        <f>G2813*(D2813*Assumptions!$B$6+E2813*Assumptions!$B$7)</f>
        <v>3.3369304672613317E-3</v>
      </c>
    </row>
    <row r="2814" spans="1:10" x14ac:dyDescent="0.2">
      <c r="A2814" s="2">
        <v>2806</v>
      </c>
      <c r="B2814" s="14">
        <f>A2814*Assumptions!$B$12</f>
        <v>28.060000000000002</v>
      </c>
      <c r="C2814" s="15">
        <f>IF(A2814&lt;=Assumptions!$B$13,IF(OR(A2814=0,A2814=Assumptions!$B$13),0.5,1),0)*Assumptions!$B$12</f>
        <v>0</v>
      </c>
      <c r="D2814" s="12">
        <f>D2813*(1-Assumptions!$B$12*(Assumptions!$B$5+Assumptions!$B$6))</f>
        <v>0.43087972193567142</v>
      </c>
      <c r="E2814" s="12">
        <f>E2813+Assumptions!$B$12*(D2813*Assumptions!$B$5-E2813*Assumptions!$B$7)</f>
        <v>0.18510768872462594</v>
      </c>
      <c r="F2814" s="12">
        <f t="shared" si="129"/>
        <v>0.38401258933970261</v>
      </c>
      <c r="G2814" s="12">
        <f>EXP(-Assumptions!$B$8*B2814)</f>
        <v>0.24585828162726475</v>
      </c>
      <c r="H2814" s="12">
        <f t="shared" si="130"/>
        <v>0.10593534802313782</v>
      </c>
      <c r="I2814" s="12">
        <f t="shared" si="131"/>
        <v>4.5510258265831147E-2</v>
      </c>
      <c r="J2814" s="12">
        <f>G2814*(D2814*Assumptions!$B$6+E2814*Assumptions!$B$7)</f>
        <v>3.3348663935229357E-3</v>
      </c>
    </row>
    <row r="2815" spans="1:10" x14ac:dyDescent="0.2">
      <c r="A2815" s="2">
        <v>2807</v>
      </c>
      <c r="B2815" s="14">
        <f>A2815*Assumptions!$B$12</f>
        <v>28.07</v>
      </c>
      <c r="C2815" s="15">
        <f>IF(A2815&lt;=Assumptions!$B$13,IF(OR(A2815=0,A2815=Assumptions!$B$13),0.5,1),0)*Assumptions!$B$12</f>
        <v>0</v>
      </c>
      <c r="D2815" s="12">
        <f>D2814*(1-Assumptions!$B$12*(Assumptions!$B$5+Assumptions!$B$6))</f>
        <v>0.43075045801909073</v>
      </c>
      <c r="E2815" s="12">
        <f>E2814+Assumptions!$B$12*(D2814*Assumptions!$B$5-E2814*Assumptions!$B$7)</f>
        <v>0.18510131082465076</v>
      </c>
      <c r="F2815" s="12">
        <f t="shared" si="129"/>
        <v>0.38414823115625851</v>
      </c>
      <c r="G2815" s="12">
        <f>EXP(-Assumptions!$B$8*B2815)</f>
        <v>0.24573538321361493</v>
      </c>
      <c r="H2815" s="12">
        <f t="shared" si="130"/>
        <v>0.10585062887076141</v>
      </c>
      <c r="I2815" s="12">
        <f t="shared" si="131"/>
        <v>4.5485941548838005E-2</v>
      </c>
      <c r="J2815" s="12">
        <f>G2815*(D2815*Assumptions!$B$6+E2815*Assumptions!$B$7)</f>
        <v>3.3328033661495144E-3</v>
      </c>
    </row>
    <row r="2816" spans="1:10" x14ac:dyDescent="0.2">
      <c r="A2816" s="2">
        <v>2808</v>
      </c>
      <c r="B2816" s="14">
        <f>A2816*Assumptions!$B$12</f>
        <v>28.080000000000002</v>
      </c>
      <c r="C2816" s="15">
        <f>IF(A2816&lt;=Assumptions!$B$13,IF(OR(A2816=0,A2816=Assumptions!$B$13),0.5,1),0)*Assumptions!$B$12</f>
        <v>0</v>
      </c>
      <c r="D2816" s="12">
        <f>D2815*(1-Assumptions!$B$12*(Assumptions!$B$5+Assumptions!$B$6))</f>
        <v>0.43062123288168502</v>
      </c>
      <c r="E2816" s="12">
        <f>E2815+Assumptions!$B$12*(D2815*Assumptions!$B$5-E2815*Assumptions!$B$7)</f>
        <v>0.18509491026084224</v>
      </c>
      <c r="F2816" s="12">
        <f t="shared" si="129"/>
        <v>0.38428385685747279</v>
      </c>
      <c r="G2816" s="12">
        <f>EXP(-Assumptions!$B$8*B2816)</f>
        <v>0.24561254623381221</v>
      </c>
      <c r="H2816" s="12">
        <f t="shared" si="130"/>
        <v>0.10576597747041408</v>
      </c>
      <c r="I2816" s="12">
        <f t="shared" si="131"/>
        <v>4.5461632204084439E-2</v>
      </c>
      <c r="J2816" s="12">
        <f>G2816*(D2816*Assumptions!$B$6+E2816*Assumptions!$B$7)</f>
        <v>3.3307413849083629E-3</v>
      </c>
    </row>
    <row r="2817" spans="1:10" x14ac:dyDescent="0.2">
      <c r="A2817" s="2">
        <v>2809</v>
      </c>
      <c r="B2817" s="14">
        <f>A2817*Assumptions!$B$12</f>
        <v>28.09</v>
      </c>
      <c r="C2817" s="15">
        <f>IF(A2817&lt;=Assumptions!$B$13,IF(OR(A2817=0,A2817=Assumptions!$B$13),0.5,1),0)*Assumptions!$B$12</f>
        <v>0</v>
      </c>
      <c r="D2817" s="12">
        <f>D2816*(1-Assumptions!$B$12*(Assumptions!$B$5+Assumptions!$B$6))</f>
        <v>0.43049204651182055</v>
      </c>
      <c r="E2817" s="12">
        <f>E2816+Assumptions!$B$12*(D2816*Assumptions!$B$5-E2816*Assumptions!$B$7)</f>
        <v>0.18508848705228814</v>
      </c>
      <c r="F2817" s="12">
        <f t="shared" si="129"/>
        <v>0.38441946643589137</v>
      </c>
      <c r="G2817" s="12">
        <f>EXP(-Assumptions!$B$8*B2817)</f>
        <v>0.2454897706571473</v>
      </c>
      <c r="H2817" s="12">
        <f t="shared" si="130"/>
        <v>0.10568139376791282</v>
      </c>
      <c r="I2817" s="12">
        <f t="shared" si="131"/>
        <v>4.5437330237744593E-2</v>
      </c>
      <c r="J2817" s="12">
        <f>G2817*(D2817*Assumptions!$B$6+E2817*Assumptions!$B$7)</f>
        <v>3.3286804495663578E-3</v>
      </c>
    </row>
    <row r="2818" spans="1:10" x14ac:dyDescent="0.2">
      <c r="A2818" s="2">
        <v>2810</v>
      </c>
      <c r="B2818" s="14">
        <f>A2818*Assumptions!$B$12</f>
        <v>28.1</v>
      </c>
      <c r="C2818" s="15">
        <f>IF(A2818&lt;=Assumptions!$B$13,IF(OR(A2818=0,A2818=Assumptions!$B$13),0.5,1),0)*Assumptions!$B$12</f>
        <v>0</v>
      </c>
      <c r="D2818" s="12">
        <f>D2817*(1-Assumptions!$B$12*(Assumptions!$B$5+Assumptions!$B$6))</f>
        <v>0.430362898897867</v>
      </c>
      <c r="E2818" s="12">
        <f>E2817+Assumptions!$B$12*(D2817*Assumptions!$B$5-E2817*Assumptions!$B$7)</f>
        <v>0.18508204121806437</v>
      </c>
      <c r="F2818" s="12">
        <f t="shared" si="129"/>
        <v>0.38455505988406868</v>
      </c>
      <c r="G2818" s="12">
        <f>EXP(-Assumptions!$B$8*B2818)</f>
        <v>0.24536705645292628</v>
      </c>
      <c r="H2818" s="12">
        <f t="shared" si="130"/>
        <v>0.10559687770911794</v>
      </c>
      <c r="I2818" s="12">
        <f t="shared" si="131"/>
        <v>4.5413035655975632E-2</v>
      </c>
      <c r="J2818" s="12">
        <f>G2818*(D2818*Assumptions!$B$6+E2818*Assumptions!$B$7)</f>
        <v>3.326620559889961E-3</v>
      </c>
    </row>
    <row r="2819" spans="1:10" x14ac:dyDescent="0.2">
      <c r="A2819" s="2">
        <v>2811</v>
      </c>
      <c r="B2819" s="14">
        <f>A2819*Assumptions!$B$12</f>
        <v>28.11</v>
      </c>
      <c r="C2819" s="15">
        <f>IF(A2819&lt;=Assumptions!$B$13,IF(OR(A2819=0,A2819=Assumptions!$B$13),0.5,1),0)*Assumptions!$B$12</f>
        <v>0</v>
      </c>
      <c r="D2819" s="12">
        <f>D2818*(1-Assumptions!$B$12*(Assumptions!$B$5+Assumptions!$B$6))</f>
        <v>0.43023379002819767</v>
      </c>
      <c r="E2819" s="12">
        <f>E2818+Assumptions!$B$12*(D2818*Assumptions!$B$5-E2818*Assumptions!$B$7)</f>
        <v>0.18507557277723491</v>
      </c>
      <c r="F2819" s="12">
        <f t="shared" si="129"/>
        <v>0.38469063719456748</v>
      </c>
      <c r="G2819" s="12">
        <f>EXP(-Assumptions!$B$8*B2819)</f>
        <v>0.24524440359047078</v>
      </c>
      <c r="H2819" s="12">
        <f t="shared" si="130"/>
        <v>0.10551242923993318</v>
      </c>
      <c r="I2819" s="12">
        <f t="shared" si="131"/>
        <v>4.5388748464917743E-2</v>
      </c>
      <c r="J2819" s="12">
        <f>G2819*(D2819*Assumptions!$B$6+E2819*Assumptions!$B$7)</f>
        <v>3.324561715645219E-3</v>
      </c>
    </row>
    <row r="2820" spans="1:10" x14ac:dyDescent="0.2">
      <c r="A2820" s="2">
        <v>2812</v>
      </c>
      <c r="B2820" s="14">
        <f>A2820*Assumptions!$B$12</f>
        <v>28.12</v>
      </c>
      <c r="C2820" s="15">
        <f>IF(A2820&lt;=Assumptions!$B$13,IF(OR(A2820=0,A2820=Assumptions!$B$13),0.5,1),0)*Assumptions!$B$12</f>
        <v>0</v>
      </c>
      <c r="D2820" s="12">
        <f>D2819*(1-Assumptions!$B$12*(Assumptions!$B$5+Assumptions!$B$6))</f>
        <v>0.4301047198911892</v>
      </c>
      <c r="E2820" s="12">
        <f>E2819+Assumptions!$B$12*(D2819*Assumptions!$B$5-E2819*Assumptions!$B$7)</f>
        <v>0.18506908174885192</v>
      </c>
      <c r="F2820" s="12">
        <f t="shared" si="129"/>
        <v>0.3848261983599589</v>
      </c>
      <c r="G2820" s="12">
        <f>EXP(-Assumptions!$B$8*B2820)</f>
        <v>0.24512181203911731</v>
      </c>
      <c r="H2820" s="12">
        <f t="shared" si="130"/>
        <v>0.10542804830630528</v>
      </c>
      <c r="I2820" s="12">
        <f t="shared" si="131"/>
        <v>4.5364468670694116E-2</v>
      </c>
      <c r="J2820" s="12">
        <f>G2820*(D2820*Assumptions!$B$6+E2820*Assumptions!$B$7)</f>
        <v>3.3225039165977587E-3</v>
      </c>
    </row>
    <row r="2821" spans="1:10" x14ac:dyDescent="0.2">
      <c r="A2821" s="2">
        <v>2813</v>
      </c>
      <c r="B2821" s="14">
        <f>A2821*Assumptions!$B$12</f>
        <v>28.13</v>
      </c>
      <c r="C2821" s="15">
        <f>IF(A2821&lt;=Assumptions!$B$13,IF(OR(A2821=0,A2821=Assumptions!$B$13),0.5,1),0)*Assumptions!$B$12</f>
        <v>0</v>
      </c>
      <c r="D2821" s="12">
        <f>D2820*(1-Assumptions!$B$12*(Assumptions!$B$5+Assumptions!$B$6))</f>
        <v>0.42997568847522188</v>
      </c>
      <c r="E2821" s="12">
        <f>E2820+Assumptions!$B$12*(D2820*Assumptions!$B$5-E2820*Assumptions!$B$7)</f>
        <v>0.18506256815195574</v>
      </c>
      <c r="F2821" s="12">
        <f t="shared" si="129"/>
        <v>0.3849617433728223</v>
      </c>
      <c r="G2821" s="12">
        <f>EXP(-Assumptions!$B$8*B2821)</f>
        <v>0.24499928176821822</v>
      </c>
      <c r="H2821" s="12">
        <f t="shared" si="130"/>
        <v>0.10534373485422451</v>
      </c>
      <c r="I2821" s="12">
        <f t="shared" si="131"/>
        <v>4.5340196279411091E-2</v>
      </c>
      <c r="J2821" s="12">
        <f>G2821*(D2821*Assumptions!$B$6+E2821*Assumptions!$B$7)</f>
        <v>3.3204471625127999E-3</v>
      </c>
    </row>
    <row r="2822" spans="1:10" x14ac:dyDescent="0.2">
      <c r="A2822" s="2">
        <v>2814</v>
      </c>
      <c r="B2822" s="14">
        <f>A2822*Assumptions!$B$12</f>
        <v>28.14</v>
      </c>
      <c r="C2822" s="15">
        <f>IF(A2822&lt;=Assumptions!$B$13,IF(OR(A2822=0,A2822=Assumptions!$B$13),0.5,1),0)*Assumptions!$B$12</f>
        <v>0</v>
      </c>
      <c r="D2822" s="12">
        <f>D2821*(1-Assumptions!$B$12*(Assumptions!$B$5+Assumptions!$B$6))</f>
        <v>0.42984669576867934</v>
      </c>
      <c r="E2822" s="12">
        <f>E2821+Assumptions!$B$12*(D2821*Assumptions!$B$5-E2821*Assumptions!$B$7)</f>
        <v>0.1850560320055748</v>
      </c>
      <c r="F2822" s="12">
        <f t="shared" si="129"/>
        <v>0.38509727222574591</v>
      </c>
      <c r="G2822" s="12">
        <f>EXP(-Assumptions!$B$8*B2822)</f>
        <v>0.24487681274714082</v>
      </c>
      <c r="H2822" s="12">
        <f t="shared" si="130"/>
        <v>0.10525948882972409</v>
      </c>
      <c r="I2822" s="12">
        <f t="shared" si="131"/>
        <v>4.5315931297158038E-2</v>
      </c>
      <c r="J2822" s="12">
        <f>G2822*(D2822*Assumptions!$B$6+E2822*Assumptions!$B$7)</f>
        <v>3.3183914531551427E-3</v>
      </c>
    </row>
    <row r="2823" spans="1:10" x14ac:dyDescent="0.2">
      <c r="A2823" s="2">
        <v>2815</v>
      </c>
      <c r="B2823" s="14">
        <f>A2823*Assumptions!$B$12</f>
        <v>28.150000000000002</v>
      </c>
      <c r="C2823" s="15">
        <f>IF(A2823&lt;=Assumptions!$B$13,IF(OR(A2823=0,A2823=Assumptions!$B$13),0.5,1),0)*Assumptions!$B$12</f>
        <v>0</v>
      </c>
      <c r="D2823" s="12">
        <f>D2822*(1-Assumptions!$B$12*(Assumptions!$B$5+Assumptions!$B$6))</f>
        <v>0.42971774175994876</v>
      </c>
      <c r="E2823" s="12">
        <f>E2822+Assumptions!$B$12*(D2822*Assumptions!$B$5-E2822*Assumptions!$B$7)</f>
        <v>0.18504947332872576</v>
      </c>
      <c r="F2823" s="12">
        <f t="shared" si="129"/>
        <v>0.38523278491132551</v>
      </c>
      <c r="G2823" s="12">
        <f>EXP(-Assumptions!$B$8*B2823)</f>
        <v>0.24475440494526784</v>
      </c>
      <c r="H2823" s="12">
        <f t="shared" si="130"/>
        <v>0.10517531017888053</v>
      </c>
      <c r="I2823" s="12">
        <f t="shared" si="131"/>
        <v>4.529167373000749E-2</v>
      </c>
      <c r="J2823" s="12">
        <f>G2823*(D2823*Assumptions!$B$6+E2823*Assumptions!$B$7)</f>
        <v>3.31633678828918E-3</v>
      </c>
    </row>
    <row r="2824" spans="1:10" x14ac:dyDescent="0.2">
      <c r="A2824" s="2">
        <v>2816</v>
      </c>
      <c r="B2824" s="14">
        <f>A2824*Assumptions!$B$12</f>
        <v>28.16</v>
      </c>
      <c r="C2824" s="15">
        <f>IF(A2824&lt;=Assumptions!$B$13,IF(OR(A2824=0,A2824=Assumptions!$B$13),0.5,1),0)*Assumptions!$B$12</f>
        <v>0</v>
      </c>
      <c r="D2824" s="12">
        <f>D2823*(1-Assumptions!$B$12*(Assumptions!$B$5+Assumptions!$B$6))</f>
        <v>0.4295888264374208</v>
      </c>
      <c r="E2824" s="12">
        <f>E2823+Assumptions!$B$12*(D2823*Assumptions!$B$5-E2823*Assumptions!$B$7)</f>
        <v>0.18504289214041339</v>
      </c>
      <c r="F2824" s="12">
        <f t="shared" ref="F2824:F2887" si="132">1-D2824-E2824</f>
        <v>0.38536828142216584</v>
      </c>
      <c r="G2824" s="12">
        <f>EXP(-Assumptions!$B$8*B2824)</f>
        <v>0.24463205833199744</v>
      </c>
      <c r="H2824" s="12">
        <f t="shared" ref="H2824:H2887" si="133">G2824*D2824</f>
        <v>0.10509119884781346</v>
      </c>
      <c r="I2824" s="12">
        <f t="shared" ref="I2824:I2887" si="134">G2824*E2824</f>
        <v>4.5267423584015122E-2</v>
      </c>
      <c r="J2824" s="12">
        <f>G2824*(D2824*Assumptions!$B$6+E2824*Assumptions!$B$7)</f>
        <v>3.3142831676788906E-3</v>
      </c>
    </row>
    <row r="2825" spans="1:10" x14ac:dyDescent="0.2">
      <c r="A2825" s="2">
        <v>2817</v>
      </c>
      <c r="B2825" s="14">
        <f>A2825*Assumptions!$B$12</f>
        <v>28.17</v>
      </c>
      <c r="C2825" s="15">
        <f>IF(A2825&lt;=Assumptions!$B$13,IF(OR(A2825=0,A2825=Assumptions!$B$13),0.5,1),0)*Assumptions!$B$12</f>
        <v>0</v>
      </c>
      <c r="D2825" s="12">
        <f>D2824*(1-Assumptions!$B$12*(Assumptions!$B$5+Assumptions!$B$6))</f>
        <v>0.42945994978948959</v>
      </c>
      <c r="E2825" s="12">
        <f>E2824+Assumptions!$B$12*(D2824*Assumptions!$B$5-E2824*Assumptions!$B$7)</f>
        <v>0.18503628845963066</v>
      </c>
      <c r="F2825" s="12">
        <f t="shared" si="132"/>
        <v>0.3855037617508798</v>
      </c>
      <c r="G2825" s="12">
        <f>EXP(-Assumptions!$B$8*B2825)</f>
        <v>0.24450977287674289</v>
      </c>
      <c r="H2825" s="12">
        <f t="shared" si="133"/>
        <v>0.10500715478268551</v>
      </c>
      <c r="I2825" s="12">
        <f t="shared" si="134"/>
        <v>4.5243180865219772E-2</v>
      </c>
      <c r="J2825" s="12">
        <f>G2825*(D2825*Assumptions!$B$6+E2825*Assumptions!$B$7)</f>
        <v>3.3122305910878442E-3</v>
      </c>
    </row>
    <row r="2826" spans="1:10" x14ac:dyDescent="0.2">
      <c r="A2826" s="2">
        <v>2818</v>
      </c>
      <c r="B2826" s="14">
        <f>A2826*Assumptions!$B$12</f>
        <v>28.18</v>
      </c>
      <c r="C2826" s="15">
        <f>IF(A2826&lt;=Assumptions!$B$13,IF(OR(A2826=0,A2826=Assumptions!$B$13),0.5,1),0)*Assumptions!$B$12</f>
        <v>0</v>
      </c>
      <c r="D2826" s="12">
        <f>D2825*(1-Assumptions!$B$12*(Assumptions!$B$5+Assumptions!$B$6))</f>
        <v>0.42933111180455275</v>
      </c>
      <c r="E2826" s="12">
        <f>E2825+Assumptions!$B$12*(D2825*Assumptions!$B$5-E2825*Assumptions!$B$7)</f>
        <v>0.18502966230535875</v>
      </c>
      <c r="F2826" s="12">
        <f t="shared" si="132"/>
        <v>0.38563922589008848</v>
      </c>
      <c r="G2826" s="12">
        <f>EXP(-Assumptions!$B$8*B2826)</f>
        <v>0.2443875485489328</v>
      </c>
      <c r="H2826" s="12">
        <f t="shared" si="133"/>
        <v>0.10492317792970243</v>
      </c>
      <c r="I2826" s="12">
        <f t="shared" si="134"/>
        <v>4.5218945579643503E-2</v>
      </c>
      <c r="J2826" s="12">
        <f>G2826*(D2826*Assumptions!$B$6+E2826*Assumptions!$B$7)</f>
        <v>3.3101790582791995E-3</v>
      </c>
    </row>
    <row r="2827" spans="1:10" x14ac:dyDescent="0.2">
      <c r="A2827" s="2">
        <v>2819</v>
      </c>
      <c r="B2827" s="14">
        <f>A2827*Assumptions!$B$12</f>
        <v>28.19</v>
      </c>
      <c r="C2827" s="15">
        <f>IF(A2827&lt;=Assumptions!$B$13,IF(OR(A2827=0,A2827=Assumptions!$B$13),0.5,1),0)*Assumptions!$B$12</f>
        <v>0</v>
      </c>
      <c r="D2827" s="12">
        <f>D2826*(1-Assumptions!$B$12*(Assumptions!$B$5+Assumptions!$B$6))</f>
        <v>0.42920231247101137</v>
      </c>
      <c r="E2827" s="12">
        <f>E2826+Assumptions!$B$12*(D2826*Assumptions!$B$5-E2826*Assumptions!$B$7)</f>
        <v>0.18502301369656698</v>
      </c>
      <c r="F2827" s="12">
        <f t="shared" si="132"/>
        <v>0.38577467383242164</v>
      </c>
      <c r="G2827" s="12">
        <f>EXP(-Assumptions!$B$8*B2827)</f>
        <v>0.24426538531801109</v>
      </c>
      <c r="H2827" s="12">
        <f t="shared" si="133"/>
        <v>0.10483926823511298</v>
      </c>
      <c r="I2827" s="12">
        <f t="shared" si="134"/>
        <v>4.5194717733291576E-2</v>
      </c>
      <c r="J2827" s="12">
        <f>G2827*(D2827*Assumptions!$B$6+E2827*Assumptions!$B$7)</f>
        <v>3.3081285690157087E-3</v>
      </c>
    </row>
    <row r="2828" spans="1:10" x14ac:dyDescent="0.2">
      <c r="A2828" s="2">
        <v>2820</v>
      </c>
      <c r="B2828" s="14">
        <f>A2828*Assumptions!$B$12</f>
        <v>28.2</v>
      </c>
      <c r="C2828" s="15">
        <f>IF(A2828&lt;=Assumptions!$B$13,IF(OR(A2828=0,A2828=Assumptions!$B$13),0.5,1),0)*Assumptions!$B$12</f>
        <v>0</v>
      </c>
      <c r="D2828" s="12">
        <f>D2827*(1-Assumptions!$B$12*(Assumptions!$B$5+Assumptions!$B$6))</f>
        <v>0.42907355177727008</v>
      </c>
      <c r="E2828" s="12">
        <f>E2827+Assumptions!$B$12*(D2827*Assumptions!$B$5-E2827*Assumptions!$B$7)</f>
        <v>0.1850163426522129</v>
      </c>
      <c r="F2828" s="12">
        <f t="shared" si="132"/>
        <v>0.38591010557051697</v>
      </c>
      <c r="G2828" s="12">
        <f>EXP(-Assumptions!$B$8*B2828)</f>
        <v>0.24414328315343706</v>
      </c>
      <c r="H2828" s="12">
        <f t="shared" si="133"/>
        <v>0.10475542564520898</v>
      </c>
      <c r="I2828" s="12">
        <f t="shared" si="134"/>
        <v>4.5170497332152545E-2</v>
      </c>
      <c r="J2828" s="12">
        <f>G2828*(D2828*Assumptions!$B$6+E2828*Assumptions!$B$7)</f>
        <v>3.3060791230597173E-3</v>
      </c>
    </row>
    <row r="2829" spans="1:10" x14ac:dyDescent="0.2">
      <c r="A2829" s="2">
        <v>2821</v>
      </c>
      <c r="B2829" s="14">
        <f>A2829*Assumptions!$B$12</f>
        <v>28.21</v>
      </c>
      <c r="C2829" s="15">
        <f>IF(A2829&lt;=Assumptions!$B$13,IF(OR(A2829=0,A2829=Assumptions!$B$13),0.5,1),0)*Assumptions!$B$12</f>
        <v>0</v>
      </c>
      <c r="D2829" s="12">
        <f>D2828*(1-Assumptions!$B$12*(Assumptions!$B$5+Assumptions!$B$6))</f>
        <v>0.42894482971173692</v>
      </c>
      <c r="E2829" s="12">
        <f>E2828+Assumptions!$B$12*(D2828*Assumptions!$B$5-E2828*Assumptions!$B$7)</f>
        <v>0.18500964919124224</v>
      </c>
      <c r="F2829" s="12">
        <f t="shared" si="132"/>
        <v>0.38604552109702089</v>
      </c>
      <c r="G2829" s="12">
        <f>EXP(-Assumptions!$B$8*B2829)</f>
        <v>0.24402124202468506</v>
      </c>
      <c r="H2829" s="12">
        <f t="shared" si="133"/>
        <v>0.10467165010632508</v>
      </c>
      <c r="I2829" s="12">
        <f t="shared" si="134"/>
        <v>4.5146284382198199E-2</v>
      </c>
      <c r="J2829" s="12">
        <f>G2829*(D2829*Assumptions!$B$6+E2829*Assumptions!$B$7)</f>
        <v>3.304030720173161E-3</v>
      </c>
    </row>
    <row r="2830" spans="1:10" x14ac:dyDescent="0.2">
      <c r="A2830" s="2">
        <v>2822</v>
      </c>
      <c r="B2830" s="14">
        <f>A2830*Assumptions!$B$12</f>
        <v>28.22</v>
      </c>
      <c r="C2830" s="15">
        <f>IF(A2830&lt;=Assumptions!$B$13,IF(OR(A2830=0,A2830=Assumptions!$B$13),0.5,1),0)*Assumptions!$B$12</f>
        <v>0</v>
      </c>
      <c r="D2830" s="12">
        <f>D2829*(1-Assumptions!$B$12*(Assumptions!$B$5+Assumptions!$B$6))</f>
        <v>0.42881614626282344</v>
      </c>
      <c r="E2830" s="12">
        <f>E2829+Assumptions!$B$12*(D2829*Assumptions!$B$5-E2829*Assumptions!$B$7)</f>
        <v>0.18500293333258896</v>
      </c>
      <c r="F2830" s="12">
        <f t="shared" si="132"/>
        <v>0.38618092040458751</v>
      </c>
      <c r="G2830" s="12">
        <f>EXP(-Assumptions!$B$8*B2830)</f>
        <v>0.24389926190124483</v>
      </c>
      <c r="H2830" s="12">
        <f t="shared" si="133"/>
        <v>0.10458794156483889</v>
      </c>
      <c r="I2830" s="12">
        <f t="shared" si="134"/>
        <v>4.5122078889383653E-2</v>
      </c>
      <c r="J2830" s="12">
        <f>G2830*(D2830*Assumptions!$B$6+E2830*Assumptions!$B$7)</f>
        <v>3.3019833601175717E-3</v>
      </c>
    </row>
    <row r="2831" spans="1:10" x14ac:dyDescent="0.2">
      <c r="A2831" s="2">
        <v>2823</v>
      </c>
      <c r="B2831" s="14">
        <f>A2831*Assumptions!$B$12</f>
        <v>28.23</v>
      </c>
      <c r="C2831" s="15">
        <f>IF(A2831&lt;=Assumptions!$B$13,IF(OR(A2831=0,A2831=Assumptions!$B$13),0.5,1),0)*Assumptions!$B$12</f>
        <v>0</v>
      </c>
      <c r="D2831" s="12">
        <f>D2830*(1-Assumptions!$B$12*(Assumptions!$B$5+Assumptions!$B$6))</f>
        <v>0.42868750141894463</v>
      </c>
      <c r="E2831" s="12">
        <f>E2830+Assumptions!$B$12*(D2830*Assumptions!$B$5-E2830*Assumptions!$B$7)</f>
        <v>0.18499619509517523</v>
      </c>
      <c r="F2831" s="12">
        <f t="shared" si="132"/>
        <v>0.38631630348588014</v>
      </c>
      <c r="G2831" s="12">
        <f>EXP(-Assumptions!$B$8*B2831)</f>
        <v>0.24377734275262131</v>
      </c>
      <c r="H2831" s="12">
        <f t="shared" si="133"/>
        <v>0.10450429996717089</v>
      </c>
      <c r="I2831" s="12">
        <f t="shared" si="134"/>
        <v>4.5097880859647332E-2</v>
      </c>
      <c r="J2831" s="12">
        <f>G2831*(D2831*Assumptions!$B$6+E2831*Assumptions!$B$7)</f>
        <v>3.2999370426540753E-3</v>
      </c>
    </row>
    <row r="2832" spans="1:10" x14ac:dyDescent="0.2">
      <c r="A2832" s="2">
        <v>2824</v>
      </c>
      <c r="B2832" s="14">
        <f>A2832*Assumptions!$B$12</f>
        <v>28.240000000000002</v>
      </c>
      <c r="C2832" s="15">
        <f>IF(A2832&lt;=Assumptions!$B$13,IF(OR(A2832=0,A2832=Assumptions!$B$13),0.5,1),0)*Assumptions!$B$12</f>
        <v>0</v>
      </c>
      <c r="D2832" s="12">
        <f>D2831*(1-Assumptions!$B$12*(Assumptions!$B$5+Assumptions!$B$6))</f>
        <v>0.42855889516851897</v>
      </c>
      <c r="E2832" s="12">
        <f>E2831+Assumptions!$B$12*(D2831*Assumptions!$B$5-E2831*Assumptions!$B$7)</f>
        <v>0.18498943449791144</v>
      </c>
      <c r="F2832" s="12">
        <f t="shared" si="132"/>
        <v>0.38645167033356959</v>
      </c>
      <c r="G2832" s="12">
        <f>EXP(-Assumptions!$B$8*B2832)</f>
        <v>0.2436554845483348</v>
      </c>
      <c r="H2832" s="12">
        <f t="shared" si="133"/>
        <v>0.10442072525978451</v>
      </c>
      <c r="I2832" s="12">
        <f t="shared" si="134"/>
        <v>4.5073690298911055E-2</v>
      </c>
      <c r="J2832" s="12">
        <f>G2832*(D2832*Assumptions!$B$6+E2832*Assumptions!$B$7)</f>
        <v>3.2978917675433976E-3</v>
      </c>
    </row>
    <row r="2833" spans="1:10" x14ac:dyDescent="0.2">
      <c r="A2833" s="2">
        <v>2825</v>
      </c>
      <c r="B2833" s="14">
        <f>A2833*Assumptions!$B$12</f>
        <v>28.25</v>
      </c>
      <c r="C2833" s="15">
        <f>IF(A2833&lt;=Assumptions!$B$13,IF(OR(A2833=0,A2833=Assumptions!$B$13),0.5,1),0)*Assumptions!$B$12</f>
        <v>0</v>
      </c>
      <c r="D2833" s="12">
        <f>D2832*(1-Assumptions!$B$12*(Assumptions!$B$5+Assumptions!$B$6))</f>
        <v>0.42843032749996846</v>
      </c>
      <c r="E2833" s="12">
        <f>E2832+Assumptions!$B$12*(D2832*Assumptions!$B$5-E2832*Assumptions!$B$7)</f>
        <v>0.1849826515596962</v>
      </c>
      <c r="F2833" s="12">
        <f t="shared" si="132"/>
        <v>0.38658702094033537</v>
      </c>
      <c r="G2833" s="12">
        <f>EXP(-Assumptions!$B$8*B2833)</f>
        <v>0.24353368725792068</v>
      </c>
      <c r="H2833" s="12">
        <f t="shared" si="133"/>
        <v>0.10433721738918586</v>
      </c>
      <c r="I2833" s="12">
        <f t="shared" si="134"/>
        <v>4.5049507213079966E-2</v>
      </c>
      <c r="J2833" s="12">
        <f>G2833*(D2833*Assumptions!$B$6+E2833*Assumptions!$B$7)</f>
        <v>3.295847534545857E-3</v>
      </c>
    </row>
    <row r="2834" spans="1:10" x14ac:dyDescent="0.2">
      <c r="A2834" s="2">
        <v>2826</v>
      </c>
      <c r="B2834" s="14">
        <f>A2834*Assumptions!$B$12</f>
        <v>28.26</v>
      </c>
      <c r="C2834" s="15">
        <f>IF(A2834&lt;=Assumptions!$B$13,IF(OR(A2834=0,A2834=Assumptions!$B$13),0.5,1),0)*Assumptions!$B$12</f>
        <v>0</v>
      </c>
      <c r="D2834" s="12">
        <f>D2833*(1-Assumptions!$B$12*(Assumptions!$B$5+Assumptions!$B$6))</f>
        <v>0.4283017984017185</v>
      </c>
      <c r="E2834" s="12">
        <f>E2833+Assumptions!$B$12*(D2833*Assumptions!$B$5-E2833*Assumptions!$B$7)</f>
        <v>0.18497584629941635</v>
      </c>
      <c r="F2834" s="12">
        <f t="shared" si="132"/>
        <v>0.38672235529886512</v>
      </c>
      <c r="G2834" s="12">
        <f>EXP(-Assumptions!$B$8*B2834)</f>
        <v>0.24341195085092962</v>
      </c>
      <c r="H2834" s="12">
        <f t="shared" si="133"/>
        <v>0.10425377630192387</v>
      </c>
      <c r="I2834" s="12">
        <f t="shared" si="134"/>
        <v>4.5025331608042646E-2</v>
      </c>
      <c r="J2834" s="12">
        <f>G2834*(D2834*Assumptions!$B$6+E2834*Assumptions!$B$7)</f>
        <v>3.2938043434213708E-3</v>
      </c>
    </row>
    <row r="2835" spans="1:10" x14ac:dyDescent="0.2">
      <c r="A2835" s="2">
        <v>2827</v>
      </c>
      <c r="B2835" s="14">
        <f>A2835*Assumptions!$B$12</f>
        <v>28.27</v>
      </c>
      <c r="C2835" s="15">
        <f>IF(A2835&lt;=Assumptions!$B$13,IF(OR(A2835=0,A2835=Assumptions!$B$13),0.5,1),0)*Assumptions!$B$12</f>
        <v>0</v>
      </c>
      <c r="D2835" s="12">
        <f>D2834*(1-Assumptions!$B$12*(Assumptions!$B$5+Assumptions!$B$6))</f>
        <v>0.42817330786219798</v>
      </c>
      <c r="E2835" s="12">
        <f>E2834+Assumptions!$B$12*(D2834*Assumptions!$B$5-E2834*Assumptions!$B$7)</f>
        <v>0.18496901873594698</v>
      </c>
      <c r="F2835" s="12">
        <f t="shared" si="132"/>
        <v>0.38685767340185506</v>
      </c>
      <c r="G2835" s="12">
        <f>EXP(-Assumptions!$B$8*B2835)</f>
        <v>0.24329027529692762</v>
      </c>
      <c r="H2835" s="12">
        <f t="shared" si="133"/>
        <v>0.10417040194459029</v>
      </c>
      <c r="I2835" s="12">
        <f t="shared" si="134"/>
        <v>4.5001163489671106E-2</v>
      </c>
      <c r="J2835" s="12">
        <f>G2835*(D2835*Assumptions!$B$6+E2835*Assumptions!$B$7)</f>
        <v>3.2917621939294582E-3</v>
      </c>
    </row>
    <row r="2836" spans="1:10" x14ac:dyDescent="0.2">
      <c r="A2836" s="2">
        <v>2828</v>
      </c>
      <c r="B2836" s="14">
        <f>A2836*Assumptions!$B$12</f>
        <v>28.28</v>
      </c>
      <c r="C2836" s="15">
        <f>IF(A2836&lt;=Assumptions!$B$13,IF(OR(A2836=0,A2836=Assumptions!$B$13),0.5,1),0)*Assumptions!$B$12</f>
        <v>0</v>
      </c>
      <c r="D2836" s="12">
        <f>D2835*(1-Assumptions!$B$12*(Assumptions!$B$5+Assumptions!$B$6))</f>
        <v>0.42804485586983931</v>
      </c>
      <c r="E2836" s="12">
        <f>E2835+Assumptions!$B$12*(D2835*Assumptions!$B$5-E2835*Assumptions!$B$7)</f>
        <v>0.18496216888815145</v>
      </c>
      <c r="F2836" s="12">
        <f t="shared" si="132"/>
        <v>0.38699297524200926</v>
      </c>
      <c r="G2836" s="12">
        <f>EXP(-Assumptions!$B$8*B2836)</f>
        <v>0.24316866056549563</v>
      </c>
      <c r="H2836" s="12">
        <f t="shared" si="133"/>
        <v>0.10408709426381946</v>
      </c>
      <c r="I2836" s="12">
        <f t="shared" si="134"/>
        <v>4.4977002863820774E-2</v>
      </c>
      <c r="J2836" s="12">
        <f>G2836*(D2836*Assumptions!$B$6+E2836*Assumptions!$B$7)</f>
        <v>3.2897210858292337E-3</v>
      </c>
    </row>
    <row r="2837" spans="1:10" x14ac:dyDescent="0.2">
      <c r="A2837" s="2">
        <v>2829</v>
      </c>
      <c r="B2837" s="14">
        <f>A2837*Assumptions!$B$12</f>
        <v>28.29</v>
      </c>
      <c r="C2837" s="15">
        <f>IF(A2837&lt;=Assumptions!$B$13,IF(OR(A2837=0,A2837=Assumptions!$B$13),0.5,1),0)*Assumptions!$B$12</f>
        <v>0</v>
      </c>
      <c r="D2837" s="12">
        <f>D2836*(1-Assumptions!$B$12*(Assumptions!$B$5+Assumptions!$B$6))</f>
        <v>0.42791644241307836</v>
      </c>
      <c r="E2837" s="12">
        <f>E2836+Assumptions!$B$12*(D2836*Assumptions!$B$5-E2836*Assumptions!$B$7)</f>
        <v>0.18495529677488134</v>
      </c>
      <c r="F2837" s="12">
        <f t="shared" si="132"/>
        <v>0.38712826081204033</v>
      </c>
      <c r="G2837" s="12">
        <f>EXP(-Assumptions!$B$8*B2837)</f>
        <v>0.24304710662623008</v>
      </c>
      <c r="H2837" s="12">
        <f t="shared" si="133"/>
        <v>0.10400385320628849</v>
      </c>
      <c r="I2837" s="12">
        <f t="shared" si="134"/>
        <v>4.4952849736330618E-2</v>
      </c>
      <c r="J2837" s="12">
        <f>G2837*(D2837*Assumptions!$B$6+E2837*Assumptions!$B$7)</f>
        <v>3.2876810188794156E-3</v>
      </c>
    </row>
    <row r="2838" spans="1:10" x14ac:dyDescent="0.2">
      <c r="A2838" s="2">
        <v>2830</v>
      </c>
      <c r="B2838" s="14">
        <f>A2838*Assumptions!$B$12</f>
        <v>28.3</v>
      </c>
      <c r="C2838" s="15">
        <f>IF(A2838&lt;=Assumptions!$B$13,IF(OR(A2838=0,A2838=Assumptions!$B$13),0.5,1),0)*Assumptions!$B$12</f>
        <v>0</v>
      </c>
      <c r="D2838" s="12">
        <f>D2837*(1-Assumptions!$B$12*(Assumptions!$B$5+Assumptions!$B$6))</f>
        <v>0.42778806748035447</v>
      </c>
      <c r="E2838" s="12">
        <f>E2837+Assumptions!$B$12*(D2837*Assumptions!$B$5-E2837*Assumptions!$B$7)</f>
        <v>0.18494840241497651</v>
      </c>
      <c r="F2838" s="12">
        <f t="shared" si="132"/>
        <v>0.38726353010466902</v>
      </c>
      <c r="G2838" s="12">
        <f>EXP(-Assumptions!$B$8*B2838)</f>
        <v>0.24292561344874244</v>
      </c>
      <c r="H2838" s="12">
        <f t="shared" si="133"/>
        <v>0.10392067871871714</v>
      </c>
      <c r="I2838" s="12">
        <f t="shared" si="134"/>
        <v>4.4928704113023049E-2</v>
      </c>
      <c r="J2838" s="12">
        <f>G2838*(D2838*Assumptions!$B$6+E2838*Assumptions!$B$7)</f>
        <v>3.2856419928383239E-3</v>
      </c>
    </row>
    <row r="2839" spans="1:10" x14ac:dyDescent="0.2">
      <c r="A2839" s="2">
        <v>2831</v>
      </c>
      <c r="B2839" s="14">
        <f>A2839*Assumptions!$B$12</f>
        <v>28.310000000000002</v>
      </c>
      <c r="C2839" s="15">
        <f>IF(A2839&lt;=Assumptions!$B$13,IF(OR(A2839=0,A2839=Assumptions!$B$13),0.5,1),0)*Assumptions!$B$12</f>
        <v>0</v>
      </c>
      <c r="D2839" s="12">
        <f>D2838*(1-Assumptions!$B$12*(Assumptions!$B$5+Assumptions!$B$6))</f>
        <v>0.4276597310601104</v>
      </c>
      <c r="E2839" s="12">
        <f>E2838+Assumptions!$B$12*(D2838*Assumptions!$B$5-E2838*Assumptions!$B$7)</f>
        <v>0.18494148582726508</v>
      </c>
      <c r="F2839" s="12">
        <f t="shared" si="132"/>
        <v>0.38739878311262443</v>
      </c>
      <c r="G2839" s="12">
        <f>EXP(-Assumptions!$B$8*B2839)</f>
        <v>0.24280418100265941</v>
      </c>
      <c r="H2839" s="12">
        <f t="shared" si="133"/>
        <v>0.10383757074786769</v>
      </c>
      <c r="I2839" s="12">
        <f t="shared" si="134"/>
        <v>4.4904565999704042E-2</v>
      </c>
      <c r="J2839" s="12">
        <f>G2839*(D2839*Assumptions!$B$6+E2839*Assumptions!$B$7)</f>
        <v>3.2836040074638788E-3</v>
      </c>
    </row>
    <row r="2840" spans="1:10" x14ac:dyDescent="0.2">
      <c r="A2840" s="2">
        <v>2832</v>
      </c>
      <c r="B2840" s="14">
        <f>A2840*Assumptions!$B$12</f>
        <v>28.32</v>
      </c>
      <c r="C2840" s="15">
        <f>IF(A2840&lt;=Assumptions!$B$13,IF(OR(A2840=0,A2840=Assumptions!$B$13),0.5,1),0)*Assumptions!$B$12</f>
        <v>0</v>
      </c>
      <c r="D2840" s="12">
        <f>D2839*(1-Assumptions!$B$12*(Assumptions!$B$5+Assumptions!$B$6))</f>
        <v>0.42753143314079239</v>
      </c>
      <c r="E2840" s="12">
        <f>E2839+Assumptions!$B$12*(D2839*Assumptions!$B$5-E2839*Assumptions!$B$7)</f>
        <v>0.18493454703056347</v>
      </c>
      <c r="F2840" s="12">
        <f t="shared" si="132"/>
        <v>0.38753401982864411</v>
      </c>
      <c r="G2840" s="12">
        <f>EXP(-Assumptions!$B$8*B2840)</f>
        <v>0.24268280925762292</v>
      </c>
      <c r="H2840" s="12">
        <f t="shared" si="133"/>
        <v>0.10375452924054508</v>
      </c>
      <c r="I2840" s="12">
        <f t="shared" si="134"/>
        <v>4.4880435402163132E-2</v>
      </c>
      <c r="J2840" s="12">
        <f>G2840*(D2840*Assumptions!$B$6+E2840*Assumptions!$B$7)</f>
        <v>3.2815670625136076E-3</v>
      </c>
    </row>
    <row r="2841" spans="1:10" x14ac:dyDescent="0.2">
      <c r="A2841" s="2">
        <v>2833</v>
      </c>
      <c r="B2841" s="14">
        <f>A2841*Assumptions!$B$12</f>
        <v>28.330000000000002</v>
      </c>
      <c r="C2841" s="15">
        <f>IF(A2841&lt;=Assumptions!$B$13,IF(OR(A2841=0,A2841=Assumptions!$B$13),0.5,1),0)*Assumptions!$B$12</f>
        <v>0</v>
      </c>
      <c r="D2841" s="12">
        <f>D2840*(1-Assumptions!$B$12*(Assumptions!$B$5+Assumptions!$B$6))</f>
        <v>0.42740317371085018</v>
      </c>
      <c r="E2841" s="12">
        <f>E2840+Assumptions!$B$12*(D2840*Assumptions!$B$5-E2840*Assumptions!$B$7)</f>
        <v>0.18492758604367635</v>
      </c>
      <c r="F2841" s="12">
        <f t="shared" si="132"/>
        <v>0.38766924024547356</v>
      </c>
      <c r="G2841" s="12">
        <f>EXP(-Assumptions!$B$8*B2841)</f>
        <v>0.24256149818329004</v>
      </c>
      <c r="H2841" s="12">
        <f t="shared" si="133"/>
        <v>0.10367155414359679</v>
      </c>
      <c r="I2841" s="12">
        <f t="shared" si="134"/>
        <v>4.485631232617341E-2</v>
      </c>
      <c r="J2841" s="12">
        <f>G2841*(D2841*Assumptions!$B$6+E2841*Assumptions!$B$7)</f>
        <v>3.2795311577446386E-3</v>
      </c>
    </row>
    <row r="2842" spans="1:10" x14ac:dyDescent="0.2">
      <c r="A2842" s="2">
        <v>2834</v>
      </c>
      <c r="B2842" s="14">
        <f>A2842*Assumptions!$B$12</f>
        <v>28.34</v>
      </c>
      <c r="C2842" s="15">
        <f>IF(A2842&lt;=Assumptions!$B$13,IF(OR(A2842=0,A2842=Assumptions!$B$13),0.5,1),0)*Assumptions!$B$12</f>
        <v>0</v>
      </c>
      <c r="D2842" s="12">
        <f>D2841*(1-Assumptions!$B$12*(Assumptions!$B$5+Assumptions!$B$6))</f>
        <v>0.42727495275873695</v>
      </c>
      <c r="E2842" s="12">
        <f>E2841+Assumptions!$B$12*(D2841*Assumptions!$B$5-E2841*Assumptions!$B$7)</f>
        <v>0.18492060288539669</v>
      </c>
      <c r="F2842" s="12">
        <f t="shared" si="132"/>
        <v>0.38780444435586636</v>
      </c>
      <c r="G2842" s="12">
        <f>EXP(-Assumptions!$B$8*B2842)</f>
        <v>0.24244024774933293</v>
      </c>
      <c r="H2842" s="12">
        <f t="shared" si="133"/>
        <v>0.1035886454039127</v>
      </c>
      <c r="I2842" s="12">
        <f t="shared" si="134"/>
        <v>4.4832196777491583E-2</v>
      </c>
      <c r="J2842" s="12">
        <f>G2842*(D2842*Assumptions!$B$6+E2842*Assumptions!$B$7)</f>
        <v>3.2774962929137063E-3</v>
      </c>
    </row>
    <row r="2843" spans="1:10" x14ac:dyDescent="0.2">
      <c r="A2843" s="2">
        <v>2835</v>
      </c>
      <c r="B2843" s="14">
        <f>A2843*Assumptions!$B$12</f>
        <v>28.35</v>
      </c>
      <c r="C2843" s="15">
        <f>IF(A2843&lt;=Assumptions!$B$13,IF(OR(A2843=0,A2843=Assumptions!$B$13),0.5,1),0)*Assumptions!$B$12</f>
        <v>0</v>
      </c>
      <c r="D2843" s="12">
        <f>D2842*(1-Assumptions!$B$12*(Assumptions!$B$5+Assumptions!$B$6))</f>
        <v>0.42714677027290932</v>
      </c>
      <c r="E2843" s="12">
        <f>E2842+Assumptions!$B$12*(D2842*Assumptions!$B$5-E2842*Assumptions!$B$7)</f>
        <v>0.18491359757450573</v>
      </c>
      <c r="F2843" s="12">
        <f t="shared" si="132"/>
        <v>0.38793963215258498</v>
      </c>
      <c r="G2843" s="12">
        <f>EXP(-Assumptions!$B$8*B2843)</f>
        <v>0.24231905792543898</v>
      </c>
      <c r="H2843" s="12">
        <f t="shared" si="133"/>
        <v>0.10350580296842529</v>
      </c>
      <c r="I2843" s="12">
        <f t="shared" si="134"/>
        <v>4.4808088761857968E-2</v>
      </c>
      <c r="J2843" s="12">
        <f>G2843*(D2843*Assumptions!$B$6+E2843*Assumptions!$B$7)</f>
        <v>3.275462467777151E-3</v>
      </c>
    </row>
    <row r="2844" spans="1:10" x14ac:dyDescent="0.2">
      <c r="A2844" s="2">
        <v>2836</v>
      </c>
      <c r="B2844" s="14">
        <f>A2844*Assumptions!$B$12</f>
        <v>28.36</v>
      </c>
      <c r="C2844" s="15">
        <f>IF(A2844&lt;=Assumptions!$B$13,IF(OR(A2844=0,A2844=Assumptions!$B$13),0.5,1),0)*Assumptions!$B$12</f>
        <v>0</v>
      </c>
      <c r="D2844" s="12">
        <f>D2843*(1-Assumptions!$B$12*(Assumptions!$B$5+Assumptions!$B$6))</f>
        <v>0.42701862624182746</v>
      </c>
      <c r="E2844" s="12">
        <f>E2843+Assumptions!$B$12*(D2843*Assumptions!$B$5-E2843*Assumptions!$B$7)</f>
        <v>0.18490657012977307</v>
      </c>
      <c r="F2844" s="12">
        <f t="shared" si="132"/>
        <v>0.38807480362839952</v>
      </c>
      <c r="G2844" s="12">
        <f>EXP(-Assumptions!$B$8*B2844)</f>
        <v>0.24219792868131085</v>
      </c>
      <c r="H2844" s="12">
        <f t="shared" si="133"/>
        <v>0.10342302678410946</v>
      </c>
      <c r="I2844" s="12">
        <f t="shared" si="134"/>
        <v>4.4783988284996579E-2</v>
      </c>
      <c r="J2844" s="12">
        <f>G2844*(D2844*Assumptions!$B$6+E2844*Assumptions!$B$7)</f>
        <v>3.2734296820909237E-3</v>
      </c>
    </row>
    <row r="2845" spans="1:10" x14ac:dyDescent="0.2">
      <c r="A2845" s="2">
        <v>2837</v>
      </c>
      <c r="B2845" s="14">
        <f>A2845*Assumptions!$B$12</f>
        <v>28.37</v>
      </c>
      <c r="C2845" s="15">
        <f>IF(A2845&lt;=Assumptions!$B$13,IF(OR(A2845=0,A2845=Assumptions!$B$13),0.5,1),0)*Assumptions!$B$12</f>
        <v>0</v>
      </c>
      <c r="D2845" s="12">
        <f>D2844*(1-Assumptions!$B$12*(Assumptions!$B$5+Assumptions!$B$6))</f>
        <v>0.42689052065395494</v>
      </c>
      <c r="E2845" s="12">
        <f>E2844+Assumptions!$B$12*(D2844*Assumptions!$B$5-E2844*Assumptions!$B$7)</f>
        <v>0.18489952056995657</v>
      </c>
      <c r="F2845" s="12">
        <f t="shared" si="132"/>
        <v>0.38820995877608849</v>
      </c>
      <c r="G2845" s="12">
        <f>EXP(-Assumptions!$B$8*B2845)</f>
        <v>0.24207685998666612</v>
      </c>
      <c r="H2845" s="12">
        <f t="shared" si="133"/>
        <v>0.10334031679798245</v>
      </c>
      <c r="I2845" s="12">
        <f t="shared" si="134"/>
        <v>4.475989535261507E-2</v>
      </c>
      <c r="J2845" s="12">
        <f>G2845*(D2845*Assumptions!$B$6+E2845*Assumptions!$B$7)</f>
        <v>3.2713979356105783E-3</v>
      </c>
    </row>
    <row r="2846" spans="1:10" x14ac:dyDescent="0.2">
      <c r="A2846" s="2">
        <v>2838</v>
      </c>
      <c r="B2846" s="14">
        <f>A2846*Assumptions!$B$12</f>
        <v>28.38</v>
      </c>
      <c r="C2846" s="15">
        <f>IF(A2846&lt;=Assumptions!$B$13,IF(OR(A2846=0,A2846=Assumptions!$B$13),0.5,1),0)*Assumptions!$B$12</f>
        <v>0</v>
      </c>
      <c r="D2846" s="12">
        <f>D2845*(1-Assumptions!$B$12*(Assumptions!$B$5+Assumptions!$B$6))</f>
        <v>0.42676245349775876</v>
      </c>
      <c r="E2846" s="12">
        <f>E2845+Assumptions!$B$12*(D2845*Assumptions!$B$5-E2845*Assumptions!$B$7)</f>
        <v>0.18489244891380238</v>
      </c>
      <c r="F2846" s="12">
        <f t="shared" si="132"/>
        <v>0.38834509758843883</v>
      </c>
      <c r="G2846" s="12">
        <f>EXP(-Assumptions!$B$8*B2846)</f>
        <v>0.24195585181123766</v>
      </c>
      <c r="H2846" s="12">
        <f t="shared" si="133"/>
        <v>0.10325767295710392</v>
      </c>
      <c r="I2846" s="12">
        <f t="shared" si="134"/>
        <v>4.47358099704048E-2</v>
      </c>
      <c r="J2846" s="12">
        <f>G2846*(D2846*Assumptions!$B$6+E2846*Assumptions!$B$7)</f>
        <v>3.2693672280912794E-3</v>
      </c>
    </row>
    <row r="2847" spans="1:10" x14ac:dyDescent="0.2">
      <c r="A2847" s="2">
        <v>2839</v>
      </c>
      <c r="B2847" s="14">
        <f>A2847*Assumptions!$B$12</f>
        <v>28.39</v>
      </c>
      <c r="C2847" s="15">
        <f>IF(A2847&lt;=Assumptions!$B$13,IF(OR(A2847=0,A2847=Assumptions!$B$13),0.5,1),0)*Assumptions!$B$12</f>
        <v>0</v>
      </c>
      <c r="D2847" s="12">
        <f>D2846*(1-Assumptions!$B$12*(Assumptions!$B$5+Assumptions!$B$6))</f>
        <v>0.42663442476170943</v>
      </c>
      <c r="E2847" s="12">
        <f>E2846+Assumptions!$B$12*(D2846*Assumptions!$B$5-E2846*Assumptions!$B$7)</f>
        <v>0.18488535518004504</v>
      </c>
      <c r="F2847" s="12">
        <f t="shared" si="132"/>
        <v>0.38848022005824556</v>
      </c>
      <c r="G2847" s="12">
        <f>EXP(-Assumptions!$B$8*B2847)</f>
        <v>0.24183490412477338</v>
      </c>
      <c r="H2847" s="12">
        <f t="shared" si="133"/>
        <v>0.10317509520857585</v>
      </c>
      <c r="I2847" s="12">
        <f t="shared" si="134"/>
        <v>4.4711732144040867E-2</v>
      </c>
      <c r="J2847" s="12">
        <f>G2847*(D2847*Assumptions!$B$6+E2847*Assumptions!$B$7)</f>
        <v>3.2673375592878013E-3</v>
      </c>
    </row>
    <row r="2848" spans="1:10" x14ac:dyDescent="0.2">
      <c r="A2848" s="2">
        <v>2840</v>
      </c>
      <c r="B2848" s="14">
        <f>A2848*Assumptions!$B$12</f>
        <v>28.400000000000002</v>
      </c>
      <c r="C2848" s="15">
        <f>IF(A2848&lt;=Assumptions!$B$13,IF(OR(A2848=0,A2848=Assumptions!$B$13),0.5,1),0)*Assumptions!$B$12</f>
        <v>0</v>
      </c>
      <c r="D2848" s="12">
        <f>D2847*(1-Assumptions!$B$12*(Assumptions!$B$5+Assumptions!$B$6))</f>
        <v>0.42650643443428093</v>
      </c>
      <c r="E2848" s="12">
        <f>E2847+Assumptions!$B$12*(D2847*Assumptions!$B$5-E2847*Assumptions!$B$7)</f>
        <v>0.18487823938740736</v>
      </c>
      <c r="F2848" s="12">
        <f t="shared" si="132"/>
        <v>0.38861532617831174</v>
      </c>
      <c r="G2848" s="12">
        <f>EXP(-Assumptions!$B$8*B2848)</f>
        <v>0.24171401689703642</v>
      </c>
      <c r="H2848" s="12">
        <f t="shared" si="133"/>
        <v>0.10309258349954253</v>
      </c>
      <c r="I2848" s="12">
        <f t="shared" si="134"/>
        <v>4.4687661879182126E-2</v>
      </c>
      <c r="J2848" s="12">
        <f>G2848*(D2848*Assumptions!$B$6+E2848*Assumptions!$B$7)</f>
        <v>3.2653089289545315E-3</v>
      </c>
    </row>
    <row r="2849" spans="1:10" x14ac:dyDescent="0.2">
      <c r="A2849" s="2">
        <v>2841</v>
      </c>
      <c r="B2849" s="14">
        <f>A2849*Assumptions!$B$12</f>
        <v>28.41</v>
      </c>
      <c r="C2849" s="15">
        <f>IF(A2849&lt;=Assumptions!$B$13,IF(OR(A2849=0,A2849=Assumptions!$B$13),0.5,1),0)*Assumptions!$B$12</f>
        <v>0</v>
      </c>
      <c r="D2849" s="12">
        <f>D2848*(1-Assumptions!$B$12*(Assumptions!$B$5+Assumptions!$B$6))</f>
        <v>0.42637848250395066</v>
      </c>
      <c r="E2849" s="12">
        <f>E2848+Assumptions!$B$12*(D2848*Assumptions!$B$5-E2848*Assumptions!$B$7)</f>
        <v>0.18487110155460051</v>
      </c>
      <c r="F2849" s="12">
        <f t="shared" si="132"/>
        <v>0.38875041594144877</v>
      </c>
      <c r="G2849" s="12">
        <f>EXP(-Assumptions!$B$8*B2849)</f>
        <v>0.24159319009780494</v>
      </c>
      <c r="H2849" s="12">
        <f t="shared" si="133"/>
        <v>0.10301013777719055</v>
      </c>
      <c r="I2849" s="12">
        <f t="shared" si="134"/>
        <v>4.4663599181471204E-2</v>
      </c>
      <c r="J2849" s="12">
        <f>G2849*(D2849*Assumptions!$B$6+E2849*Assumptions!$B$7)</f>
        <v>3.2632813368454658E-3</v>
      </c>
    </row>
    <row r="2850" spans="1:10" x14ac:dyDescent="0.2">
      <c r="A2850" s="2">
        <v>2842</v>
      </c>
      <c r="B2850" s="14">
        <f>A2850*Assumptions!$B$12</f>
        <v>28.42</v>
      </c>
      <c r="C2850" s="15">
        <f>IF(A2850&lt;=Assumptions!$B$13,IF(OR(A2850=0,A2850=Assumptions!$B$13),0.5,1),0)*Assumptions!$B$12</f>
        <v>0</v>
      </c>
      <c r="D2850" s="12">
        <f>D2849*(1-Assumptions!$B$12*(Assumptions!$B$5+Assumptions!$B$6))</f>
        <v>0.42625056895919949</v>
      </c>
      <c r="E2850" s="12">
        <f>E2849+Assumptions!$B$12*(D2849*Assumptions!$B$5-E2849*Assumptions!$B$7)</f>
        <v>0.184863941700324</v>
      </c>
      <c r="F2850" s="12">
        <f t="shared" si="132"/>
        <v>0.38888548934047645</v>
      </c>
      <c r="G2850" s="12">
        <f>EXP(-Assumptions!$B$8*B2850)</f>
        <v>0.24147242369687219</v>
      </c>
      <c r="H2850" s="12">
        <f t="shared" si="133"/>
        <v>0.10292775798874866</v>
      </c>
      <c r="I2850" s="12">
        <f t="shared" si="134"/>
        <v>4.4639544056534516E-2</v>
      </c>
      <c r="J2850" s="12">
        <f>G2850*(D2850*Assumptions!$B$6+E2850*Assumptions!$B$7)</f>
        <v>3.2612547827142123E-3</v>
      </c>
    </row>
    <row r="2851" spans="1:10" x14ac:dyDescent="0.2">
      <c r="A2851" s="2">
        <v>2843</v>
      </c>
      <c r="B2851" s="14">
        <f>A2851*Assumptions!$B$12</f>
        <v>28.43</v>
      </c>
      <c r="C2851" s="15">
        <f>IF(A2851&lt;=Assumptions!$B$13,IF(OR(A2851=0,A2851=Assumptions!$B$13),0.5,1),0)*Assumptions!$B$12</f>
        <v>0</v>
      </c>
      <c r="D2851" s="12">
        <f>D2850*(1-Assumptions!$B$12*(Assumptions!$B$5+Assumptions!$B$6))</f>
        <v>0.42612269378851175</v>
      </c>
      <c r="E2851" s="12">
        <f>E2850+Assumptions!$B$12*(D2850*Assumptions!$B$5-E2850*Assumptions!$B$7)</f>
        <v>0.18485675984326566</v>
      </c>
      <c r="F2851" s="12">
        <f t="shared" si="132"/>
        <v>0.38902054636822259</v>
      </c>
      <c r="G2851" s="12">
        <f>EXP(-Assumptions!$B$8*B2851)</f>
        <v>0.24135171766404673</v>
      </c>
      <c r="H2851" s="12">
        <f t="shared" si="133"/>
        <v>0.10284544408148792</v>
      </c>
      <c r="I2851" s="12">
        <f t="shared" si="134"/>
        <v>4.4615496509982346E-2</v>
      </c>
      <c r="J2851" s="12">
        <f>G2851*(D2851*Assumptions!$B$6+E2851*Assumptions!$B$7)</f>
        <v>3.2592292663139971E-3</v>
      </c>
    </row>
    <row r="2852" spans="1:10" x14ac:dyDescent="0.2">
      <c r="A2852" s="2">
        <v>2844</v>
      </c>
      <c r="B2852" s="14">
        <f>A2852*Assumptions!$B$12</f>
        <v>28.44</v>
      </c>
      <c r="C2852" s="15">
        <f>IF(A2852&lt;=Assumptions!$B$13,IF(OR(A2852=0,A2852=Assumptions!$B$13),0.5,1),0)*Assumptions!$B$12</f>
        <v>0</v>
      </c>
      <c r="D2852" s="12">
        <f>D2851*(1-Assumptions!$B$12*(Assumptions!$B$5+Assumptions!$B$6))</f>
        <v>0.4259948569803752</v>
      </c>
      <c r="E2852" s="12">
        <f>E2851+Assumptions!$B$12*(D2851*Assumptions!$B$5-E2851*Assumptions!$B$7)</f>
        <v>0.18484955600210173</v>
      </c>
      <c r="F2852" s="12">
        <f t="shared" si="132"/>
        <v>0.38915558701752306</v>
      </c>
      <c r="G2852" s="12">
        <f>EXP(-Assumptions!$B$8*B2852)</f>
        <v>0.24123107196915186</v>
      </c>
      <c r="H2852" s="12">
        <f t="shared" si="133"/>
        <v>0.10276319600272145</v>
      </c>
      <c r="I2852" s="12">
        <f t="shared" si="134"/>
        <v>4.4591456547408773E-2</v>
      </c>
      <c r="J2852" s="12">
        <f>G2852*(D2852*Assumptions!$B$6+E2852*Assumptions!$B$7)</f>
        <v>3.2572047873976532E-3</v>
      </c>
    </row>
    <row r="2853" spans="1:10" x14ac:dyDescent="0.2">
      <c r="A2853" s="2">
        <v>2845</v>
      </c>
      <c r="B2853" s="14">
        <f>A2853*Assumptions!$B$12</f>
        <v>28.45</v>
      </c>
      <c r="C2853" s="15">
        <f>IF(A2853&lt;=Assumptions!$B$13,IF(OR(A2853=0,A2853=Assumptions!$B$13),0.5,1),0)*Assumptions!$B$12</f>
        <v>0</v>
      </c>
      <c r="D2853" s="12">
        <f>D2852*(1-Assumptions!$B$12*(Assumptions!$B$5+Assumptions!$B$6))</f>
        <v>0.42586705852328111</v>
      </c>
      <c r="E2853" s="12">
        <f>E2852+Assumptions!$B$12*(D2852*Assumptions!$B$5-E2852*Assumptions!$B$7)</f>
        <v>0.18484233019549676</v>
      </c>
      <c r="F2853" s="12">
        <f t="shared" si="132"/>
        <v>0.38929061128122211</v>
      </c>
      <c r="G2853" s="12">
        <f>EXP(-Assumptions!$B$8*B2853)</f>
        <v>0.24111048658202627</v>
      </c>
      <c r="H2853" s="12">
        <f t="shared" si="133"/>
        <v>0.10268101369980456</v>
      </c>
      <c r="I2853" s="12">
        <f t="shared" si="134"/>
        <v>4.4567424174391794E-2</v>
      </c>
      <c r="J2853" s="12">
        <f>G2853*(D2853*Assumptions!$B$6+E2853*Assumptions!$B$7)</f>
        <v>3.2551813457176353E-3</v>
      </c>
    </row>
    <row r="2854" spans="1:10" x14ac:dyDescent="0.2">
      <c r="A2854" s="2">
        <v>2846</v>
      </c>
      <c r="B2854" s="14">
        <f>A2854*Assumptions!$B$12</f>
        <v>28.46</v>
      </c>
      <c r="C2854" s="15">
        <f>IF(A2854&lt;=Assumptions!$B$13,IF(OR(A2854=0,A2854=Assumptions!$B$13),0.5,1),0)*Assumptions!$B$12</f>
        <v>0</v>
      </c>
      <c r="D2854" s="12">
        <f>D2853*(1-Assumptions!$B$12*(Assumptions!$B$5+Assumptions!$B$6))</f>
        <v>0.42573929840572411</v>
      </c>
      <c r="E2854" s="12">
        <f>E2853+Assumptions!$B$12*(D2853*Assumptions!$B$5-E2853*Assumptions!$B$7)</f>
        <v>0.18483508244210367</v>
      </c>
      <c r="F2854" s="12">
        <f t="shared" si="132"/>
        <v>0.38942561915217222</v>
      </c>
      <c r="G2854" s="12">
        <f>EXP(-Assumptions!$B$8*B2854)</f>
        <v>0.24098996147252358</v>
      </c>
      <c r="H2854" s="12">
        <f t="shared" si="133"/>
        <v>0.10259889712013467</v>
      </c>
      <c r="I2854" s="12">
        <f t="shared" si="134"/>
        <v>4.454339939649328E-2</v>
      </c>
      <c r="J2854" s="12">
        <f>G2854*(D2854*Assumptions!$B$6+E2854*Assumptions!$B$7)</f>
        <v>3.2531589410260109E-3</v>
      </c>
    </row>
    <row r="2855" spans="1:10" x14ac:dyDescent="0.2">
      <c r="A2855" s="2">
        <v>2847</v>
      </c>
      <c r="B2855" s="14">
        <f>A2855*Assumptions!$B$12</f>
        <v>28.47</v>
      </c>
      <c r="C2855" s="15">
        <f>IF(A2855&lt;=Assumptions!$B$13,IF(OR(A2855=0,A2855=Assumptions!$B$13),0.5,1),0)*Assumptions!$B$12</f>
        <v>0</v>
      </c>
      <c r="D2855" s="12">
        <f>D2854*(1-Assumptions!$B$12*(Assumptions!$B$5+Assumptions!$B$6))</f>
        <v>0.42561157661620241</v>
      </c>
      <c r="E2855" s="12">
        <f>E2854+Assumptions!$B$12*(D2854*Assumptions!$B$5-E2854*Assumptions!$B$7)</f>
        <v>0.18482781276056376</v>
      </c>
      <c r="F2855" s="12">
        <f t="shared" si="132"/>
        <v>0.38956061062323383</v>
      </c>
      <c r="G2855" s="12">
        <f>EXP(-Assumptions!$B$8*B2855)</f>
        <v>0.24086949661051252</v>
      </c>
      <c r="H2855" s="12">
        <f t="shared" si="133"/>
        <v>0.10251684621115126</v>
      </c>
      <c r="I2855" s="12">
        <f t="shared" si="134"/>
        <v>4.4519382219259052E-2</v>
      </c>
      <c r="J2855" s="12">
        <f>G2855*(D2855*Assumptions!$B$6+E2855*Assumptions!$B$7)</f>
        <v>3.2511375730744653E-3</v>
      </c>
    </row>
    <row r="2856" spans="1:10" x14ac:dyDescent="0.2">
      <c r="A2856" s="2">
        <v>2848</v>
      </c>
      <c r="B2856" s="14">
        <f>A2856*Assumptions!$B$12</f>
        <v>28.48</v>
      </c>
      <c r="C2856" s="15">
        <f>IF(A2856&lt;=Assumptions!$B$13,IF(OR(A2856=0,A2856=Assumptions!$B$13),0.5,1),0)*Assumptions!$B$12</f>
        <v>0</v>
      </c>
      <c r="D2856" s="12">
        <f>D2855*(1-Assumptions!$B$12*(Assumptions!$B$5+Assumptions!$B$6))</f>
        <v>0.42548389314321755</v>
      </c>
      <c r="E2856" s="12">
        <f>E2855+Assumptions!$B$12*(D2855*Assumptions!$B$5-E2855*Assumptions!$B$7)</f>
        <v>0.18482052116950673</v>
      </c>
      <c r="F2856" s="12">
        <f t="shared" si="132"/>
        <v>0.38969558568727569</v>
      </c>
      <c r="G2856" s="12">
        <f>EXP(-Assumptions!$B$8*B2856)</f>
        <v>0.24074909196587682</v>
      </c>
      <c r="H2856" s="12">
        <f t="shared" si="133"/>
        <v>0.10243486092033578</v>
      </c>
      <c r="I2856" s="12">
        <f t="shared" si="134"/>
        <v>4.4495372648218859E-2</v>
      </c>
      <c r="J2856" s="12">
        <f>G2856*(D2856*Assumptions!$B$6+E2856*Assumptions!$B$7)</f>
        <v>3.2491172416143012E-3</v>
      </c>
    </row>
    <row r="2857" spans="1:10" x14ac:dyDescent="0.2">
      <c r="A2857" s="2">
        <v>2849</v>
      </c>
      <c r="B2857" s="14">
        <f>A2857*Assumptions!$B$12</f>
        <v>28.490000000000002</v>
      </c>
      <c r="C2857" s="15">
        <f>IF(A2857&lt;=Assumptions!$B$13,IF(OR(A2857=0,A2857=Assumptions!$B$13),0.5,1),0)*Assumptions!$B$12</f>
        <v>0</v>
      </c>
      <c r="D2857" s="12">
        <f>D2856*(1-Assumptions!$B$12*(Assumptions!$B$5+Assumptions!$B$6))</f>
        <v>0.4253562479752746</v>
      </c>
      <c r="E2857" s="12">
        <f>E2856+Assumptions!$B$12*(D2856*Assumptions!$B$5-E2856*Assumptions!$B$7)</f>
        <v>0.18481320768755061</v>
      </c>
      <c r="F2857" s="12">
        <f t="shared" si="132"/>
        <v>0.38983054433717479</v>
      </c>
      <c r="G2857" s="12">
        <f>EXP(-Assumptions!$B$8*B2857)</f>
        <v>0.2406287475085154</v>
      </c>
      <c r="H2857" s="12">
        <f t="shared" si="133"/>
        <v>0.10235294119521182</v>
      </c>
      <c r="I2857" s="12">
        <f t="shared" si="134"/>
        <v>4.447137068888643E-2</v>
      </c>
      <c r="J2857" s="12">
        <f>G2857*(D2857*Assumptions!$B$6+E2857*Assumptions!$B$7)</f>
        <v>3.24709794639644E-3</v>
      </c>
    </row>
    <row r="2858" spans="1:10" x14ac:dyDescent="0.2">
      <c r="A2858" s="2">
        <v>2850</v>
      </c>
      <c r="B2858" s="14">
        <f>A2858*Assumptions!$B$12</f>
        <v>28.5</v>
      </c>
      <c r="C2858" s="15">
        <f>IF(A2858&lt;=Assumptions!$B$13,IF(OR(A2858=0,A2858=Assumptions!$B$13),0.5,1),0)*Assumptions!$B$12</f>
        <v>0</v>
      </c>
      <c r="D2858" s="12">
        <f>D2857*(1-Assumptions!$B$12*(Assumptions!$B$5+Assumptions!$B$6))</f>
        <v>0.42522864110088204</v>
      </c>
      <c r="E2858" s="12">
        <f>E2857+Assumptions!$B$12*(D2857*Assumptions!$B$5-E2857*Assumptions!$B$7)</f>
        <v>0.1848058723333019</v>
      </c>
      <c r="F2858" s="12">
        <f t="shared" si="132"/>
        <v>0.38996548656581598</v>
      </c>
      <c r="G2858" s="12">
        <f>EXP(-Assumptions!$B$8*B2858)</f>
        <v>0.24050846320834213</v>
      </c>
      <c r="H2858" s="12">
        <f t="shared" si="133"/>
        <v>0.10227108698334481</v>
      </c>
      <c r="I2858" s="12">
        <f t="shared" si="134"/>
        <v>4.4447376346759514E-2</v>
      </c>
      <c r="J2858" s="12">
        <f>G2858*(D2858*Assumptions!$B$6+E2858*Assumptions!$B$7)</f>
        <v>3.2450796871714236E-3</v>
      </c>
    </row>
    <row r="2859" spans="1:10" x14ac:dyDescent="0.2">
      <c r="A2859" s="2">
        <v>2851</v>
      </c>
      <c r="B2859" s="14">
        <f>A2859*Assumptions!$B$12</f>
        <v>28.51</v>
      </c>
      <c r="C2859" s="15">
        <f>IF(A2859&lt;=Assumptions!$B$13,IF(OR(A2859=0,A2859=Assumptions!$B$13),0.5,1),0)*Assumptions!$B$12</f>
        <v>0</v>
      </c>
      <c r="D2859" s="12">
        <f>D2858*(1-Assumptions!$B$12*(Assumptions!$B$5+Assumptions!$B$6))</f>
        <v>0.42510107250855178</v>
      </c>
      <c r="E2859" s="12">
        <f>E2858+Assumptions!$B$12*(D2858*Assumptions!$B$5-E2858*Assumptions!$B$7)</f>
        <v>0.18479851512535542</v>
      </c>
      <c r="F2859" s="12">
        <f t="shared" si="132"/>
        <v>0.39010041236609283</v>
      </c>
      <c r="G2859" s="12">
        <f>EXP(-Assumptions!$B$8*B2859)</f>
        <v>0.24038823903528586</v>
      </c>
      <c r="H2859" s="12">
        <f t="shared" si="133"/>
        <v>0.10218929823234213</v>
      </c>
      <c r="I2859" s="12">
        <f t="shared" si="134"/>
        <v>4.4423389627319829E-2</v>
      </c>
      <c r="J2859" s="12">
        <f>G2859*(D2859*Assumptions!$B$6+E2859*Assumptions!$B$7)</f>
        <v>3.2430624636894129E-3</v>
      </c>
    </row>
    <row r="2860" spans="1:10" x14ac:dyDescent="0.2">
      <c r="A2860" s="2">
        <v>2852</v>
      </c>
      <c r="B2860" s="14">
        <f>A2860*Assumptions!$B$12</f>
        <v>28.52</v>
      </c>
      <c r="C2860" s="15">
        <f>IF(A2860&lt;=Assumptions!$B$13,IF(OR(A2860=0,A2860=Assumptions!$B$13),0.5,1),0)*Assumptions!$B$12</f>
        <v>0</v>
      </c>
      <c r="D2860" s="12">
        <f>D2859*(1-Assumptions!$B$12*(Assumptions!$B$5+Assumptions!$B$6))</f>
        <v>0.42497354218679922</v>
      </c>
      <c r="E2860" s="12">
        <f>E2859+Assumptions!$B$12*(D2859*Assumptions!$B$5-E2859*Assumptions!$B$7)</f>
        <v>0.18479113608229444</v>
      </c>
      <c r="F2860" s="12">
        <f t="shared" si="132"/>
        <v>0.39023532173090625</v>
      </c>
      <c r="G2860" s="12">
        <f>EXP(-Assumptions!$B$8*B2860)</f>
        <v>0.24026807495929065</v>
      </c>
      <c r="H2860" s="12">
        <f t="shared" si="133"/>
        <v>0.10210757488985314</v>
      </c>
      <c r="I2860" s="12">
        <f t="shared" si="134"/>
        <v>4.4399410536033197E-2</v>
      </c>
      <c r="J2860" s="12">
        <f>G2860*(D2860*Assumptions!$B$6+E2860*Assumptions!$B$7)</f>
        <v>3.2410462757001914E-3</v>
      </c>
    </row>
    <row r="2861" spans="1:10" x14ac:dyDescent="0.2">
      <c r="A2861" s="2">
        <v>2853</v>
      </c>
      <c r="B2861" s="14">
        <f>A2861*Assumptions!$B$12</f>
        <v>28.53</v>
      </c>
      <c r="C2861" s="15">
        <f>IF(A2861&lt;=Assumptions!$B$13,IF(OR(A2861=0,A2861=Assumptions!$B$13),0.5,1),0)*Assumptions!$B$12</f>
        <v>0</v>
      </c>
      <c r="D2861" s="12">
        <f>D2860*(1-Assumptions!$B$12*(Assumptions!$B$5+Assumptions!$B$6))</f>
        <v>0.42484605012414323</v>
      </c>
      <c r="E2861" s="12">
        <f>E2860+Assumptions!$B$12*(D2860*Assumptions!$B$5-E2860*Assumptions!$B$7)</f>
        <v>0.18478373522269065</v>
      </c>
      <c r="F2861" s="12">
        <f t="shared" si="132"/>
        <v>0.39037021465316613</v>
      </c>
      <c r="G2861" s="12">
        <f>EXP(-Assumptions!$B$8*B2861)</f>
        <v>0.24014797095031543</v>
      </c>
      <c r="H2861" s="12">
        <f t="shared" si="133"/>
        <v>0.10202591690356901</v>
      </c>
      <c r="I2861" s="12">
        <f t="shared" si="134"/>
        <v>4.4375439078349489E-2</v>
      </c>
      <c r="J2861" s="12">
        <f>G2861*(D2861*Assumptions!$B$6+E2861*Assumptions!$B$7)</f>
        <v>3.239031122953164E-3</v>
      </c>
    </row>
    <row r="2862" spans="1:10" x14ac:dyDescent="0.2">
      <c r="A2862" s="2">
        <v>2854</v>
      </c>
      <c r="B2862" s="14">
        <f>A2862*Assumptions!$B$12</f>
        <v>28.54</v>
      </c>
      <c r="C2862" s="15">
        <f>IF(A2862&lt;=Assumptions!$B$13,IF(OR(A2862=0,A2862=Assumptions!$B$13),0.5,1),0)*Assumptions!$B$12</f>
        <v>0</v>
      </c>
      <c r="D2862" s="12">
        <f>D2861*(1-Assumptions!$B$12*(Assumptions!$B$5+Assumptions!$B$6))</f>
        <v>0.42471859630910602</v>
      </c>
      <c r="E2862" s="12">
        <f>E2861+Assumptions!$B$12*(D2861*Assumptions!$B$5-E2861*Assumptions!$B$7)</f>
        <v>0.18477631256510413</v>
      </c>
      <c r="F2862" s="12">
        <f t="shared" si="132"/>
        <v>0.39050509112578985</v>
      </c>
      <c r="G2862" s="12">
        <f>EXP(-Assumptions!$B$8*B2862)</f>
        <v>0.24002792697833419</v>
      </c>
      <c r="H2862" s="12">
        <f t="shared" si="133"/>
        <v>0.1019443242212227</v>
      </c>
      <c r="I2862" s="12">
        <f t="shared" si="134"/>
        <v>4.435147525970267E-2</v>
      </c>
      <c r="J2862" s="12">
        <f>G2862*(D2862*Assumptions!$B$6+E2862*Assumptions!$B$7)</f>
        <v>3.2370170051973608E-3</v>
      </c>
    </row>
    <row r="2863" spans="1:10" x14ac:dyDescent="0.2">
      <c r="A2863" s="2">
        <v>2855</v>
      </c>
      <c r="B2863" s="14">
        <f>A2863*Assumptions!$B$12</f>
        <v>28.55</v>
      </c>
      <c r="C2863" s="15">
        <f>IF(A2863&lt;=Assumptions!$B$13,IF(OR(A2863=0,A2863=Assumptions!$B$13),0.5,1),0)*Assumptions!$B$12</f>
        <v>0</v>
      </c>
      <c r="D2863" s="12">
        <f>D2862*(1-Assumptions!$B$12*(Assumptions!$B$5+Assumptions!$B$6))</f>
        <v>0.42459118073021329</v>
      </c>
      <c r="E2863" s="12">
        <f>E2862+Assumptions!$B$12*(D2862*Assumptions!$B$5-E2862*Assumptions!$B$7)</f>
        <v>0.18476886812808341</v>
      </c>
      <c r="F2863" s="12">
        <f t="shared" si="132"/>
        <v>0.3906399511417033</v>
      </c>
      <c r="G2863" s="12">
        <f>EXP(-Assumptions!$B$8*B2863)</f>
        <v>0.2399079430133359</v>
      </c>
      <c r="H2863" s="12">
        <f t="shared" si="133"/>
        <v>0.10186279679058902</v>
      </c>
      <c r="I2863" s="12">
        <f t="shared" si="134"/>
        <v>4.4327519085510809E-2</v>
      </c>
      <c r="J2863" s="12">
        <f>G2863*(D2863*Assumptions!$B$6+E2863*Assumptions!$B$7)</f>
        <v>3.2350039221814308E-3</v>
      </c>
    </row>
    <row r="2864" spans="1:10" x14ac:dyDescent="0.2">
      <c r="A2864" s="2">
        <v>2856</v>
      </c>
      <c r="B2864" s="14">
        <f>A2864*Assumptions!$B$12</f>
        <v>28.560000000000002</v>
      </c>
      <c r="C2864" s="15">
        <f>IF(A2864&lt;=Assumptions!$B$13,IF(OR(A2864=0,A2864=Assumptions!$B$13),0.5,1),0)*Assumptions!$B$12</f>
        <v>0</v>
      </c>
      <c r="D2864" s="12">
        <f>D2863*(1-Assumptions!$B$12*(Assumptions!$B$5+Assumptions!$B$6))</f>
        <v>0.42446380337599426</v>
      </c>
      <c r="E2864" s="12">
        <f>E2863+Assumptions!$B$12*(D2863*Assumptions!$B$5-E2863*Assumptions!$B$7)</f>
        <v>0.18476140193016541</v>
      </c>
      <c r="F2864" s="12">
        <f t="shared" si="132"/>
        <v>0.39077479469384035</v>
      </c>
      <c r="G2864" s="12">
        <f>EXP(-Assumptions!$B$8*B2864)</f>
        <v>0.23978801902532465</v>
      </c>
      <c r="H2864" s="12">
        <f t="shared" si="133"/>
        <v>0.10178133455948457</v>
      </c>
      <c r="I2864" s="12">
        <f t="shared" si="134"/>
        <v>4.4303570561176155E-2</v>
      </c>
      <c r="J2864" s="12">
        <f>G2864*(D2864*Assumptions!$B$6+E2864*Assumptions!$B$7)</f>
        <v>3.2329918736536539E-3</v>
      </c>
    </row>
    <row r="2865" spans="1:10" x14ac:dyDescent="0.2">
      <c r="A2865" s="2">
        <v>2857</v>
      </c>
      <c r="B2865" s="14">
        <f>A2865*Assumptions!$B$12</f>
        <v>28.57</v>
      </c>
      <c r="C2865" s="15">
        <f>IF(A2865&lt;=Assumptions!$B$13,IF(OR(A2865=0,A2865=Assumptions!$B$13),0.5,1),0)*Assumptions!$B$12</f>
        <v>0</v>
      </c>
      <c r="D2865" s="12">
        <f>D2864*(1-Assumptions!$B$12*(Assumptions!$B$5+Assumptions!$B$6))</f>
        <v>0.4243364642349815</v>
      </c>
      <c r="E2865" s="12">
        <f>E2864+Assumptions!$B$12*(D2864*Assumptions!$B$5-E2864*Assumptions!$B$7)</f>
        <v>0.18475391398987553</v>
      </c>
      <c r="F2865" s="12">
        <f t="shared" si="132"/>
        <v>0.39090962177514299</v>
      </c>
      <c r="G2865" s="12">
        <f>EXP(-Assumptions!$B$8*B2865)</f>
        <v>0.23966815498431943</v>
      </c>
      <c r="H2865" s="12">
        <f t="shared" si="133"/>
        <v>0.10169993747576767</v>
      </c>
      <c r="I2865" s="12">
        <f t="shared" si="134"/>
        <v>4.4279629692085112E-2</v>
      </c>
      <c r="J2865" s="12">
        <f>G2865*(D2865*Assumptions!$B$6+E2865*Assumptions!$B$7)</f>
        <v>3.2309808593619324E-3</v>
      </c>
    </row>
    <row r="2866" spans="1:10" x14ac:dyDescent="0.2">
      <c r="A2866" s="2">
        <v>2858</v>
      </c>
      <c r="B2866" s="14">
        <f>A2866*Assumptions!$B$12</f>
        <v>28.580000000000002</v>
      </c>
      <c r="C2866" s="15">
        <f>IF(A2866&lt;=Assumptions!$B$13,IF(OR(A2866=0,A2866=Assumptions!$B$13),0.5,1),0)*Assumptions!$B$12</f>
        <v>0</v>
      </c>
      <c r="D2866" s="12">
        <f>D2865*(1-Assumptions!$B$12*(Assumptions!$B$5+Assumptions!$B$6))</f>
        <v>0.42420916329571101</v>
      </c>
      <c r="E2866" s="12">
        <f>E2865+Assumptions!$B$12*(D2865*Assumptions!$B$5-E2865*Assumptions!$B$7)</f>
        <v>0.18474640432572759</v>
      </c>
      <c r="F2866" s="12">
        <f t="shared" si="132"/>
        <v>0.3910444323785614</v>
      </c>
      <c r="G2866" s="12">
        <f>EXP(-Assumptions!$B$8*B2866)</f>
        <v>0.23954835086035414</v>
      </c>
      <c r="H2866" s="12">
        <f t="shared" si="133"/>
        <v>0.10161860548733824</v>
      </c>
      <c r="I2866" s="12">
        <f t="shared" si="134"/>
        <v>4.4255696483608241E-2</v>
      </c>
      <c r="J2866" s="12">
        <f>G2866*(D2866*Assumptions!$B$6+E2866*Assumptions!$B$7)</f>
        <v>3.2289708790537944E-3</v>
      </c>
    </row>
    <row r="2867" spans="1:10" x14ac:dyDescent="0.2">
      <c r="A2867" s="2">
        <v>2859</v>
      </c>
      <c r="B2867" s="14">
        <f>A2867*Assumptions!$B$12</f>
        <v>28.59</v>
      </c>
      <c r="C2867" s="15">
        <f>IF(A2867&lt;=Assumptions!$B$13,IF(OR(A2867=0,A2867=Assumptions!$B$13),0.5,1),0)*Assumptions!$B$12</f>
        <v>0</v>
      </c>
      <c r="D2867" s="12">
        <f>D2866*(1-Assumptions!$B$12*(Assumptions!$B$5+Assumptions!$B$6))</f>
        <v>0.42408190054672229</v>
      </c>
      <c r="E2867" s="12">
        <f>E2866+Assumptions!$B$12*(D2866*Assumptions!$B$5-E2866*Assumptions!$B$7)</f>
        <v>0.18473887295622388</v>
      </c>
      <c r="F2867" s="12">
        <f t="shared" si="132"/>
        <v>0.39117922649705389</v>
      </c>
      <c r="G2867" s="12">
        <f>EXP(-Assumptions!$B$8*B2867)</f>
        <v>0.23942860662347792</v>
      </c>
      <c r="H2867" s="12">
        <f t="shared" si="133"/>
        <v>0.10153733854213806</v>
      </c>
      <c r="I2867" s="12">
        <f t="shared" si="134"/>
        <v>4.4231770941100389E-2</v>
      </c>
      <c r="J2867" s="12">
        <f>G2867*(D2867*Assumptions!$B$6+E2867*Assumptions!$B$7)</f>
        <v>3.2269619324764003E-3</v>
      </c>
    </row>
    <row r="2868" spans="1:10" x14ac:dyDescent="0.2">
      <c r="A2868" s="2">
        <v>2860</v>
      </c>
      <c r="B2868" s="14">
        <f>A2868*Assumptions!$B$12</f>
        <v>28.6</v>
      </c>
      <c r="C2868" s="15">
        <f>IF(A2868&lt;=Assumptions!$B$13,IF(OR(A2868=0,A2868=Assumptions!$B$13),0.5,1),0)*Assumptions!$B$12</f>
        <v>0</v>
      </c>
      <c r="D2868" s="12">
        <f>D2867*(1-Assumptions!$B$12*(Assumptions!$B$5+Assumptions!$B$6))</f>
        <v>0.42395467597655828</v>
      </c>
      <c r="E2868" s="12">
        <f>E2867+Assumptions!$B$12*(D2867*Assumptions!$B$5-E2867*Assumptions!$B$7)</f>
        <v>0.18473131989985511</v>
      </c>
      <c r="F2868" s="12">
        <f t="shared" si="132"/>
        <v>0.39131400412358663</v>
      </c>
      <c r="G2868" s="12">
        <f>EXP(-Assumptions!$B$8*B2868)</f>
        <v>0.2393089222437545</v>
      </c>
      <c r="H2868" s="12">
        <f t="shared" si="133"/>
        <v>0.10145613658815032</v>
      </c>
      <c r="I2868" s="12">
        <f t="shared" si="134"/>
        <v>4.4207853069900563E-2</v>
      </c>
      <c r="J2868" s="12">
        <f>G2868*(D2868*Assumptions!$B$6+E2868*Assumptions!$B$7)</f>
        <v>3.2249540193765311E-3</v>
      </c>
    </row>
    <row r="2869" spans="1:10" x14ac:dyDescent="0.2">
      <c r="A2869" s="2">
        <v>2861</v>
      </c>
      <c r="B2869" s="14">
        <f>A2869*Assumptions!$B$12</f>
        <v>28.61</v>
      </c>
      <c r="C2869" s="15">
        <f>IF(A2869&lt;=Assumptions!$B$13,IF(OR(A2869=0,A2869=Assumptions!$B$13),0.5,1),0)*Assumptions!$B$12</f>
        <v>0</v>
      </c>
      <c r="D2869" s="12">
        <f>D2868*(1-Assumptions!$B$12*(Assumptions!$B$5+Assumptions!$B$6))</f>
        <v>0.42382748957376531</v>
      </c>
      <c r="E2869" s="12">
        <f>E2868+Assumptions!$B$12*(D2868*Assumptions!$B$5-E2868*Assumptions!$B$7)</f>
        <v>0.18472374517510048</v>
      </c>
      <c r="F2869" s="12">
        <f t="shared" si="132"/>
        <v>0.39144876525113426</v>
      </c>
      <c r="G2869" s="12">
        <f>EXP(-Assumptions!$B$8*B2869)</f>
        <v>0.23918929769126293</v>
      </c>
      <c r="H2869" s="12">
        <f t="shared" si="133"/>
        <v>0.10137499957339999</v>
      </c>
      <c r="I2869" s="12">
        <f t="shared" si="134"/>
        <v>4.4183942875332102E-2</v>
      </c>
      <c r="J2869" s="12">
        <f>G2869*(D2869*Assumptions!$B$6+E2869*Assumptions!$B$7)</f>
        <v>3.2229471395006054E-3</v>
      </c>
    </row>
    <row r="2870" spans="1:10" x14ac:dyDescent="0.2">
      <c r="A2870" s="2">
        <v>2862</v>
      </c>
      <c r="B2870" s="14">
        <f>A2870*Assumptions!$B$12</f>
        <v>28.62</v>
      </c>
      <c r="C2870" s="15">
        <f>IF(A2870&lt;=Assumptions!$B$13,IF(OR(A2870=0,A2870=Assumptions!$B$13),0.5,1),0)*Assumptions!$B$12</f>
        <v>0</v>
      </c>
      <c r="D2870" s="12">
        <f>D2869*(1-Assumptions!$B$12*(Assumptions!$B$5+Assumptions!$B$6))</f>
        <v>0.42370034132689322</v>
      </c>
      <c r="E2870" s="12">
        <f>E2869+Assumptions!$B$12*(D2869*Assumptions!$B$5-E2869*Assumptions!$B$7)</f>
        <v>0.18471614880042769</v>
      </c>
      <c r="F2870" s="12">
        <f t="shared" si="132"/>
        <v>0.39158350987267915</v>
      </c>
      <c r="G2870" s="12">
        <f>EXP(-Assumptions!$B$8*B2870)</f>
        <v>0.23906973293609704</v>
      </c>
      <c r="H2870" s="12">
        <f t="shared" si="133"/>
        <v>0.10129392744595352</v>
      </c>
      <c r="I2870" s="12">
        <f t="shared" si="134"/>
        <v>4.4160040362702609E-2</v>
      </c>
      <c r="J2870" s="12">
        <f>G2870*(D2870*Assumptions!$B$6+E2870*Assumptions!$B$7)</f>
        <v>3.2209412925946657E-3</v>
      </c>
    </row>
    <row r="2871" spans="1:10" x14ac:dyDescent="0.2">
      <c r="A2871" s="2">
        <v>2863</v>
      </c>
      <c r="B2871" s="14">
        <f>A2871*Assumptions!$B$12</f>
        <v>28.63</v>
      </c>
      <c r="C2871" s="15">
        <f>IF(A2871&lt;=Assumptions!$B$13,IF(OR(A2871=0,A2871=Assumptions!$B$13),0.5,1),0)*Assumptions!$B$12</f>
        <v>0</v>
      </c>
      <c r="D2871" s="12">
        <f>D2870*(1-Assumptions!$B$12*(Assumptions!$B$5+Assumptions!$B$6))</f>
        <v>0.42357323122449514</v>
      </c>
      <c r="E2871" s="12">
        <f>E2870+Assumptions!$B$12*(D2870*Assumptions!$B$5-E2870*Assumptions!$B$7)</f>
        <v>0.18470853079429286</v>
      </c>
      <c r="F2871" s="12">
        <f t="shared" si="132"/>
        <v>0.39171823798121208</v>
      </c>
      <c r="G2871" s="12">
        <f>EXP(-Assumptions!$B$8*B2871)</f>
        <v>0.23895022794836562</v>
      </c>
      <c r="H2871" s="12">
        <f t="shared" si="133"/>
        <v>0.10121292015391889</v>
      </c>
      <c r="I2871" s="12">
        <f t="shared" si="134"/>
        <v>4.4136145537303988E-2</v>
      </c>
      <c r="J2871" s="12">
        <f>G2871*(D2871*Assumptions!$B$6+E2871*Assumptions!$B$7)</f>
        <v>3.2189364784043885E-3</v>
      </c>
    </row>
    <row r="2872" spans="1:10" x14ac:dyDescent="0.2">
      <c r="A2872" s="2">
        <v>2864</v>
      </c>
      <c r="B2872" s="14">
        <f>A2872*Assumptions!$B$12</f>
        <v>28.64</v>
      </c>
      <c r="C2872" s="15">
        <f>IF(A2872&lt;=Assumptions!$B$13,IF(OR(A2872=0,A2872=Assumptions!$B$13),0.5,1),0)*Assumptions!$B$12</f>
        <v>0</v>
      </c>
      <c r="D2872" s="12">
        <f>D2871*(1-Assumptions!$B$12*(Assumptions!$B$5+Assumptions!$B$6))</f>
        <v>0.4234461592551278</v>
      </c>
      <c r="E2872" s="12">
        <f>E2871+Assumptions!$B$12*(D2871*Assumptions!$B$5-E2871*Assumptions!$B$7)</f>
        <v>0.1847008911751406</v>
      </c>
      <c r="F2872" s="12">
        <f t="shared" si="132"/>
        <v>0.39185294956973166</v>
      </c>
      <c r="G2872" s="12">
        <f>EXP(-Assumptions!$B$8*B2872)</f>
        <v>0.23883078269819238</v>
      </c>
      <c r="H2872" s="12">
        <f t="shared" si="133"/>
        <v>0.1011319776454456</v>
      </c>
      <c r="I2872" s="12">
        <f t="shared" si="134"/>
        <v>4.4112258404412484E-2</v>
      </c>
      <c r="J2872" s="12">
        <f>G2872*(D2872*Assumptions!$B$6+E2872*Assumptions!$B$7)</f>
        <v>3.2169326966750805E-3</v>
      </c>
    </row>
    <row r="2873" spans="1:10" x14ac:dyDescent="0.2">
      <c r="A2873" s="2">
        <v>2865</v>
      </c>
      <c r="B2873" s="14">
        <f>A2873*Assumptions!$B$12</f>
        <v>28.650000000000002</v>
      </c>
      <c r="C2873" s="15">
        <f>IF(A2873&lt;=Assumptions!$B$13,IF(OR(A2873=0,A2873=Assumptions!$B$13),0.5,1),0)*Assumptions!$B$12</f>
        <v>0</v>
      </c>
      <c r="D2873" s="12">
        <f>D2872*(1-Assumptions!$B$12*(Assumptions!$B$5+Assumptions!$B$6))</f>
        <v>0.42331912540735128</v>
      </c>
      <c r="E2873" s="12">
        <f>E2872+Assumptions!$B$12*(D2872*Assumptions!$B$5-E2872*Assumptions!$B$7)</f>
        <v>0.18469322996140405</v>
      </c>
      <c r="F2873" s="12">
        <f t="shared" si="132"/>
        <v>0.39198764463124469</v>
      </c>
      <c r="G2873" s="12">
        <f>EXP(-Assumptions!$B$8*B2873)</f>
        <v>0.23871139715571613</v>
      </c>
      <c r="H2873" s="12">
        <f t="shared" si="133"/>
        <v>0.10105109986872464</v>
      </c>
      <c r="I2873" s="12">
        <f t="shared" si="134"/>
        <v>4.408837896928873E-2</v>
      </c>
      <c r="J2873" s="12">
        <f>G2873*(D2873*Assumptions!$B$6+E2873*Assumptions!$B$7)</f>
        <v>3.2149299471516831E-3</v>
      </c>
    </row>
    <row r="2874" spans="1:10" x14ac:dyDescent="0.2">
      <c r="A2874" s="2">
        <v>2866</v>
      </c>
      <c r="B2874" s="14">
        <f>A2874*Assumptions!$B$12</f>
        <v>28.66</v>
      </c>
      <c r="C2874" s="15">
        <f>IF(A2874&lt;=Assumptions!$B$13,IF(OR(A2874=0,A2874=Assumptions!$B$13),0.5,1),0)*Assumptions!$B$12</f>
        <v>0</v>
      </c>
      <c r="D2874" s="12">
        <f>D2873*(1-Assumptions!$B$12*(Assumptions!$B$5+Assumptions!$B$6))</f>
        <v>0.42319212966972908</v>
      </c>
      <c r="E2874" s="12">
        <f>E2873+Assumptions!$B$12*(D2873*Assumptions!$B$5-E2873*Assumptions!$B$7)</f>
        <v>0.18468554717150482</v>
      </c>
      <c r="F2874" s="12">
        <f t="shared" si="132"/>
        <v>0.39212232315876611</v>
      </c>
      <c r="G2874" s="12">
        <f>EXP(-Assumptions!$B$8*B2874)</f>
        <v>0.23859207129109039</v>
      </c>
      <c r="H2874" s="12">
        <f t="shared" si="133"/>
        <v>0.10097028677198837</v>
      </c>
      <c r="I2874" s="12">
        <f t="shared" si="134"/>
        <v>4.4064507237177718E-2</v>
      </c>
      <c r="J2874" s="12">
        <f>G2874*(D2874*Assumptions!$B$6+E2874*Assumptions!$B$7)</f>
        <v>3.2129282295787695E-3</v>
      </c>
    </row>
    <row r="2875" spans="1:10" x14ac:dyDescent="0.2">
      <c r="A2875" s="2">
        <v>2867</v>
      </c>
      <c r="B2875" s="14">
        <f>A2875*Assumptions!$B$12</f>
        <v>28.67</v>
      </c>
      <c r="C2875" s="15">
        <f>IF(A2875&lt;=Assumptions!$B$13,IF(OR(A2875=0,A2875=Assumptions!$B$13),0.5,1),0)*Assumptions!$B$12</f>
        <v>0</v>
      </c>
      <c r="D2875" s="12">
        <f>D2874*(1-Assumptions!$B$12*(Assumptions!$B$5+Assumptions!$B$6))</f>
        <v>0.42306517203082816</v>
      </c>
      <c r="E2875" s="12">
        <f>E2874+Assumptions!$B$12*(D2874*Assumptions!$B$5-E2874*Assumptions!$B$7)</f>
        <v>0.18467784282385302</v>
      </c>
      <c r="F2875" s="12">
        <f t="shared" si="132"/>
        <v>0.39225698514531882</v>
      </c>
      <c r="G2875" s="12">
        <f>EXP(-Assumptions!$B$8*B2875)</f>
        <v>0.23847280507448365</v>
      </c>
      <c r="H2875" s="12">
        <f t="shared" si="133"/>
        <v>0.10088953830351058</v>
      </c>
      <c r="I2875" s="12">
        <f t="shared" si="134"/>
        <v>4.4040643213308833E-2</v>
      </c>
      <c r="J2875" s="12">
        <f>G2875*(D2875*Assumptions!$B$6+E2875*Assumptions!$B$7)</f>
        <v>3.2109275437005474E-3</v>
      </c>
    </row>
    <row r="2876" spans="1:10" x14ac:dyDescent="0.2">
      <c r="A2876" s="2">
        <v>2868</v>
      </c>
      <c r="B2876" s="14">
        <f>A2876*Assumptions!$B$12</f>
        <v>28.68</v>
      </c>
      <c r="C2876" s="15">
        <f>IF(A2876&lt;=Assumptions!$B$13,IF(OR(A2876=0,A2876=Assumptions!$B$13),0.5,1),0)*Assumptions!$B$12</f>
        <v>0</v>
      </c>
      <c r="D2876" s="12">
        <f>D2875*(1-Assumptions!$B$12*(Assumptions!$B$5+Assumptions!$B$6))</f>
        <v>0.4229382524792189</v>
      </c>
      <c r="E2876" s="12">
        <f>E2875+Assumptions!$B$12*(D2875*Assumptions!$B$5-E2875*Assumptions!$B$7)</f>
        <v>0.18467011693684726</v>
      </c>
      <c r="F2876" s="12">
        <f t="shared" si="132"/>
        <v>0.39239163058393384</v>
      </c>
      <c r="G2876" s="12">
        <f>EXP(-Assumptions!$B$8*B2876)</f>
        <v>0.23835359847607951</v>
      </c>
      <c r="H2876" s="12">
        <f t="shared" si="133"/>
        <v>0.10080885441160647</v>
      </c>
      <c r="I2876" s="12">
        <f t="shared" si="134"/>
        <v>4.4016786902895941E-2</v>
      </c>
      <c r="J2876" s="12">
        <f>G2876*(D2876*Assumptions!$B$6+E2876*Assumptions!$B$7)</f>
        <v>3.2089278892608619E-3</v>
      </c>
    </row>
    <row r="2877" spans="1:10" x14ac:dyDescent="0.2">
      <c r="A2877" s="2">
        <v>2869</v>
      </c>
      <c r="B2877" s="14">
        <f>A2877*Assumptions!$B$12</f>
        <v>28.69</v>
      </c>
      <c r="C2877" s="15">
        <f>IF(A2877&lt;=Assumptions!$B$13,IF(OR(A2877=0,A2877=Assumptions!$B$13),0.5,1),0)*Assumptions!$B$12</f>
        <v>0</v>
      </c>
      <c r="D2877" s="12">
        <f>D2876*(1-Assumptions!$B$12*(Assumptions!$B$5+Assumptions!$B$6))</f>
        <v>0.42281137100347516</v>
      </c>
      <c r="E2877" s="12">
        <f>E2876+Assumptions!$B$12*(D2876*Assumptions!$B$5-E2876*Assumptions!$B$7)</f>
        <v>0.18466236952887469</v>
      </c>
      <c r="F2877" s="12">
        <f t="shared" si="132"/>
        <v>0.39252625946765018</v>
      </c>
      <c r="G2877" s="12">
        <f>EXP(-Assumptions!$B$8*B2877)</f>
        <v>0.23823445146607622</v>
      </c>
      <c r="H2877" s="12">
        <f t="shared" si="133"/>
        <v>0.10072823504463255</v>
      </c>
      <c r="I2877" s="12">
        <f t="shared" si="134"/>
        <v>4.3992938311137327E-2</v>
      </c>
      <c r="J2877" s="12">
        <f>G2877*(D2877*Assumptions!$B$6+E2877*Assumptions!$B$7)</f>
        <v>3.2069292660031924E-3</v>
      </c>
    </row>
    <row r="2878" spans="1:10" x14ac:dyDescent="0.2">
      <c r="A2878" s="2">
        <v>2870</v>
      </c>
      <c r="B2878" s="14">
        <f>A2878*Assumptions!$B$12</f>
        <v>28.7</v>
      </c>
      <c r="C2878" s="15">
        <f>IF(A2878&lt;=Assumptions!$B$13,IF(OR(A2878=0,A2878=Assumptions!$B$13),0.5,1),0)*Assumptions!$B$12</f>
        <v>0</v>
      </c>
      <c r="D2878" s="12">
        <f>D2877*(1-Assumptions!$B$12*(Assumptions!$B$5+Assumptions!$B$6))</f>
        <v>0.42268452759217412</v>
      </c>
      <c r="E2878" s="12">
        <f>E2877+Assumptions!$B$12*(D2877*Assumptions!$B$5-E2877*Assumptions!$B$7)</f>
        <v>0.18465460061831093</v>
      </c>
      <c r="F2878" s="12">
        <f t="shared" si="132"/>
        <v>0.39266087178951492</v>
      </c>
      <c r="G2878" s="12">
        <f>EXP(-Assumptions!$B$8*B2878)</f>
        <v>0.23811536401468703</v>
      </c>
      <c r="H2878" s="12">
        <f t="shared" si="133"/>
        <v>0.10064768015098656</v>
      </c>
      <c r="I2878" s="12">
        <f t="shared" si="134"/>
        <v>4.3969097443215761E-2</v>
      </c>
      <c r="J2878" s="12">
        <f>G2878*(D2878*Assumptions!$B$6+E2878*Assumptions!$B$7)</f>
        <v>3.2049316736706538E-3</v>
      </c>
    </row>
    <row r="2879" spans="1:10" x14ac:dyDescent="0.2">
      <c r="A2879" s="2">
        <v>2871</v>
      </c>
      <c r="B2879" s="14">
        <f>A2879*Assumptions!$B$12</f>
        <v>28.71</v>
      </c>
      <c r="C2879" s="15">
        <f>IF(A2879&lt;=Assumptions!$B$13,IF(OR(A2879=0,A2879=Assumptions!$B$13),0.5,1),0)*Assumptions!$B$12</f>
        <v>0</v>
      </c>
      <c r="D2879" s="12">
        <f>D2878*(1-Assumptions!$B$12*(Assumptions!$B$5+Assumptions!$B$6))</f>
        <v>0.42255772223389648</v>
      </c>
      <c r="E2879" s="12">
        <f>E2878+Assumptions!$B$12*(D2878*Assumptions!$B$5-E2878*Assumptions!$B$7)</f>
        <v>0.18464681022352022</v>
      </c>
      <c r="F2879" s="12">
        <f t="shared" si="132"/>
        <v>0.39279546754258321</v>
      </c>
      <c r="G2879" s="12">
        <f>EXP(-Assumptions!$B$8*B2879)</f>
        <v>0.23799633609214002</v>
      </c>
      <c r="H2879" s="12">
        <f t="shared" si="133"/>
        <v>0.10056718967910758</v>
      </c>
      <c r="I2879" s="12">
        <f t="shared" si="134"/>
        <v>4.3945264304298515E-2</v>
      </c>
      <c r="J2879" s="12">
        <f>G2879*(D2879*Assumptions!$B$6+E2879*Assumptions!$B$7)</f>
        <v>3.2029351120060018E-3</v>
      </c>
    </row>
    <row r="2880" spans="1:10" x14ac:dyDescent="0.2">
      <c r="A2880" s="2">
        <v>2872</v>
      </c>
      <c r="B2880" s="14">
        <f>A2880*Assumptions!$B$12</f>
        <v>28.72</v>
      </c>
      <c r="C2880" s="15">
        <f>IF(A2880&lt;=Assumptions!$B$13,IF(OR(A2880=0,A2880=Assumptions!$B$13),0.5,1),0)*Assumptions!$B$12</f>
        <v>0</v>
      </c>
      <c r="D2880" s="12">
        <f>D2879*(1-Assumptions!$B$12*(Assumptions!$B$5+Assumptions!$B$6))</f>
        <v>0.42243095491722632</v>
      </c>
      <c r="E2880" s="12">
        <f>E2879+Assumptions!$B$12*(D2879*Assumptions!$B$5-E2879*Assumptions!$B$7)</f>
        <v>0.18463899836285524</v>
      </c>
      <c r="F2880" s="12">
        <f t="shared" si="132"/>
        <v>0.39293004671991849</v>
      </c>
      <c r="G2880" s="12">
        <f>EXP(-Assumptions!$B$8*B2880)</f>
        <v>0.2378773676686784</v>
      </c>
      <c r="H2880" s="12">
        <f t="shared" si="133"/>
        <v>0.10048676357747595</v>
      </c>
      <c r="I2880" s="12">
        <f t="shared" si="134"/>
        <v>4.3921438899537424E-2</v>
      </c>
      <c r="J2880" s="12">
        <f>G2880*(D2880*Assumptions!$B$6+E2880*Assumptions!$B$7)</f>
        <v>3.2009395807516307E-3</v>
      </c>
    </row>
    <row r="2881" spans="1:10" x14ac:dyDescent="0.2">
      <c r="A2881" s="2">
        <v>2873</v>
      </c>
      <c r="B2881" s="14">
        <f>A2881*Assumptions!$B$12</f>
        <v>28.73</v>
      </c>
      <c r="C2881" s="15">
        <f>IF(A2881&lt;=Assumptions!$B$13,IF(OR(A2881=0,A2881=Assumptions!$B$13),0.5,1),0)*Assumptions!$B$12</f>
        <v>0</v>
      </c>
      <c r="D2881" s="12">
        <f>D2880*(1-Assumptions!$B$12*(Assumptions!$B$5+Assumptions!$B$6))</f>
        <v>0.42230422563075115</v>
      </c>
      <c r="E2881" s="12">
        <f>E2880+Assumptions!$B$12*(D2880*Assumptions!$B$5-E2880*Assumptions!$B$7)</f>
        <v>0.18463116505465726</v>
      </c>
      <c r="F2881" s="12">
        <f t="shared" si="132"/>
        <v>0.39306460931459153</v>
      </c>
      <c r="G2881" s="12">
        <f>EXP(-Assumptions!$B$8*B2881)</f>
        <v>0.23775845871455981</v>
      </c>
      <c r="H2881" s="12">
        <f t="shared" si="133"/>
        <v>0.10040640179461309</v>
      </c>
      <c r="I2881" s="12">
        <f t="shared" si="134"/>
        <v>4.3897621234068804E-2</v>
      </c>
      <c r="J2881" s="12">
        <f>G2881*(D2881*Assumptions!$B$6+E2881*Assumptions!$B$7)</f>
        <v>3.1989450796495711E-3</v>
      </c>
    </row>
    <row r="2882" spans="1:10" x14ac:dyDescent="0.2">
      <c r="A2882" s="2">
        <v>2874</v>
      </c>
      <c r="B2882" s="14">
        <f>A2882*Assumptions!$B$12</f>
        <v>28.740000000000002</v>
      </c>
      <c r="C2882" s="15">
        <f>IF(A2882&lt;=Assumptions!$B$13,IF(OR(A2882=0,A2882=Assumptions!$B$13),0.5,1),0)*Assumptions!$B$12</f>
        <v>0</v>
      </c>
      <c r="D2882" s="12">
        <f>D2881*(1-Assumptions!$B$12*(Assumptions!$B$5+Assumptions!$B$6))</f>
        <v>0.42217753436306193</v>
      </c>
      <c r="E2882" s="12">
        <f>E2881+Assumptions!$B$12*(D2881*Assumptions!$B$5-E2881*Assumptions!$B$7)</f>
        <v>0.1846233103172561</v>
      </c>
      <c r="F2882" s="12">
        <f t="shared" si="132"/>
        <v>0.39319915531968197</v>
      </c>
      <c r="G2882" s="12">
        <f>EXP(-Assumptions!$B$8*B2882)</f>
        <v>0.23763960920005714</v>
      </c>
      <c r="H2882" s="12">
        <f t="shared" si="133"/>
        <v>0.10032610427908173</v>
      </c>
      <c r="I2882" s="12">
        <f t="shared" si="134"/>
        <v>4.3873811313013614E-2</v>
      </c>
      <c r="J2882" s="12">
        <f>G2882*(D2882*Assumptions!$B$6+E2882*Assumptions!$B$7)</f>
        <v>3.1969516084414981E-3</v>
      </c>
    </row>
    <row r="2883" spans="1:10" x14ac:dyDescent="0.2">
      <c r="A2883" s="2">
        <v>2875</v>
      </c>
      <c r="B2883" s="14">
        <f>A2883*Assumptions!$B$12</f>
        <v>28.75</v>
      </c>
      <c r="C2883" s="15">
        <f>IF(A2883&lt;=Assumptions!$B$13,IF(OR(A2883=0,A2883=Assumptions!$B$13),0.5,1),0)*Assumptions!$B$12</f>
        <v>0</v>
      </c>
      <c r="D2883" s="12">
        <f>D2882*(1-Assumptions!$B$12*(Assumptions!$B$5+Assumptions!$B$6))</f>
        <v>0.42205088110275302</v>
      </c>
      <c r="E2883" s="12">
        <f>E2882+Assumptions!$B$12*(D2882*Assumptions!$B$5-E2882*Assumptions!$B$7)</f>
        <v>0.18461543416897008</v>
      </c>
      <c r="F2883" s="12">
        <f t="shared" si="132"/>
        <v>0.3933336847282769</v>
      </c>
      <c r="G2883" s="12">
        <f>EXP(-Assumptions!$B$8*B2883)</f>
        <v>0.23752081909545814</v>
      </c>
      <c r="H2883" s="12">
        <f t="shared" si="133"/>
        <v>0.10024587097948572</v>
      </c>
      <c r="I2883" s="12">
        <f t="shared" si="134"/>
        <v>4.3850009141477402E-2</v>
      </c>
      <c r="J2883" s="12">
        <f>G2883*(D2883*Assumptions!$B$6+E2883*Assumptions!$B$7)</f>
        <v>3.1949591668687274E-3</v>
      </c>
    </row>
    <row r="2884" spans="1:10" x14ac:dyDescent="0.2">
      <c r="A2884" s="2">
        <v>2876</v>
      </c>
      <c r="B2884" s="14">
        <f>A2884*Assumptions!$B$12</f>
        <v>28.76</v>
      </c>
      <c r="C2884" s="15">
        <f>IF(A2884&lt;=Assumptions!$B$13,IF(OR(A2884=0,A2884=Assumptions!$B$13),0.5,1),0)*Assumptions!$B$12</f>
        <v>0</v>
      </c>
      <c r="D2884" s="12">
        <f>D2883*(1-Assumptions!$B$12*(Assumptions!$B$5+Assumptions!$B$6))</f>
        <v>0.42192426583842219</v>
      </c>
      <c r="E2884" s="12">
        <f>E2883+Assumptions!$B$12*(D2883*Assumptions!$B$5-E2883*Assumptions!$B$7)</f>
        <v>0.18460753662810614</v>
      </c>
      <c r="F2884" s="12">
        <f t="shared" si="132"/>
        <v>0.39346819753347173</v>
      </c>
      <c r="G2884" s="12">
        <f>EXP(-Assumptions!$B$8*B2884)</f>
        <v>0.23740208837106502</v>
      </c>
      <c r="H2884" s="12">
        <f t="shared" si="133"/>
        <v>0.10016570184446984</v>
      </c>
      <c r="I2884" s="12">
        <f t="shared" si="134"/>
        <v>4.3826214724550276E-2</v>
      </c>
      <c r="J2884" s="12">
        <f>G2884*(D2884*Assumptions!$B$6+E2884*Assumptions!$B$7)</f>
        <v>3.1929677546722124E-3</v>
      </c>
    </row>
    <row r="2885" spans="1:10" x14ac:dyDescent="0.2">
      <c r="A2885" s="2">
        <v>2877</v>
      </c>
      <c r="B2885" s="14">
        <f>A2885*Assumptions!$B$12</f>
        <v>28.77</v>
      </c>
      <c r="C2885" s="15">
        <f>IF(A2885&lt;=Assumptions!$B$13,IF(OR(A2885=0,A2885=Assumptions!$B$13),0.5,1),0)*Assumptions!$B$12</f>
        <v>0</v>
      </c>
      <c r="D2885" s="12">
        <f>D2884*(1-Assumptions!$B$12*(Assumptions!$B$5+Assumptions!$B$6))</f>
        <v>0.42179768855867067</v>
      </c>
      <c r="E2885" s="12">
        <f>E2884+Assumptions!$B$12*(D2884*Assumptions!$B$5-E2884*Assumptions!$B$7)</f>
        <v>0.18459961771295977</v>
      </c>
      <c r="F2885" s="12">
        <f t="shared" si="132"/>
        <v>0.39360269372836953</v>
      </c>
      <c r="G2885" s="12">
        <f>EXP(-Assumptions!$B$8*B2885)</f>
        <v>0.2372834169971953</v>
      </c>
      <c r="H2885" s="12">
        <f t="shared" si="133"/>
        <v>0.10008559682272017</v>
      </c>
      <c r="I2885" s="12">
        <f t="shared" si="134"/>
        <v>4.3802428067307074E-2</v>
      </c>
      <c r="J2885" s="12">
        <f>G2885*(D2885*Assumptions!$B$6+E2885*Assumptions!$B$7)</f>
        <v>3.1909773715925556E-3</v>
      </c>
    </row>
    <row r="2886" spans="1:10" x14ac:dyDescent="0.2">
      <c r="A2886" s="2">
        <v>2878</v>
      </c>
      <c r="B2886" s="14">
        <f>A2886*Assumptions!$B$12</f>
        <v>28.78</v>
      </c>
      <c r="C2886" s="15">
        <f>IF(A2886&lt;=Assumptions!$B$13,IF(OR(A2886=0,A2886=Assumptions!$B$13),0.5,1),0)*Assumptions!$B$12</f>
        <v>0</v>
      </c>
      <c r="D2886" s="12">
        <f>D2885*(1-Assumptions!$B$12*(Assumptions!$B$5+Assumptions!$B$6))</f>
        <v>0.42167114925210308</v>
      </c>
      <c r="E2886" s="12">
        <f>E2885+Assumptions!$B$12*(D2885*Assumptions!$B$5-E2885*Assumptions!$B$7)</f>
        <v>0.18459167744181501</v>
      </c>
      <c r="F2886" s="12">
        <f t="shared" si="132"/>
        <v>0.39373717330608193</v>
      </c>
      <c r="G2886" s="12">
        <f>EXP(-Assumptions!$B$8*B2886)</f>
        <v>0.23716480494418105</v>
      </c>
      <c r="H2886" s="12">
        <f t="shared" si="133"/>
        <v>0.10000555586296368</v>
      </c>
      <c r="I2886" s="12">
        <f t="shared" si="134"/>
        <v>4.3778649174807241E-2</v>
      </c>
      <c r="J2886" s="12">
        <f>G2886*(D2886*Assumptions!$B$6+E2886*Assumptions!$B$7)</f>
        <v>3.1889880173699989E-3</v>
      </c>
    </row>
    <row r="2887" spans="1:10" x14ac:dyDescent="0.2">
      <c r="A2887" s="2">
        <v>2879</v>
      </c>
      <c r="B2887" s="14">
        <f>A2887*Assumptions!$B$12</f>
        <v>28.79</v>
      </c>
      <c r="C2887" s="15">
        <f>IF(A2887&lt;=Assumptions!$B$13,IF(OR(A2887=0,A2887=Assumptions!$B$13),0.5,1),0)*Assumptions!$B$12</f>
        <v>0</v>
      </c>
      <c r="D2887" s="12">
        <f>D2886*(1-Assumptions!$B$12*(Assumptions!$B$5+Assumptions!$B$6))</f>
        <v>0.42154464790732749</v>
      </c>
      <c r="E2887" s="12">
        <f>E2886+Assumptions!$B$12*(D2886*Assumptions!$B$5-E2886*Assumptions!$B$7)</f>
        <v>0.18458371583294453</v>
      </c>
      <c r="F2887" s="12">
        <f t="shared" si="132"/>
        <v>0.39387163625972799</v>
      </c>
      <c r="G2887" s="12">
        <f>EXP(-Assumptions!$B$8*B2887)</f>
        <v>0.23704625218236927</v>
      </c>
      <c r="H2887" s="12">
        <f t="shared" si="133"/>
        <v>9.9925578913968416E-2</v>
      </c>
      <c r="I2887" s="12">
        <f t="shared" si="134"/>
        <v>4.3754878052094957E-2</v>
      </c>
      <c r="J2887" s="12">
        <f>G2887*(D2887*Assumptions!$B$6+E2887*Assumptions!$B$7)</f>
        <v>3.186999691744432E-3</v>
      </c>
    </row>
    <row r="2888" spans="1:10" x14ac:dyDescent="0.2">
      <c r="A2888" s="2">
        <v>2880</v>
      </c>
      <c r="B2888" s="14">
        <f>A2888*Assumptions!$B$12</f>
        <v>28.8</v>
      </c>
      <c r="C2888" s="15">
        <f>IF(A2888&lt;=Assumptions!$B$13,IF(OR(A2888=0,A2888=Assumptions!$B$13),0.5,1),0)*Assumptions!$B$12</f>
        <v>0</v>
      </c>
      <c r="D2888" s="12">
        <f>D2887*(1-Assumptions!$B$12*(Assumptions!$B$5+Assumptions!$B$6))</f>
        <v>0.42141818451295532</v>
      </c>
      <c r="E2888" s="12">
        <f>E2887+Assumptions!$B$12*(D2887*Assumptions!$B$5-E2887*Assumptions!$B$7)</f>
        <v>0.18457573290460952</v>
      </c>
      <c r="F2888" s="12">
        <f t="shared" ref="F2888:F2951" si="135">1-D2888-E2888</f>
        <v>0.39400608258243519</v>
      </c>
      <c r="G2888" s="12">
        <f>EXP(-Assumptions!$B$8*B2888)</f>
        <v>0.23692775868212171</v>
      </c>
      <c r="H2888" s="12">
        <f t="shared" ref="H2888:H2951" si="136">G2888*D2888</f>
        <v>9.9845665924543317E-2</v>
      </c>
      <c r="I2888" s="12">
        <f t="shared" ref="I2888:I2951" si="137">G2888*E2888</f>
        <v>4.3731114704199076E-2</v>
      </c>
      <c r="J2888" s="12">
        <f>G2888*(D2888*Assumptions!$B$6+E2888*Assumptions!$B$7)</f>
        <v>3.1850123944553873E-3</v>
      </c>
    </row>
    <row r="2889" spans="1:10" x14ac:dyDescent="0.2">
      <c r="A2889" s="2">
        <v>2881</v>
      </c>
      <c r="B2889" s="14">
        <f>A2889*Assumptions!$B$12</f>
        <v>28.810000000000002</v>
      </c>
      <c r="C2889" s="15">
        <f>IF(A2889&lt;=Assumptions!$B$13,IF(OR(A2889=0,A2889=Assumptions!$B$13),0.5,1),0)*Assumptions!$B$12</f>
        <v>0</v>
      </c>
      <c r="D2889" s="12">
        <f>D2888*(1-Assumptions!$B$12*(Assumptions!$B$5+Assumptions!$B$6))</f>
        <v>0.42129175905760147</v>
      </c>
      <c r="E2889" s="12">
        <f>E2888+Assumptions!$B$12*(D2888*Assumptions!$B$5-E2888*Assumptions!$B$7)</f>
        <v>0.1845677286750598</v>
      </c>
      <c r="F2889" s="12">
        <f t="shared" si="135"/>
        <v>0.39414051226733871</v>
      </c>
      <c r="G2889" s="12">
        <f>EXP(-Assumptions!$B$8*B2889)</f>
        <v>0.23680932441381514</v>
      </c>
      <c r="H2889" s="12">
        <f t="shared" si="136"/>
        <v>9.9765816843538385E-2</v>
      </c>
      <c r="I2889" s="12">
        <f t="shared" si="137"/>
        <v>4.3707359136133245E-2</v>
      </c>
      <c r="J2889" s="12">
        <f>G2889*(D2889*Assumptions!$B$6+E2889*Assumptions!$B$7)</f>
        <v>3.1830261252420462E-3</v>
      </c>
    </row>
    <row r="2890" spans="1:10" x14ac:dyDescent="0.2">
      <c r="A2890" s="2">
        <v>2882</v>
      </c>
      <c r="B2890" s="14">
        <f>A2890*Assumptions!$B$12</f>
        <v>28.82</v>
      </c>
      <c r="C2890" s="15">
        <f>IF(A2890&lt;=Assumptions!$B$13,IF(OR(A2890=0,A2890=Assumptions!$B$13),0.5,1),0)*Assumptions!$B$12</f>
        <v>0</v>
      </c>
      <c r="D2890" s="12">
        <f>D2889*(1-Assumptions!$B$12*(Assumptions!$B$5+Assumptions!$B$6))</f>
        <v>0.4211653715298842</v>
      </c>
      <c r="E2890" s="12">
        <f>E2889+Assumptions!$B$12*(D2889*Assumptions!$B$5-E2889*Assumptions!$B$7)</f>
        <v>0.18455970316253378</v>
      </c>
      <c r="F2890" s="12">
        <f t="shared" si="135"/>
        <v>0.39427492530758201</v>
      </c>
      <c r="G2890" s="12">
        <f>EXP(-Assumptions!$B$8*B2890)</f>
        <v>0.23669094934784088</v>
      </c>
      <c r="H2890" s="12">
        <f t="shared" si="136"/>
        <v>9.9686031619844406E-2</v>
      </c>
      <c r="I2890" s="12">
        <f t="shared" si="137"/>
        <v>4.3683611352895835E-2</v>
      </c>
      <c r="J2890" s="12">
        <f>G2890*(D2890*Assumptions!$B$6+E2890*Assumptions!$B$7)</f>
        <v>3.181040883843236E-3</v>
      </c>
    </row>
    <row r="2891" spans="1:10" x14ac:dyDescent="0.2">
      <c r="A2891" s="2">
        <v>2883</v>
      </c>
      <c r="B2891" s="14">
        <f>A2891*Assumptions!$B$12</f>
        <v>28.830000000000002</v>
      </c>
      <c r="C2891" s="15">
        <f>IF(A2891&lt;=Assumptions!$B$13,IF(OR(A2891=0,A2891=Assumptions!$B$13),0.5,1),0)*Assumptions!$B$12</f>
        <v>0</v>
      </c>
      <c r="D2891" s="12">
        <f>D2890*(1-Assumptions!$B$12*(Assumptions!$B$5+Assumptions!$B$6))</f>
        <v>0.42103902191842524</v>
      </c>
      <c r="E2891" s="12">
        <f>E2890+Assumptions!$B$12*(D2890*Assumptions!$B$5-E2890*Assumptions!$B$7)</f>
        <v>0.1845516563852585</v>
      </c>
      <c r="F2891" s="12">
        <f t="shared" si="135"/>
        <v>0.39440932169631626</v>
      </c>
      <c r="G2891" s="12">
        <f>EXP(-Assumptions!$B$8*B2891)</f>
        <v>0.23657263345460514</v>
      </c>
      <c r="H2891" s="12">
        <f t="shared" si="136"/>
        <v>9.9606310202393078E-2</v>
      </c>
      <c r="I2891" s="12">
        <f t="shared" si="137"/>
        <v>4.3659871359469998E-2</v>
      </c>
      <c r="J2891" s="12">
        <f>G2891*(D2891*Assumptions!$B$6+E2891*Assumptions!$B$7)</f>
        <v>3.1790566699974308E-3</v>
      </c>
    </row>
    <row r="2892" spans="1:10" x14ac:dyDescent="0.2">
      <c r="A2892" s="2">
        <v>2884</v>
      </c>
      <c r="B2892" s="14">
        <f>A2892*Assumptions!$B$12</f>
        <v>28.84</v>
      </c>
      <c r="C2892" s="15">
        <f>IF(A2892&lt;=Assumptions!$B$13,IF(OR(A2892=0,A2892=Assumptions!$B$13),0.5,1),0)*Assumptions!$B$12</f>
        <v>0</v>
      </c>
      <c r="D2892" s="12">
        <f>D2891*(1-Assumptions!$B$12*(Assumptions!$B$5+Assumptions!$B$6))</f>
        <v>0.42091271021184973</v>
      </c>
      <c r="E2892" s="12">
        <f>E2891+Assumptions!$B$12*(D2891*Assumptions!$B$5-E2891*Assumptions!$B$7)</f>
        <v>0.18454358836144955</v>
      </c>
      <c r="F2892" s="12">
        <f t="shared" si="135"/>
        <v>0.3945437014267007</v>
      </c>
      <c r="G2892" s="12">
        <f>EXP(-Assumptions!$B$8*B2892)</f>
        <v>0.23645437670452904</v>
      </c>
      <c r="H2892" s="12">
        <f t="shared" si="136"/>
        <v>9.9526652540156982E-2</v>
      </c>
      <c r="I2892" s="12">
        <f t="shared" si="137"/>
        <v>4.3636139160823734E-2</v>
      </c>
      <c r="J2892" s="12">
        <f>G2892*(D2892*Assumptions!$B$6+E2892*Assumptions!$B$7)</f>
        <v>3.1770734834427566E-3</v>
      </c>
    </row>
    <row r="2893" spans="1:10" x14ac:dyDescent="0.2">
      <c r="A2893" s="2">
        <v>2885</v>
      </c>
      <c r="B2893" s="14">
        <f>A2893*Assumptions!$B$12</f>
        <v>28.85</v>
      </c>
      <c r="C2893" s="15">
        <f>IF(A2893&lt;=Assumptions!$B$13,IF(OR(A2893=0,A2893=Assumptions!$B$13),0.5,1),0)*Assumptions!$B$12</f>
        <v>0</v>
      </c>
      <c r="D2893" s="12">
        <f>D2892*(1-Assumptions!$B$12*(Assumptions!$B$5+Assumptions!$B$6))</f>
        <v>0.42078643639878621</v>
      </c>
      <c r="E2893" s="12">
        <f>E2892+Assumptions!$B$12*(D2892*Assumptions!$B$5-E2892*Assumptions!$B$7)</f>
        <v>0.18453549910931119</v>
      </c>
      <c r="F2893" s="12">
        <f t="shared" si="135"/>
        <v>0.39467806449190257</v>
      </c>
      <c r="G2893" s="12">
        <f>EXP(-Assumptions!$B$8*B2893)</f>
        <v>0.23633617906804838</v>
      </c>
      <c r="H2893" s="12">
        <f t="shared" si="136"/>
        <v>9.9447058582149486E-2</v>
      </c>
      <c r="I2893" s="12">
        <f t="shared" si="137"/>
        <v>4.361241476190985E-2</v>
      </c>
      <c r="J2893" s="12">
        <f>G2893*(D2893*Assumptions!$B$6+E2893*Assumptions!$B$7)</f>
        <v>3.1750913239169871E-3</v>
      </c>
    </row>
    <row r="2894" spans="1:10" x14ac:dyDescent="0.2">
      <c r="A2894" s="2">
        <v>2886</v>
      </c>
      <c r="B2894" s="14">
        <f>A2894*Assumptions!$B$12</f>
        <v>28.86</v>
      </c>
      <c r="C2894" s="15">
        <f>IF(A2894&lt;=Assumptions!$B$13,IF(OR(A2894=0,A2894=Assumptions!$B$13),0.5,1),0)*Assumptions!$B$12</f>
        <v>0</v>
      </c>
      <c r="D2894" s="12">
        <f>D2893*(1-Assumptions!$B$12*(Assumptions!$B$5+Assumptions!$B$6))</f>
        <v>0.42066020046786656</v>
      </c>
      <c r="E2894" s="12">
        <f>E2893+Assumptions!$B$12*(D2893*Assumptions!$B$5-E2893*Assumptions!$B$7)</f>
        <v>0.1845273886470363</v>
      </c>
      <c r="F2894" s="12">
        <f t="shared" si="135"/>
        <v>0.39481241088509711</v>
      </c>
      <c r="G2894" s="12">
        <f>EXP(-Assumptions!$B$8*B2894)</f>
        <v>0.23621804051561368</v>
      </c>
      <c r="H2894" s="12">
        <f t="shared" si="136"/>
        <v>9.9367528277424677E-2</v>
      </c>
      <c r="I2894" s="12">
        <f t="shared" si="137"/>
        <v>4.3588698167666015E-2</v>
      </c>
      <c r="J2894" s="12">
        <f>G2894*(D2894*Assumptions!$B$6+E2894*Assumptions!$B$7)</f>
        <v>3.1731101911575475E-3</v>
      </c>
    </row>
    <row r="2895" spans="1:10" x14ac:dyDescent="0.2">
      <c r="A2895" s="2">
        <v>2887</v>
      </c>
      <c r="B2895" s="14">
        <f>A2895*Assumptions!$B$12</f>
        <v>28.87</v>
      </c>
      <c r="C2895" s="15">
        <f>IF(A2895&lt;=Assumptions!$B$13,IF(OR(A2895=0,A2895=Assumptions!$B$13),0.5,1),0)*Assumptions!$B$12</f>
        <v>0</v>
      </c>
      <c r="D2895" s="12">
        <f>D2894*(1-Assumptions!$B$12*(Assumptions!$B$5+Assumptions!$B$6))</f>
        <v>0.4205340024077262</v>
      </c>
      <c r="E2895" s="12">
        <f>E2894+Assumptions!$B$12*(D2894*Assumptions!$B$5-E2894*Assumptions!$B$7)</f>
        <v>0.18451925699280636</v>
      </c>
      <c r="F2895" s="12">
        <f t="shared" si="135"/>
        <v>0.39494674059946744</v>
      </c>
      <c r="G2895" s="12">
        <f>EXP(-Assumptions!$B$8*B2895)</f>
        <v>0.23609996101769032</v>
      </c>
      <c r="H2895" s="12">
        <f t="shared" si="136"/>
        <v>9.9288061575077441E-2</v>
      </c>
      <c r="I2895" s="12">
        <f t="shared" si="137"/>
        <v>4.3564989383014764E-2</v>
      </c>
      <c r="J2895" s="12">
        <f>G2895*(D2895*Assumptions!$B$6+E2895*Assumptions!$B$7)</f>
        <v>3.1711300849015128E-3</v>
      </c>
    </row>
    <row r="2896" spans="1:10" x14ac:dyDescent="0.2">
      <c r="A2896" s="2">
        <v>2888</v>
      </c>
      <c r="B2896" s="14">
        <f>A2896*Assumptions!$B$12</f>
        <v>28.88</v>
      </c>
      <c r="C2896" s="15">
        <f>IF(A2896&lt;=Assumptions!$B$13,IF(OR(A2896=0,A2896=Assumptions!$B$13),0.5,1),0)*Assumptions!$B$12</f>
        <v>0</v>
      </c>
      <c r="D2896" s="12">
        <f>D2895*(1-Assumptions!$B$12*(Assumptions!$B$5+Assumptions!$B$6))</f>
        <v>0.42040784220700389</v>
      </c>
      <c r="E2896" s="12">
        <f>E2895+Assumptions!$B$12*(D2895*Assumptions!$B$5-E2895*Assumptions!$B$7)</f>
        <v>0.1845111041647915</v>
      </c>
      <c r="F2896" s="12">
        <f t="shared" si="135"/>
        <v>0.39508105362820461</v>
      </c>
      <c r="G2896" s="12">
        <f>EXP(-Assumptions!$B$8*B2896)</f>
        <v>0.23598194054475852</v>
      </c>
      <c r="H2896" s="12">
        <f t="shared" si="136"/>
        <v>9.9208658424243409E-2</v>
      </c>
      <c r="I2896" s="12">
        <f t="shared" si="137"/>
        <v>4.3541288412863574E-2</v>
      </c>
      <c r="J2896" s="12">
        <f>G2896*(D2896*Assumptions!$B$6+E2896*Assumptions!$B$7)</f>
        <v>3.1691510048856126E-3</v>
      </c>
    </row>
    <row r="2897" spans="1:10" x14ac:dyDescent="0.2">
      <c r="A2897" s="2">
        <v>2889</v>
      </c>
      <c r="B2897" s="14">
        <f>A2897*Assumptions!$B$12</f>
        <v>28.89</v>
      </c>
      <c r="C2897" s="15">
        <f>IF(A2897&lt;=Assumptions!$B$13,IF(OR(A2897=0,A2897=Assumptions!$B$13),0.5,1),0)*Assumptions!$B$12</f>
        <v>0</v>
      </c>
      <c r="D2897" s="12">
        <f>D2896*(1-Assumptions!$B$12*(Assumptions!$B$5+Assumptions!$B$6))</f>
        <v>0.42028171985434182</v>
      </c>
      <c r="E2897" s="12">
        <f>E2896+Assumptions!$B$12*(D2896*Assumptions!$B$5-E2896*Assumptions!$B$7)</f>
        <v>0.18450293018115049</v>
      </c>
      <c r="F2897" s="12">
        <f t="shared" si="135"/>
        <v>0.39521534996450769</v>
      </c>
      <c r="G2897" s="12">
        <f>EXP(-Assumptions!$B$8*B2897)</f>
        <v>0.23586397906731299</v>
      </c>
      <c r="H2897" s="12">
        <f t="shared" si="136"/>
        <v>9.9129318774098779E-2</v>
      </c>
      <c r="I2897" s="12">
        <f t="shared" si="137"/>
        <v>4.3517595262104788E-2</v>
      </c>
      <c r="J2897" s="12">
        <f>G2897*(D2897*Assumptions!$B$6+E2897*Assumptions!$B$7)</f>
        <v>3.1671729508462275E-3</v>
      </c>
    </row>
    <row r="2898" spans="1:10" x14ac:dyDescent="0.2">
      <c r="A2898" s="2">
        <v>2890</v>
      </c>
      <c r="B2898" s="14">
        <f>A2898*Assumptions!$B$12</f>
        <v>28.900000000000002</v>
      </c>
      <c r="C2898" s="15">
        <f>IF(A2898&lt;=Assumptions!$B$13,IF(OR(A2898=0,A2898=Assumptions!$B$13),0.5,1),0)*Assumptions!$B$12</f>
        <v>0</v>
      </c>
      <c r="D2898" s="12">
        <f>D2897*(1-Assumptions!$B$12*(Assumptions!$B$5+Assumptions!$B$6))</f>
        <v>0.42015563533838551</v>
      </c>
      <c r="E2898" s="12">
        <f>E2897+Assumptions!$B$12*(D2897*Assumptions!$B$5-E2897*Assumptions!$B$7)</f>
        <v>0.18449473506003078</v>
      </c>
      <c r="F2898" s="12">
        <f t="shared" si="135"/>
        <v>0.39534962960158371</v>
      </c>
      <c r="G2898" s="12">
        <f>EXP(-Assumptions!$B$8*B2898)</f>
        <v>0.23574607655586347</v>
      </c>
      <c r="H2898" s="12">
        <f t="shared" si="136"/>
        <v>9.9050042573860478E-2</v>
      </c>
      <c r="I2898" s="12">
        <f t="shared" si="137"/>
        <v>4.3493909935615763E-2</v>
      </c>
      <c r="J2898" s="12">
        <f>G2898*(D2898*Assumptions!$B$6+E2898*Assumptions!$B$7)</f>
        <v>3.1651959225193929E-3</v>
      </c>
    </row>
    <row r="2899" spans="1:10" x14ac:dyDescent="0.2">
      <c r="A2899" s="2">
        <v>2891</v>
      </c>
      <c r="B2899" s="14">
        <f>A2899*Assumptions!$B$12</f>
        <v>28.91</v>
      </c>
      <c r="C2899" s="15">
        <f>IF(A2899&lt;=Assumptions!$B$13,IF(OR(A2899=0,A2899=Assumptions!$B$13),0.5,1),0)*Assumptions!$B$12</f>
        <v>0</v>
      </c>
      <c r="D2899" s="12">
        <f>D2898*(1-Assumptions!$B$12*(Assumptions!$B$5+Assumptions!$B$6))</f>
        <v>0.420029588647784</v>
      </c>
      <c r="E2899" s="12">
        <f>E2898+Assumptions!$B$12*(D2898*Assumptions!$B$5-E2898*Assumptions!$B$7)</f>
        <v>0.18448651881956843</v>
      </c>
      <c r="F2899" s="12">
        <f t="shared" si="135"/>
        <v>0.39548389253264749</v>
      </c>
      <c r="G2899" s="12">
        <f>EXP(-Assumptions!$B$8*B2899)</f>
        <v>0.23562823298093441</v>
      </c>
      <c r="H2899" s="12">
        <f t="shared" si="136"/>
        <v>9.8970829772786095E-2</v>
      </c>
      <c r="I2899" s="12">
        <f t="shared" si="137"/>
        <v>4.3470232438258809E-2</v>
      </c>
      <c r="J2899" s="12">
        <f>G2899*(D2899*Assumptions!$B$6+E2899*Assumptions!$B$7)</f>
        <v>3.1632199196408015E-3</v>
      </c>
    </row>
    <row r="2900" spans="1:10" x14ac:dyDescent="0.2">
      <c r="A2900" s="2">
        <v>2892</v>
      </c>
      <c r="B2900" s="14">
        <f>A2900*Assumptions!$B$12</f>
        <v>28.92</v>
      </c>
      <c r="C2900" s="15">
        <f>IF(A2900&lt;=Assumptions!$B$13,IF(OR(A2900=0,A2900=Assumptions!$B$13),0.5,1),0)*Assumptions!$B$12</f>
        <v>0</v>
      </c>
      <c r="D2900" s="12">
        <f>D2899*(1-Assumptions!$B$12*(Assumptions!$B$5+Assumptions!$B$6))</f>
        <v>0.41990357977118969</v>
      </c>
      <c r="E2900" s="12">
        <f>E2899+Assumptions!$B$12*(D2899*Assumptions!$B$5-E2899*Assumptions!$B$7)</f>
        <v>0.1844782814778882</v>
      </c>
      <c r="F2900" s="12">
        <f t="shared" si="135"/>
        <v>0.39561813875092217</v>
      </c>
      <c r="G2900" s="12">
        <f>EXP(-Assumptions!$B$8*B2900)</f>
        <v>0.23551044831306472</v>
      </c>
      <c r="H2900" s="12">
        <f t="shared" si="136"/>
        <v>9.8891680320173619E-2</v>
      </c>
      <c r="I2900" s="12">
        <f t="shared" si="137"/>
        <v>4.3446562774881195E-2</v>
      </c>
      <c r="J2900" s="12">
        <f>G2900*(D2900*Assumptions!$B$6+E2900*Assumptions!$B$7)</f>
        <v>3.1612449419457958E-3</v>
      </c>
    </row>
    <row r="2901" spans="1:10" x14ac:dyDescent="0.2">
      <c r="A2901" s="2">
        <v>2893</v>
      </c>
      <c r="B2901" s="14">
        <f>A2901*Assumptions!$B$12</f>
        <v>28.93</v>
      </c>
      <c r="C2901" s="15">
        <f>IF(A2901&lt;=Assumptions!$B$13,IF(OR(A2901=0,A2901=Assumptions!$B$13),0.5,1),0)*Assumptions!$B$12</f>
        <v>0</v>
      </c>
      <c r="D2901" s="12">
        <f>D2900*(1-Assumptions!$B$12*(Assumptions!$B$5+Assumptions!$B$6))</f>
        <v>0.41977760869725833</v>
      </c>
      <c r="E2901" s="12">
        <f>E2900+Assumptions!$B$12*(D2900*Assumptions!$B$5-E2900*Assumptions!$B$7)</f>
        <v>0.18447002305310348</v>
      </c>
      <c r="F2901" s="12">
        <f t="shared" si="135"/>
        <v>0.39575236824963822</v>
      </c>
      <c r="G2901" s="12">
        <f>EXP(-Assumptions!$B$8*B2901)</f>
        <v>0.23539272252280838</v>
      </c>
      <c r="H2901" s="12">
        <f t="shared" si="136"/>
        <v>9.881259416536177E-2</v>
      </c>
      <c r="I2901" s="12">
        <f t="shared" si="137"/>
        <v>4.342290095031525E-2</v>
      </c>
      <c r="J2901" s="12">
        <f>G2901*(D2901*Assumptions!$B$6+E2901*Assumptions!$B$7)</f>
        <v>3.1592709891693801E-3</v>
      </c>
    </row>
    <row r="2902" spans="1:10" x14ac:dyDescent="0.2">
      <c r="A2902" s="2">
        <v>2894</v>
      </c>
      <c r="B2902" s="14">
        <f>A2902*Assumptions!$B$12</f>
        <v>28.94</v>
      </c>
      <c r="C2902" s="15">
        <f>IF(A2902&lt;=Assumptions!$B$13,IF(OR(A2902=0,A2902=Assumptions!$B$13),0.5,1),0)*Assumptions!$B$12</f>
        <v>0</v>
      </c>
      <c r="D2902" s="12">
        <f>D2901*(1-Assumptions!$B$12*(Assumptions!$B$5+Assumptions!$B$6))</f>
        <v>0.41965167541464915</v>
      </c>
      <c r="E2902" s="12">
        <f>E2901+Assumptions!$B$12*(D2901*Assumptions!$B$5-E2901*Assumptions!$B$7)</f>
        <v>0.18446174356331638</v>
      </c>
      <c r="F2902" s="12">
        <f t="shared" si="135"/>
        <v>0.39588658102203456</v>
      </c>
      <c r="G2902" s="12">
        <f>EXP(-Assumptions!$B$8*B2902)</f>
        <v>0.23527505558073389</v>
      </c>
      <c r="H2902" s="12">
        <f t="shared" si="136"/>
        <v>9.8733571257729677E-2</v>
      </c>
      <c r="I2902" s="12">
        <f t="shared" si="137"/>
        <v>4.3399246969378344E-2</v>
      </c>
      <c r="J2902" s="12">
        <f>G2902*(D2902*Assumptions!$B$6+E2902*Assumptions!$B$7)</f>
        <v>3.1572980610462134E-3</v>
      </c>
    </row>
    <row r="2903" spans="1:10" x14ac:dyDescent="0.2">
      <c r="A2903" s="2">
        <v>2895</v>
      </c>
      <c r="B2903" s="14">
        <f>A2903*Assumptions!$B$12</f>
        <v>28.95</v>
      </c>
      <c r="C2903" s="15">
        <f>IF(A2903&lt;=Assumptions!$B$13,IF(OR(A2903=0,A2903=Assumptions!$B$13),0.5,1),0)*Assumptions!$B$12</f>
        <v>0</v>
      </c>
      <c r="D2903" s="12">
        <f>D2902*(1-Assumptions!$B$12*(Assumptions!$B$5+Assumptions!$B$6))</f>
        <v>0.41952577991202478</v>
      </c>
      <c r="E2903" s="12">
        <f>E2902+Assumptions!$B$12*(D2902*Assumptions!$B$5-E2902*Assumptions!$B$7)</f>
        <v>0.18445344302661765</v>
      </c>
      <c r="F2903" s="12">
        <f t="shared" si="135"/>
        <v>0.39602077706135758</v>
      </c>
      <c r="G2903" s="12">
        <f>EXP(-Assumptions!$B$8*B2903)</f>
        <v>0.23515744745742453</v>
      </c>
      <c r="H2903" s="12">
        <f t="shared" si="136"/>
        <v>9.865461154669701E-2</v>
      </c>
      <c r="I2903" s="12">
        <f t="shared" si="137"/>
        <v>4.3375600836872891E-2</v>
      </c>
      <c r="J2903" s="12">
        <f>G2903*(D2903*Assumptions!$B$6+E2903*Assumptions!$B$7)</f>
        <v>3.155326157310615E-3</v>
      </c>
    </row>
    <row r="2904" spans="1:10" x14ac:dyDescent="0.2">
      <c r="A2904" s="2">
        <v>2896</v>
      </c>
      <c r="B2904" s="14">
        <f>A2904*Assumptions!$B$12</f>
        <v>28.96</v>
      </c>
      <c r="C2904" s="15">
        <f>IF(A2904&lt;=Assumptions!$B$13,IF(OR(A2904=0,A2904=Assumptions!$B$13),0.5,1),0)*Assumptions!$B$12</f>
        <v>0</v>
      </c>
      <c r="D2904" s="12">
        <f>D2903*(1-Assumptions!$B$12*(Assumptions!$B$5+Assumptions!$B$6))</f>
        <v>0.41939992217805117</v>
      </c>
      <c r="E2904" s="12">
        <f>E2903+Assumptions!$B$12*(D2903*Assumptions!$B$5-E2903*Assumptions!$B$7)</f>
        <v>0.18444512146108674</v>
      </c>
      <c r="F2904" s="12">
        <f t="shared" si="135"/>
        <v>0.39615495636086218</v>
      </c>
      <c r="G2904" s="12">
        <f>EXP(-Assumptions!$B$8*B2904)</f>
        <v>0.23503989812347822</v>
      </c>
      <c r="H2904" s="12">
        <f t="shared" si="136"/>
        <v>9.8575714981723836E-2</v>
      </c>
      <c r="I2904" s="12">
        <f t="shared" si="137"/>
        <v>4.3351962557586395E-2</v>
      </c>
      <c r="J2904" s="12">
        <f>G2904*(D2904*Assumptions!$B$6+E2904*Assumptions!$B$7)</f>
        <v>3.1533552776965585E-3</v>
      </c>
    </row>
    <row r="2905" spans="1:10" x14ac:dyDescent="0.2">
      <c r="A2905" s="2">
        <v>2897</v>
      </c>
      <c r="B2905" s="14">
        <f>A2905*Assumptions!$B$12</f>
        <v>28.97</v>
      </c>
      <c r="C2905" s="15">
        <f>IF(A2905&lt;=Assumptions!$B$13,IF(OR(A2905=0,A2905=Assumptions!$B$13),0.5,1),0)*Assumptions!$B$12</f>
        <v>0</v>
      </c>
      <c r="D2905" s="12">
        <f>D2904*(1-Assumptions!$B$12*(Assumptions!$B$5+Assumptions!$B$6))</f>
        <v>0.41927410220139777</v>
      </c>
      <c r="E2905" s="12">
        <f>E2904+Assumptions!$B$12*(D2904*Assumptions!$B$5-E2904*Assumptions!$B$7)</f>
        <v>0.18443677888479182</v>
      </c>
      <c r="F2905" s="12">
        <f t="shared" si="135"/>
        <v>0.39628911891381047</v>
      </c>
      <c r="G2905" s="12">
        <f>EXP(-Assumptions!$B$8*B2905)</f>
        <v>0.23492240754950772</v>
      </c>
      <c r="H2905" s="12">
        <f t="shared" si="136"/>
        <v>9.8496881512310716E-2</v>
      </c>
      <c r="I2905" s="12">
        <f t="shared" si="137"/>
        <v>4.3328332136291503E-2</v>
      </c>
      <c r="J2905" s="12">
        <f>G2905*(D2905*Assumptions!$B$6+E2905*Assumptions!$B$7)</f>
        <v>3.1513854219376827E-3</v>
      </c>
    </row>
    <row r="2906" spans="1:10" x14ac:dyDescent="0.2">
      <c r="A2906" s="2">
        <v>2898</v>
      </c>
      <c r="B2906" s="14">
        <f>A2906*Assumptions!$B$12</f>
        <v>28.98</v>
      </c>
      <c r="C2906" s="15">
        <f>IF(A2906&lt;=Assumptions!$B$13,IF(OR(A2906=0,A2906=Assumptions!$B$13),0.5,1),0)*Assumptions!$B$12</f>
        <v>0</v>
      </c>
      <c r="D2906" s="12">
        <f>D2905*(1-Assumptions!$B$12*(Assumptions!$B$5+Assumptions!$B$6))</f>
        <v>0.41914831997073737</v>
      </c>
      <c r="E2906" s="12">
        <f>E2905+Assumptions!$B$12*(D2905*Assumptions!$B$5-E2905*Assumptions!$B$7)</f>
        <v>0.18442841531578971</v>
      </c>
      <c r="F2906" s="12">
        <f t="shared" si="135"/>
        <v>0.396423264713473</v>
      </c>
      <c r="G2906" s="12">
        <f>EXP(-Assumptions!$B$8*B2906)</f>
        <v>0.23480497570614031</v>
      </c>
      <c r="H2906" s="12">
        <f t="shared" si="136"/>
        <v>9.8418111087998514E-2</v>
      </c>
      <c r="I2906" s="12">
        <f t="shared" si="137"/>
        <v>4.3304709577745959E-2</v>
      </c>
      <c r="J2906" s="12">
        <f>G2906*(D2906*Assumptions!$B$6+E2906*Assumptions!$B$7)</f>
        <v>3.1494165897672831E-3</v>
      </c>
    </row>
    <row r="2907" spans="1:10" x14ac:dyDescent="0.2">
      <c r="A2907" s="2">
        <v>2899</v>
      </c>
      <c r="B2907" s="14">
        <f>A2907*Assumptions!$B$12</f>
        <v>28.990000000000002</v>
      </c>
      <c r="C2907" s="15">
        <f>IF(A2907&lt;=Assumptions!$B$13,IF(OR(A2907=0,A2907=Assumptions!$B$13),0.5,1),0)*Assumptions!$B$12</f>
        <v>0</v>
      </c>
      <c r="D2907" s="12">
        <f>D2906*(1-Assumptions!$B$12*(Assumptions!$B$5+Assumptions!$B$6))</f>
        <v>0.41902257547474614</v>
      </c>
      <c r="E2907" s="12">
        <f>E2906+Assumptions!$B$12*(D2906*Assumptions!$B$5-E2906*Assumptions!$B$7)</f>
        <v>0.18442003077212596</v>
      </c>
      <c r="F2907" s="12">
        <f t="shared" si="135"/>
        <v>0.39655739375312793</v>
      </c>
      <c r="G2907" s="12">
        <f>EXP(-Assumptions!$B$8*B2907)</f>
        <v>0.23468760256401799</v>
      </c>
      <c r="H2907" s="12">
        <f t="shared" si="136"/>
        <v>9.8339403658368449E-2</v>
      </c>
      <c r="I2907" s="12">
        <f t="shared" si="137"/>
        <v>4.3281094886692663E-2</v>
      </c>
      <c r="J2907" s="12">
        <f>G2907*(D2907*Assumptions!$B$6+E2907*Assumptions!$B$7)</f>
        <v>3.1474487809183176E-3</v>
      </c>
    </row>
    <row r="2908" spans="1:10" x14ac:dyDescent="0.2">
      <c r="A2908" s="2">
        <v>2900</v>
      </c>
      <c r="B2908" s="14">
        <f>A2908*Assumptions!$B$12</f>
        <v>29</v>
      </c>
      <c r="C2908" s="15">
        <f>IF(A2908&lt;=Assumptions!$B$13,IF(OR(A2908=0,A2908=Assumptions!$B$13),0.5,1),0)*Assumptions!$B$12</f>
        <v>0</v>
      </c>
      <c r="D2908" s="12">
        <f>D2907*(1-Assumptions!$B$12*(Assumptions!$B$5+Assumptions!$B$6))</f>
        <v>0.41889686870210374</v>
      </c>
      <c r="E2908" s="12">
        <f>E2907+Assumptions!$B$12*(D2907*Assumptions!$B$5-E2907*Assumptions!$B$7)</f>
        <v>0.18441162527183486</v>
      </c>
      <c r="F2908" s="12">
        <f t="shared" si="135"/>
        <v>0.3966915060260614</v>
      </c>
      <c r="G2908" s="12">
        <f>EXP(-Assumptions!$B$8*B2908)</f>
        <v>0.23457028809379762</v>
      </c>
      <c r="H2908" s="12">
        <f t="shared" si="136"/>
        <v>9.8260759173042195E-2</v>
      </c>
      <c r="I2908" s="12">
        <f t="shared" si="137"/>
        <v>4.3257488067859756E-2</v>
      </c>
      <c r="J2908" s="12">
        <f>G2908*(D2908*Assumptions!$B$6+E2908*Assumptions!$B$7)</f>
        <v>3.1454819951234093E-3</v>
      </c>
    </row>
    <row r="2909" spans="1:10" x14ac:dyDescent="0.2">
      <c r="A2909" s="2">
        <v>2901</v>
      </c>
      <c r="B2909" s="14">
        <f>A2909*Assumptions!$B$12</f>
        <v>29.01</v>
      </c>
      <c r="C2909" s="15">
        <f>IF(A2909&lt;=Assumptions!$B$13,IF(OR(A2909=0,A2909=Assumptions!$B$13),0.5,1),0)*Assumptions!$B$12</f>
        <v>0</v>
      </c>
      <c r="D2909" s="12">
        <f>D2908*(1-Assumptions!$B$12*(Assumptions!$B$5+Assumptions!$B$6))</f>
        <v>0.41877119964149312</v>
      </c>
      <c r="E2909" s="12">
        <f>E2908+Assumptions!$B$12*(D2908*Assumptions!$B$5-E2908*Assumptions!$B$7)</f>
        <v>0.18440319883293935</v>
      </c>
      <c r="F2909" s="12">
        <f t="shared" si="135"/>
        <v>0.39682560152556756</v>
      </c>
      <c r="G2909" s="12">
        <f>EXP(-Assumptions!$B$8*B2909)</f>
        <v>0.23445303226615047</v>
      </c>
      <c r="H2909" s="12">
        <f t="shared" si="136"/>
        <v>9.8182177581681532E-2</v>
      </c>
      <c r="I2909" s="12">
        <f t="shared" si="137"/>
        <v>4.323388912596049E-2</v>
      </c>
      <c r="J2909" s="12">
        <f>G2909*(D2909*Assumptions!$B$6+E2909*Assumptions!$B$7)</f>
        <v>3.1435162321148398E-3</v>
      </c>
    </row>
    <row r="2910" spans="1:10" x14ac:dyDescent="0.2">
      <c r="A2910" s="2">
        <v>2902</v>
      </c>
      <c r="B2910" s="14">
        <f>A2910*Assumptions!$B$12</f>
        <v>29.02</v>
      </c>
      <c r="C2910" s="15">
        <f>IF(A2910&lt;=Assumptions!$B$13,IF(OR(A2910=0,A2910=Assumptions!$B$13),0.5,1),0)*Assumptions!$B$12</f>
        <v>0</v>
      </c>
      <c r="D2910" s="12">
        <f>D2909*(1-Assumptions!$B$12*(Assumptions!$B$5+Assumptions!$B$6))</f>
        <v>0.41864556828160071</v>
      </c>
      <c r="E2910" s="12">
        <f>E2909+Assumptions!$B$12*(D2909*Assumptions!$B$5-E2909*Assumptions!$B$7)</f>
        <v>0.18439475147345116</v>
      </c>
      <c r="F2910" s="12">
        <f t="shared" si="135"/>
        <v>0.3969596802449481</v>
      </c>
      <c r="G2910" s="12">
        <f>EXP(-Assumptions!$B$8*B2910)</f>
        <v>0.23433583505176261</v>
      </c>
      <c r="H2910" s="12">
        <f t="shared" si="136"/>
        <v>9.8103658833988611E-2</v>
      </c>
      <c r="I2910" s="12">
        <f t="shared" si="137"/>
        <v>4.321029806569341E-2</v>
      </c>
      <c r="J2910" s="12">
        <f>G2910*(D2910*Assumptions!$B$6+E2910*Assumptions!$B$7)</f>
        <v>3.1415514916245568E-3</v>
      </c>
    </row>
    <row r="2911" spans="1:10" x14ac:dyDescent="0.2">
      <c r="A2911" s="2">
        <v>2903</v>
      </c>
      <c r="B2911" s="14">
        <f>A2911*Assumptions!$B$12</f>
        <v>29.03</v>
      </c>
      <c r="C2911" s="15">
        <f>IF(A2911&lt;=Assumptions!$B$13,IF(OR(A2911=0,A2911=Assumptions!$B$13),0.5,1),0)*Assumptions!$B$12</f>
        <v>0</v>
      </c>
      <c r="D2911" s="12">
        <f>D2910*(1-Assumptions!$B$12*(Assumptions!$B$5+Assumptions!$B$6))</f>
        <v>0.41851997461111623</v>
      </c>
      <c r="E2911" s="12">
        <f>E2910+Assumptions!$B$12*(D2910*Assumptions!$B$5-E2910*Assumptions!$B$7)</f>
        <v>0.18438628321137077</v>
      </c>
      <c r="F2911" s="12">
        <f t="shared" si="135"/>
        <v>0.39709374217751303</v>
      </c>
      <c r="G2911" s="12">
        <f>EXP(-Assumptions!$B$8*B2911)</f>
        <v>0.23421869642133469</v>
      </c>
      <c r="H2911" s="12">
        <f t="shared" si="136"/>
        <v>9.8025202879705731E-2</v>
      </c>
      <c r="I2911" s="12">
        <f t="shared" si="137"/>
        <v>4.3186714891742292E-2</v>
      </c>
      <c r="J2911" s="12">
        <f>G2911*(D2911*Assumptions!$B$6+E2911*Assumptions!$B$7)</f>
        <v>3.1395877733841719E-3</v>
      </c>
    </row>
    <row r="2912" spans="1:10" x14ac:dyDescent="0.2">
      <c r="A2912" s="2">
        <v>2904</v>
      </c>
      <c r="B2912" s="14">
        <f>A2912*Assumptions!$B$12</f>
        <v>29.04</v>
      </c>
      <c r="C2912" s="15">
        <f>IF(A2912&lt;=Assumptions!$B$13,IF(OR(A2912=0,A2912=Assumptions!$B$13),0.5,1),0)*Assumptions!$B$12</f>
        <v>0</v>
      </c>
      <c r="D2912" s="12">
        <f>D2911*(1-Assumptions!$B$12*(Assumptions!$B$5+Assumptions!$B$6))</f>
        <v>0.41839441861873289</v>
      </c>
      <c r="E2912" s="12">
        <f>E2911+Assumptions!$B$12*(D2911*Assumptions!$B$5-E2911*Assumptions!$B$7)</f>
        <v>0.18437779406468729</v>
      </c>
      <c r="F2912" s="12">
        <f t="shared" si="135"/>
        <v>0.39722778731657976</v>
      </c>
      <c r="G2912" s="12">
        <f>EXP(-Assumptions!$B$8*B2912)</f>
        <v>0.23410161634558219</v>
      </c>
      <c r="H2912" s="12">
        <f t="shared" si="136"/>
        <v>9.794680966861552E-2</v>
      </c>
      <c r="I2912" s="12">
        <f t="shared" si="137"/>
        <v>4.3163139608776185E-2</v>
      </c>
      <c r="J2912" s="12">
        <f>G2912*(D2912*Assumptions!$B$6+E2912*Assumptions!$B$7)</f>
        <v>3.1376250771249651E-3</v>
      </c>
    </row>
    <row r="2913" spans="1:10" x14ac:dyDescent="0.2">
      <c r="A2913" s="2">
        <v>2905</v>
      </c>
      <c r="B2913" s="14">
        <f>A2913*Assumptions!$B$12</f>
        <v>29.05</v>
      </c>
      <c r="C2913" s="15">
        <f>IF(A2913&lt;=Assumptions!$B$13,IF(OR(A2913=0,A2913=Assumptions!$B$13),0.5,1),0)*Assumptions!$B$12</f>
        <v>0</v>
      </c>
      <c r="D2913" s="12">
        <f>D2912*(1-Assumptions!$B$12*(Assumptions!$B$5+Assumptions!$B$6))</f>
        <v>0.41826890029314728</v>
      </c>
      <c r="E2913" s="12">
        <f>E2912+Assumptions!$B$12*(D2912*Assumptions!$B$5-E2912*Assumptions!$B$7)</f>
        <v>0.1843692840513787</v>
      </c>
      <c r="F2913" s="12">
        <f t="shared" si="135"/>
        <v>0.39736181565547407</v>
      </c>
      <c r="G2913" s="12">
        <f>EXP(-Assumptions!$B$8*B2913)</f>
        <v>0.2339845947952349</v>
      </c>
      <c r="H2913" s="12">
        <f t="shared" si="136"/>
        <v>9.7868479150540574E-2</v>
      </c>
      <c r="I2913" s="12">
        <f t="shared" si="137"/>
        <v>4.3139572221449408E-2</v>
      </c>
      <c r="J2913" s="12">
        <f>G2913*(D2913*Assumptions!$B$6+E2913*Assumptions!$B$7)</f>
        <v>3.1356634025778759E-3</v>
      </c>
    </row>
    <row r="2914" spans="1:10" x14ac:dyDescent="0.2">
      <c r="A2914" s="2">
        <v>2906</v>
      </c>
      <c r="B2914" s="14">
        <f>A2914*Assumptions!$B$12</f>
        <v>29.060000000000002</v>
      </c>
      <c r="C2914" s="15">
        <f>IF(A2914&lt;=Assumptions!$B$13,IF(OR(A2914=0,A2914=Assumptions!$B$13),0.5,1),0)*Assumptions!$B$12</f>
        <v>0</v>
      </c>
      <c r="D2914" s="12">
        <f>D2913*(1-Assumptions!$B$12*(Assumptions!$B$5+Assumptions!$B$6))</f>
        <v>0.41814341962305934</v>
      </c>
      <c r="E2914" s="12">
        <f>E2913+Assumptions!$B$12*(D2913*Assumptions!$B$5-E2913*Assumptions!$B$7)</f>
        <v>0.18436075318941164</v>
      </c>
      <c r="F2914" s="12">
        <f t="shared" si="135"/>
        <v>0.39749582718752902</v>
      </c>
      <c r="G2914" s="12">
        <f>EXP(-Assumptions!$B$8*B2914)</f>
        <v>0.23386763174103753</v>
      </c>
      <c r="H2914" s="12">
        <f t="shared" si="136"/>
        <v>9.7790211275343764E-2</v>
      </c>
      <c r="I2914" s="12">
        <f t="shared" si="137"/>
        <v>4.3116012734401632E-2</v>
      </c>
      <c r="J2914" s="12">
        <f>G2914*(D2914*Assumptions!$B$6+E2914*Assumptions!$B$7)</f>
        <v>3.1337027494735196E-3</v>
      </c>
    </row>
    <row r="2915" spans="1:10" x14ac:dyDescent="0.2">
      <c r="A2915" s="2">
        <v>2907</v>
      </c>
      <c r="B2915" s="14">
        <f>A2915*Assumptions!$B$12</f>
        <v>29.07</v>
      </c>
      <c r="C2915" s="15">
        <f>IF(A2915&lt;=Assumptions!$B$13,IF(OR(A2915=0,A2915=Assumptions!$B$13),0.5,1),0)*Assumptions!$B$12</f>
        <v>0</v>
      </c>
      <c r="D2915" s="12">
        <f>D2914*(1-Assumptions!$B$12*(Assumptions!$B$5+Assumptions!$B$6))</f>
        <v>0.41801797659717244</v>
      </c>
      <c r="E2915" s="12">
        <f>E2914+Assumptions!$B$12*(D2914*Assumptions!$B$5-E2914*Assumptions!$B$7)</f>
        <v>0.18435220149674156</v>
      </c>
      <c r="F2915" s="12">
        <f t="shared" si="135"/>
        <v>0.39762982190608598</v>
      </c>
      <c r="G2915" s="12">
        <f>EXP(-Assumptions!$B$8*B2915)</f>
        <v>0.23375072715374939</v>
      </c>
      <c r="H2915" s="12">
        <f t="shared" si="136"/>
        <v>9.771200599292805E-2</v>
      </c>
      <c r="I2915" s="12">
        <f t="shared" si="137"/>
        <v>4.3092461152257865E-2</v>
      </c>
      <c r="J2915" s="12">
        <f>G2915*(D2915*Assumptions!$B$6+E2915*Assumptions!$B$7)</f>
        <v>3.1317431175421741E-3</v>
      </c>
    </row>
    <row r="2916" spans="1:10" x14ac:dyDescent="0.2">
      <c r="A2916" s="2">
        <v>2908</v>
      </c>
      <c r="B2916" s="14">
        <f>A2916*Assumptions!$B$12</f>
        <v>29.080000000000002</v>
      </c>
      <c r="C2916" s="15">
        <f>IF(A2916&lt;=Assumptions!$B$13,IF(OR(A2916=0,A2916=Assumptions!$B$13),0.5,1),0)*Assumptions!$B$12</f>
        <v>0</v>
      </c>
      <c r="D2916" s="12">
        <f>D2915*(1-Assumptions!$B$12*(Assumptions!$B$5+Assumptions!$B$6))</f>
        <v>0.41789257120419332</v>
      </c>
      <c r="E2916" s="12">
        <f>E2915+Assumptions!$B$12*(D2915*Assumptions!$B$5-E2915*Assumptions!$B$7)</f>
        <v>0.18434362899131262</v>
      </c>
      <c r="F2916" s="12">
        <f t="shared" si="135"/>
        <v>0.39776379980449406</v>
      </c>
      <c r="G2916" s="12">
        <f>EXP(-Assumptions!$B$8*B2916)</f>
        <v>0.23363388100414417</v>
      </c>
      <c r="H2916" s="12">
        <f t="shared" si="136"/>
        <v>9.763386325323635E-2</v>
      </c>
      <c r="I2916" s="12">
        <f t="shared" si="137"/>
        <v>4.3068917479628432E-2</v>
      </c>
      <c r="J2916" s="12">
        <f>G2916*(D2916*Assumptions!$B$6+E2916*Assumptions!$B$7)</f>
        <v>3.1297845065137854E-3</v>
      </c>
    </row>
    <row r="2917" spans="1:10" x14ac:dyDescent="0.2">
      <c r="A2917" s="2">
        <v>2909</v>
      </c>
      <c r="B2917" s="14">
        <f>A2917*Assumptions!$B$12</f>
        <v>29.09</v>
      </c>
      <c r="C2917" s="15">
        <f>IF(A2917&lt;=Assumptions!$B$13,IF(OR(A2917=0,A2917=Assumptions!$B$13),0.5,1),0)*Assumptions!$B$12</f>
        <v>0</v>
      </c>
      <c r="D2917" s="12">
        <f>D2916*(1-Assumptions!$B$12*(Assumptions!$B$5+Assumptions!$B$6))</f>
        <v>0.41776720343283208</v>
      </c>
      <c r="E2917" s="12">
        <f>E2916+Assumptions!$B$12*(D2916*Assumptions!$B$5-E2916*Assumptions!$B$7)</f>
        <v>0.1843350356910578</v>
      </c>
      <c r="F2917" s="12">
        <f t="shared" si="135"/>
        <v>0.39789776087611006</v>
      </c>
      <c r="G2917" s="12">
        <f>EXP(-Assumptions!$B$8*B2917)</f>
        <v>0.23351709326301048</v>
      </c>
      <c r="H2917" s="12">
        <f t="shared" si="136"/>
        <v>9.7555783006251728E-2</v>
      </c>
      <c r="I2917" s="12">
        <f t="shared" si="137"/>
        <v>4.3045381721109111E-2</v>
      </c>
      <c r="J2917" s="12">
        <f>G2917*(D2917*Assumptions!$B$6+E2917*Assumptions!$B$7)</f>
        <v>3.1278269161179729E-3</v>
      </c>
    </row>
    <row r="2918" spans="1:10" x14ac:dyDescent="0.2">
      <c r="A2918" s="2">
        <v>2910</v>
      </c>
      <c r="B2918" s="14">
        <f>A2918*Assumptions!$B$12</f>
        <v>29.1</v>
      </c>
      <c r="C2918" s="15">
        <f>IF(A2918&lt;=Assumptions!$B$13,IF(OR(A2918=0,A2918=Assumptions!$B$13),0.5,1),0)*Assumptions!$B$12</f>
        <v>0</v>
      </c>
      <c r="D2918" s="12">
        <f>D2917*(1-Assumptions!$B$12*(Assumptions!$B$5+Assumptions!$B$6))</f>
        <v>0.41764187327180224</v>
      </c>
      <c r="E2918" s="12">
        <f>E2917+Assumptions!$B$12*(D2917*Assumptions!$B$5-E2917*Assumptions!$B$7)</f>
        <v>0.18432642161389884</v>
      </c>
      <c r="F2918" s="12">
        <f t="shared" si="135"/>
        <v>0.39803170511429892</v>
      </c>
      <c r="G2918" s="12">
        <f>EXP(-Assumptions!$B$8*B2918)</f>
        <v>0.23340036390115132</v>
      </c>
      <c r="H2918" s="12">
        <f t="shared" si="136"/>
        <v>9.7477765201997163E-2</v>
      </c>
      <c r="I2918" s="12">
        <f t="shared" si="137"/>
        <v>4.3021853881281033E-2</v>
      </c>
      <c r="J2918" s="12">
        <f>G2918*(D2918*Assumptions!$B$6+E2918*Assumptions!$B$7)</f>
        <v>3.1258703460840232E-3</v>
      </c>
    </row>
    <row r="2919" spans="1:10" x14ac:dyDescent="0.2">
      <c r="A2919" s="2">
        <v>2911</v>
      </c>
      <c r="B2919" s="14">
        <f>A2919*Assumptions!$B$12</f>
        <v>29.11</v>
      </c>
      <c r="C2919" s="15">
        <f>IF(A2919&lt;=Assumptions!$B$13,IF(OR(A2919=0,A2919=Assumptions!$B$13),0.5,1),0)*Assumptions!$B$12</f>
        <v>0</v>
      </c>
      <c r="D2919" s="12">
        <f>D2918*(1-Assumptions!$B$12*(Assumptions!$B$5+Assumptions!$B$6))</f>
        <v>0.41751658070982073</v>
      </c>
      <c r="E2919" s="12">
        <f>E2918+Assumptions!$B$12*(D2918*Assumptions!$B$5-E2918*Assumptions!$B$7)</f>
        <v>0.18431778677774624</v>
      </c>
      <c r="F2919" s="12">
        <f t="shared" si="135"/>
        <v>0.39816563251243309</v>
      </c>
      <c r="G2919" s="12">
        <f>EXP(-Assumptions!$B$8*B2919)</f>
        <v>0.23328369288938433</v>
      </c>
      <c r="H2919" s="12">
        <f t="shared" si="136"/>
        <v>9.7399809790535669E-2</v>
      </c>
      <c r="I2919" s="12">
        <f t="shared" si="137"/>
        <v>4.2998333964710776E-2</v>
      </c>
      <c r="J2919" s="12">
        <f>G2919*(D2919*Assumptions!$B$6+E2919*Assumptions!$B$7)</f>
        <v>3.1239147961408956E-3</v>
      </c>
    </row>
    <row r="2920" spans="1:10" x14ac:dyDescent="0.2">
      <c r="A2920" s="2">
        <v>2912</v>
      </c>
      <c r="B2920" s="14">
        <f>A2920*Assumptions!$B$12</f>
        <v>29.12</v>
      </c>
      <c r="C2920" s="15">
        <f>IF(A2920&lt;=Assumptions!$B$13,IF(OR(A2920=0,A2920=Assumptions!$B$13),0.5,1),0)*Assumptions!$B$12</f>
        <v>0</v>
      </c>
      <c r="D2920" s="12">
        <f>D2919*(1-Assumptions!$B$12*(Assumptions!$B$5+Assumptions!$B$6))</f>
        <v>0.41739132573560778</v>
      </c>
      <c r="E2920" s="12">
        <f>E2919+Assumptions!$B$12*(D2919*Assumptions!$B$5-E2919*Assumptions!$B$7)</f>
        <v>0.18430913120049933</v>
      </c>
      <c r="F2920" s="12">
        <f t="shared" si="135"/>
        <v>0.39829954306389292</v>
      </c>
      <c r="G2920" s="12">
        <f>EXP(-Assumptions!$B$8*B2920)</f>
        <v>0.23316708019854177</v>
      </c>
      <c r="H2920" s="12">
        <f t="shared" si="136"/>
        <v>9.7321916721970131E-2</v>
      </c>
      <c r="I2920" s="12">
        <f t="shared" si="137"/>
        <v>4.2974821975950379E-2</v>
      </c>
      <c r="J2920" s="12">
        <f>G2920*(D2920*Assumptions!$B$6+E2920*Assumptions!$B$7)</f>
        <v>3.12196026601722E-3</v>
      </c>
    </row>
    <row r="2921" spans="1:10" x14ac:dyDescent="0.2">
      <c r="A2921" s="2">
        <v>2913</v>
      </c>
      <c r="B2921" s="14">
        <f>A2921*Assumptions!$B$12</f>
        <v>29.13</v>
      </c>
      <c r="C2921" s="15">
        <f>IF(A2921&lt;=Assumptions!$B$13,IF(OR(A2921=0,A2921=Assumptions!$B$13),0.5,1),0)*Assumptions!$B$12</f>
        <v>0</v>
      </c>
      <c r="D2921" s="12">
        <f>D2920*(1-Assumptions!$B$12*(Assumptions!$B$5+Assumptions!$B$6))</f>
        <v>0.41726610833788713</v>
      </c>
      <c r="E2921" s="12">
        <f>E2920+Assumptions!$B$12*(D2920*Assumptions!$B$5-E2920*Assumptions!$B$7)</f>
        <v>0.18430045490004621</v>
      </c>
      <c r="F2921" s="12">
        <f t="shared" si="135"/>
        <v>0.39843343676206666</v>
      </c>
      <c r="G2921" s="12">
        <f>EXP(-Assumptions!$B$8*B2921)</f>
        <v>0.23305052579947047</v>
      </c>
      <c r="H2921" s="12">
        <f t="shared" si="136"/>
        <v>9.7244085946443404E-2</v>
      </c>
      <c r="I2921" s="12">
        <f t="shared" si="137"/>
        <v>4.2951317919537366E-2</v>
      </c>
      <c r="J2921" s="12">
        <f>G2921*(D2921*Assumptions!$B$6+E2921*Assumptions!$B$7)</f>
        <v>3.1200067554413027E-3</v>
      </c>
    </row>
    <row r="2922" spans="1:10" x14ac:dyDescent="0.2">
      <c r="A2922" s="2">
        <v>2914</v>
      </c>
      <c r="B2922" s="14">
        <f>A2922*Assumptions!$B$12</f>
        <v>29.14</v>
      </c>
      <c r="C2922" s="15">
        <f>IF(A2922&lt;=Assumptions!$B$13,IF(OR(A2922=0,A2922=Assumptions!$B$13),0.5,1),0)*Assumptions!$B$12</f>
        <v>0</v>
      </c>
      <c r="D2922" s="12">
        <f>D2921*(1-Assumptions!$B$12*(Assumptions!$B$5+Assumptions!$B$6))</f>
        <v>0.41714092850538576</v>
      </c>
      <c r="E2922" s="12">
        <f>E2921+Assumptions!$B$12*(D2921*Assumptions!$B$5-E2921*Assumptions!$B$7)</f>
        <v>0.18429175789426377</v>
      </c>
      <c r="F2922" s="12">
        <f t="shared" si="135"/>
        <v>0.39856731360035047</v>
      </c>
      <c r="G2922" s="12">
        <f>EXP(-Assumptions!$B$8*B2922)</f>
        <v>0.23293402966303187</v>
      </c>
      <c r="H2922" s="12">
        <f t="shared" si="136"/>
        <v>9.7166317414138184E-2</v>
      </c>
      <c r="I2922" s="12">
        <f t="shared" si="137"/>
        <v>4.2927821799994728E-2</v>
      </c>
      <c r="J2922" s="12">
        <f>G2922*(D2922*Assumptions!$B$6+E2922*Assumptions!$B$7)</f>
        <v>3.1180542641411177E-3</v>
      </c>
    </row>
    <row r="2923" spans="1:10" x14ac:dyDescent="0.2">
      <c r="A2923" s="2">
        <v>2915</v>
      </c>
      <c r="B2923" s="14">
        <f>A2923*Assumptions!$B$12</f>
        <v>29.150000000000002</v>
      </c>
      <c r="C2923" s="15">
        <f>IF(A2923&lt;=Assumptions!$B$13,IF(OR(A2923=0,A2923=Assumptions!$B$13),0.5,1),0)*Assumptions!$B$12</f>
        <v>0</v>
      </c>
      <c r="D2923" s="12">
        <f>D2922*(1-Assumptions!$B$12*(Assumptions!$B$5+Assumptions!$B$6))</f>
        <v>0.41701578622683416</v>
      </c>
      <c r="E2923" s="12">
        <f>E2922+Assumptions!$B$12*(D2922*Assumptions!$B$5-E2922*Assumptions!$B$7)</f>
        <v>0.18428304020101771</v>
      </c>
      <c r="F2923" s="12">
        <f t="shared" si="135"/>
        <v>0.39870117357214807</v>
      </c>
      <c r="G2923" s="12">
        <f>EXP(-Assumptions!$B$8*B2923)</f>
        <v>0.23281759176010183</v>
      </c>
      <c r="H2923" s="12">
        <f t="shared" si="136"/>
        <v>9.708861107527697E-2</v>
      </c>
      <c r="I2923" s="12">
        <f t="shared" si="137"/>
        <v>4.2904333621830978E-2</v>
      </c>
      <c r="J2923" s="12">
        <f>G2923*(D2923*Assumptions!$B$6+E2923*Assumptions!$B$7)</f>
        <v>3.1161027918443188E-3</v>
      </c>
    </row>
    <row r="2924" spans="1:10" x14ac:dyDescent="0.2">
      <c r="A2924" s="2">
        <v>2916</v>
      </c>
      <c r="B2924" s="14">
        <f>A2924*Assumptions!$B$12</f>
        <v>29.16</v>
      </c>
      <c r="C2924" s="15">
        <f>IF(A2924&lt;=Assumptions!$B$13,IF(OR(A2924=0,A2924=Assumptions!$B$13),0.5,1),0)*Assumptions!$B$12</f>
        <v>0</v>
      </c>
      <c r="D2924" s="12">
        <f>D2923*(1-Assumptions!$B$12*(Assumptions!$B$5+Assumptions!$B$6))</f>
        <v>0.41689068149096614</v>
      </c>
      <c r="E2924" s="12">
        <f>E2923+Assumptions!$B$12*(D2923*Assumptions!$B$5-E2923*Assumptions!$B$7)</f>
        <v>0.18427430183816257</v>
      </c>
      <c r="F2924" s="12">
        <f t="shared" si="135"/>
        <v>0.39883501667087135</v>
      </c>
      <c r="G2924" s="12">
        <f>EXP(-Assumptions!$B$8*B2924)</f>
        <v>0.23270121206157102</v>
      </c>
      <c r="H2924" s="12">
        <f t="shared" si="136"/>
        <v>9.7010966880122174E-2</v>
      </c>
      <c r="I2924" s="12">
        <f t="shared" si="137"/>
        <v>4.2880853389540216E-2</v>
      </c>
      <c r="J2924" s="12">
        <f>G2924*(D2924*Assumptions!$B$6+E2924*Assumptions!$B$7)</f>
        <v>3.1141523382782329E-3</v>
      </c>
    </row>
    <row r="2925" spans="1:10" x14ac:dyDescent="0.2">
      <c r="A2925" s="2">
        <v>2917</v>
      </c>
      <c r="B2925" s="14">
        <f>A2925*Assumptions!$B$12</f>
        <v>29.17</v>
      </c>
      <c r="C2925" s="15">
        <f>IF(A2925&lt;=Assumptions!$B$13,IF(OR(A2925=0,A2925=Assumptions!$B$13),0.5,1),0)*Assumptions!$B$12</f>
        <v>0</v>
      </c>
      <c r="D2925" s="12">
        <f>D2924*(1-Assumptions!$B$12*(Assumptions!$B$5+Assumptions!$B$6))</f>
        <v>0.41676561428651887</v>
      </c>
      <c r="E2925" s="12">
        <f>E2924+Assumptions!$B$12*(D2924*Assumptions!$B$5-E2924*Assumptions!$B$7)</f>
        <v>0.18426554282354168</v>
      </c>
      <c r="F2925" s="12">
        <f t="shared" si="135"/>
        <v>0.3989688428899395</v>
      </c>
      <c r="G2925" s="12">
        <f>EXP(-Assumptions!$B$8*B2925)</f>
        <v>0.23258489053834441</v>
      </c>
      <c r="H2925" s="12">
        <f t="shared" si="136"/>
        <v>9.6933384778975853E-2</v>
      </c>
      <c r="I2925" s="12">
        <f t="shared" si="137"/>
        <v>4.2857381107602059E-2</v>
      </c>
      <c r="J2925" s="12">
        <f>G2925*(D2925*Assumptions!$B$6+E2925*Assumptions!$B$7)</f>
        <v>3.1122029031698615E-3</v>
      </c>
    </row>
    <row r="2926" spans="1:10" x14ac:dyDescent="0.2">
      <c r="A2926" s="2">
        <v>2918</v>
      </c>
      <c r="B2926" s="14">
        <f>A2926*Assumptions!$B$12</f>
        <v>29.18</v>
      </c>
      <c r="C2926" s="15">
        <f>IF(A2926&lt;=Assumptions!$B$13,IF(OR(A2926=0,A2926=Assumptions!$B$13),0.5,1),0)*Assumptions!$B$12</f>
        <v>0</v>
      </c>
      <c r="D2926" s="12">
        <f>D2925*(1-Assumptions!$B$12*(Assumptions!$B$5+Assumptions!$B$6))</f>
        <v>0.41664058460223291</v>
      </c>
      <c r="E2926" s="12">
        <f>E2925+Assumptions!$B$12*(D2925*Assumptions!$B$5-E2925*Assumptions!$B$7)</f>
        <v>0.18425676317498721</v>
      </c>
      <c r="F2926" s="12">
        <f t="shared" si="135"/>
        <v>0.39910265222277985</v>
      </c>
      <c r="G2926" s="12">
        <f>EXP(-Assumptions!$B$8*B2926)</f>
        <v>0.23246862716134165</v>
      </c>
      <c r="H2926" s="12">
        <f t="shared" si="136"/>
        <v>9.6855864722179899E-2</v>
      </c>
      <c r="I2926" s="12">
        <f t="shared" si="137"/>
        <v>4.2833916780481728E-2</v>
      </c>
      <c r="J2926" s="12">
        <f>G2926*(D2926*Assumptions!$B$6+E2926*Assumptions!$B$7)</f>
        <v>3.1102544862458849E-3</v>
      </c>
    </row>
    <row r="2927" spans="1:10" x14ac:dyDescent="0.2">
      <c r="A2927" s="2">
        <v>2919</v>
      </c>
      <c r="B2927" s="14">
        <f>A2927*Assumptions!$B$12</f>
        <v>29.19</v>
      </c>
      <c r="C2927" s="15">
        <f>IF(A2927&lt;=Assumptions!$B$13,IF(OR(A2927=0,A2927=Assumptions!$B$13),0.5,1),0)*Assumptions!$B$12</f>
        <v>0</v>
      </c>
      <c r="D2927" s="12">
        <f>D2926*(1-Assumptions!$B$12*(Assumptions!$B$5+Assumptions!$B$6))</f>
        <v>0.41651559242685227</v>
      </c>
      <c r="E2927" s="12">
        <f>E2926+Assumptions!$B$12*(D2926*Assumptions!$B$5-E2926*Assumptions!$B$7)</f>
        <v>0.18424796291032017</v>
      </c>
      <c r="F2927" s="12">
        <f t="shared" si="135"/>
        <v>0.39923644466282759</v>
      </c>
      <c r="G2927" s="12">
        <f>EXP(-Assumptions!$B$8*B2927)</f>
        <v>0.23235242190149685</v>
      </c>
      <c r="H2927" s="12">
        <f t="shared" si="136"/>
        <v>9.677840666011589E-2</v>
      </c>
      <c r="I2927" s="12">
        <f t="shared" si="137"/>
        <v>4.2810460412630057E-2</v>
      </c>
      <c r="J2927" s="12">
        <f>G2927*(D2927*Assumptions!$B$6+E2927*Assumptions!$B$7)</f>
        <v>3.1083070872326619E-3</v>
      </c>
    </row>
    <row r="2928" spans="1:10" x14ac:dyDescent="0.2">
      <c r="A2928" s="2">
        <v>2920</v>
      </c>
      <c r="B2928" s="14">
        <f>A2928*Assumptions!$B$12</f>
        <v>29.2</v>
      </c>
      <c r="C2928" s="15">
        <f>IF(A2928&lt;=Assumptions!$B$13,IF(OR(A2928=0,A2928=Assumptions!$B$13),0.5,1),0)*Assumptions!$B$12</f>
        <v>0</v>
      </c>
      <c r="D2928" s="12">
        <f>D2927*(1-Assumptions!$B$12*(Assumptions!$B$5+Assumptions!$B$6))</f>
        <v>0.41639063774912422</v>
      </c>
      <c r="E2928" s="12">
        <f>E2927+Assumptions!$B$12*(D2927*Assumptions!$B$5-E2927*Assumptions!$B$7)</f>
        <v>0.18423914204735037</v>
      </c>
      <c r="F2928" s="12">
        <f t="shared" si="135"/>
        <v>0.39937022020352542</v>
      </c>
      <c r="G2928" s="12">
        <f>EXP(-Assumptions!$B$8*B2928)</f>
        <v>0.23223627472975883</v>
      </c>
      <c r="H2928" s="12">
        <f t="shared" si="136"/>
        <v>9.6701010543205096E-2</v>
      </c>
      <c r="I2928" s="12">
        <f t="shared" si="137"/>
        <v>4.2787012008483519E-2</v>
      </c>
      <c r="J2928" s="12">
        <f>G2928*(D2928*Assumptions!$B$6+E2928*Assumptions!$B$7)</f>
        <v>3.1063607058562275E-3</v>
      </c>
    </row>
    <row r="2929" spans="1:10" x14ac:dyDescent="0.2">
      <c r="A2929" s="2">
        <v>2921</v>
      </c>
      <c r="B2929" s="14">
        <f>A2929*Assumptions!$B$12</f>
        <v>29.21</v>
      </c>
      <c r="C2929" s="15">
        <f>IF(A2929&lt;=Assumptions!$B$13,IF(OR(A2929=0,A2929=Assumptions!$B$13),0.5,1),0)*Assumptions!$B$12</f>
        <v>0</v>
      </c>
      <c r="D2929" s="12">
        <f>D2928*(1-Assumptions!$B$12*(Assumptions!$B$5+Assumptions!$B$6))</f>
        <v>0.41626572055779948</v>
      </c>
      <c r="E2929" s="12">
        <f>E2928+Assumptions!$B$12*(D2928*Assumptions!$B$5-E2928*Assumptions!$B$7)</f>
        <v>0.18423030060387652</v>
      </c>
      <c r="F2929" s="12">
        <f t="shared" si="135"/>
        <v>0.39950397883832395</v>
      </c>
      <c r="G2929" s="12">
        <f>EXP(-Assumptions!$B$8*B2929)</f>
        <v>0.23212018561709061</v>
      </c>
      <c r="H2929" s="12">
        <f t="shared" si="136"/>
        <v>9.6623676321908381E-2</v>
      </c>
      <c r="I2929" s="12">
        <f t="shared" si="137"/>
        <v>4.2763571572464215E-2</v>
      </c>
      <c r="J2929" s="12">
        <f>G2929*(D2929*Assumptions!$B$6+E2929*Assumptions!$B$7)</f>
        <v>3.104415341842295E-3</v>
      </c>
    </row>
    <row r="2930" spans="1:10" x14ac:dyDescent="0.2">
      <c r="A2930" s="2">
        <v>2922</v>
      </c>
      <c r="B2930" s="14">
        <f>A2930*Assumptions!$B$12</f>
        <v>29.22</v>
      </c>
      <c r="C2930" s="15">
        <f>IF(A2930&lt;=Assumptions!$B$13,IF(OR(A2930=0,A2930=Assumptions!$B$13),0.5,1),0)*Assumptions!$B$12</f>
        <v>0</v>
      </c>
      <c r="D2930" s="12">
        <f>D2929*(1-Assumptions!$B$12*(Assumptions!$B$5+Assumptions!$B$6))</f>
        <v>0.41614084084163216</v>
      </c>
      <c r="E2930" s="12">
        <f>E2929+Assumptions!$B$12*(D2929*Assumptions!$B$5-E2929*Assumptions!$B$7)</f>
        <v>0.18422143859768614</v>
      </c>
      <c r="F2930" s="12">
        <f t="shared" si="135"/>
        <v>0.3996377205606817</v>
      </c>
      <c r="G2930" s="12">
        <f>EXP(-Assumptions!$B$8*B2930)</f>
        <v>0.23200415453447004</v>
      </c>
      <c r="H2930" s="12">
        <f t="shared" si="136"/>
        <v>9.6546403946726325E-2</v>
      </c>
      <c r="I2930" s="12">
        <f t="shared" si="137"/>
        <v>4.274013910897996E-2</v>
      </c>
      <c r="J2930" s="12">
        <f>G2930*(D2930*Assumptions!$B$6+E2930*Assumptions!$B$7)</f>
        <v>3.1024709949162613E-3</v>
      </c>
    </row>
    <row r="2931" spans="1:10" x14ac:dyDescent="0.2">
      <c r="A2931" s="2">
        <v>2923</v>
      </c>
      <c r="B2931" s="14">
        <f>A2931*Assumptions!$B$12</f>
        <v>29.23</v>
      </c>
      <c r="C2931" s="15">
        <f>IF(A2931&lt;=Assumptions!$B$13,IF(OR(A2931=0,A2931=Assumptions!$B$13),0.5,1),0)*Assumptions!$B$12</f>
        <v>0</v>
      </c>
      <c r="D2931" s="12">
        <f>D2930*(1-Assumptions!$B$12*(Assumptions!$B$5+Assumptions!$B$6))</f>
        <v>0.41601599858937971</v>
      </c>
      <c r="E2931" s="12">
        <f>E2930+Assumptions!$B$12*(D2930*Assumptions!$B$5-E2930*Assumptions!$B$7)</f>
        <v>0.18421255604655562</v>
      </c>
      <c r="F2931" s="12">
        <f t="shared" si="135"/>
        <v>0.39977144536406473</v>
      </c>
      <c r="G2931" s="12">
        <f>EXP(-Assumptions!$B$8*B2931)</f>
        <v>0.23188818145288931</v>
      </c>
      <c r="H2931" s="12">
        <f t="shared" si="136"/>
        <v>9.6469193368199022E-2</v>
      </c>
      <c r="I2931" s="12">
        <f t="shared" si="137"/>
        <v>4.2716714622424233E-2</v>
      </c>
      <c r="J2931" s="12">
        <f>G2931*(D2931*Assumptions!$B$6+E2931*Assumptions!$B$7)</f>
        <v>3.1005276648032021E-3</v>
      </c>
    </row>
    <row r="2932" spans="1:10" x14ac:dyDescent="0.2">
      <c r="A2932" s="2">
        <v>2924</v>
      </c>
      <c r="B2932" s="14">
        <f>A2932*Assumptions!$B$12</f>
        <v>29.240000000000002</v>
      </c>
      <c r="C2932" s="15">
        <f>IF(A2932&lt;=Assumptions!$B$13,IF(OR(A2932=0,A2932=Assumptions!$B$13),0.5,1),0)*Assumptions!$B$12</f>
        <v>0</v>
      </c>
      <c r="D2932" s="12">
        <f>D2931*(1-Assumptions!$B$12*(Assumptions!$B$5+Assumptions!$B$6))</f>
        <v>0.41589119378980288</v>
      </c>
      <c r="E2932" s="12">
        <f>E2931+Assumptions!$B$12*(D2931*Assumptions!$B$5-E2931*Assumptions!$B$7)</f>
        <v>0.18420365296825023</v>
      </c>
      <c r="F2932" s="12">
        <f t="shared" si="135"/>
        <v>0.39990515324194686</v>
      </c>
      <c r="G2932" s="12">
        <f>EXP(-Assumptions!$B$8*B2932)</f>
        <v>0.23177226634335513</v>
      </c>
      <c r="H2932" s="12">
        <f t="shared" si="136"/>
        <v>9.6392044536906113E-2</v>
      </c>
      <c r="I2932" s="12">
        <f t="shared" si="137"/>
        <v>4.2693298117176252E-2</v>
      </c>
      <c r="J2932" s="12">
        <f>G2932*(D2932*Assumptions!$B$6+E2932*Assumptions!$B$7)</f>
        <v>3.0985853512278737E-3</v>
      </c>
    </row>
    <row r="2933" spans="1:10" x14ac:dyDescent="0.2">
      <c r="A2933" s="2">
        <v>2925</v>
      </c>
      <c r="B2933" s="14">
        <f>A2933*Assumptions!$B$12</f>
        <v>29.25</v>
      </c>
      <c r="C2933" s="15">
        <f>IF(A2933&lt;=Assumptions!$B$13,IF(OR(A2933=0,A2933=Assumptions!$B$13),0.5,1),0)*Assumptions!$B$12</f>
        <v>0</v>
      </c>
      <c r="D2933" s="12">
        <f>D2932*(1-Assumptions!$B$12*(Assumptions!$B$5+Assumptions!$B$6))</f>
        <v>0.41576642643166595</v>
      </c>
      <c r="E2933" s="12">
        <f>E2932+Assumptions!$B$12*(D2932*Assumptions!$B$5-E2932*Assumptions!$B$7)</f>
        <v>0.18419472938052406</v>
      </c>
      <c r="F2933" s="12">
        <f t="shared" si="135"/>
        <v>0.40003884418780999</v>
      </c>
      <c r="G2933" s="12">
        <f>EXP(-Assumptions!$B$8*B2933)</f>
        <v>0.23165640917688876</v>
      </c>
      <c r="H2933" s="12">
        <f t="shared" si="136"/>
        <v>9.6314957403466822E-2</v>
      </c>
      <c r="I2933" s="12">
        <f t="shared" si="137"/>
        <v>4.2669889597600978E-2</v>
      </c>
      <c r="J2933" s="12">
        <f>G2933*(D2933*Assumptions!$B$6+E2933*Assumptions!$B$7)</f>
        <v>3.0966440539147173E-3</v>
      </c>
    </row>
    <row r="2934" spans="1:10" x14ac:dyDescent="0.2">
      <c r="A2934" s="2">
        <v>2926</v>
      </c>
      <c r="B2934" s="14">
        <f>A2934*Assumptions!$B$12</f>
        <v>29.26</v>
      </c>
      <c r="C2934" s="15">
        <f>IF(A2934&lt;=Assumptions!$B$13,IF(OR(A2934=0,A2934=Assumptions!$B$13),0.5,1),0)*Assumptions!$B$12</f>
        <v>0</v>
      </c>
      <c r="D2934" s="12">
        <f>D2933*(1-Assumptions!$B$12*(Assumptions!$B$5+Assumptions!$B$6))</f>
        <v>0.41564169650373645</v>
      </c>
      <c r="E2934" s="12">
        <f>E2933+Assumptions!$B$12*(D2933*Assumptions!$B$5-E2933*Assumptions!$B$7)</f>
        <v>0.18418578530112012</v>
      </c>
      <c r="F2934" s="12">
        <f t="shared" si="135"/>
        <v>0.40017251819514349</v>
      </c>
      <c r="G2934" s="12">
        <f>EXP(-Assumptions!$B$8*B2934)</f>
        <v>0.23154060992452591</v>
      </c>
      <c r="H2934" s="12">
        <f t="shared" si="136"/>
        <v>9.6237931918539826E-2</v>
      </c>
      <c r="I2934" s="12">
        <f t="shared" si="137"/>
        <v>4.2646489068049132E-2</v>
      </c>
      <c r="J2934" s="12">
        <f>G2934*(D2934*Assumptions!$B$6+E2934*Assumptions!$B$7)</f>
        <v>3.0947037725878547E-3</v>
      </c>
    </row>
    <row r="2935" spans="1:10" x14ac:dyDescent="0.2">
      <c r="A2935" s="2">
        <v>2927</v>
      </c>
      <c r="B2935" s="14">
        <f>A2935*Assumptions!$B$12</f>
        <v>29.27</v>
      </c>
      <c r="C2935" s="15">
        <f>IF(A2935&lt;=Assumptions!$B$13,IF(OR(A2935=0,A2935=Assumptions!$B$13),0.5,1),0)*Assumptions!$B$12</f>
        <v>0</v>
      </c>
      <c r="D2935" s="12">
        <f>D2934*(1-Assumptions!$B$12*(Assumptions!$B$5+Assumptions!$B$6))</f>
        <v>0.41551700399478536</v>
      </c>
      <c r="E2935" s="12">
        <f>E2934+Assumptions!$B$12*(D2934*Assumptions!$B$5-E2934*Assumptions!$B$7)</f>
        <v>0.18417682074777031</v>
      </c>
      <c r="F2935" s="12">
        <f t="shared" si="135"/>
        <v>0.40030617525744439</v>
      </c>
      <c r="G2935" s="12">
        <f>EXP(-Assumptions!$B$8*B2935)</f>
        <v>0.23142486855731673</v>
      </c>
      <c r="H2935" s="12">
        <f t="shared" si="136"/>
        <v>9.6160968032823257E-2</v>
      </c>
      <c r="I2935" s="12">
        <f t="shared" si="137"/>
        <v>4.262309653285723E-2</v>
      </c>
      <c r="J2935" s="12">
        <f>G2935*(D2935*Assumptions!$B$6+E2935*Assumptions!$B$7)</f>
        <v>3.092764506971094E-3</v>
      </c>
    </row>
    <row r="2936" spans="1:10" x14ac:dyDescent="0.2">
      <c r="A2936" s="2">
        <v>2928</v>
      </c>
      <c r="B2936" s="14">
        <f>A2936*Assumptions!$B$12</f>
        <v>29.28</v>
      </c>
      <c r="C2936" s="15">
        <f>IF(A2936&lt;=Assumptions!$B$13,IF(OR(A2936=0,A2936=Assumptions!$B$13),0.5,1),0)*Assumptions!$B$12</f>
        <v>0</v>
      </c>
      <c r="D2936" s="12">
        <f>D2935*(1-Assumptions!$B$12*(Assumptions!$B$5+Assumptions!$B$6))</f>
        <v>0.41539234889358695</v>
      </c>
      <c r="E2936" s="12">
        <f>E2935+Assumptions!$B$12*(D2935*Assumptions!$B$5-E2935*Assumptions!$B$7)</f>
        <v>0.18416783573819537</v>
      </c>
      <c r="F2936" s="12">
        <f t="shared" si="135"/>
        <v>0.40043981536821771</v>
      </c>
      <c r="G2936" s="12">
        <f>EXP(-Assumptions!$B$8*B2936)</f>
        <v>0.23130918504632586</v>
      </c>
      <c r="H2936" s="12">
        <f t="shared" si="136"/>
        <v>9.608406569705466E-2</v>
      </c>
      <c r="I2936" s="12">
        <f t="shared" si="137"/>
        <v>4.2599711996347579E-2</v>
      </c>
      <c r="J2936" s="12">
        <f>G2936*(D2936*Assumptions!$B$6+E2936*Assumptions!$B$7)</f>
        <v>3.0908262567879252E-3</v>
      </c>
    </row>
    <row r="2937" spans="1:10" x14ac:dyDescent="0.2">
      <c r="A2937" s="2">
        <v>2929</v>
      </c>
      <c r="B2937" s="14">
        <f>A2937*Assumptions!$B$12</f>
        <v>29.29</v>
      </c>
      <c r="C2937" s="15">
        <f>IF(A2937&lt;=Assumptions!$B$13,IF(OR(A2937=0,A2937=Assumptions!$B$13),0.5,1),0)*Assumptions!$B$12</f>
        <v>0</v>
      </c>
      <c r="D2937" s="12">
        <f>D2936*(1-Assumptions!$B$12*(Assumptions!$B$5+Assumptions!$B$6))</f>
        <v>0.41526773118891891</v>
      </c>
      <c r="E2937" s="12">
        <f>E2936+Assumptions!$B$12*(D2936*Assumptions!$B$5-E2936*Assumptions!$B$7)</f>
        <v>0.18415883029010499</v>
      </c>
      <c r="F2937" s="12">
        <f t="shared" si="135"/>
        <v>0.4005734385209761</v>
      </c>
      <c r="G2937" s="12">
        <f>EXP(-Assumptions!$B$8*B2937)</f>
        <v>0.2311935593626325</v>
      </c>
      <c r="H2937" s="12">
        <f t="shared" si="136"/>
        <v>9.6007224862011034E-2</v>
      </c>
      <c r="I2937" s="12">
        <f t="shared" si="137"/>
        <v>4.2576335462828352E-2</v>
      </c>
      <c r="J2937" s="12">
        <f>G2937*(D2937*Assumptions!$B$6+E2937*Assumptions!$B$7)</f>
        <v>3.0888890217615284E-3</v>
      </c>
    </row>
    <row r="2938" spans="1:10" x14ac:dyDescent="0.2">
      <c r="A2938" s="2">
        <v>2930</v>
      </c>
      <c r="B2938" s="14">
        <f>A2938*Assumptions!$B$12</f>
        <v>29.3</v>
      </c>
      <c r="C2938" s="15">
        <f>IF(A2938&lt;=Assumptions!$B$13,IF(OR(A2938=0,A2938=Assumptions!$B$13),0.5,1),0)*Assumptions!$B$12</f>
        <v>0</v>
      </c>
      <c r="D2938" s="12">
        <f>D2937*(1-Assumptions!$B$12*(Assumptions!$B$5+Assumptions!$B$6))</f>
        <v>0.41514315086956227</v>
      </c>
      <c r="E2938" s="12">
        <f>E2937+Assumptions!$B$12*(D2937*Assumptions!$B$5-E2937*Assumptions!$B$7)</f>
        <v>0.18414980442119772</v>
      </c>
      <c r="F2938" s="12">
        <f t="shared" si="135"/>
        <v>0.40070704470924007</v>
      </c>
      <c r="G2938" s="12">
        <f>EXP(-Assumptions!$B$8*B2938)</f>
        <v>0.23107799147733019</v>
      </c>
      <c r="H2938" s="12">
        <f t="shared" si="136"/>
        <v>9.5930445478508708E-2</v>
      </c>
      <c r="I2938" s="12">
        <f t="shared" si="137"/>
        <v>4.2552966936593543E-2</v>
      </c>
      <c r="J2938" s="12">
        <f>G2938*(D2938*Assumptions!$B$6+E2938*Assumptions!$B$7)</f>
        <v>3.0869528016147646E-3</v>
      </c>
    </row>
    <row r="2939" spans="1:10" x14ac:dyDescent="0.2">
      <c r="A2939" s="2">
        <v>2931</v>
      </c>
      <c r="B2939" s="14">
        <f>A2939*Assumptions!$B$12</f>
        <v>29.310000000000002</v>
      </c>
      <c r="C2939" s="15">
        <f>IF(A2939&lt;=Assumptions!$B$13,IF(OR(A2939=0,A2939=Assumptions!$B$13),0.5,1),0)*Assumptions!$B$12</f>
        <v>0</v>
      </c>
      <c r="D2939" s="12">
        <f>D2938*(1-Assumptions!$B$12*(Assumptions!$B$5+Assumptions!$B$6))</f>
        <v>0.4150186079243014</v>
      </c>
      <c r="E2939" s="12">
        <f>E2938+Assumptions!$B$12*(D2938*Assumptions!$B$5-E2938*Assumptions!$B$7)</f>
        <v>0.18414075814916103</v>
      </c>
      <c r="F2939" s="12">
        <f t="shared" si="135"/>
        <v>0.40084063392653752</v>
      </c>
      <c r="G2939" s="12">
        <f>EXP(-Assumptions!$B$8*B2939)</f>
        <v>0.23096248136152689</v>
      </c>
      <c r="H2939" s="12">
        <f t="shared" si="136"/>
        <v>9.5853727497403299E-2</v>
      </c>
      <c r="I2939" s="12">
        <f t="shared" si="137"/>
        <v>4.2529606421923036E-2</v>
      </c>
      <c r="J2939" s="12">
        <f>G2939*(D2939*Assumptions!$B$6+E2939*Assumptions!$B$7)</f>
        <v>3.0850175960701848E-3</v>
      </c>
    </row>
    <row r="2940" spans="1:10" x14ac:dyDescent="0.2">
      <c r="A2940" s="2">
        <v>2932</v>
      </c>
      <c r="B2940" s="14">
        <f>A2940*Assumptions!$B$12</f>
        <v>29.32</v>
      </c>
      <c r="C2940" s="15">
        <f>IF(A2940&lt;=Assumptions!$B$13,IF(OR(A2940=0,A2940=Assumptions!$B$13),0.5,1),0)*Assumptions!$B$12</f>
        <v>0</v>
      </c>
      <c r="D2940" s="12">
        <f>D2939*(1-Assumptions!$B$12*(Assumptions!$B$5+Assumptions!$B$6))</f>
        <v>0.41489410234192414</v>
      </c>
      <c r="E2940" s="12">
        <f>E2939+Assumptions!$B$12*(D2939*Assumptions!$B$5-E2939*Assumptions!$B$7)</f>
        <v>0.1841316914916713</v>
      </c>
      <c r="F2940" s="12">
        <f t="shared" si="135"/>
        <v>0.40097420616640456</v>
      </c>
      <c r="G2940" s="12">
        <f>EXP(-Assumptions!$B$8*B2940)</f>
        <v>0.23084702898634518</v>
      </c>
      <c r="H2940" s="12">
        <f t="shared" si="136"/>
        <v>9.5777070869589823E-2</v>
      </c>
      <c r="I2940" s="12">
        <f t="shared" si="137"/>
        <v>4.2506253923082611E-2</v>
      </c>
      <c r="J2940" s="12">
        <f>G2940*(D2940*Assumptions!$B$6+E2940*Assumptions!$B$7)</f>
        <v>3.0830834048500289E-3</v>
      </c>
    </row>
    <row r="2941" spans="1:10" x14ac:dyDescent="0.2">
      <c r="A2941" s="2">
        <v>2933</v>
      </c>
      <c r="B2941" s="14">
        <f>A2941*Assumptions!$B$12</f>
        <v>29.330000000000002</v>
      </c>
      <c r="C2941" s="15">
        <f>IF(A2941&lt;=Assumptions!$B$13,IF(OR(A2941=0,A2941=Assumptions!$B$13),0.5,1),0)*Assumptions!$B$12</f>
        <v>0</v>
      </c>
      <c r="D2941" s="12">
        <f>D2940*(1-Assumptions!$B$12*(Assumptions!$B$5+Assumptions!$B$6))</f>
        <v>0.41476963411122159</v>
      </c>
      <c r="E2941" s="12">
        <f>E2940+Assumptions!$B$12*(D2940*Assumptions!$B$5-E2940*Assumptions!$B$7)</f>
        <v>0.18412260446639386</v>
      </c>
      <c r="F2941" s="12">
        <f t="shared" si="135"/>
        <v>0.40110776142238458</v>
      </c>
      <c r="G2941" s="12">
        <f>EXP(-Assumptions!$B$8*B2941)</f>
        <v>0.23073163432292196</v>
      </c>
      <c r="H2941" s="12">
        <f t="shared" si="136"/>
        <v>9.5700475546002514E-2</v>
      </c>
      <c r="I2941" s="12">
        <f t="shared" si="137"/>
        <v>4.2482909444323987E-2</v>
      </c>
      <c r="J2941" s="12">
        <f>G2941*(D2941*Assumptions!$B$6+E2941*Assumptions!$B$7)</f>
        <v>3.0811502276762246E-3</v>
      </c>
    </row>
    <row r="2942" spans="1:10" x14ac:dyDescent="0.2">
      <c r="A2942" s="2">
        <v>2934</v>
      </c>
      <c r="B2942" s="14">
        <f>A2942*Assumptions!$B$12</f>
        <v>29.34</v>
      </c>
      <c r="C2942" s="15">
        <f>IF(A2942&lt;=Assumptions!$B$13,IF(OR(A2942=0,A2942=Assumptions!$B$13),0.5,1),0)*Assumptions!$B$12</f>
        <v>0</v>
      </c>
      <c r="D2942" s="12">
        <f>D2941*(1-Assumptions!$B$12*(Assumptions!$B$5+Assumptions!$B$6))</f>
        <v>0.41464520322098825</v>
      </c>
      <c r="E2942" s="12">
        <f>E2941+Assumptions!$B$12*(D2941*Assumptions!$B$5-E2941*Assumptions!$B$7)</f>
        <v>0.1841134970909829</v>
      </c>
      <c r="F2942" s="12">
        <f t="shared" si="135"/>
        <v>0.40124129968802891</v>
      </c>
      <c r="G2942" s="12">
        <f>EXP(-Assumptions!$B$8*B2942)</f>
        <v>0.23061629734240849</v>
      </c>
      <c r="H2942" s="12">
        <f t="shared" si="136"/>
        <v>9.5623941477614813E-2</v>
      </c>
      <c r="I2942" s="12">
        <f t="shared" si="137"/>
        <v>4.2459572989884772E-2</v>
      </c>
      <c r="J2942" s="12">
        <f>G2942*(D2942*Assumptions!$B$6+E2942*Assumptions!$B$7)</f>
        <v>3.0792180642703871E-3</v>
      </c>
    </row>
    <row r="2943" spans="1:10" x14ac:dyDescent="0.2">
      <c r="A2943" s="2">
        <v>2935</v>
      </c>
      <c r="B2943" s="14">
        <f>A2943*Assumptions!$B$12</f>
        <v>29.35</v>
      </c>
      <c r="C2943" s="15">
        <f>IF(A2943&lt;=Assumptions!$B$13,IF(OR(A2943=0,A2943=Assumptions!$B$13),0.5,1),0)*Assumptions!$B$12</f>
        <v>0</v>
      </c>
      <c r="D2943" s="12">
        <f>D2942*(1-Assumptions!$B$12*(Assumptions!$B$5+Assumptions!$B$6))</f>
        <v>0.41452080966002197</v>
      </c>
      <c r="E2943" s="12">
        <f>E2942+Assumptions!$B$12*(D2942*Assumptions!$B$5-E2942*Assumptions!$B$7)</f>
        <v>0.18410436938308161</v>
      </c>
      <c r="F2943" s="12">
        <f t="shared" si="135"/>
        <v>0.40137482095689647</v>
      </c>
      <c r="G2943" s="12">
        <f>EXP(-Assumptions!$B$8*B2943)</f>
        <v>0.2305010180159705</v>
      </c>
      <c r="H2943" s="12">
        <f t="shared" si="136"/>
        <v>9.5547468615439404E-2</v>
      </c>
      <c r="I2943" s="12">
        <f t="shared" si="137"/>
        <v>4.2436244563988583E-2</v>
      </c>
      <c r="J2943" s="12">
        <f>G2943*(D2943*Assumptions!$B$6+E2943*Assumptions!$B$7)</f>
        <v>3.0772869143538234E-3</v>
      </c>
    </row>
    <row r="2944" spans="1:10" x14ac:dyDescent="0.2">
      <c r="A2944" s="2">
        <v>2936</v>
      </c>
      <c r="B2944" s="14">
        <f>A2944*Assumptions!$B$12</f>
        <v>29.36</v>
      </c>
      <c r="C2944" s="15">
        <f>IF(A2944&lt;=Assumptions!$B$13,IF(OR(A2944=0,A2944=Assumptions!$B$13),0.5,1),0)*Assumptions!$B$12</f>
        <v>0</v>
      </c>
      <c r="D2944" s="12">
        <f>D2943*(1-Assumptions!$B$12*(Assumptions!$B$5+Assumptions!$B$6))</f>
        <v>0.414396453417124</v>
      </c>
      <c r="E2944" s="12">
        <f>E2943+Assumptions!$B$12*(D2943*Assumptions!$B$5-E2943*Assumptions!$B$7)</f>
        <v>0.18409522136032208</v>
      </c>
      <c r="F2944" s="12">
        <f t="shared" si="135"/>
        <v>0.40150832522255386</v>
      </c>
      <c r="G2944" s="12">
        <f>EXP(-Assumptions!$B$8*B2944)</f>
        <v>0.23038579631478834</v>
      </c>
      <c r="H2944" s="12">
        <f t="shared" si="136"/>
        <v>9.5471056910528207E-2</v>
      </c>
      <c r="I2944" s="12">
        <f t="shared" si="137"/>
        <v>4.2412924170845037E-2</v>
      </c>
      <c r="J2944" s="12">
        <f>G2944*(D2944*Assumptions!$B$6+E2944*Assumptions!$B$7)</f>
        <v>3.0753567776475336E-3</v>
      </c>
    </row>
    <row r="2945" spans="1:10" x14ac:dyDescent="0.2">
      <c r="A2945" s="2">
        <v>2937</v>
      </c>
      <c r="B2945" s="14">
        <f>A2945*Assumptions!$B$12</f>
        <v>29.37</v>
      </c>
      <c r="C2945" s="15">
        <f>IF(A2945&lt;=Assumptions!$B$13,IF(OR(A2945=0,A2945=Assumptions!$B$13),0.5,1),0)*Assumptions!$B$12</f>
        <v>0</v>
      </c>
      <c r="D2945" s="12">
        <f>D2944*(1-Assumptions!$B$12*(Assumptions!$B$5+Assumptions!$B$6))</f>
        <v>0.4142721344810989</v>
      </c>
      <c r="E2945" s="12">
        <f>E2944+Assumptions!$B$12*(D2944*Assumptions!$B$5-E2944*Assumptions!$B$7)</f>
        <v>0.18408605304032535</v>
      </c>
      <c r="F2945" s="12">
        <f t="shared" si="135"/>
        <v>0.40164181247857578</v>
      </c>
      <c r="G2945" s="12">
        <f>EXP(-Assumptions!$B$8*B2945)</f>
        <v>0.23027063221005634</v>
      </c>
      <c r="H2945" s="12">
        <f t="shared" si="136"/>
        <v>9.5394706313972122E-2</v>
      </c>
      <c r="I2945" s="12">
        <f t="shared" si="137"/>
        <v>4.2389611814649682E-2</v>
      </c>
      <c r="J2945" s="12">
        <f>G2945*(D2945*Assumptions!$B$6+E2945*Assumptions!$B$7)</f>
        <v>3.0734276538722056E-3</v>
      </c>
    </row>
    <row r="2946" spans="1:10" x14ac:dyDescent="0.2">
      <c r="A2946" s="2">
        <v>2938</v>
      </c>
      <c r="B2946" s="14">
        <f>A2946*Assumptions!$B$12</f>
        <v>29.38</v>
      </c>
      <c r="C2946" s="15">
        <f>IF(A2946&lt;=Assumptions!$B$13,IF(OR(A2946=0,A2946=Assumptions!$B$13),0.5,1),0)*Assumptions!$B$12</f>
        <v>0</v>
      </c>
      <c r="D2946" s="12">
        <f>D2945*(1-Assumptions!$B$12*(Assumptions!$B$5+Assumptions!$B$6))</f>
        <v>0.41414785284075456</v>
      </c>
      <c r="E2946" s="12">
        <f>E2945+Assumptions!$B$12*(D2945*Assumptions!$B$5-E2945*Assumptions!$B$7)</f>
        <v>0.1840768644407014</v>
      </c>
      <c r="F2946" s="12">
        <f t="shared" si="135"/>
        <v>0.40177528271854412</v>
      </c>
      <c r="G2946" s="12">
        <f>EXP(-Assumptions!$B$8*B2946)</f>
        <v>0.23015552567298364</v>
      </c>
      <c r="H2946" s="12">
        <f t="shared" si="136"/>
        <v>9.5318416776901338E-2</v>
      </c>
      <c r="I2946" s="12">
        <f t="shared" si="137"/>
        <v>4.2366307499584178E-2</v>
      </c>
      <c r="J2946" s="12">
        <f>G2946*(D2946*Assumptions!$B$6+E2946*Assumptions!$B$7)</f>
        <v>3.0714995427482228E-3</v>
      </c>
    </row>
    <row r="2947" spans="1:10" x14ac:dyDescent="0.2">
      <c r="A2947" s="2">
        <v>2939</v>
      </c>
      <c r="B2947" s="14">
        <f>A2947*Assumptions!$B$12</f>
        <v>29.39</v>
      </c>
      <c r="C2947" s="15">
        <f>IF(A2947&lt;=Assumptions!$B$13,IF(OR(A2947=0,A2947=Assumptions!$B$13),0.5,1),0)*Assumptions!$B$12</f>
        <v>0</v>
      </c>
      <c r="D2947" s="12">
        <f>D2946*(1-Assumptions!$B$12*(Assumptions!$B$5+Assumptions!$B$6))</f>
        <v>0.41402360848490233</v>
      </c>
      <c r="E2947" s="12">
        <f>E2946+Assumptions!$B$12*(D2946*Assumptions!$B$5-E2946*Assumptions!$B$7)</f>
        <v>0.18406765557904919</v>
      </c>
      <c r="F2947" s="12">
        <f t="shared" si="135"/>
        <v>0.40190873593604853</v>
      </c>
      <c r="G2947" s="12">
        <f>EXP(-Assumptions!$B$8*B2947)</f>
        <v>0.23004047667479355</v>
      </c>
      <c r="H2947" s="12">
        <f t="shared" si="136"/>
        <v>9.5242188250485027E-2</v>
      </c>
      <c r="I2947" s="12">
        <f t="shared" si="137"/>
        <v>4.2343011229816201E-2</v>
      </c>
      <c r="J2947" s="12">
        <f>G2947*(D2947*Assumptions!$B$6+E2947*Assumptions!$B$7)</f>
        <v>3.0695724439956601E-3</v>
      </c>
    </row>
    <row r="2948" spans="1:10" x14ac:dyDescent="0.2">
      <c r="A2948" s="2">
        <v>2940</v>
      </c>
      <c r="B2948" s="14">
        <f>A2948*Assumptions!$B$12</f>
        <v>29.400000000000002</v>
      </c>
      <c r="C2948" s="15">
        <f>IF(A2948&lt;=Assumptions!$B$13,IF(OR(A2948=0,A2948=Assumptions!$B$13),0.5,1),0)*Assumptions!$B$12</f>
        <v>0</v>
      </c>
      <c r="D2948" s="12">
        <f>D2947*(1-Assumptions!$B$12*(Assumptions!$B$5+Assumptions!$B$6))</f>
        <v>0.41389940140235687</v>
      </c>
      <c r="E2948" s="12">
        <f>E2947+Assumptions!$B$12*(D2947*Assumptions!$B$5-E2947*Assumptions!$B$7)</f>
        <v>0.18405842647295664</v>
      </c>
      <c r="F2948" s="12">
        <f t="shared" si="135"/>
        <v>0.4020421721246864</v>
      </c>
      <c r="G2948" s="12">
        <f>EXP(-Assumptions!$B$8*B2948)</f>
        <v>0.22992548518672379</v>
      </c>
      <c r="H2948" s="12">
        <f t="shared" si="136"/>
        <v>9.5166020685931454E-2</v>
      </c>
      <c r="I2948" s="12">
        <f t="shared" si="137"/>
        <v>4.2319723009499481E-2</v>
      </c>
      <c r="J2948" s="12">
        <f>G2948*(D2948*Assumptions!$B$6+E2948*Assumptions!$B$7)</f>
        <v>3.0676463573342887E-3</v>
      </c>
    </row>
    <row r="2949" spans="1:10" x14ac:dyDescent="0.2">
      <c r="A2949" s="2">
        <v>2941</v>
      </c>
      <c r="B2949" s="14">
        <f>A2949*Assumptions!$B$12</f>
        <v>29.41</v>
      </c>
      <c r="C2949" s="15">
        <f>IF(A2949&lt;=Assumptions!$B$13,IF(OR(A2949=0,A2949=Assumptions!$B$13),0.5,1),0)*Assumptions!$B$12</f>
        <v>0</v>
      </c>
      <c r="D2949" s="12">
        <f>D2948*(1-Assumptions!$B$12*(Assumptions!$B$5+Assumptions!$B$6))</f>
        <v>0.41377523158193619</v>
      </c>
      <c r="E2949" s="12">
        <f>E2948+Assumptions!$B$12*(D2948*Assumptions!$B$5-E2948*Assumptions!$B$7)</f>
        <v>0.18404917714000063</v>
      </c>
      <c r="F2949" s="12">
        <f t="shared" si="135"/>
        <v>0.40217559127806318</v>
      </c>
      <c r="G2949" s="12">
        <f>EXP(-Assumptions!$B$8*B2949)</f>
        <v>0.22981055118002658</v>
      </c>
      <c r="H2949" s="12">
        <f t="shared" si="136"/>
        <v>9.5089914034487896E-2</v>
      </c>
      <c r="I2949" s="12">
        <f t="shared" si="137"/>
        <v>4.2296442842773896E-2</v>
      </c>
      <c r="J2949" s="12">
        <f>G2949*(D2949*Assumptions!$B$6+E2949*Assumptions!$B$7)</f>
        <v>3.0657212824835738E-3</v>
      </c>
    </row>
    <row r="2950" spans="1:10" x14ac:dyDescent="0.2">
      <c r="A2950" s="2">
        <v>2942</v>
      </c>
      <c r="B2950" s="14">
        <f>A2950*Assumptions!$B$12</f>
        <v>29.42</v>
      </c>
      <c r="C2950" s="15">
        <f>IF(A2950&lt;=Assumptions!$B$13,IF(OR(A2950=0,A2950=Assumptions!$B$13),0.5,1),0)*Assumptions!$B$12</f>
        <v>0</v>
      </c>
      <c r="D2950" s="12">
        <f>D2949*(1-Assumptions!$B$12*(Assumptions!$B$5+Assumptions!$B$6))</f>
        <v>0.41365109901246161</v>
      </c>
      <c r="E2950" s="12">
        <f>E2949+Assumptions!$B$12*(D2949*Assumptions!$B$5-E2949*Assumptions!$B$7)</f>
        <v>0.18403990759774702</v>
      </c>
      <c r="F2950" s="12">
        <f t="shared" si="135"/>
        <v>0.40230899338979142</v>
      </c>
      <c r="G2950" s="12">
        <f>EXP(-Assumptions!$B$8*B2950)</f>
        <v>0.22969567462596835</v>
      </c>
      <c r="H2950" s="12">
        <f t="shared" si="136"/>
        <v>9.5013868247440597E-2</v>
      </c>
      <c r="I2950" s="12">
        <f t="shared" si="137"/>
        <v>4.2273170733765381E-2</v>
      </c>
      <c r="J2950" s="12">
        <f>G2950*(D2950*Assumptions!$B$6+E2950*Assumptions!$B$7)</f>
        <v>3.0637972191626755E-3</v>
      </c>
    </row>
    <row r="2951" spans="1:10" x14ac:dyDescent="0.2">
      <c r="A2951" s="2">
        <v>2943</v>
      </c>
      <c r="B2951" s="14">
        <f>A2951*Assumptions!$B$12</f>
        <v>29.43</v>
      </c>
      <c r="C2951" s="15">
        <f>IF(A2951&lt;=Assumptions!$B$13,IF(OR(A2951=0,A2951=Assumptions!$B$13),0.5,1),0)*Assumptions!$B$12</f>
        <v>0</v>
      </c>
      <c r="D2951" s="12">
        <f>D2950*(1-Assumptions!$B$12*(Assumptions!$B$5+Assumptions!$B$6))</f>
        <v>0.41352700368275791</v>
      </c>
      <c r="E2951" s="12">
        <f>E2950+Assumptions!$B$12*(D2950*Assumptions!$B$5-E2950*Assumptions!$B$7)</f>
        <v>0.18403061786375063</v>
      </c>
      <c r="F2951" s="12">
        <f t="shared" si="135"/>
        <v>0.40244237845349151</v>
      </c>
      <c r="G2951" s="12">
        <f>EXP(-Assumptions!$B$8*B2951)</f>
        <v>0.22958085549582999</v>
      </c>
      <c r="H2951" s="12">
        <f t="shared" si="136"/>
        <v>9.4937883276114798E-2</v>
      </c>
      <c r="I2951" s="12">
        <f t="shared" si="137"/>
        <v>4.2249906686586042E-2</v>
      </c>
      <c r="J2951" s="12">
        <f>G2951*(D2951*Assumptions!$B$6+E2951*Assumptions!$B$7)</f>
        <v>3.0618741670904504E-3</v>
      </c>
    </row>
    <row r="2952" spans="1:10" x14ac:dyDescent="0.2">
      <c r="A2952" s="2">
        <v>2944</v>
      </c>
      <c r="B2952" s="14">
        <f>A2952*Assumptions!$B$12</f>
        <v>29.44</v>
      </c>
      <c r="C2952" s="15">
        <f>IF(A2952&lt;=Assumptions!$B$13,IF(OR(A2952=0,A2952=Assumptions!$B$13),0.5,1),0)*Assumptions!$B$12</f>
        <v>0</v>
      </c>
      <c r="D2952" s="12">
        <f>D2951*(1-Assumptions!$B$12*(Assumptions!$B$5+Assumptions!$B$6))</f>
        <v>0.41340294558165308</v>
      </c>
      <c r="E2952" s="12">
        <f>E2951+Assumptions!$B$12*(D2951*Assumptions!$B$5-E2951*Assumptions!$B$7)</f>
        <v>0.1840213079555553</v>
      </c>
      <c r="F2952" s="12">
        <f t="shared" ref="F2952:F3015" si="138">1-D2952-E2952</f>
        <v>0.40257574646279171</v>
      </c>
      <c r="G2952" s="12">
        <f>EXP(-Assumptions!$B$8*B2952)</f>
        <v>0.22946609376090663</v>
      </c>
      <c r="H2952" s="12">
        <f t="shared" ref="H2952:H3015" si="139">G2952*D2952</f>
        <v>9.4861959071874585E-2</v>
      </c>
      <c r="I2952" s="12">
        <f t="shared" ref="I2952:I3015" si="140">G2952*E2952</f>
        <v>4.2226650705334122E-2</v>
      </c>
      <c r="J2952" s="12">
        <f>G2952*(D2952*Assumptions!$B$6+E2952*Assumptions!$B$7)</f>
        <v>3.0599521259854524E-3</v>
      </c>
    </row>
    <row r="2953" spans="1:10" x14ac:dyDescent="0.2">
      <c r="A2953" s="2">
        <v>2945</v>
      </c>
      <c r="B2953" s="14">
        <f>A2953*Assumptions!$B$12</f>
        <v>29.45</v>
      </c>
      <c r="C2953" s="15">
        <f>IF(A2953&lt;=Assumptions!$B$13,IF(OR(A2953=0,A2953=Assumptions!$B$13),0.5,1),0)*Assumptions!$B$12</f>
        <v>0</v>
      </c>
      <c r="D2953" s="12">
        <f>D2952*(1-Assumptions!$B$12*(Assumptions!$B$5+Assumptions!$B$6))</f>
        <v>0.41327892469797861</v>
      </c>
      <c r="E2953" s="12">
        <f>E2952+Assumptions!$B$12*(D2952*Assumptions!$B$5-E2952*Assumptions!$B$7)</f>
        <v>0.18401197789069385</v>
      </c>
      <c r="F2953" s="12">
        <f t="shared" si="138"/>
        <v>0.40270909741132749</v>
      </c>
      <c r="G2953" s="12">
        <f>EXP(-Assumptions!$B$8*B2953)</f>
        <v>0.22935138939250796</v>
      </c>
      <c r="H2953" s="12">
        <f t="shared" si="139"/>
        <v>9.4786095586123068E-2</v>
      </c>
      <c r="I2953" s="12">
        <f t="shared" si="140"/>
        <v>4.220340279409409E-2</v>
      </c>
      <c r="J2953" s="12">
        <f>G2953*(D2953*Assumptions!$B$6+E2953*Assumptions!$B$7)</f>
        <v>3.0580310955659351E-3</v>
      </c>
    </row>
    <row r="2954" spans="1:10" x14ac:dyDescent="0.2">
      <c r="A2954" s="2">
        <v>2946</v>
      </c>
      <c r="B2954" s="14">
        <f>A2954*Assumptions!$B$12</f>
        <v>29.46</v>
      </c>
      <c r="C2954" s="15">
        <f>IF(A2954&lt;=Assumptions!$B$13,IF(OR(A2954=0,A2954=Assumptions!$B$13),0.5,1),0)*Assumptions!$B$12</f>
        <v>0</v>
      </c>
      <c r="D2954" s="12">
        <f>D2953*(1-Assumptions!$B$12*(Assumptions!$B$5+Assumptions!$B$6))</f>
        <v>0.41315494102056921</v>
      </c>
      <c r="E2954" s="12">
        <f>E2953+Assumptions!$B$12*(D2953*Assumptions!$B$5-E2953*Assumptions!$B$7)</f>
        <v>0.1840026276866881</v>
      </c>
      <c r="F2954" s="12">
        <f t="shared" si="138"/>
        <v>0.40284243129274266</v>
      </c>
      <c r="G2954" s="12">
        <f>EXP(-Assumptions!$B$8*B2954)</f>
        <v>0.22923674236195785</v>
      </c>
      <c r="H2954" s="12">
        <f t="shared" si="139"/>
        <v>9.4710292770302115E-2</v>
      </c>
      <c r="I2954" s="12">
        <f t="shared" si="140"/>
        <v>4.2180162956936572E-2</v>
      </c>
      <c r="J2954" s="12">
        <f>G2954*(D2954*Assumptions!$B$6+E2954*Assumptions!$B$7)</f>
        <v>3.0561110755498496E-3</v>
      </c>
    </row>
    <row r="2955" spans="1:10" x14ac:dyDescent="0.2">
      <c r="A2955" s="2">
        <v>2947</v>
      </c>
      <c r="B2955" s="14">
        <f>A2955*Assumptions!$B$12</f>
        <v>29.47</v>
      </c>
      <c r="C2955" s="15">
        <f>IF(A2955&lt;=Assumptions!$B$13,IF(OR(A2955=0,A2955=Assumptions!$B$13),0.5,1),0)*Assumptions!$B$12</f>
        <v>0</v>
      </c>
      <c r="D2955" s="12">
        <f>D2954*(1-Assumptions!$B$12*(Assumptions!$B$5+Assumptions!$B$6))</f>
        <v>0.41303099453826303</v>
      </c>
      <c r="E2955" s="12">
        <f>E2954+Assumptions!$B$12*(D2954*Assumptions!$B$5-E2954*Assumptions!$B$7)</f>
        <v>0.18399325736104888</v>
      </c>
      <c r="F2955" s="12">
        <f t="shared" si="138"/>
        <v>0.40297574810068804</v>
      </c>
      <c r="G2955" s="12">
        <f>EXP(-Assumptions!$B$8*B2955)</f>
        <v>0.22912215264059449</v>
      </c>
      <c r="H2955" s="12">
        <f t="shared" si="139"/>
        <v>9.4634550575892457E-2</v>
      </c>
      <c r="I2955" s="12">
        <f t="shared" si="140"/>
        <v>4.2156931197918426E-2</v>
      </c>
      <c r="J2955" s="12">
        <f>G2955*(D2955*Assumptions!$B$6+E2955*Assumptions!$B$7)</f>
        <v>3.054192065654846E-3</v>
      </c>
    </row>
    <row r="2956" spans="1:10" x14ac:dyDescent="0.2">
      <c r="A2956" s="2">
        <v>2948</v>
      </c>
      <c r="B2956" s="14">
        <f>A2956*Assumptions!$B$12</f>
        <v>29.48</v>
      </c>
      <c r="C2956" s="15">
        <f>IF(A2956&lt;=Assumptions!$B$13,IF(OR(A2956=0,A2956=Assumptions!$B$13),0.5,1),0)*Assumptions!$B$12</f>
        <v>0</v>
      </c>
      <c r="D2956" s="12">
        <f>D2955*(1-Assumptions!$B$12*(Assumptions!$B$5+Assumptions!$B$6))</f>
        <v>0.41290708523990155</v>
      </c>
      <c r="E2956" s="12">
        <f>E2955+Assumptions!$B$12*(D2955*Assumptions!$B$5-E2955*Assumptions!$B$7)</f>
        <v>0.183983866931276</v>
      </c>
      <c r="F2956" s="12">
        <f t="shared" si="138"/>
        <v>0.40310904782882251</v>
      </c>
      <c r="G2956" s="12">
        <f>EXP(-Assumptions!$B$8*B2956)</f>
        <v>0.22900762019977047</v>
      </c>
      <c r="H2956" s="12">
        <f t="shared" si="139"/>
        <v>9.4558868954413622E-2</v>
      </c>
      <c r="I2956" s="12">
        <f t="shared" si="140"/>
        <v>4.2133707521082767E-2</v>
      </c>
      <c r="J2956" s="12">
        <f>G2956*(D2956*Assumptions!$B$6+E2956*Assumptions!$B$7)</f>
        <v>3.0522740655982744E-3</v>
      </c>
    </row>
    <row r="2957" spans="1:10" x14ac:dyDescent="0.2">
      <c r="A2957" s="2">
        <v>2949</v>
      </c>
      <c r="B2957" s="14">
        <f>A2957*Assumptions!$B$12</f>
        <v>29.490000000000002</v>
      </c>
      <c r="C2957" s="15">
        <f>IF(A2957&lt;=Assumptions!$B$13,IF(OR(A2957=0,A2957=Assumptions!$B$13),0.5,1),0)*Assumptions!$B$12</f>
        <v>0</v>
      </c>
      <c r="D2957" s="12">
        <f>D2956*(1-Assumptions!$B$12*(Assumptions!$B$5+Assumptions!$B$6))</f>
        <v>0.41278321311432958</v>
      </c>
      <c r="E2957" s="12">
        <f>E2956+Assumptions!$B$12*(D2956*Assumptions!$B$5-E2956*Assumptions!$B$7)</f>
        <v>0.18397445641485835</v>
      </c>
      <c r="F2957" s="12">
        <f t="shared" si="138"/>
        <v>0.40324233047081204</v>
      </c>
      <c r="G2957" s="12">
        <f>EXP(-Assumptions!$B$8*B2957)</f>
        <v>0.22889314501085273</v>
      </c>
      <c r="H2957" s="12">
        <f t="shared" si="139"/>
        <v>9.4483247857423971E-2</v>
      </c>
      <c r="I2957" s="12">
        <f t="shared" si="140"/>
        <v>4.2110491930458981E-2</v>
      </c>
      <c r="J2957" s="12">
        <f>G2957*(D2957*Assumptions!$B$6+E2957*Assumptions!$B$7)</f>
        <v>3.0503570750971885E-3</v>
      </c>
    </row>
    <row r="2958" spans="1:10" x14ac:dyDescent="0.2">
      <c r="A2958" s="2">
        <v>2950</v>
      </c>
      <c r="B2958" s="14">
        <f>A2958*Assumptions!$B$12</f>
        <v>29.5</v>
      </c>
      <c r="C2958" s="15">
        <f>IF(A2958&lt;=Assumptions!$B$13,IF(OR(A2958=0,A2958=Assumptions!$B$13),0.5,1),0)*Assumptions!$B$12</f>
        <v>0</v>
      </c>
      <c r="D2958" s="12">
        <f>D2957*(1-Assumptions!$B$12*(Assumptions!$B$5+Assumptions!$B$6))</f>
        <v>0.41265937815039527</v>
      </c>
      <c r="E2958" s="12">
        <f>E2957+Assumptions!$B$12*(D2957*Assumptions!$B$5-E2957*Assumptions!$B$7)</f>
        <v>0.18396502582927379</v>
      </c>
      <c r="F2958" s="12">
        <f t="shared" si="138"/>
        <v>0.40337559602033091</v>
      </c>
      <c r="G2958" s="12">
        <f>EXP(-Assumptions!$B$8*B2958)</f>
        <v>0.22877872704522242</v>
      </c>
      <c r="H2958" s="12">
        <f t="shared" si="139"/>
        <v>9.4407687236520502E-2</v>
      </c>
      <c r="I2958" s="12">
        <f t="shared" si="140"/>
        <v>4.2087284430062724E-2</v>
      </c>
      <c r="J2958" s="12">
        <f>G2958*(D2958*Assumptions!$B$6+E2958*Assumptions!$B$7)</f>
        <v>3.0484410938683413E-3</v>
      </c>
    </row>
    <row r="2959" spans="1:10" x14ac:dyDescent="0.2">
      <c r="A2959" s="2">
        <v>2951</v>
      </c>
      <c r="B2959" s="14">
        <f>A2959*Assumptions!$B$12</f>
        <v>29.51</v>
      </c>
      <c r="C2959" s="15">
        <f>IF(A2959&lt;=Assumptions!$B$13,IF(OR(A2959=0,A2959=Assumptions!$B$13),0.5,1),0)*Assumptions!$B$12</f>
        <v>0</v>
      </c>
      <c r="D2959" s="12">
        <f>D2958*(1-Assumptions!$B$12*(Assumptions!$B$5+Assumptions!$B$6))</f>
        <v>0.41253558033695015</v>
      </c>
      <c r="E2959" s="12">
        <f>E2958+Assumptions!$B$12*(D2958*Assumptions!$B$5-E2958*Assumptions!$B$7)</f>
        <v>0.18395557519198924</v>
      </c>
      <c r="F2959" s="12">
        <f t="shared" si="138"/>
        <v>0.40350884447106061</v>
      </c>
      <c r="G2959" s="12">
        <f>EXP(-Assumptions!$B$8*B2959)</f>
        <v>0.22866436627427503</v>
      </c>
      <c r="H2959" s="12">
        <f t="shared" si="139"/>
        <v>9.4332187043338983E-2</v>
      </c>
      <c r="I2959" s="12">
        <f t="shared" si="140"/>
        <v>4.206408502389597E-2</v>
      </c>
      <c r="J2959" s="12">
        <f>G2959*(D2959*Assumptions!$B$6+E2959*Assumptions!$B$7)</f>
        <v>3.0465261216281883E-3</v>
      </c>
    </row>
    <row r="2960" spans="1:10" x14ac:dyDescent="0.2">
      <c r="A2960" s="2">
        <v>2952</v>
      </c>
      <c r="B2960" s="14">
        <f>A2960*Assumptions!$B$12</f>
        <v>29.52</v>
      </c>
      <c r="C2960" s="15">
        <f>IF(A2960&lt;=Assumptions!$B$13,IF(OR(A2960=0,A2960=Assumptions!$B$13),0.5,1),0)*Assumptions!$B$12</f>
        <v>0</v>
      </c>
      <c r="D2960" s="12">
        <f>D2959*(1-Assumptions!$B$12*(Assumptions!$B$5+Assumptions!$B$6))</f>
        <v>0.41241181966284907</v>
      </c>
      <c r="E2960" s="12">
        <f>E2959+Assumptions!$B$12*(D2959*Assumptions!$B$5-E2959*Assumptions!$B$7)</f>
        <v>0.18394610452046065</v>
      </c>
      <c r="F2960" s="12">
        <f t="shared" si="138"/>
        <v>0.40364207581669032</v>
      </c>
      <c r="G2960" s="12">
        <f>EXP(-Assumptions!$B$8*B2960)</f>
        <v>0.22855006266942049</v>
      </c>
      <c r="H2960" s="12">
        <f t="shared" si="139"/>
        <v>9.4256747229553892E-2</v>
      </c>
      <c r="I2960" s="12">
        <f t="shared" si="140"/>
        <v>4.2040893715947054E-2</v>
      </c>
      <c r="J2960" s="12">
        <f>G2960*(D2960*Assumptions!$B$6+E2960*Assumptions!$B$7)</f>
        <v>3.0446121580928916E-3</v>
      </c>
    </row>
    <row r="2961" spans="1:10" x14ac:dyDescent="0.2">
      <c r="A2961" s="2">
        <v>2953</v>
      </c>
      <c r="B2961" s="14">
        <f>A2961*Assumptions!$B$12</f>
        <v>29.53</v>
      </c>
      <c r="C2961" s="15">
        <f>IF(A2961&lt;=Assumptions!$B$13,IF(OR(A2961=0,A2961=Assumptions!$B$13),0.5,1),0)*Assumptions!$B$12</f>
        <v>0</v>
      </c>
      <c r="D2961" s="12">
        <f>D2960*(1-Assumptions!$B$12*(Assumptions!$B$5+Assumptions!$B$6))</f>
        <v>0.41228809611695022</v>
      </c>
      <c r="E2961" s="12">
        <f>E2960+Assumptions!$B$12*(D2960*Assumptions!$B$5-E2960*Assumptions!$B$7)</f>
        <v>0.18393661383213297</v>
      </c>
      <c r="F2961" s="12">
        <f t="shared" si="138"/>
        <v>0.40377529005091684</v>
      </c>
      <c r="G2961" s="12">
        <f>EXP(-Assumptions!$B$8*B2961)</f>
        <v>0.2284358162020827</v>
      </c>
      <c r="H2961" s="12">
        <f t="shared" si="139"/>
        <v>9.4181367746878242E-2</v>
      </c>
      <c r="I2961" s="12">
        <f t="shared" si="140"/>
        <v>4.2017710510190591E-2</v>
      </c>
      <c r="J2961" s="12">
        <f>G2961*(D2961*Assumptions!$B$6+E2961*Assumptions!$B$7)</f>
        <v>3.0426992029783119E-3</v>
      </c>
    </row>
    <row r="2962" spans="1:10" x14ac:dyDescent="0.2">
      <c r="A2962" s="2">
        <v>2954</v>
      </c>
      <c r="B2962" s="14">
        <f>A2962*Assumptions!$B$12</f>
        <v>29.54</v>
      </c>
      <c r="C2962" s="15">
        <f>IF(A2962&lt;=Assumptions!$B$13,IF(OR(A2962=0,A2962=Assumptions!$B$13),0.5,1),0)*Assumptions!$B$12</f>
        <v>0</v>
      </c>
      <c r="D2962" s="12">
        <f>D2961*(1-Assumptions!$B$12*(Assumptions!$B$5+Assumptions!$B$6))</f>
        <v>0.41216440968811513</v>
      </c>
      <c r="E2962" s="12">
        <f>E2961+Assumptions!$B$12*(D2961*Assumptions!$B$5-E2961*Assumptions!$B$7)</f>
        <v>0.1839271031444403</v>
      </c>
      <c r="F2962" s="12">
        <f t="shared" si="138"/>
        <v>0.40390848716744454</v>
      </c>
      <c r="G2962" s="12">
        <f>EXP(-Assumptions!$B$8*B2962)</f>
        <v>0.22832162684370022</v>
      </c>
      <c r="H2962" s="12">
        <f t="shared" si="139"/>
        <v>9.4106048547063809E-2</v>
      </c>
      <c r="I2962" s="12">
        <f t="shared" si="140"/>
        <v>4.1994535410587661E-2</v>
      </c>
      <c r="J2962" s="12">
        <f>G2962*(D2962*Assumptions!$B$6+E2962*Assumptions!$B$7)</f>
        <v>3.0407872560000208E-3</v>
      </c>
    </row>
    <row r="2963" spans="1:10" x14ac:dyDescent="0.2">
      <c r="A2963" s="2">
        <v>2955</v>
      </c>
      <c r="B2963" s="14">
        <f>A2963*Assumptions!$B$12</f>
        <v>29.55</v>
      </c>
      <c r="C2963" s="15">
        <f>IF(A2963&lt;=Assumptions!$B$13,IF(OR(A2963=0,A2963=Assumptions!$B$13),0.5,1),0)*Assumptions!$B$12</f>
        <v>0</v>
      </c>
      <c r="D2963" s="12">
        <f>D2962*(1-Assumptions!$B$12*(Assumptions!$B$5+Assumptions!$B$6))</f>
        <v>0.4120407603652087</v>
      </c>
      <c r="E2963" s="12">
        <f>E2962+Assumptions!$B$12*(D2962*Assumptions!$B$5-E2962*Assumptions!$B$7)</f>
        <v>0.1839175724748057</v>
      </c>
      <c r="F2963" s="12">
        <f t="shared" si="138"/>
        <v>0.40404166715998557</v>
      </c>
      <c r="G2963" s="12">
        <f>EXP(-Assumptions!$B$8*B2963)</f>
        <v>0.22820749456572564</v>
      </c>
      <c r="H2963" s="12">
        <f t="shared" si="139"/>
        <v>9.4030789581900823E-2</v>
      </c>
      <c r="I2963" s="12">
        <f t="shared" si="140"/>
        <v>4.1971368421085675E-2</v>
      </c>
      <c r="J2963" s="12">
        <f>G2963*(D2963*Assumptions!$B$6+E2963*Assumptions!$B$7)</f>
        <v>3.0388763168732922E-3</v>
      </c>
    </row>
    <row r="2964" spans="1:10" x14ac:dyDescent="0.2">
      <c r="A2964" s="2">
        <v>2956</v>
      </c>
      <c r="B2964" s="14">
        <f>A2964*Assumptions!$B$12</f>
        <v>29.560000000000002</v>
      </c>
      <c r="C2964" s="15">
        <f>IF(A2964&lt;=Assumptions!$B$13,IF(OR(A2964=0,A2964=Assumptions!$B$13),0.5,1),0)*Assumptions!$B$12</f>
        <v>0</v>
      </c>
      <c r="D2964" s="12">
        <f>D2963*(1-Assumptions!$B$12*(Assumptions!$B$5+Assumptions!$B$6))</f>
        <v>0.41191714813709918</v>
      </c>
      <c r="E2964" s="12">
        <f>E2963+Assumptions!$B$12*(D2963*Assumptions!$B$5-E2963*Assumptions!$B$7)</f>
        <v>0.18390802184064134</v>
      </c>
      <c r="F2964" s="12">
        <f t="shared" si="138"/>
        <v>0.40417483002225951</v>
      </c>
      <c r="G2964" s="12">
        <f>EXP(-Assumptions!$B$8*B2964)</f>
        <v>0.22809341933962582</v>
      </c>
      <c r="H2964" s="12">
        <f t="shared" si="139"/>
        <v>9.3955590803218136E-2</v>
      </c>
      <c r="I2964" s="12">
        <f t="shared" si="140"/>
        <v>4.1948209545618467E-2</v>
      </c>
      <c r="J2964" s="12">
        <f>G2964*(D2964*Assumptions!$B$6+E2964*Assumptions!$B$7)</f>
        <v>3.0369663853131047E-3</v>
      </c>
    </row>
    <row r="2965" spans="1:10" x14ac:dyDescent="0.2">
      <c r="A2965" s="2">
        <v>2957</v>
      </c>
      <c r="B2965" s="14">
        <f>A2965*Assumptions!$B$12</f>
        <v>29.57</v>
      </c>
      <c r="C2965" s="15">
        <f>IF(A2965&lt;=Assumptions!$B$13,IF(OR(A2965=0,A2965=Assumptions!$B$13),0.5,1),0)*Assumptions!$B$12</f>
        <v>0</v>
      </c>
      <c r="D2965" s="12">
        <f>D2964*(1-Assumptions!$B$12*(Assumptions!$B$5+Assumptions!$B$6))</f>
        <v>0.41179357299265806</v>
      </c>
      <c r="E2965" s="12">
        <f>E2964+Assumptions!$B$12*(D2964*Assumptions!$B$5-E2964*Assumptions!$B$7)</f>
        <v>0.18389845125934845</v>
      </c>
      <c r="F2965" s="12">
        <f t="shared" si="138"/>
        <v>0.40430797574799349</v>
      </c>
      <c r="G2965" s="12">
        <f>EXP(-Assumptions!$B$8*B2965)</f>
        <v>0.22797940113688209</v>
      </c>
      <c r="H2965" s="12">
        <f t="shared" si="139"/>
        <v>9.3880452162883127E-2</v>
      </c>
      <c r="I2965" s="12">
        <f t="shared" si="140"/>
        <v>4.1925058788106359E-2</v>
      </c>
      <c r="J2965" s="12">
        <f>G2965*(D2965*Assumptions!$B$6+E2965*Assumptions!$B$7)</f>
        <v>3.0350574610341491E-3</v>
      </c>
    </row>
    <row r="2966" spans="1:10" x14ac:dyDescent="0.2">
      <c r="A2966" s="2">
        <v>2958</v>
      </c>
      <c r="B2966" s="14">
        <f>A2966*Assumptions!$B$12</f>
        <v>29.580000000000002</v>
      </c>
      <c r="C2966" s="15">
        <f>IF(A2966&lt;=Assumptions!$B$13,IF(OR(A2966=0,A2966=Assumptions!$B$13),0.5,1),0)*Assumptions!$B$12</f>
        <v>0</v>
      </c>
      <c r="D2966" s="12">
        <f>D2965*(1-Assumptions!$B$12*(Assumptions!$B$5+Assumptions!$B$6))</f>
        <v>0.41167003492076026</v>
      </c>
      <c r="E2966" s="12">
        <f>E2965+Assumptions!$B$12*(D2965*Assumptions!$B$5-E2965*Assumptions!$B$7)</f>
        <v>0.18388886074831731</v>
      </c>
      <c r="F2966" s="12">
        <f t="shared" si="138"/>
        <v>0.4044411043309224</v>
      </c>
      <c r="G2966" s="12">
        <f>EXP(-Assumptions!$B$8*B2966)</f>
        <v>0.22786543992898983</v>
      </c>
      <c r="H2966" s="12">
        <f t="shared" si="139"/>
        <v>9.380537361280164E-2</v>
      </c>
      <c r="I2966" s="12">
        <f t="shared" si="140"/>
        <v>4.1901916152456073E-2</v>
      </c>
      <c r="J2966" s="12">
        <f>G2966*(D2966*Assumptions!$B$6+E2966*Assumptions!$B$7)</f>
        <v>3.0331495437508202E-3</v>
      </c>
    </row>
    <row r="2967" spans="1:10" x14ac:dyDescent="0.2">
      <c r="A2967" s="2">
        <v>2959</v>
      </c>
      <c r="B2967" s="14">
        <f>A2967*Assumptions!$B$12</f>
        <v>29.59</v>
      </c>
      <c r="C2967" s="15">
        <f>IF(A2967&lt;=Assumptions!$B$13,IF(OR(A2967=0,A2967=Assumptions!$B$13),0.5,1),0)*Assumptions!$B$12</f>
        <v>0</v>
      </c>
      <c r="D2967" s="12">
        <f>D2966*(1-Assumptions!$B$12*(Assumptions!$B$5+Assumptions!$B$6))</f>
        <v>0.41154653391028406</v>
      </c>
      <c r="E2967" s="12">
        <f>E2966+Assumptions!$B$12*(D2966*Assumptions!$B$5-E2966*Assumptions!$B$7)</f>
        <v>0.1838792503249273</v>
      </c>
      <c r="F2967" s="12">
        <f t="shared" si="138"/>
        <v>0.40457421576478864</v>
      </c>
      <c r="G2967" s="12">
        <f>EXP(-Assumptions!$B$8*B2967)</f>
        <v>0.22775153568745873</v>
      </c>
      <c r="H2967" s="12">
        <f t="shared" si="139"/>
        <v>9.3730355104918006E-2</v>
      </c>
      <c r="I2967" s="12">
        <f t="shared" si="140"/>
        <v>4.1878781642560842E-2</v>
      </c>
      <c r="J2967" s="12">
        <f>G2967*(D2967*Assumptions!$B$6+E2967*Assumptions!$B$7)</f>
        <v>3.0312426331772224E-3</v>
      </c>
    </row>
    <row r="2968" spans="1:10" x14ac:dyDescent="0.2">
      <c r="A2968" s="2">
        <v>2960</v>
      </c>
      <c r="B2968" s="14">
        <f>A2968*Assumptions!$B$12</f>
        <v>29.6</v>
      </c>
      <c r="C2968" s="15">
        <f>IF(A2968&lt;=Assumptions!$B$13,IF(OR(A2968=0,A2968=Assumptions!$B$13),0.5,1),0)*Assumptions!$B$12</f>
        <v>0</v>
      </c>
      <c r="D2968" s="12">
        <f>D2967*(1-Assumptions!$B$12*(Assumptions!$B$5+Assumptions!$B$6))</f>
        <v>0.41142306995011096</v>
      </c>
      <c r="E2968" s="12">
        <f>E2967+Assumptions!$B$12*(D2967*Assumptions!$B$5-E2967*Assumptions!$B$7)</f>
        <v>0.18386962000654689</v>
      </c>
      <c r="F2968" s="12">
        <f t="shared" si="138"/>
        <v>0.40470731004334221</v>
      </c>
      <c r="G2968" s="12">
        <f>EXP(-Assumptions!$B$8*B2968)</f>
        <v>0.22763768838381268</v>
      </c>
      <c r="H2968" s="12">
        <f t="shared" si="139"/>
        <v>9.3655396591214926E-2</v>
      </c>
      <c r="I2968" s="12">
        <f t="shared" si="140"/>
        <v>4.1855655262300367E-2</v>
      </c>
      <c r="J2968" s="12">
        <f>G2968*(D2968*Assumptions!$B$6+E2968*Assumptions!$B$7)</f>
        <v>3.0293367290271677E-3</v>
      </c>
    </row>
    <row r="2969" spans="1:10" x14ac:dyDescent="0.2">
      <c r="A2969" s="2">
        <v>2961</v>
      </c>
      <c r="B2969" s="14">
        <f>A2969*Assumptions!$B$12</f>
        <v>29.61</v>
      </c>
      <c r="C2969" s="15">
        <f>IF(A2969&lt;=Assumptions!$B$13,IF(OR(A2969=0,A2969=Assumptions!$B$13),0.5,1),0)*Assumptions!$B$12</f>
        <v>0</v>
      </c>
      <c r="D2969" s="12">
        <f>D2968*(1-Assumptions!$B$12*(Assumptions!$B$5+Assumptions!$B$6))</f>
        <v>0.41129964302912597</v>
      </c>
      <c r="E2969" s="12">
        <f>E2968+Assumptions!$B$12*(D2968*Assumptions!$B$5-E2968*Assumptions!$B$7)</f>
        <v>0.18385996981053362</v>
      </c>
      <c r="F2969" s="12">
        <f t="shared" si="138"/>
        <v>0.40484038716034032</v>
      </c>
      <c r="G2969" s="12">
        <f>EXP(-Assumptions!$B$8*B2969)</f>
        <v>0.22752389798959</v>
      </c>
      <c r="H2969" s="12">
        <f t="shared" si="139"/>
        <v>9.358049802371364E-2</v>
      </c>
      <c r="I2969" s="12">
        <f t="shared" si="140"/>
        <v>4.1832537015540947E-2</v>
      </c>
      <c r="J2969" s="12">
        <f>G2969*(D2969*Assumptions!$B$6+E2969*Assumptions!$B$7)</f>
        <v>3.0274318310141838E-3</v>
      </c>
    </row>
    <row r="2970" spans="1:10" x14ac:dyDescent="0.2">
      <c r="A2970" s="2">
        <v>2962</v>
      </c>
      <c r="B2970" s="14">
        <f>A2970*Assumptions!$B$12</f>
        <v>29.62</v>
      </c>
      <c r="C2970" s="15">
        <f>IF(A2970&lt;=Assumptions!$B$13,IF(OR(A2970=0,A2970=Assumptions!$B$13),0.5,1),0)*Assumptions!$B$12</f>
        <v>0</v>
      </c>
      <c r="D2970" s="12">
        <f>D2969*(1-Assumptions!$B$12*(Assumptions!$B$5+Assumptions!$B$6))</f>
        <v>0.41117625313621725</v>
      </c>
      <c r="E2970" s="12">
        <f>E2969+Assumptions!$B$12*(D2969*Assumptions!$B$5-E2969*Assumptions!$B$7)</f>
        <v>0.18385029975423417</v>
      </c>
      <c r="F2970" s="12">
        <f t="shared" si="138"/>
        <v>0.40497344710954852</v>
      </c>
      <c r="G2970" s="12">
        <f>EXP(-Assumptions!$B$8*B2970)</f>
        <v>0.22741016447634296</v>
      </c>
      <c r="H2970" s="12">
        <f t="shared" si="139"/>
        <v>9.3505659354473594E-2</v>
      </c>
      <c r="I2970" s="12">
        <f t="shared" si="140"/>
        <v>4.1809426906135351E-2</v>
      </c>
      <c r="J2970" s="12">
        <f>G2970*(D2970*Assumptions!$B$6+E2970*Assumptions!$B$7)</f>
        <v>3.0255279388515036E-3</v>
      </c>
    </row>
    <row r="2971" spans="1:10" x14ac:dyDescent="0.2">
      <c r="A2971" s="2">
        <v>2963</v>
      </c>
      <c r="B2971" s="14">
        <f>A2971*Assumptions!$B$12</f>
        <v>29.63</v>
      </c>
      <c r="C2971" s="15">
        <f>IF(A2971&lt;=Assumptions!$B$13,IF(OR(A2971=0,A2971=Assumptions!$B$13),0.5,1),0)*Assumptions!$B$12</f>
        <v>0</v>
      </c>
      <c r="D2971" s="12">
        <f>D2970*(1-Assumptions!$B$12*(Assumptions!$B$5+Assumptions!$B$6))</f>
        <v>0.41105290026027641</v>
      </c>
      <c r="E2971" s="12">
        <f>E2970+Assumptions!$B$12*(D2970*Assumptions!$B$5-E2970*Assumptions!$B$7)</f>
        <v>0.18384060985498429</v>
      </c>
      <c r="F2971" s="12">
        <f t="shared" si="138"/>
        <v>0.4051064898847393</v>
      </c>
      <c r="G2971" s="12">
        <f>EXP(-Assumptions!$B$8*B2971)</f>
        <v>0.22729648781563824</v>
      </c>
      <c r="H2971" s="12">
        <f t="shared" si="139"/>
        <v>9.3430880535592675E-2</v>
      </c>
      <c r="I2971" s="12">
        <f t="shared" si="140"/>
        <v>4.178632493792294E-2</v>
      </c>
      <c r="J2971" s="12">
        <f>G2971*(D2971*Assumptions!$B$6+E2971*Assumptions!$B$7)</f>
        <v>3.023625052252074E-3</v>
      </c>
    </row>
    <row r="2972" spans="1:10" x14ac:dyDescent="0.2">
      <c r="A2972" s="2">
        <v>2964</v>
      </c>
      <c r="B2972" s="14">
        <f>A2972*Assumptions!$B$12</f>
        <v>29.64</v>
      </c>
      <c r="C2972" s="15">
        <f>IF(A2972&lt;=Assumptions!$B$13,IF(OR(A2972=0,A2972=Assumptions!$B$13),0.5,1),0)*Assumptions!$B$12</f>
        <v>0</v>
      </c>
      <c r="D2972" s="12">
        <f>D2971*(1-Assumptions!$B$12*(Assumptions!$B$5+Assumptions!$B$6))</f>
        <v>0.41092958439019833</v>
      </c>
      <c r="E2972" s="12">
        <f>E2971+Assumptions!$B$12*(D2971*Assumptions!$B$5-E2971*Assumptions!$B$7)</f>
        <v>0.18383090013010886</v>
      </c>
      <c r="F2972" s="12">
        <f t="shared" si="138"/>
        <v>0.40523951547969284</v>
      </c>
      <c r="G2972" s="12">
        <f>EXP(-Assumptions!$B$8*B2972)</f>
        <v>0.22718286797905662</v>
      </c>
      <c r="H2972" s="12">
        <f t="shared" si="139"/>
        <v>9.3356161519207032E-2</v>
      </c>
      <c r="I2972" s="12">
        <f t="shared" si="140"/>
        <v>4.1763231114729661E-2</v>
      </c>
      <c r="J2972" s="12">
        <f>G2972*(D2972*Assumptions!$B$6+E2972*Assumptions!$B$7)</f>
        <v>3.0217231709285535E-3</v>
      </c>
    </row>
    <row r="2973" spans="1:10" x14ac:dyDescent="0.2">
      <c r="A2973" s="2">
        <v>2965</v>
      </c>
      <c r="B2973" s="14">
        <f>A2973*Assumptions!$B$12</f>
        <v>29.650000000000002</v>
      </c>
      <c r="C2973" s="15">
        <f>IF(A2973&lt;=Assumptions!$B$13,IF(OR(A2973=0,A2973=Assumptions!$B$13),0.5,1),0)*Assumptions!$B$12</f>
        <v>0</v>
      </c>
      <c r="D2973" s="12">
        <f>D2972*(1-Assumptions!$B$12*(Assumptions!$B$5+Assumptions!$B$6))</f>
        <v>0.41080630551488129</v>
      </c>
      <c r="E2973" s="12">
        <f>E2972+Assumptions!$B$12*(D2972*Assumptions!$B$5-E2972*Assumptions!$B$7)</f>
        <v>0.18382117059692185</v>
      </c>
      <c r="F2973" s="12">
        <f t="shared" si="138"/>
        <v>0.40537252388819689</v>
      </c>
      <c r="G2973" s="12">
        <f>EXP(-Assumptions!$B$8*B2973)</f>
        <v>0.22706930493819322</v>
      </c>
      <c r="H2973" s="12">
        <f t="shared" si="139"/>
        <v>9.3281502257491142E-2</v>
      </c>
      <c r="I2973" s="12">
        <f t="shared" si="140"/>
        <v>4.1740145440368082E-2</v>
      </c>
      <c r="J2973" s="12">
        <f>G2973*(D2973*Assumptions!$B$6+E2973*Assumptions!$B$7)</f>
        <v>3.0198222945933156E-3</v>
      </c>
    </row>
    <row r="2974" spans="1:10" x14ac:dyDescent="0.2">
      <c r="A2974" s="2">
        <v>2966</v>
      </c>
      <c r="B2974" s="14">
        <f>A2974*Assumptions!$B$12</f>
        <v>29.66</v>
      </c>
      <c r="C2974" s="15">
        <f>IF(A2974&lt;=Assumptions!$B$13,IF(OR(A2974=0,A2974=Assumptions!$B$13),0.5,1),0)*Assumptions!$B$12</f>
        <v>0</v>
      </c>
      <c r="D2974" s="12">
        <f>D2973*(1-Assumptions!$B$12*(Assumptions!$B$5+Assumptions!$B$6))</f>
        <v>0.41068306362322682</v>
      </c>
      <c r="E2974" s="12">
        <f>E2973+Assumptions!$B$12*(D2973*Assumptions!$B$5-E2973*Assumptions!$B$7)</f>
        <v>0.18381142127272637</v>
      </c>
      <c r="F2974" s="12">
        <f t="shared" si="138"/>
        <v>0.40550551510404681</v>
      </c>
      <c r="G2974" s="12">
        <f>EXP(-Assumptions!$B$8*B2974)</f>
        <v>0.22695579866465723</v>
      </c>
      <c r="H2974" s="12">
        <f t="shared" si="139"/>
        <v>9.3206902702657676E-2</v>
      </c>
      <c r="I2974" s="12">
        <f t="shared" si="140"/>
        <v>4.1717067918637378E-2</v>
      </c>
      <c r="J2974" s="12">
        <f>G2974*(D2974*Assumptions!$B$6+E2974*Assumptions!$B$7)</f>
        <v>3.0179224229584458E-3</v>
      </c>
    </row>
    <row r="2975" spans="1:10" x14ac:dyDescent="0.2">
      <c r="A2975" s="2">
        <v>2967</v>
      </c>
      <c r="B2975" s="14">
        <f>A2975*Assumptions!$B$12</f>
        <v>29.67</v>
      </c>
      <c r="C2975" s="15">
        <f>IF(A2975&lt;=Assumptions!$B$13,IF(OR(A2975=0,A2975=Assumptions!$B$13),0.5,1),0)*Assumptions!$B$12</f>
        <v>0</v>
      </c>
      <c r="D2975" s="12">
        <f>D2974*(1-Assumptions!$B$12*(Assumptions!$B$5+Assumptions!$B$6))</f>
        <v>0.41055985870413986</v>
      </c>
      <c r="E2975" s="12">
        <f>E2974+Assumptions!$B$12*(D2974*Assumptions!$B$5-E2974*Assumptions!$B$7)</f>
        <v>0.18380165217481464</v>
      </c>
      <c r="F2975" s="12">
        <f t="shared" si="138"/>
        <v>0.40563848912104544</v>
      </c>
      <c r="G2975" s="12">
        <f>EXP(-Assumptions!$B$8*B2975)</f>
        <v>0.22684234913007204</v>
      </c>
      <c r="H2975" s="12">
        <f t="shared" si="139"/>
        <v>9.3132362806957539E-2</v>
      </c>
      <c r="I2975" s="12">
        <f t="shared" si="140"/>
        <v>4.1693998553323369E-2</v>
      </c>
      <c r="J2975" s="12">
        <f>G2975*(D2975*Assumptions!$B$6+E2975*Assumptions!$B$7)</f>
        <v>3.0160235557357435E-3</v>
      </c>
    </row>
    <row r="2976" spans="1:10" x14ac:dyDescent="0.2">
      <c r="A2976" s="2">
        <v>2968</v>
      </c>
      <c r="B2976" s="14">
        <f>A2976*Assumptions!$B$12</f>
        <v>29.68</v>
      </c>
      <c r="C2976" s="15">
        <f>IF(A2976&lt;=Assumptions!$B$13,IF(OR(A2976=0,A2976=Assumptions!$B$13),0.5,1),0)*Assumptions!$B$12</f>
        <v>0</v>
      </c>
      <c r="D2976" s="12">
        <f>D2975*(1-Assumptions!$B$12*(Assumptions!$B$5+Assumptions!$B$6))</f>
        <v>0.41043669074652861</v>
      </c>
      <c r="E2976" s="12">
        <f>E2975+Assumptions!$B$12*(D2975*Assumptions!$B$5-E2975*Assumptions!$B$7)</f>
        <v>0.18379186332046807</v>
      </c>
      <c r="F2976" s="12">
        <f t="shared" si="138"/>
        <v>0.40577144593300329</v>
      </c>
      <c r="G2976" s="12">
        <f>EXP(-Assumptions!$B$8*B2976)</f>
        <v>0.22672895630607542</v>
      </c>
      <c r="H2976" s="12">
        <f t="shared" si="139"/>
        <v>9.305788252267988E-2</v>
      </c>
      <c r="I2976" s="12">
        <f t="shared" si="140"/>
        <v>4.1670937348198593E-2</v>
      </c>
      <c r="J2976" s="12">
        <f>G2976*(D2976*Assumptions!$B$6+E2976*Assumptions!$B$7)</f>
        <v>3.0141256926367287E-3</v>
      </c>
    </row>
    <row r="2977" spans="1:10" x14ac:dyDescent="0.2">
      <c r="A2977" s="2">
        <v>2969</v>
      </c>
      <c r="B2977" s="14">
        <f>A2977*Assumptions!$B$12</f>
        <v>29.69</v>
      </c>
      <c r="C2977" s="15">
        <f>IF(A2977&lt;=Assumptions!$B$13,IF(OR(A2977=0,A2977=Assumptions!$B$13),0.5,1),0)*Assumptions!$B$12</f>
        <v>0</v>
      </c>
      <c r="D2977" s="12">
        <f>D2976*(1-Assumptions!$B$12*(Assumptions!$B$5+Assumptions!$B$6))</f>
        <v>0.41031355973930467</v>
      </c>
      <c r="E2977" s="12">
        <f>E2976+Assumptions!$B$12*(D2976*Assumptions!$B$5-E2976*Assumptions!$B$7)</f>
        <v>0.18378205472695713</v>
      </c>
      <c r="F2977" s="12">
        <f t="shared" si="138"/>
        <v>0.40590438553373825</v>
      </c>
      <c r="G2977" s="12">
        <f>EXP(-Assumptions!$B$8*B2977)</f>
        <v>0.22661562016431894</v>
      </c>
      <c r="H2977" s="12">
        <f t="shared" si="139"/>
        <v>9.2983461802151848E-2</v>
      </c>
      <c r="I2977" s="12">
        <f t="shared" si="140"/>
        <v>4.1647884307022195E-2</v>
      </c>
      <c r="J2977" s="12">
        <f>G2977*(D2977*Assumptions!$B$6+E2977*Assumptions!$B$7)</f>
        <v>3.0122288333726283E-3</v>
      </c>
    </row>
    <row r="2978" spans="1:10" x14ac:dyDescent="0.2">
      <c r="A2978" s="2">
        <v>2970</v>
      </c>
      <c r="B2978" s="14">
        <f>A2978*Assumptions!$B$12</f>
        <v>29.7</v>
      </c>
      <c r="C2978" s="15">
        <f>IF(A2978&lt;=Assumptions!$B$13,IF(OR(A2978=0,A2978=Assumptions!$B$13),0.5,1),0)*Assumptions!$B$12</f>
        <v>0</v>
      </c>
      <c r="D2978" s="12">
        <f>D2977*(1-Assumptions!$B$12*(Assumptions!$B$5+Assumptions!$B$6))</f>
        <v>0.4101904656713829</v>
      </c>
      <c r="E2978" s="12">
        <f>E2977+Assumptions!$B$12*(D2977*Assumptions!$B$5-E2977*Assumptions!$B$7)</f>
        <v>0.18377222641154151</v>
      </c>
      <c r="F2978" s="12">
        <f t="shared" si="138"/>
        <v>0.40603730791707565</v>
      </c>
      <c r="G2978" s="12">
        <f>EXP(-Assumptions!$B$8*B2978)</f>
        <v>0.22650234067646874</v>
      </c>
      <c r="H2978" s="12">
        <f t="shared" si="139"/>
        <v>9.2909100597738922E-2</v>
      </c>
      <c r="I2978" s="12">
        <f t="shared" si="140"/>
        <v>4.1624839433540117E-2</v>
      </c>
      <c r="J2978" s="12">
        <f>G2978*(D2978*Assumptions!$B$6+E2978*Assumptions!$B$7)</f>
        <v>3.0103329776543955E-3</v>
      </c>
    </row>
    <row r="2979" spans="1:10" x14ac:dyDescent="0.2">
      <c r="A2979" s="2">
        <v>2971</v>
      </c>
      <c r="B2979" s="14">
        <f>A2979*Assumptions!$B$12</f>
        <v>29.71</v>
      </c>
      <c r="C2979" s="15">
        <f>IF(A2979&lt;=Assumptions!$B$13,IF(OR(A2979=0,A2979=Assumptions!$B$13),0.5,1),0)*Assumptions!$B$12</f>
        <v>0</v>
      </c>
      <c r="D2979" s="12">
        <f>D2978*(1-Assumptions!$B$12*(Assumptions!$B$5+Assumptions!$B$6))</f>
        <v>0.4100674085316815</v>
      </c>
      <c r="E2979" s="12">
        <f>E2978+Assumptions!$B$12*(D2978*Assumptions!$B$5-E2978*Assumptions!$B$7)</f>
        <v>0.18376237839147</v>
      </c>
      <c r="F2979" s="12">
        <f t="shared" si="138"/>
        <v>0.40617021307684842</v>
      </c>
      <c r="G2979" s="12">
        <f>EXP(-Assumptions!$B$8*B2979)</f>
        <v>0.2263891178142049</v>
      </c>
      <c r="H2979" s="12">
        <f t="shared" si="139"/>
        <v>9.2834798861844536E-2</v>
      </c>
      <c r="I2979" s="12">
        <f t="shared" si="140"/>
        <v>4.1601802731485005E-2</v>
      </c>
      <c r="J2979" s="12">
        <f>G2979*(D2979*Assumptions!$B$6+E2979*Assumptions!$B$7)</f>
        <v>3.0084381251926956E-3</v>
      </c>
    </row>
    <row r="2980" spans="1:10" x14ac:dyDescent="0.2">
      <c r="A2980" s="2">
        <v>2972</v>
      </c>
      <c r="B2980" s="14">
        <f>A2980*Assumptions!$B$12</f>
        <v>29.72</v>
      </c>
      <c r="C2980" s="15">
        <f>IF(A2980&lt;=Assumptions!$B$13,IF(OR(A2980=0,A2980=Assumptions!$B$13),0.5,1),0)*Assumptions!$B$12</f>
        <v>0</v>
      </c>
      <c r="D2980" s="12">
        <f>D2979*(1-Assumptions!$B$12*(Assumptions!$B$5+Assumptions!$B$6))</f>
        <v>0.409944388309122</v>
      </c>
      <c r="E2980" s="12">
        <f>E2979+Assumptions!$B$12*(D2979*Assumptions!$B$5-E2979*Assumptions!$B$7)</f>
        <v>0.1837525106839806</v>
      </c>
      <c r="F2980" s="12">
        <f t="shared" si="138"/>
        <v>0.40630310100689737</v>
      </c>
      <c r="G2980" s="12">
        <f>EXP(-Assumptions!$B$8*B2980)</f>
        <v>0.2262759515492217</v>
      </c>
      <c r="H2980" s="12">
        <f t="shared" si="139"/>
        <v>9.2760556546910219E-2</v>
      </c>
      <c r="I2980" s="12">
        <f t="shared" si="140"/>
        <v>4.1578774204576237E-2</v>
      </c>
      <c r="J2980" s="12">
        <f>G2980*(D2980*Assumptions!$B$6+E2980*Assumptions!$B$7)</f>
        <v>3.006544275697914E-3</v>
      </c>
    </row>
    <row r="2981" spans="1:10" x14ac:dyDescent="0.2">
      <c r="A2981" s="2">
        <v>2973</v>
      </c>
      <c r="B2981" s="14">
        <f>A2981*Assumptions!$B$12</f>
        <v>29.73</v>
      </c>
      <c r="C2981" s="15">
        <f>IF(A2981&lt;=Assumptions!$B$13,IF(OR(A2981=0,A2981=Assumptions!$B$13),0.5,1),0)*Assumptions!$B$12</f>
        <v>0</v>
      </c>
      <c r="D2981" s="12">
        <f>D2980*(1-Assumptions!$B$12*(Assumptions!$B$5+Assumptions!$B$6))</f>
        <v>0.40982140499262926</v>
      </c>
      <c r="E2981" s="12">
        <f>E2980+Assumptions!$B$12*(D2980*Assumptions!$B$5-E2980*Assumptions!$B$7)</f>
        <v>0.18374262330630042</v>
      </c>
      <c r="F2981" s="12">
        <f t="shared" si="138"/>
        <v>0.40643597170107038</v>
      </c>
      <c r="G2981" s="12">
        <f>EXP(-Assumptions!$B$8*B2981)</f>
        <v>0.22616284185322749</v>
      </c>
      <c r="H2981" s="12">
        <f t="shared" si="139"/>
        <v>9.2686373605415512E-2</v>
      </c>
      <c r="I2981" s="12">
        <f t="shared" si="140"/>
        <v>4.1555753856519974E-2</v>
      </c>
      <c r="J2981" s="12">
        <f>G2981*(D2981*Assumptions!$B$6+E2981*Assumptions!$B$7)</f>
        <v>3.0046514288801542E-3</v>
      </c>
    </row>
    <row r="2982" spans="1:10" x14ac:dyDescent="0.2">
      <c r="A2982" s="2">
        <v>2974</v>
      </c>
      <c r="B2982" s="14">
        <f>A2982*Assumptions!$B$12</f>
        <v>29.740000000000002</v>
      </c>
      <c r="C2982" s="15">
        <f>IF(A2982&lt;=Assumptions!$B$13,IF(OR(A2982=0,A2982=Assumptions!$B$13),0.5,1),0)*Assumptions!$B$12</f>
        <v>0</v>
      </c>
      <c r="D2982" s="12">
        <f>D2981*(1-Assumptions!$B$12*(Assumptions!$B$5+Assumptions!$B$6))</f>
        <v>0.40969845857113146</v>
      </c>
      <c r="E2982" s="12">
        <f>E2981+Assumptions!$B$12*(D2981*Assumptions!$B$5-E2981*Assumptions!$B$7)</f>
        <v>0.1837327162756458</v>
      </c>
      <c r="F2982" s="12">
        <f t="shared" si="138"/>
        <v>0.40656882515322279</v>
      </c>
      <c r="G2982" s="12">
        <f>EXP(-Assumptions!$B$8*B2982)</f>
        <v>0.22604978869794498</v>
      </c>
      <c r="H2982" s="12">
        <f t="shared" si="139"/>
        <v>9.2612249989878034E-2</v>
      </c>
      <c r="I2982" s="12">
        <f t="shared" si="140"/>
        <v>4.1532741691009213E-2</v>
      </c>
      <c r="J2982" s="12">
        <f>G2982*(D2982*Assumptions!$B$6+E2982*Assumptions!$B$7)</f>
        <v>3.0027595844492405E-3</v>
      </c>
    </row>
    <row r="2983" spans="1:10" x14ac:dyDescent="0.2">
      <c r="A2983" s="2">
        <v>2975</v>
      </c>
      <c r="B2983" s="14">
        <f>A2983*Assumptions!$B$12</f>
        <v>29.75</v>
      </c>
      <c r="C2983" s="15">
        <f>IF(A2983&lt;=Assumptions!$B$13,IF(OR(A2983=0,A2983=Assumptions!$B$13),0.5,1),0)*Assumptions!$B$12</f>
        <v>0</v>
      </c>
      <c r="D2983" s="12">
        <f>D2982*(1-Assumptions!$B$12*(Assumptions!$B$5+Assumptions!$B$6))</f>
        <v>0.40957554903356014</v>
      </c>
      <c r="E2983" s="12">
        <f>E2982+Assumptions!$B$12*(D2982*Assumptions!$B$5-E2982*Assumptions!$B$7)</f>
        <v>0.1837227896092222</v>
      </c>
      <c r="F2983" s="12">
        <f t="shared" si="138"/>
        <v>0.40670166135721764</v>
      </c>
      <c r="G2983" s="12">
        <f>EXP(-Assumptions!$B$8*B2983)</f>
        <v>0.22593679205511083</v>
      </c>
      <c r="H2983" s="12">
        <f t="shared" si="139"/>
        <v>9.2538185652853322E-2</v>
      </c>
      <c r="I2983" s="12">
        <f t="shared" si="140"/>
        <v>4.1509737711723713E-2</v>
      </c>
      <c r="J2983" s="12">
        <f>G2983*(D2983*Assumptions!$B$6+E2983*Assumptions!$B$7)</f>
        <v>3.0008687421147189E-3</v>
      </c>
    </row>
    <row r="2984" spans="1:10" x14ac:dyDescent="0.2">
      <c r="A2984" s="2">
        <v>2976</v>
      </c>
      <c r="B2984" s="14">
        <f>A2984*Assumptions!$B$12</f>
        <v>29.76</v>
      </c>
      <c r="C2984" s="15">
        <f>IF(A2984&lt;=Assumptions!$B$13,IF(OR(A2984=0,A2984=Assumptions!$B$13),0.5,1),0)*Assumptions!$B$12</f>
        <v>0</v>
      </c>
      <c r="D2984" s="12">
        <f>D2983*(1-Assumptions!$B$12*(Assumptions!$B$5+Assumptions!$B$6))</f>
        <v>0.40945267636885008</v>
      </c>
      <c r="E2984" s="12">
        <f>E2983+Assumptions!$B$12*(D2983*Assumptions!$B$5-E2983*Assumptions!$B$7)</f>
        <v>0.1837128433242243</v>
      </c>
      <c r="F2984" s="12">
        <f t="shared" si="138"/>
        <v>0.40683448030692559</v>
      </c>
      <c r="G2984" s="12">
        <f>EXP(-Assumptions!$B$8*B2984)</f>
        <v>0.22582385189647583</v>
      </c>
      <c r="H2984" s="12">
        <f t="shared" si="139"/>
        <v>9.2464180546934852E-2</v>
      </c>
      <c r="I2984" s="12">
        <f t="shared" si="140"/>
        <v>4.1486741922330095E-2</v>
      </c>
      <c r="J2984" s="12">
        <f>G2984*(D2984*Assumptions!$B$6+E2984*Assumptions!$B$7)</f>
        <v>2.9989789015858535E-3</v>
      </c>
    </row>
    <row r="2985" spans="1:10" x14ac:dyDescent="0.2">
      <c r="A2985" s="2">
        <v>2977</v>
      </c>
      <c r="B2985" s="14">
        <f>A2985*Assumptions!$B$12</f>
        <v>29.77</v>
      </c>
      <c r="C2985" s="15">
        <f>IF(A2985&lt;=Assumptions!$B$13,IF(OR(A2985=0,A2985=Assumptions!$B$13),0.5,1),0)*Assumptions!$B$12</f>
        <v>0</v>
      </c>
      <c r="D2985" s="12">
        <f>D2984*(1-Assumptions!$B$12*(Assumptions!$B$5+Assumptions!$B$6))</f>
        <v>0.40932984056593946</v>
      </c>
      <c r="E2985" s="12">
        <f>E2984+Assumptions!$B$12*(D2984*Assumptions!$B$5-E2984*Assumptions!$B$7)</f>
        <v>0.18370287743783595</v>
      </c>
      <c r="F2985" s="12">
        <f t="shared" si="138"/>
        <v>0.40696728199622456</v>
      </c>
      <c r="G2985" s="12">
        <f>EXP(-Assumptions!$B$8*B2985)</f>
        <v>0.22571096819380501</v>
      </c>
      <c r="H2985" s="12">
        <f t="shared" si="139"/>
        <v>9.2390234624754042E-2</v>
      </c>
      <c r="I2985" s="12">
        <f t="shared" si="140"/>
        <v>4.1463754326481847E-2</v>
      </c>
      <c r="J2985" s="12">
        <f>G2985*(D2985*Assumptions!$B$6+E2985*Assumptions!$B$7)</f>
        <v>2.9970900625716328E-3</v>
      </c>
    </row>
    <row r="2986" spans="1:10" x14ac:dyDescent="0.2">
      <c r="A2986" s="2">
        <v>2978</v>
      </c>
      <c r="B2986" s="14">
        <f>A2986*Assumptions!$B$12</f>
        <v>29.78</v>
      </c>
      <c r="C2986" s="15">
        <f>IF(A2986&lt;=Assumptions!$B$13,IF(OR(A2986=0,A2986=Assumptions!$B$13),0.5,1),0)*Assumptions!$B$12</f>
        <v>0</v>
      </c>
      <c r="D2986" s="12">
        <f>D2985*(1-Assumptions!$B$12*(Assumptions!$B$5+Assumptions!$B$6))</f>
        <v>0.4092070416137697</v>
      </c>
      <c r="E2986" s="12">
        <f>E2985+Assumptions!$B$12*(D2985*Assumptions!$B$5-E2985*Assumptions!$B$7)</f>
        <v>0.18369289196723021</v>
      </c>
      <c r="F2986" s="12">
        <f t="shared" si="138"/>
        <v>0.40710006641900015</v>
      </c>
      <c r="G2986" s="12">
        <f>EXP(-Assumptions!$B$8*B2986)</f>
        <v>0.22559814091887742</v>
      </c>
      <c r="H2986" s="12">
        <f t="shared" si="139"/>
        <v>9.2316347838980156E-2</v>
      </c>
      <c r="I2986" s="12">
        <f t="shared" si="140"/>
        <v>4.1440774927819328E-2</v>
      </c>
      <c r="J2986" s="12">
        <f>G2986*(D2986*Assumptions!$B$6+E2986*Assumptions!$B$7)</f>
        <v>2.995202224780768E-3</v>
      </c>
    </row>
    <row r="2987" spans="1:10" x14ac:dyDescent="0.2">
      <c r="A2987" s="2">
        <v>2979</v>
      </c>
      <c r="B2987" s="14">
        <f>A2987*Assumptions!$B$12</f>
        <v>29.79</v>
      </c>
      <c r="C2987" s="15">
        <f>IF(A2987&lt;=Assumptions!$B$13,IF(OR(A2987=0,A2987=Assumptions!$B$13),0.5,1),0)*Assumptions!$B$12</f>
        <v>0</v>
      </c>
      <c r="D2987" s="12">
        <f>D2986*(1-Assumptions!$B$12*(Assumptions!$B$5+Assumptions!$B$6))</f>
        <v>0.40908427950128556</v>
      </c>
      <c r="E2987" s="12">
        <f>E2986+Assumptions!$B$12*(D2986*Assumptions!$B$5-E2986*Assumptions!$B$7)</f>
        <v>0.18368288692956936</v>
      </c>
      <c r="F2987" s="12">
        <f t="shared" si="138"/>
        <v>0.40723283356914508</v>
      </c>
      <c r="G2987" s="12">
        <f>EXP(-Assumptions!$B$8*B2987)</f>
        <v>0.22548537004348623</v>
      </c>
      <c r="H2987" s="12">
        <f t="shared" si="139"/>
        <v>9.2242520142320331E-2</v>
      </c>
      <c r="I2987" s="12">
        <f t="shared" si="140"/>
        <v>4.1417803729969789E-2</v>
      </c>
      <c r="J2987" s="12">
        <f>G2987*(D2987*Assumptions!$B$6+E2987*Assumptions!$B$7)</f>
        <v>2.9933153879216929E-3</v>
      </c>
    </row>
    <row r="2988" spans="1:10" x14ac:dyDescent="0.2">
      <c r="A2988" s="2">
        <v>2980</v>
      </c>
      <c r="B2988" s="14">
        <f>A2988*Assumptions!$B$12</f>
        <v>29.8</v>
      </c>
      <c r="C2988" s="15">
        <f>IF(A2988&lt;=Assumptions!$B$13,IF(OR(A2988=0,A2988=Assumptions!$B$13),0.5,1),0)*Assumptions!$B$12</f>
        <v>0</v>
      </c>
      <c r="D2988" s="12">
        <f>D2987*(1-Assumptions!$B$12*(Assumptions!$B$5+Assumptions!$B$6))</f>
        <v>0.40896155421743519</v>
      </c>
      <c r="E2988" s="12">
        <f>E2987+Assumptions!$B$12*(D2987*Assumptions!$B$5-E2987*Assumptions!$B$7)</f>
        <v>0.18367286234200483</v>
      </c>
      <c r="F2988" s="12">
        <f t="shared" si="138"/>
        <v>0.40736558344055995</v>
      </c>
      <c r="G2988" s="12">
        <f>EXP(-Assumptions!$B$8*B2988)</f>
        <v>0.22537265553943867</v>
      </c>
      <c r="H2988" s="12">
        <f t="shared" si="139"/>
        <v>9.216875148751949E-2</v>
      </c>
      <c r="I2988" s="12">
        <f t="shared" si="140"/>
        <v>4.1394840736547388E-2</v>
      </c>
      <c r="J2988" s="12">
        <f>G2988*(D2988*Assumptions!$B$6+E2988*Assumptions!$B$7)</f>
        <v>2.9914295517025646E-3</v>
      </c>
    </row>
    <row r="2989" spans="1:10" x14ac:dyDescent="0.2">
      <c r="A2989" s="2">
        <v>2981</v>
      </c>
      <c r="B2989" s="14">
        <f>A2989*Assumptions!$B$12</f>
        <v>29.810000000000002</v>
      </c>
      <c r="C2989" s="15">
        <f>IF(A2989&lt;=Assumptions!$B$13,IF(OR(A2989=0,A2989=Assumptions!$B$13),0.5,1),0)*Assumptions!$B$12</f>
        <v>0</v>
      </c>
      <c r="D2989" s="12">
        <f>D2988*(1-Assumptions!$B$12*(Assumptions!$B$5+Assumptions!$B$6))</f>
        <v>0.40883886575116996</v>
      </c>
      <c r="E2989" s="12">
        <f>E2988+Assumptions!$B$12*(D2988*Assumptions!$B$5-E2988*Assumptions!$B$7)</f>
        <v>0.18366281822167732</v>
      </c>
      <c r="F2989" s="12">
        <f t="shared" si="138"/>
        <v>0.40749831602715281</v>
      </c>
      <c r="G2989" s="12">
        <f>EXP(-Assumptions!$B$8*B2989)</f>
        <v>0.22525999737855623</v>
      </c>
      <c r="H2989" s="12">
        <f t="shared" si="139"/>
        <v>9.2095041827360447E-2</v>
      </c>
      <c r="I2989" s="12">
        <f t="shared" si="140"/>
        <v>4.1371885951153285E-2</v>
      </c>
      <c r="J2989" s="12">
        <f>G2989*(D2989*Assumptions!$B$6+E2989*Assumptions!$B$7)</f>
        <v>2.9895447158312686E-3</v>
      </c>
    </row>
    <row r="2990" spans="1:10" x14ac:dyDescent="0.2">
      <c r="A2990" s="2">
        <v>2982</v>
      </c>
      <c r="B2990" s="14">
        <f>A2990*Assumptions!$B$12</f>
        <v>29.82</v>
      </c>
      <c r="C2990" s="15">
        <f>IF(A2990&lt;=Assumptions!$B$13,IF(OR(A2990=0,A2990=Assumptions!$B$13),0.5,1),0)*Assumptions!$B$12</f>
        <v>0</v>
      </c>
      <c r="D2990" s="12">
        <f>D2989*(1-Assumptions!$B$12*(Assumptions!$B$5+Assumptions!$B$6))</f>
        <v>0.4087162140914446</v>
      </c>
      <c r="E2990" s="12">
        <f>E2989+Assumptions!$B$12*(D2989*Assumptions!$B$5-E2989*Assumptions!$B$7)</f>
        <v>0.18365275458571673</v>
      </c>
      <c r="F2990" s="12">
        <f t="shared" si="138"/>
        <v>0.40763103132283862</v>
      </c>
      <c r="G2990" s="12">
        <f>EXP(-Assumptions!$B$8*B2990)</f>
        <v>0.22514739553267432</v>
      </c>
      <c r="H2990" s="12">
        <f t="shared" si="139"/>
        <v>9.2021391114663675E-2</v>
      </c>
      <c r="I2990" s="12">
        <f t="shared" si="140"/>
        <v>4.1348939377375535E-2</v>
      </c>
      <c r="J2990" s="12">
        <f>G2990*(D2990*Assumptions!$B$6+E2990*Assumptions!$B$7)</f>
        <v>2.9876608800154135E-3</v>
      </c>
    </row>
    <row r="2991" spans="1:10" x14ac:dyDescent="0.2">
      <c r="A2991" s="2">
        <v>2983</v>
      </c>
      <c r="B2991" s="14">
        <f>A2991*Assumptions!$B$12</f>
        <v>29.830000000000002</v>
      </c>
      <c r="C2991" s="15">
        <f>IF(A2991&lt;=Assumptions!$B$13,IF(OR(A2991=0,A2991=Assumptions!$B$13),0.5,1),0)*Assumptions!$B$12</f>
        <v>0</v>
      </c>
      <c r="D2991" s="12">
        <f>D2990*(1-Assumptions!$B$12*(Assumptions!$B$5+Assumptions!$B$6))</f>
        <v>0.40859359922721716</v>
      </c>
      <c r="E2991" s="12">
        <f>E2990+Assumptions!$B$12*(D2990*Assumptions!$B$5-E2990*Assumptions!$B$7)</f>
        <v>0.18364267145124216</v>
      </c>
      <c r="F2991" s="12">
        <f t="shared" si="138"/>
        <v>0.4077637293215407</v>
      </c>
      <c r="G2991" s="12">
        <f>EXP(-Assumptions!$B$8*B2991)</f>
        <v>0.2250348499736424</v>
      </c>
      <c r="H2991" s="12">
        <f t="shared" si="139"/>
        <v>9.1947799302287386E-2</v>
      </c>
      <c r="I2991" s="12">
        <f t="shared" si="140"/>
        <v>4.132600101878918E-2</v>
      </c>
      <c r="J2991" s="12">
        <f>G2991*(D2991*Assumptions!$B$6+E2991*Assumptions!$B$7)</f>
        <v>2.985778043962333E-3</v>
      </c>
    </row>
    <row r="2992" spans="1:10" x14ac:dyDescent="0.2">
      <c r="A2992" s="2">
        <v>2984</v>
      </c>
      <c r="B2992" s="14">
        <f>A2992*Assumptions!$B$12</f>
        <v>29.84</v>
      </c>
      <c r="C2992" s="15">
        <f>IF(A2992&lt;=Assumptions!$B$13,IF(OR(A2992=0,A2992=Assumptions!$B$13),0.5,1),0)*Assumptions!$B$12</f>
        <v>0</v>
      </c>
      <c r="D2992" s="12">
        <f>D2991*(1-Assumptions!$B$12*(Assumptions!$B$5+Assumptions!$B$6))</f>
        <v>0.40847102114744899</v>
      </c>
      <c r="E2992" s="12">
        <f>E2991+Assumptions!$B$12*(D2991*Assumptions!$B$5-E2991*Assumptions!$B$7)</f>
        <v>0.183632568835362</v>
      </c>
      <c r="F2992" s="12">
        <f t="shared" si="138"/>
        <v>0.40789641001718907</v>
      </c>
      <c r="G2992" s="12">
        <f>EXP(-Assumptions!$B$8*B2992)</f>
        <v>0.22492236067332425</v>
      </c>
      <c r="H2992" s="12">
        <f t="shared" si="139"/>
        <v>9.1874266343127578E-2</v>
      </c>
      <c r="I2992" s="12">
        <f t="shared" si="140"/>
        <v>4.1303070878956336E-2</v>
      </c>
      <c r="J2992" s="12">
        <f>G2992*(D2992*Assumptions!$B$6+E2992*Assumptions!$B$7)</f>
        <v>2.9838962073790928E-3</v>
      </c>
    </row>
    <row r="2993" spans="1:10" x14ac:dyDescent="0.2">
      <c r="A2993" s="2">
        <v>2985</v>
      </c>
      <c r="B2993" s="14">
        <f>A2993*Assumptions!$B$12</f>
        <v>29.85</v>
      </c>
      <c r="C2993" s="15">
        <f>IF(A2993&lt;=Assumptions!$B$13,IF(OR(A2993=0,A2993=Assumptions!$B$13),0.5,1),0)*Assumptions!$B$12</f>
        <v>0</v>
      </c>
      <c r="D2993" s="12">
        <f>D2992*(1-Assumptions!$B$12*(Assumptions!$B$5+Assumptions!$B$6))</f>
        <v>0.40834847984110478</v>
      </c>
      <c r="E2993" s="12">
        <f>E2992+Assumptions!$B$12*(D2992*Assumptions!$B$5-E2992*Assumptions!$B$7)</f>
        <v>0.18362244675517381</v>
      </c>
      <c r="F2993" s="12">
        <f t="shared" si="138"/>
        <v>0.40802907340372141</v>
      </c>
      <c r="G2993" s="12">
        <f>EXP(-Assumptions!$B$8*B2993)</f>
        <v>0.22480992760359733</v>
      </c>
      <c r="H2993" s="12">
        <f t="shared" si="139"/>
        <v>9.1800792190117789E-2</v>
      </c>
      <c r="I2993" s="12">
        <f t="shared" si="140"/>
        <v>4.1280148961426032E-2</v>
      </c>
      <c r="J2993" s="12">
        <f>G2993*(D2993*Assumptions!$B$6+E2993*Assumptions!$B$7)</f>
        <v>2.9820153699724799E-3</v>
      </c>
    </row>
    <row r="2994" spans="1:10" x14ac:dyDescent="0.2">
      <c r="A2994" s="2">
        <v>2986</v>
      </c>
      <c r="B2994" s="14">
        <f>A2994*Assumptions!$B$12</f>
        <v>29.86</v>
      </c>
      <c r="C2994" s="15">
        <f>IF(A2994&lt;=Assumptions!$B$13,IF(OR(A2994=0,A2994=Assumptions!$B$13),0.5,1),0)*Assumptions!$B$12</f>
        <v>0</v>
      </c>
      <c r="D2994" s="12">
        <f>D2993*(1-Assumptions!$B$12*(Assumptions!$B$5+Assumptions!$B$6))</f>
        <v>0.40822597529715249</v>
      </c>
      <c r="E2994" s="12">
        <f>E2993+Assumptions!$B$12*(D2993*Assumptions!$B$5-E2993*Assumptions!$B$7)</f>
        <v>0.18361230522776445</v>
      </c>
      <c r="F2994" s="12">
        <f t="shared" si="138"/>
        <v>0.40816171947508312</v>
      </c>
      <c r="G2994" s="12">
        <f>EXP(-Assumptions!$B$8*B2994)</f>
        <v>0.22469755073635353</v>
      </c>
      <c r="H2994" s="12">
        <f t="shared" si="139"/>
        <v>9.1727376796229318E-2</v>
      </c>
      <c r="I2994" s="12">
        <f t="shared" si="140"/>
        <v>4.1257235269734432E-2</v>
      </c>
      <c r="J2994" s="12">
        <f>G2994*(D2994*Assumptions!$B$6+E2994*Assumptions!$B$7)</f>
        <v>2.9801355314490151E-3</v>
      </c>
    </row>
    <row r="2995" spans="1:10" x14ac:dyDescent="0.2">
      <c r="A2995" s="2">
        <v>2987</v>
      </c>
      <c r="B2995" s="14">
        <f>A2995*Assumptions!$B$12</f>
        <v>29.87</v>
      </c>
      <c r="C2995" s="15">
        <f>IF(A2995&lt;=Assumptions!$B$13,IF(OR(A2995=0,A2995=Assumptions!$B$13),0.5,1),0)*Assumptions!$B$12</f>
        <v>0</v>
      </c>
      <c r="D2995" s="12">
        <f>D2994*(1-Assumptions!$B$12*(Assumptions!$B$5+Assumptions!$B$6))</f>
        <v>0.40810350750456337</v>
      </c>
      <c r="E2995" s="12">
        <f>E2994+Assumptions!$B$12*(D2994*Assumptions!$B$5-E2994*Assumptions!$B$7)</f>
        <v>0.18360214427020999</v>
      </c>
      <c r="F2995" s="12">
        <f t="shared" si="138"/>
        <v>0.40829434822522664</v>
      </c>
      <c r="G2995" s="12">
        <f>EXP(-Assumptions!$B$8*B2995)</f>
        <v>0.22458523004349859</v>
      </c>
      <c r="H2995" s="12">
        <f t="shared" si="139"/>
        <v>9.1654020114471019E-2</v>
      </c>
      <c r="I2995" s="12">
        <f t="shared" si="140"/>
        <v>4.1234329807404727E-2</v>
      </c>
      <c r="J2995" s="12">
        <f>G2995*(D2995*Assumptions!$B$6+E2995*Assumptions!$B$7)</f>
        <v>2.9782566915149467E-3</v>
      </c>
    </row>
    <row r="2996" spans="1:10" x14ac:dyDescent="0.2">
      <c r="A2996" s="2">
        <v>2988</v>
      </c>
      <c r="B2996" s="14">
        <f>A2996*Assumptions!$B$12</f>
        <v>29.88</v>
      </c>
      <c r="C2996" s="15">
        <f>IF(A2996&lt;=Assumptions!$B$13,IF(OR(A2996=0,A2996=Assumptions!$B$13),0.5,1),0)*Assumptions!$B$12</f>
        <v>0</v>
      </c>
      <c r="D2996" s="12">
        <f>D2995*(1-Assumptions!$B$12*(Assumptions!$B$5+Assumptions!$B$6))</f>
        <v>0.40798107645231202</v>
      </c>
      <c r="E2996" s="12">
        <f>E2995+Assumptions!$B$12*(D2995*Assumptions!$B$5-E2995*Assumptions!$B$7)</f>
        <v>0.1835919638995758</v>
      </c>
      <c r="F2996" s="12">
        <f t="shared" si="138"/>
        <v>0.40842695964811226</v>
      </c>
      <c r="G2996" s="12">
        <f>EXP(-Assumptions!$B$8*B2996)</f>
        <v>0.22447296549695234</v>
      </c>
      <c r="H2996" s="12">
        <f t="shared" si="139"/>
        <v>9.1580722097889311E-2</v>
      </c>
      <c r="I2996" s="12">
        <f t="shared" si="140"/>
        <v>4.1211432577947196E-2</v>
      </c>
      <c r="J2996" s="12">
        <f>G2996*(D2996*Assumptions!$B$6+E2996*Assumptions!$B$7)</f>
        <v>2.9763788498762531E-3</v>
      </c>
    </row>
    <row r="2997" spans="1:10" x14ac:dyDescent="0.2">
      <c r="A2997" s="2">
        <v>2989</v>
      </c>
      <c r="B2997" s="14">
        <f>A2997*Assumptions!$B$12</f>
        <v>29.89</v>
      </c>
      <c r="C2997" s="15">
        <f>IF(A2997&lt;=Assumptions!$B$13,IF(OR(A2997=0,A2997=Assumptions!$B$13),0.5,1),0)*Assumptions!$B$12</f>
        <v>0</v>
      </c>
      <c r="D2997" s="12">
        <f>D2996*(1-Assumptions!$B$12*(Assumptions!$B$5+Assumptions!$B$6))</f>
        <v>0.40785868212937632</v>
      </c>
      <c r="E2997" s="12">
        <f>E2996+Assumptions!$B$12*(D2996*Assumptions!$B$5-E2996*Assumptions!$B$7)</f>
        <v>0.18358176413291646</v>
      </c>
      <c r="F2997" s="12">
        <f t="shared" si="138"/>
        <v>0.40855955373770714</v>
      </c>
      <c r="G2997" s="12">
        <f>EXP(-Assumptions!$B$8*B2997)</f>
        <v>0.22436075706864858</v>
      </c>
      <c r="H2997" s="12">
        <f t="shared" si="139"/>
        <v>9.1507482699568168E-2</v>
      </c>
      <c r="I2997" s="12">
        <f t="shared" si="140"/>
        <v>4.1188543584859211E-2</v>
      </c>
      <c r="J2997" s="12">
        <f>G2997*(D2997*Assumptions!$B$6+E2997*Assumptions!$B$7)</f>
        <v>2.9745020062386428E-3</v>
      </c>
    </row>
    <row r="2998" spans="1:10" x14ac:dyDescent="0.2">
      <c r="A2998" s="2">
        <v>2990</v>
      </c>
      <c r="B2998" s="14">
        <f>A2998*Assumptions!$B$12</f>
        <v>29.900000000000002</v>
      </c>
      <c r="C2998" s="15">
        <f>IF(A2998&lt;=Assumptions!$B$13,IF(OR(A2998=0,A2998=Assumptions!$B$13),0.5,1),0)*Assumptions!$B$12</f>
        <v>0</v>
      </c>
      <c r="D2998" s="12">
        <f>D2997*(1-Assumptions!$B$12*(Assumptions!$B$5+Assumptions!$B$6))</f>
        <v>0.40773632452473751</v>
      </c>
      <c r="E2998" s="12">
        <f>E2997+Assumptions!$B$12*(D2997*Assumptions!$B$5-E2997*Assumptions!$B$7)</f>
        <v>0.18357154498727588</v>
      </c>
      <c r="F2998" s="12">
        <f t="shared" si="138"/>
        <v>0.40869213048798658</v>
      </c>
      <c r="G2998" s="12">
        <f>EXP(-Assumptions!$B$8*B2998)</f>
        <v>0.22424860473053532</v>
      </c>
      <c r="H2998" s="12">
        <f t="shared" si="139"/>
        <v>9.1434301872629131E-2</v>
      </c>
      <c r="I2998" s="12">
        <f t="shared" si="140"/>
        <v>4.1165662831625309E-2</v>
      </c>
      <c r="J2998" s="12">
        <f>G2998*(D2998*Assumptions!$B$6+E2998*Assumptions!$B$7)</f>
        <v>2.9726261603075566E-3</v>
      </c>
    </row>
    <row r="2999" spans="1:10" x14ac:dyDescent="0.2">
      <c r="A2999" s="2">
        <v>2991</v>
      </c>
      <c r="B2999" s="14">
        <f>A2999*Assumptions!$B$12</f>
        <v>29.91</v>
      </c>
      <c r="C2999" s="15">
        <f>IF(A2999&lt;=Assumptions!$B$13,IF(OR(A2999=0,A2999=Assumptions!$B$13),0.5,1),0)*Assumptions!$B$12</f>
        <v>0</v>
      </c>
      <c r="D2999" s="12">
        <f>D2998*(1-Assumptions!$B$12*(Assumptions!$B$5+Assumptions!$B$6))</f>
        <v>0.40761400362738009</v>
      </c>
      <c r="E2999" s="12">
        <f>E2998+Assumptions!$B$12*(D2998*Assumptions!$B$5-E2998*Assumptions!$B$7)</f>
        <v>0.18356130647968719</v>
      </c>
      <c r="F2999" s="12">
        <f t="shared" si="138"/>
        <v>0.40882468989293275</v>
      </c>
      <c r="G2999" s="12">
        <f>EXP(-Assumptions!$B$8*B2999)</f>
        <v>0.22413650845457439</v>
      </c>
      <c r="H2999" s="12">
        <f t="shared" si="139"/>
        <v>9.1361179570231196E-2</v>
      </c>
      <c r="I2999" s="12">
        <f t="shared" si="140"/>
        <v>4.1142790321717131E-2</v>
      </c>
      <c r="J2999" s="12">
        <f>G2999*(D2999*Assumptions!$B$6+E2999*Assumptions!$B$7)</f>
        <v>2.9707513117881684E-3</v>
      </c>
    </row>
    <row r="3000" spans="1:10" x14ac:dyDescent="0.2">
      <c r="A3000" s="2">
        <v>2992</v>
      </c>
      <c r="B3000" s="14">
        <f>A3000*Assumptions!$B$12</f>
        <v>29.92</v>
      </c>
      <c r="C3000" s="15">
        <f>IF(A3000&lt;=Assumptions!$B$13,IF(OR(A3000=0,A3000=Assumptions!$B$13),0.5,1),0)*Assumptions!$B$12</f>
        <v>0</v>
      </c>
      <c r="D3000" s="12">
        <f>D2999*(1-Assumptions!$B$12*(Assumptions!$B$5+Assumptions!$B$6))</f>
        <v>0.40749171942629192</v>
      </c>
      <c r="E3000" s="12">
        <f>E2999+Assumptions!$B$12*(D2999*Assumptions!$B$5-E2999*Assumptions!$B$7)</f>
        <v>0.18355104862717281</v>
      </c>
      <c r="F3000" s="12">
        <f t="shared" si="138"/>
        <v>0.40895723194653527</v>
      </c>
      <c r="G3000" s="12">
        <f>EXP(-Assumptions!$B$8*B3000)</f>
        <v>0.22402446821274169</v>
      </c>
      <c r="H3000" s="12">
        <f t="shared" si="139"/>
        <v>9.1288115745570789E-2</v>
      </c>
      <c r="I3000" s="12">
        <f t="shared" si="140"/>
        <v>4.1119926058593478E-2</v>
      </c>
      <c r="J3000" s="12">
        <f>G3000*(D3000*Assumptions!$B$6+E3000*Assumptions!$B$7)</f>
        <v>2.9688774603853817E-3</v>
      </c>
    </row>
    <row r="3001" spans="1:10" x14ac:dyDescent="0.2">
      <c r="A3001" s="2">
        <v>2993</v>
      </c>
      <c r="B3001" s="14">
        <f>A3001*Assumptions!$B$12</f>
        <v>29.93</v>
      </c>
      <c r="C3001" s="15">
        <f>IF(A3001&lt;=Assumptions!$B$13,IF(OR(A3001=0,A3001=Assumptions!$B$13),0.5,1),0)*Assumptions!$B$12</f>
        <v>0</v>
      </c>
      <c r="D3001" s="12">
        <f>D3000*(1-Assumptions!$B$12*(Assumptions!$B$5+Assumptions!$B$6))</f>
        <v>0.40736947191046402</v>
      </c>
      <c r="E3001" s="12">
        <f>E3000+Assumptions!$B$12*(D3000*Assumptions!$B$5-E3000*Assumptions!$B$7)</f>
        <v>0.18354077144674449</v>
      </c>
      <c r="F3001" s="12">
        <f t="shared" si="138"/>
        <v>0.40908975664279146</v>
      </c>
      <c r="G3001" s="12">
        <f>EXP(-Assumptions!$B$8*B3001)</f>
        <v>0.22391248397702726</v>
      </c>
      <c r="H3001" s="12">
        <f t="shared" si="139"/>
        <v>9.1215110351881831E-2</v>
      </c>
      <c r="I3001" s="12">
        <f t="shared" si="140"/>
        <v>4.1097070045700401E-2</v>
      </c>
      <c r="J3001" s="12">
        <f>G3001*(D3001*Assumptions!$B$6+E3001*Assumptions!$B$7)</f>
        <v>2.9670046058038382E-3</v>
      </c>
    </row>
    <row r="3002" spans="1:10" x14ac:dyDescent="0.2">
      <c r="A3002" s="2">
        <v>2994</v>
      </c>
      <c r="B3002" s="14">
        <f>A3002*Assumptions!$B$12</f>
        <v>29.94</v>
      </c>
      <c r="C3002" s="15">
        <f>IF(A3002&lt;=Assumptions!$B$13,IF(OR(A3002=0,A3002=Assumptions!$B$13),0.5,1),0)*Assumptions!$B$12</f>
        <v>0</v>
      </c>
      <c r="D3002" s="12">
        <f>D3001*(1-Assumptions!$B$12*(Assumptions!$B$5+Assumptions!$B$6))</f>
        <v>0.40724726106889092</v>
      </c>
      <c r="E3002" s="12">
        <f>E3001+Assumptions!$B$12*(D3001*Assumptions!$B$5-E3001*Assumptions!$B$7)</f>
        <v>0.18353047495540323</v>
      </c>
      <c r="F3002" s="12">
        <f t="shared" si="138"/>
        <v>0.40922226397570594</v>
      </c>
      <c r="G3002" s="12">
        <f>EXP(-Assumptions!$B$8*B3002)</f>
        <v>0.223800555719435</v>
      </c>
      <c r="H3002" s="12">
        <f t="shared" si="139"/>
        <v>9.1142163342435606E-2</v>
      </c>
      <c r="I3002" s="12">
        <f t="shared" si="140"/>
        <v>4.107422228647109E-2</v>
      </c>
      <c r="J3002" s="12">
        <f>G3002*(D3002*Assumptions!$B$6+E3002*Assumptions!$B$7)</f>
        <v>2.9651327477479106E-3</v>
      </c>
    </row>
    <row r="3003" spans="1:10" x14ac:dyDescent="0.2">
      <c r="A3003" s="2">
        <v>2995</v>
      </c>
      <c r="B3003" s="14">
        <f>A3003*Assumptions!$B$12</f>
        <v>29.95</v>
      </c>
      <c r="C3003" s="15">
        <f>IF(A3003&lt;=Assumptions!$B$13,IF(OR(A3003=0,A3003=Assumptions!$B$13),0.5,1),0)*Assumptions!$B$12</f>
        <v>0</v>
      </c>
      <c r="D3003" s="12">
        <f>D3002*(1-Assumptions!$B$12*(Assumptions!$B$5+Assumptions!$B$6))</f>
        <v>0.40712508689057025</v>
      </c>
      <c r="E3003" s="12">
        <f>E3002+Assumptions!$B$12*(D3002*Assumptions!$B$5-E3002*Assumptions!$B$7)</f>
        <v>0.18352015917013931</v>
      </c>
      <c r="F3003" s="12">
        <f t="shared" si="138"/>
        <v>0.40935475393929044</v>
      </c>
      <c r="G3003" s="12">
        <f>EXP(-Assumptions!$B$8*B3003)</f>
        <v>0.22368868341198284</v>
      </c>
      <c r="H3003" s="12">
        <f t="shared" si="139"/>
        <v>9.1069274670540767E-2</v>
      </c>
      <c r="I3003" s="12">
        <f t="shared" si="140"/>
        <v>4.105138278432599E-2</v>
      </c>
      <c r="J3003" s="12">
        <f>G3003*(D3003*Assumptions!$B$6+E3003*Assumptions!$B$7)</f>
        <v>2.9632618859217075E-3</v>
      </c>
    </row>
    <row r="3004" spans="1:10" x14ac:dyDescent="0.2">
      <c r="A3004" s="2">
        <v>2996</v>
      </c>
      <c r="B3004" s="14">
        <f>A3004*Assumptions!$B$12</f>
        <v>29.96</v>
      </c>
      <c r="C3004" s="15">
        <f>IF(A3004&lt;=Assumptions!$B$13,IF(OR(A3004=0,A3004=Assumptions!$B$13),0.5,1),0)*Assumptions!$B$12</f>
        <v>0</v>
      </c>
      <c r="D3004" s="12">
        <f>D3003*(1-Assumptions!$B$12*(Assumptions!$B$5+Assumptions!$B$6))</f>
        <v>0.4070029493645031</v>
      </c>
      <c r="E3004" s="12">
        <f>E3003+Assumptions!$B$12*(D3003*Assumptions!$B$5-E3003*Assumptions!$B$7)</f>
        <v>0.18350982410793235</v>
      </c>
      <c r="F3004" s="12">
        <f t="shared" si="138"/>
        <v>0.40948722652756453</v>
      </c>
      <c r="G3004" s="12">
        <f>EXP(-Assumptions!$B$8*B3004)</f>
        <v>0.22357686702670262</v>
      </c>
      <c r="H3004" s="12">
        <f t="shared" si="139"/>
        <v>9.0996444289543288E-2</v>
      </c>
      <c r="I3004" s="12">
        <f t="shared" si="140"/>
        <v>4.1028551542672778E-2</v>
      </c>
      <c r="J3004" s="12">
        <f>G3004*(D3004*Assumptions!$B$6+E3004*Assumptions!$B$7)</f>
        <v>2.9613920200290715E-3</v>
      </c>
    </row>
    <row r="3005" spans="1:10" x14ac:dyDescent="0.2">
      <c r="A3005" s="2">
        <v>2997</v>
      </c>
      <c r="B3005" s="14">
        <f>A3005*Assumptions!$B$12</f>
        <v>29.97</v>
      </c>
      <c r="C3005" s="15">
        <f>IF(A3005&lt;=Assumptions!$B$13,IF(OR(A3005=0,A3005=Assumptions!$B$13),0.5,1),0)*Assumptions!$B$12</f>
        <v>0</v>
      </c>
      <c r="D3005" s="12">
        <f>D3004*(1-Assumptions!$B$12*(Assumptions!$B$5+Assumptions!$B$6))</f>
        <v>0.40688084847969375</v>
      </c>
      <c r="E3005" s="12">
        <f>E3004+Assumptions!$B$12*(D3004*Assumptions!$B$5-E3004*Assumptions!$B$7)</f>
        <v>0.18349946978575127</v>
      </c>
      <c r="F3005" s="12">
        <f t="shared" si="138"/>
        <v>0.40961968173455499</v>
      </c>
      <c r="G3005" s="12">
        <f>EXP(-Assumptions!$B$8*B3005)</f>
        <v>0.22346510653564045</v>
      </c>
      <c r="H3005" s="12">
        <f t="shared" si="139"/>
        <v>9.092367215282654E-2</v>
      </c>
      <c r="I3005" s="12">
        <f t="shared" si="140"/>
        <v>4.1005728564906439E-2</v>
      </c>
      <c r="J3005" s="12">
        <f>G3005*(D3005*Assumptions!$B$6+E3005*Assumptions!$B$7)</f>
        <v>2.9595231497735876E-3</v>
      </c>
    </row>
    <row r="3006" spans="1:10" x14ac:dyDescent="0.2">
      <c r="A3006" s="2">
        <v>2998</v>
      </c>
      <c r="B3006" s="14">
        <f>A3006*Assumptions!$B$12</f>
        <v>29.98</v>
      </c>
      <c r="C3006" s="15">
        <f>IF(A3006&lt;=Assumptions!$B$13,IF(OR(A3006=0,A3006=Assumptions!$B$13),0.5,1),0)*Assumptions!$B$12</f>
        <v>0</v>
      </c>
      <c r="D3006" s="12">
        <f>D3005*(1-Assumptions!$B$12*(Assumptions!$B$5+Assumptions!$B$6))</f>
        <v>0.40675878422514983</v>
      </c>
      <c r="E3006" s="12">
        <f>E3005+Assumptions!$B$12*(D3005*Assumptions!$B$5-E3005*Assumptions!$B$7)</f>
        <v>0.18348909622055434</v>
      </c>
      <c r="F3006" s="12">
        <f t="shared" si="138"/>
        <v>0.4097521195542958</v>
      </c>
      <c r="G3006" s="12">
        <f>EXP(-Assumptions!$B$8*B3006)</f>
        <v>0.22335340191085598</v>
      </c>
      <c r="H3006" s="12">
        <f t="shared" si="139"/>
        <v>9.0850958213811034E-2</v>
      </c>
      <c r="I3006" s="12">
        <f t="shared" si="140"/>
        <v>4.0982913854409199E-2</v>
      </c>
      <c r="J3006" s="12">
        <f>G3006*(D3006*Assumptions!$B$6+E3006*Assumptions!$B$7)</f>
        <v>2.9576552748585704E-3</v>
      </c>
    </row>
    <row r="3007" spans="1:10" x14ac:dyDescent="0.2">
      <c r="A3007" s="2">
        <v>2999</v>
      </c>
      <c r="B3007" s="14">
        <f>A3007*Assumptions!$B$12</f>
        <v>29.990000000000002</v>
      </c>
      <c r="C3007" s="15">
        <f>IF(A3007&lt;=Assumptions!$B$13,IF(OR(A3007=0,A3007=Assumptions!$B$13),0.5,1),0)*Assumptions!$B$12</f>
        <v>0</v>
      </c>
      <c r="D3007" s="12">
        <f>D3006*(1-Assumptions!$B$12*(Assumptions!$B$5+Assumptions!$B$6))</f>
        <v>0.4066367565898823</v>
      </c>
      <c r="E3007" s="12">
        <f>E3006+Assumptions!$B$12*(D3006*Assumptions!$B$5-E3006*Assumptions!$B$7)</f>
        <v>0.1834787034292891</v>
      </c>
      <c r="F3007" s="12">
        <f t="shared" si="138"/>
        <v>0.40988453998082863</v>
      </c>
      <c r="G3007" s="12">
        <f>EXP(-Assumptions!$B$8*B3007)</f>
        <v>0.22324175312442313</v>
      </c>
      <c r="H3007" s="12">
        <f t="shared" si="139"/>
        <v>9.0778302425954638E-2</v>
      </c>
      <c r="I3007" s="12">
        <f t="shared" si="140"/>
        <v>4.0960107414550605E-2</v>
      </c>
      <c r="J3007" s="12">
        <f>G3007*(D3007*Assumptions!$B$6+E3007*Assumptions!$B$7)</f>
        <v>2.9557883949870765E-3</v>
      </c>
    </row>
    <row r="3008" spans="1:10" x14ac:dyDescent="0.2">
      <c r="A3008" s="2">
        <v>3000</v>
      </c>
      <c r="B3008" s="14">
        <f>A3008*Assumptions!$B$12</f>
        <v>30</v>
      </c>
      <c r="C3008" s="15">
        <f>IF(A3008&lt;=Assumptions!$B$13,IF(OR(A3008=0,A3008=Assumptions!$B$13),0.5,1),0)*Assumptions!$B$12</f>
        <v>0</v>
      </c>
      <c r="D3008" s="12">
        <f>D3007*(1-Assumptions!$B$12*(Assumptions!$B$5+Assumptions!$B$6))</f>
        <v>0.40651476556290533</v>
      </c>
      <c r="E3008" s="12">
        <f>E3007+Assumptions!$B$12*(D3007*Assumptions!$B$5-E3007*Assumptions!$B$7)</f>
        <v>0.18346829142889243</v>
      </c>
      <c r="F3008" s="12">
        <f t="shared" si="138"/>
        <v>0.41001694300820224</v>
      </c>
      <c r="G3008" s="12">
        <f>EXP(-Assumptions!$B$8*B3008)</f>
        <v>0.22313016014842982</v>
      </c>
      <c r="H3008" s="12">
        <f t="shared" si="139"/>
        <v>9.0705704742752469E-2</v>
      </c>
      <c r="I3008" s="12">
        <f t="shared" si="140"/>
        <v>4.0937309248687562E-2</v>
      </c>
      <c r="J3008" s="12">
        <f>G3008*(D3008*Assumptions!$B$6+E3008*Assumptions!$B$7)</f>
        <v>2.9539225098619026E-3</v>
      </c>
    </row>
    <row r="3009" spans="1:10" x14ac:dyDescent="0.2">
      <c r="A3009" s="2">
        <v>3001</v>
      </c>
      <c r="B3009" s="14">
        <f>A3009*Assumptions!$B$12</f>
        <v>30.01</v>
      </c>
      <c r="C3009" s="15">
        <f>IF(A3009&lt;=Assumptions!$B$13,IF(OR(A3009=0,A3009=Assumptions!$B$13),0.5,1),0)*Assumptions!$B$12</f>
        <v>0</v>
      </c>
      <c r="D3009" s="12">
        <f>D3008*(1-Assumptions!$B$12*(Assumptions!$B$5+Assumptions!$B$6))</f>
        <v>0.4063928111332365</v>
      </c>
      <c r="E3009" s="12">
        <f>E3008+Assumptions!$B$12*(D3008*Assumptions!$B$5-E3008*Assumptions!$B$7)</f>
        <v>0.18345786023629057</v>
      </c>
      <c r="F3009" s="12">
        <f t="shared" si="138"/>
        <v>0.41014932863047299</v>
      </c>
      <c r="G3009" s="12">
        <f>EXP(-Assumptions!$B$8*B3009)</f>
        <v>0.22301862295497762</v>
      </c>
      <c r="H3009" s="12">
        <f t="shared" si="139"/>
        <v>9.0633165117736697E-2</v>
      </c>
      <c r="I3009" s="12">
        <f t="shared" si="140"/>
        <v>4.091451936016427E-2</v>
      </c>
      <c r="J3009" s="12">
        <f>G3009*(D3009*Assumptions!$B$6+E3009*Assumptions!$B$7)</f>
        <v>2.9520576191855805E-3</v>
      </c>
    </row>
    <row r="3010" spans="1:10" x14ac:dyDescent="0.2">
      <c r="A3010" s="2">
        <v>3002</v>
      </c>
      <c r="B3010" s="14">
        <f>A3010*Assumptions!$B$12</f>
        <v>30.02</v>
      </c>
      <c r="C3010" s="15">
        <f>IF(A3010&lt;=Assumptions!$B$13,IF(OR(A3010=0,A3010=Assumptions!$B$13),0.5,1),0)*Assumptions!$B$12</f>
        <v>0</v>
      </c>
      <c r="D3010" s="12">
        <f>D3009*(1-Assumptions!$B$12*(Assumptions!$B$5+Assumptions!$B$6))</f>
        <v>0.40627089328989652</v>
      </c>
      <c r="E3010" s="12">
        <f>E3009+Assumptions!$B$12*(D3009*Assumptions!$B$5-E3009*Assumptions!$B$7)</f>
        <v>0.18344740986839908</v>
      </c>
      <c r="F3010" s="12">
        <f t="shared" si="138"/>
        <v>0.4102816968417044</v>
      </c>
      <c r="G3010" s="12">
        <f>EXP(-Assumptions!$B$8*B3010)</f>
        <v>0.22290714151618238</v>
      </c>
      <c r="H3010" s="12">
        <f t="shared" si="139"/>
        <v>9.0560683504476797E-2</v>
      </c>
      <c r="I3010" s="12">
        <f t="shared" si="140"/>
        <v>4.0891737752312349E-2</v>
      </c>
      <c r="J3010" s="12">
        <f>G3010*(D3010*Assumptions!$B$6+E3010*Assumptions!$B$7)</f>
        <v>2.9501937226603858E-3</v>
      </c>
    </row>
    <row r="3011" spans="1:10" x14ac:dyDescent="0.2">
      <c r="A3011" s="2">
        <v>3003</v>
      </c>
      <c r="B3011" s="14">
        <f>A3011*Assumptions!$B$12</f>
        <v>30.03</v>
      </c>
      <c r="C3011" s="15">
        <f>IF(A3011&lt;=Assumptions!$B$13,IF(OR(A3011=0,A3011=Assumptions!$B$13),0.5,1),0)*Assumptions!$B$12</f>
        <v>0</v>
      </c>
      <c r="D3011" s="12">
        <f>D3010*(1-Assumptions!$B$12*(Assumptions!$B$5+Assumptions!$B$6))</f>
        <v>0.40614901202190956</v>
      </c>
      <c r="E3011" s="12">
        <f>E3010+Assumptions!$B$12*(D3010*Assumptions!$B$5-E3010*Assumptions!$B$7)</f>
        <v>0.18343694034212285</v>
      </c>
      <c r="F3011" s="12">
        <f t="shared" si="138"/>
        <v>0.41041404763596756</v>
      </c>
      <c r="G3011" s="12">
        <f>EXP(-Assumptions!$B$8*B3011)</f>
        <v>0.22279571580417368</v>
      </c>
      <c r="H3011" s="12">
        <f t="shared" si="139"/>
        <v>9.0488259856579281E-2</v>
      </c>
      <c r="I3011" s="12">
        <f t="shared" si="140"/>
        <v>4.0868964428450762E-2</v>
      </c>
      <c r="J3011" s="12">
        <f>G3011*(D3011*Assumptions!$B$6+E3011*Assumptions!$B$7)</f>
        <v>2.9483308199883314E-3</v>
      </c>
    </row>
    <row r="3012" spans="1:10" x14ac:dyDescent="0.2">
      <c r="A3012" s="2">
        <v>3004</v>
      </c>
      <c r="B3012" s="14">
        <f>A3012*Assumptions!$B$12</f>
        <v>30.04</v>
      </c>
      <c r="C3012" s="15">
        <f>IF(A3012&lt;=Assumptions!$B$13,IF(OR(A3012=0,A3012=Assumptions!$B$13),0.5,1),0)*Assumptions!$B$12</f>
        <v>0</v>
      </c>
      <c r="D3012" s="12">
        <f>D3011*(1-Assumptions!$B$12*(Assumptions!$B$5+Assumptions!$B$6))</f>
        <v>0.40602716731830302</v>
      </c>
      <c r="E3012" s="12">
        <f>E3011+Assumptions!$B$12*(D3011*Assumptions!$B$5-E3011*Assumptions!$B$7)</f>
        <v>0.18342645167435617</v>
      </c>
      <c r="F3012" s="12">
        <f t="shared" si="138"/>
        <v>0.41054638100734081</v>
      </c>
      <c r="G3012" s="12">
        <f>EXP(-Assumptions!$B$8*B3012)</f>
        <v>0.22268434579109508</v>
      </c>
      <c r="H3012" s="12">
        <f t="shared" si="139"/>
        <v>9.0415894127687815E-2</v>
      </c>
      <c r="I3012" s="12">
        <f t="shared" si="140"/>
        <v>4.0846199391885919E-2</v>
      </c>
      <c r="J3012" s="12">
        <f>G3012*(D3012*Assumptions!$B$6+E3012*Assumptions!$B$7)</f>
        <v>2.9464689108711743E-3</v>
      </c>
    </row>
    <row r="3013" spans="1:10" x14ac:dyDescent="0.2">
      <c r="A3013" s="2">
        <v>3005</v>
      </c>
      <c r="B3013" s="14">
        <f>A3013*Assumptions!$B$12</f>
        <v>30.05</v>
      </c>
      <c r="C3013" s="15">
        <f>IF(A3013&lt;=Assumptions!$B$13,IF(OR(A3013=0,A3013=Assumptions!$B$13),0.5,1),0)*Assumptions!$B$12</f>
        <v>0</v>
      </c>
      <c r="D3013" s="12">
        <f>D3012*(1-Assumptions!$B$12*(Assumptions!$B$5+Assumptions!$B$6))</f>
        <v>0.40590535916810755</v>
      </c>
      <c r="E3013" s="12">
        <f>E3012+Assumptions!$B$12*(D3012*Assumptions!$B$5-E3012*Assumptions!$B$7)</f>
        <v>0.18341594388198265</v>
      </c>
      <c r="F3013" s="12">
        <f t="shared" si="138"/>
        <v>0.41067869694990977</v>
      </c>
      <c r="G3013" s="12">
        <f>EXP(-Assumptions!$B$8*B3013)</f>
        <v>0.22257303144910404</v>
      </c>
      <c r="H3013" s="12">
        <f t="shared" si="139"/>
        <v>9.0343586271483076E-2</v>
      </c>
      <c r="I3013" s="12">
        <f t="shared" si="140"/>
        <v>4.0823442645911624E-2</v>
      </c>
      <c r="J3013" s="12">
        <f>G3013*(D3013*Assumptions!$B$6+E3013*Assumptions!$B$7)</f>
        <v>2.9446079950104119E-3</v>
      </c>
    </row>
    <row r="3014" spans="1:10" x14ac:dyDescent="0.2">
      <c r="A3014" s="2">
        <v>3006</v>
      </c>
      <c r="B3014" s="14">
        <f>A3014*Assumptions!$B$12</f>
        <v>30.060000000000002</v>
      </c>
      <c r="C3014" s="15">
        <f>IF(A3014&lt;=Assumptions!$B$13,IF(OR(A3014=0,A3014=Assumptions!$B$13),0.5,1),0)*Assumptions!$B$12</f>
        <v>0</v>
      </c>
      <c r="D3014" s="12">
        <f>D3013*(1-Assumptions!$B$12*(Assumptions!$B$5+Assumptions!$B$6))</f>
        <v>0.40578358756035715</v>
      </c>
      <c r="E3014" s="12">
        <f>E3013+Assumptions!$B$12*(D3013*Assumptions!$B$5-E3013*Assumptions!$B$7)</f>
        <v>0.18340541698187529</v>
      </c>
      <c r="F3014" s="12">
        <f t="shared" si="138"/>
        <v>0.41081099545776756</v>
      </c>
      <c r="G3014" s="12">
        <f>EXP(-Assumptions!$B$8*B3014)</f>
        <v>0.22246177275037207</v>
      </c>
      <c r="H3014" s="12">
        <f t="shared" si="139"/>
        <v>9.0271336241682876E-2</v>
      </c>
      <c r="I3014" s="12">
        <f t="shared" si="140"/>
        <v>4.0800694193809169E-2</v>
      </c>
      <c r="J3014" s="12">
        <f>G3014*(D3014*Assumptions!$B$6+E3014*Assumptions!$B$7)</f>
        <v>2.9427480721072874E-3</v>
      </c>
    </row>
    <row r="3015" spans="1:10" x14ac:dyDescent="0.2">
      <c r="A3015" s="2">
        <v>3007</v>
      </c>
      <c r="B3015" s="14">
        <f>A3015*Assumptions!$B$12</f>
        <v>30.07</v>
      </c>
      <c r="C3015" s="15">
        <f>IF(A3015&lt;=Assumptions!$B$13,IF(OR(A3015=0,A3015=Assumptions!$B$13),0.5,1),0)*Assumptions!$B$12</f>
        <v>0</v>
      </c>
      <c r="D3015" s="12">
        <f>D3014*(1-Assumptions!$B$12*(Assumptions!$B$5+Assumptions!$B$6))</f>
        <v>0.40566185248408904</v>
      </c>
      <c r="E3015" s="12">
        <f>E3014+Assumptions!$B$12*(D3014*Assumptions!$B$5-E3014*Assumptions!$B$7)</f>
        <v>0.18339487099089644</v>
      </c>
      <c r="F3015" s="12">
        <f t="shared" si="138"/>
        <v>0.4109432765250145</v>
      </c>
      <c r="G3015" s="12">
        <f>EXP(-Assumptions!$B$8*B3015)</f>
        <v>0.22235056966708444</v>
      </c>
      <c r="H3015" s="12">
        <f t="shared" si="139"/>
        <v>9.0199143992041972E-2</v>
      </c>
      <c r="I3015" s="12">
        <f t="shared" si="140"/>
        <v>4.0777954038847285E-2</v>
      </c>
      <c r="J3015" s="12">
        <f>G3015*(D3015*Assumptions!$B$6+E3015*Assumptions!$B$7)</f>
        <v>2.9408891418627836E-3</v>
      </c>
    </row>
    <row r="3016" spans="1:10" x14ac:dyDescent="0.2">
      <c r="A3016" s="2">
        <v>3008</v>
      </c>
      <c r="B3016" s="14">
        <f>A3016*Assumptions!$B$12</f>
        <v>30.080000000000002</v>
      </c>
      <c r="C3016" s="15">
        <f>IF(A3016&lt;=Assumptions!$B$13,IF(OR(A3016=0,A3016=Assumptions!$B$13),0.5,1),0)*Assumptions!$B$12</f>
        <v>0</v>
      </c>
      <c r="D3016" s="12">
        <f>D3015*(1-Assumptions!$B$12*(Assumptions!$B$5+Assumptions!$B$6))</f>
        <v>0.40554015392834381</v>
      </c>
      <c r="E3016" s="12">
        <f>E3015+Assumptions!$B$12*(D3015*Assumptions!$B$5-E3015*Assumptions!$B$7)</f>
        <v>0.1833843059258978</v>
      </c>
      <c r="F3016" s="12">
        <f t="shared" ref="F3016:F3079" si="141">1-D3016-E3016</f>
        <v>0.41107554014575831</v>
      </c>
      <c r="G3016" s="12">
        <f>EXP(-Assumptions!$B$8*B3016)</f>
        <v>0.22223942217144035</v>
      </c>
      <c r="H3016" s="12">
        <f t="shared" ref="H3016:H3079" si="142">G3016*D3016</f>
        <v>9.0127009476352105E-2</v>
      </c>
      <c r="I3016" s="12">
        <f t="shared" ref="I3016:I3079" si="143">G3016*E3016</f>
        <v>4.0755222184282174E-2</v>
      </c>
      <c r="J3016" s="12">
        <f>G3016*(D3016*Assumptions!$B$6+E3016*Assumptions!$B$7)</f>
        <v>2.9390312039776303E-3</v>
      </c>
    </row>
    <row r="3017" spans="1:10" x14ac:dyDescent="0.2">
      <c r="A3017" s="2">
        <v>3009</v>
      </c>
      <c r="B3017" s="14">
        <f>A3017*Assumptions!$B$12</f>
        <v>30.09</v>
      </c>
      <c r="C3017" s="15">
        <f>IF(A3017&lt;=Assumptions!$B$13,IF(OR(A3017=0,A3017=Assumptions!$B$13),0.5,1),0)*Assumptions!$B$12</f>
        <v>0</v>
      </c>
      <c r="D3017" s="12">
        <f>D3016*(1-Assumptions!$B$12*(Assumptions!$B$5+Assumptions!$B$6))</f>
        <v>0.40541849188216533</v>
      </c>
      <c r="E3017" s="12">
        <f>E3016+Assumptions!$B$12*(D3016*Assumptions!$B$5-E3016*Assumptions!$B$7)</f>
        <v>0.18337372180372052</v>
      </c>
      <c r="F3017" s="12">
        <f t="shared" si="141"/>
        <v>0.4112077863141142</v>
      </c>
      <c r="G3017" s="12">
        <f>EXP(-Assumptions!$B$8*B3017)</f>
        <v>0.22212833023565301</v>
      </c>
      <c r="H3017" s="12">
        <f t="shared" si="142"/>
        <v>9.0054932648442026E-2</v>
      </c>
      <c r="I3017" s="12">
        <f t="shared" si="143"/>
        <v>4.0732498633357594E-2</v>
      </c>
      <c r="J3017" s="12">
        <f>G3017*(D3017*Assumptions!$B$6+E3017*Assumptions!$B$7)</f>
        <v>2.9371742581523002E-3</v>
      </c>
    </row>
    <row r="3018" spans="1:10" x14ac:dyDescent="0.2">
      <c r="A3018" s="2">
        <v>3010</v>
      </c>
      <c r="B3018" s="14">
        <f>A3018*Assumptions!$B$12</f>
        <v>30.1</v>
      </c>
      <c r="C3018" s="15">
        <f>IF(A3018&lt;=Assumptions!$B$13,IF(OR(A3018=0,A3018=Assumptions!$B$13),0.5,1),0)*Assumptions!$B$12</f>
        <v>0</v>
      </c>
      <c r="D3018" s="12">
        <f>D3017*(1-Assumptions!$B$12*(Assumptions!$B$5+Assumptions!$B$6))</f>
        <v>0.40529686633460071</v>
      </c>
      <c r="E3018" s="12">
        <f>E3017+Assumptions!$B$12*(D3017*Assumptions!$B$5-E3017*Assumptions!$B$7)</f>
        <v>0.18336311864119509</v>
      </c>
      <c r="F3018" s="12">
        <f t="shared" si="141"/>
        <v>0.4113400150242042</v>
      </c>
      <c r="G3018" s="12">
        <f>EXP(-Assumptions!$B$8*B3018)</f>
        <v>0.22201729383194937</v>
      </c>
      <c r="H3018" s="12">
        <f t="shared" si="142"/>
        <v>8.9982913462177364E-2</v>
      </c>
      <c r="I3018" s="12">
        <f t="shared" si="143"/>
        <v>4.0709783389304803E-2</v>
      </c>
      <c r="J3018" s="12">
        <f>G3018*(D3018*Assumptions!$B$6+E3018*Assumptions!$B$7)</f>
        <v>2.9353183040870139E-3</v>
      </c>
    </row>
    <row r="3019" spans="1:10" x14ac:dyDescent="0.2">
      <c r="A3019" s="2">
        <v>3011</v>
      </c>
      <c r="B3019" s="14">
        <f>A3019*Assumptions!$B$12</f>
        <v>30.11</v>
      </c>
      <c r="C3019" s="15">
        <f>IF(A3019&lt;=Assumptions!$B$13,IF(OR(A3019=0,A3019=Assumptions!$B$13),0.5,1),0)*Assumptions!$B$12</f>
        <v>0</v>
      </c>
      <c r="D3019" s="12">
        <f>D3018*(1-Assumptions!$B$12*(Assumptions!$B$5+Assumptions!$B$6))</f>
        <v>0.40517527727470037</v>
      </c>
      <c r="E3019" s="12">
        <f>E3018+Assumptions!$B$12*(D3018*Assumptions!$B$5-E3018*Assumptions!$B$7)</f>
        <v>0.1833524964551414</v>
      </c>
      <c r="F3019" s="12">
        <f t="shared" si="141"/>
        <v>0.41147222627015823</v>
      </c>
      <c r="G3019" s="12">
        <f>EXP(-Assumptions!$B$8*B3019)</f>
        <v>0.22190631293257038</v>
      </c>
      <c r="H3019" s="12">
        <f t="shared" si="142"/>
        <v>8.9910951871460629E-2</v>
      </c>
      <c r="I3019" s="12">
        <f t="shared" si="143"/>
        <v>4.0687076455342606E-2</v>
      </c>
      <c r="J3019" s="12">
        <f>G3019*(D3019*Assumptions!$B$6+E3019*Assumptions!$B$7)</f>
        <v>2.9334633414817369E-3</v>
      </c>
    </row>
    <row r="3020" spans="1:10" x14ac:dyDescent="0.2">
      <c r="A3020" s="2">
        <v>3012</v>
      </c>
      <c r="B3020" s="14">
        <f>A3020*Assumptions!$B$12</f>
        <v>30.12</v>
      </c>
      <c r="C3020" s="15">
        <f>IF(A3020&lt;=Assumptions!$B$13,IF(OR(A3020=0,A3020=Assumptions!$B$13),0.5,1),0)*Assumptions!$B$12</f>
        <v>0</v>
      </c>
      <c r="D3020" s="12">
        <f>D3019*(1-Assumptions!$B$12*(Assumptions!$B$5+Assumptions!$B$6))</f>
        <v>0.40505372469151796</v>
      </c>
      <c r="E3020" s="12">
        <f>E3019+Assumptions!$B$12*(D3019*Assumptions!$B$5-E3019*Assumptions!$B$7)</f>
        <v>0.18334185526236876</v>
      </c>
      <c r="F3020" s="12">
        <f t="shared" si="141"/>
        <v>0.4116044200461132</v>
      </c>
      <c r="G3020" s="12">
        <f>EXP(-Assumptions!$B$8*B3020)</f>
        <v>0.22179538750977068</v>
      </c>
      <c r="H3020" s="12">
        <f t="shared" si="142"/>
        <v>8.9839047830231195E-2</v>
      </c>
      <c r="I3020" s="12">
        <f t="shared" si="143"/>
        <v>4.066437783467737E-2</v>
      </c>
      <c r="J3020" s="12">
        <f>G3020*(D3020*Assumptions!$B$6+E3020*Assumptions!$B$7)</f>
        <v>2.9316093700361805E-3</v>
      </c>
    </row>
    <row r="3021" spans="1:10" x14ac:dyDescent="0.2">
      <c r="A3021" s="2">
        <v>3013</v>
      </c>
      <c r="B3021" s="14">
        <f>A3021*Assumptions!$B$12</f>
        <v>30.13</v>
      </c>
      <c r="C3021" s="15">
        <f>IF(A3021&lt;=Assumptions!$B$13,IF(OR(A3021=0,A3021=Assumptions!$B$13),0.5,1),0)*Assumptions!$B$12</f>
        <v>0</v>
      </c>
      <c r="D3021" s="12">
        <f>D3020*(1-Assumptions!$B$12*(Assumptions!$B$5+Assumptions!$B$6))</f>
        <v>0.4049322085741105</v>
      </c>
      <c r="E3021" s="12">
        <f>E3020+Assumptions!$B$12*(D3020*Assumptions!$B$5-E3020*Assumptions!$B$7)</f>
        <v>0.18333119507967588</v>
      </c>
      <c r="F3021" s="12">
        <f t="shared" si="141"/>
        <v>0.41173659634621362</v>
      </c>
      <c r="G3021" s="12">
        <f>EXP(-Assumptions!$B$8*B3021)</f>
        <v>0.22168451753581914</v>
      </c>
      <c r="H3021" s="12">
        <f t="shared" si="142"/>
        <v>8.9767201292465376E-2</v>
      </c>
      <c r="I3021" s="12">
        <f t="shared" si="143"/>
        <v>4.0641687530503089E-2</v>
      </c>
      <c r="J3021" s="12">
        <f>G3021*(D3021*Assumptions!$B$6+E3021*Assumptions!$B$7)</f>
        <v>2.9297563894498083E-3</v>
      </c>
    </row>
    <row r="3022" spans="1:10" x14ac:dyDescent="0.2">
      <c r="A3022" s="2">
        <v>3014</v>
      </c>
      <c r="B3022" s="14">
        <f>A3022*Assumptions!$B$12</f>
        <v>30.14</v>
      </c>
      <c r="C3022" s="15">
        <f>IF(A3022&lt;=Assumptions!$B$13,IF(OR(A3022=0,A3022=Assumptions!$B$13),0.5,1),0)*Assumptions!$B$12</f>
        <v>0</v>
      </c>
      <c r="D3022" s="12">
        <f>D3021*(1-Assumptions!$B$12*(Assumptions!$B$5+Assumptions!$B$6))</f>
        <v>0.4048107289115383</v>
      </c>
      <c r="E3022" s="12">
        <f>E3021+Assumptions!$B$12*(D3021*Assumptions!$B$5-E3021*Assumptions!$B$7)</f>
        <v>0.18332051592385087</v>
      </c>
      <c r="F3022" s="12">
        <f t="shared" si="141"/>
        <v>0.41186875516461074</v>
      </c>
      <c r="G3022" s="12">
        <f>EXP(-Assumptions!$B$8*B3022)</f>
        <v>0.22157370298299803</v>
      </c>
      <c r="H3022" s="12">
        <f t="shared" si="142"/>
        <v>8.9695412212176126E-2</v>
      </c>
      <c r="I3022" s="12">
        <f t="shared" si="143"/>
        <v>4.0619005546001292E-2</v>
      </c>
      <c r="J3022" s="12">
        <f>G3022*(D3022*Assumptions!$B$6+E3022*Assumptions!$B$7)</f>
        <v>2.9279043994218257E-3</v>
      </c>
    </row>
    <row r="3023" spans="1:10" x14ac:dyDescent="0.2">
      <c r="A3023" s="2">
        <v>3015</v>
      </c>
      <c r="B3023" s="14">
        <f>A3023*Assumptions!$B$12</f>
        <v>30.150000000000002</v>
      </c>
      <c r="C3023" s="15">
        <f>IF(A3023&lt;=Assumptions!$B$13,IF(OR(A3023=0,A3023=Assumptions!$B$13),0.5,1),0)*Assumptions!$B$12</f>
        <v>0</v>
      </c>
      <c r="D3023" s="12">
        <f>D3022*(1-Assumptions!$B$12*(Assumptions!$B$5+Assumptions!$B$6))</f>
        <v>0.40468928569286483</v>
      </c>
      <c r="E3023" s="12">
        <f>E3022+Assumptions!$B$12*(D3022*Assumptions!$B$5-E3022*Assumptions!$B$7)</f>
        <v>0.18330981781167124</v>
      </c>
      <c r="F3023" s="12">
        <f t="shared" si="141"/>
        <v>0.41200089649546401</v>
      </c>
      <c r="G3023" s="12">
        <f>EXP(-Assumptions!$B$8*B3023)</f>
        <v>0.22146294382360385</v>
      </c>
      <c r="H3023" s="12">
        <f t="shared" si="142"/>
        <v>8.9623680543413298E-2</v>
      </c>
      <c r="I3023" s="12">
        <f t="shared" si="143"/>
        <v>4.0596331884341204E-2</v>
      </c>
      <c r="J3023" s="12">
        <f>G3023*(D3023*Assumptions!$B$6+E3023*Assumptions!$B$7)</f>
        <v>2.9260533996511929E-3</v>
      </c>
    </row>
    <row r="3024" spans="1:10" x14ac:dyDescent="0.2">
      <c r="A3024" s="2">
        <v>3016</v>
      </c>
      <c r="B3024" s="14">
        <f>A3024*Assumptions!$B$12</f>
        <v>30.16</v>
      </c>
      <c r="C3024" s="15">
        <f>IF(A3024&lt;=Assumptions!$B$13,IF(OR(A3024=0,A3024=Assumptions!$B$13),0.5,1),0)*Assumptions!$B$12</f>
        <v>0</v>
      </c>
      <c r="D3024" s="12">
        <f>D3023*(1-Assumptions!$B$12*(Assumptions!$B$5+Assumptions!$B$6))</f>
        <v>0.40456787890715701</v>
      </c>
      <c r="E3024" s="12">
        <f>E3023+Assumptions!$B$12*(D3023*Assumptions!$B$5-E3023*Assumptions!$B$7)</f>
        <v>0.18329910075990399</v>
      </c>
      <c r="F3024" s="12">
        <f t="shared" si="141"/>
        <v>0.41213302033293908</v>
      </c>
      <c r="G3024" s="12">
        <f>EXP(-Assumptions!$B$8*B3024)</f>
        <v>0.22135224002994683</v>
      </c>
      <c r="H3024" s="12">
        <f t="shared" si="142"/>
        <v>8.9552006240263479E-2</v>
      </c>
      <c r="I3024" s="12">
        <f t="shared" si="143"/>
        <v>4.0573666548679679E-2</v>
      </c>
      <c r="J3024" s="12">
        <f>G3024*(D3024*Assumptions!$B$6+E3024*Assumptions!$B$7)</f>
        <v>2.9242033898366185E-3</v>
      </c>
    </row>
    <row r="3025" spans="1:10" x14ac:dyDescent="0.2">
      <c r="A3025" s="2">
        <v>3017</v>
      </c>
      <c r="B3025" s="14">
        <f>A3025*Assumptions!$B$12</f>
        <v>30.17</v>
      </c>
      <c r="C3025" s="15">
        <f>IF(A3025&lt;=Assumptions!$B$13,IF(OR(A3025=0,A3025=Assumptions!$B$13),0.5,1),0)*Assumptions!$B$12</f>
        <v>0</v>
      </c>
      <c r="D3025" s="12">
        <f>D3024*(1-Assumptions!$B$12*(Assumptions!$B$5+Assumptions!$B$6))</f>
        <v>0.40444650854348485</v>
      </c>
      <c r="E3025" s="12">
        <f>E3024+Assumptions!$B$12*(D3024*Assumptions!$B$5-E3024*Assumptions!$B$7)</f>
        <v>0.18328836478530547</v>
      </c>
      <c r="F3025" s="12">
        <f t="shared" si="141"/>
        <v>0.41226512667120968</v>
      </c>
      <c r="G3025" s="12">
        <f>EXP(-Assumptions!$B$8*B3025)</f>
        <v>0.22124159157435092</v>
      </c>
      <c r="H3025" s="12">
        <f t="shared" si="142"/>
        <v>8.948038925684991E-2</v>
      </c>
      <c r="I3025" s="12">
        <f t="shared" si="143"/>
        <v>4.0551009542161197E-2</v>
      </c>
      <c r="J3025" s="12">
        <f>G3025*(D3025*Assumptions!$B$6+E3025*Assumptions!$B$7)</f>
        <v>2.9223543696765587E-3</v>
      </c>
    </row>
    <row r="3026" spans="1:10" x14ac:dyDescent="0.2">
      <c r="A3026" s="2">
        <v>3018</v>
      </c>
      <c r="B3026" s="14">
        <f>A3026*Assumptions!$B$12</f>
        <v>30.18</v>
      </c>
      <c r="C3026" s="15">
        <f>IF(A3026&lt;=Assumptions!$B$13,IF(OR(A3026=0,A3026=Assumptions!$B$13),0.5,1),0)*Assumptions!$B$12</f>
        <v>0</v>
      </c>
      <c r="D3026" s="12">
        <f>D3025*(1-Assumptions!$B$12*(Assumptions!$B$5+Assumptions!$B$6))</f>
        <v>0.40432517459092182</v>
      </c>
      <c r="E3026" s="12">
        <f>E3025+Assumptions!$B$12*(D3025*Assumptions!$B$5-E3025*Assumptions!$B$7)</f>
        <v>0.18327760990462152</v>
      </c>
      <c r="F3026" s="12">
        <f t="shared" si="141"/>
        <v>0.41239721550445674</v>
      </c>
      <c r="G3026" s="12">
        <f>EXP(-Assumptions!$B$8*B3026)</f>
        <v>0.22113099842915407</v>
      </c>
      <c r="H3026" s="12">
        <f t="shared" si="142"/>
        <v>8.9408829547332577E-2</v>
      </c>
      <c r="I3026" s="12">
        <f t="shared" si="143"/>
        <v>4.0528360867917973E-2</v>
      </c>
      <c r="J3026" s="12">
        <f>G3026*(D3026*Assumptions!$B$6+E3026*Assumptions!$B$7)</f>
        <v>2.9205063388692246E-3</v>
      </c>
    </row>
    <row r="3027" spans="1:10" x14ac:dyDescent="0.2">
      <c r="A3027" s="2">
        <v>3019</v>
      </c>
      <c r="B3027" s="14">
        <f>A3027*Assumptions!$B$12</f>
        <v>30.19</v>
      </c>
      <c r="C3027" s="15">
        <f>IF(A3027&lt;=Assumptions!$B$13,IF(OR(A3027=0,A3027=Assumptions!$B$13),0.5,1),0)*Assumptions!$B$12</f>
        <v>0</v>
      </c>
      <c r="D3027" s="12">
        <f>D3026*(1-Assumptions!$B$12*(Assumptions!$B$5+Assumptions!$B$6))</f>
        <v>0.40420387703854455</v>
      </c>
      <c r="E3027" s="12">
        <f>E3026+Assumptions!$B$12*(D3026*Assumptions!$B$5-E3026*Assumptions!$B$7)</f>
        <v>0.18326683613458739</v>
      </c>
      <c r="F3027" s="12">
        <f t="shared" si="141"/>
        <v>0.41252928682686807</v>
      </c>
      <c r="G3027" s="12">
        <f>EXP(-Assumptions!$B$8*B3027)</f>
        <v>0.22102046056670799</v>
      </c>
      <c r="H3027" s="12">
        <f t="shared" si="142"/>
        <v>8.933732706590812E-2</v>
      </c>
      <c r="I3027" s="12">
        <f t="shared" si="143"/>
        <v>4.0505720529069908E-2</v>
      </c>
      <c r="J3027" s="12">
        <f>G3027*(D3027*Assumptions!$B$6+E3027*Assumptions!$B$7)</f>
        <v>2.9186592971125764E-3</v>
      </c>
    </row>
    <row r="3028" spans="1:10" x14ac:dyDescent="0.2">
      <c r="A3028" s="2">
        <v>3020</v>
      </c>
      <c r="B3028" s="14">
        <f>A3028*Assumptions!$B$12</f>
        <v>30.2</v>
      </c>
      <c r="C3028" s="15">
        <f>IF(A3028&lt;=Assumptions!$B$13,IF(OR(A3028=0,A3028=Assumptions!$B$13),0.5,1),0)*Assumptions!$B$12</f>
        <v>0</v>
      </c>
      <c r="D3028" s="12">
        <f>D3027*(1-Assumptions!$B$12*(Assumptions!$B$5+Assumptions!$B$6))</f>
        <v>0.40408261587543298</v>
      </c>
      <c r="E3028" s="12">
        <f>E3027+Assumptions!$B$12*(D3027*Assumptions!$B$5-E3027*Assumptions!$B$7)</f>
        <v>0.18325604349192781</v>
      </c>
      <c r="F3028" s="12">
        <f t="shared" si="141"/>
        <v>0.41266134063263926</v>
      </c>
      <c r="G3028" s="12">
        <f>EXP(-Assumptions!$B$8*B3028)</f>
        <v>0.2209099779593782</v>
      </c>
      <c r="H3028" s="12">
        <f t="shared" si="142"/>
        <v>8.9265881766809788E-2</v>
      </c>
      <c r="I3028" s="12">
        <f t="shared" si="143"/>
        <v>4.0483088528724627E-2</v>
      </c>
      <c r="J3028" s="12">
        <f>G3028*(D3028*Assumptions!$B$6+E3028*Assumptions!$B$7)</f>
        <v>2.9168132441043291E-3</v>
      </c>
    </row>
    <row r="3029" spans="1:10" x14ac:dyDescent="0.2">
      <c r="A3029" s="2">
        <v>3021</v>
      </c>
      <c r="B3029" s="14">
        <f>A3029*Assumptions!$B$12</f>
        <v>30.21</v>
      </c>
      <c r="C3029" s="15">
        <f>IF(A3029&lt;=Assumptions!$B$13,IF(OR(A3029=0,A3029=Assumptions!$B$13),0.5,1),0)*Assumptions!$B$12</f>
        <v>0</v>
      </c>
      <c r="D3029" s="12">
        <f>D3028*(1-Assumptions!$B$12*(Assumptions!$B$5+Assumptions!$B$6))</f>
        <v>0.40396139109067036</v>
      </c>
      <c r="E3029" s="12">
        <f>E3028+Assumptions!$B$12*(D3028*Assumptions!$B$5-E3028*Assumptions!$B$7)</f>
        <v>0.18324523199335693</v>
      </c>
      <c r="F3029" s="12">
        <f t="shared" si="141"/>
        <v>0.41279337691597273</v>
      </c>
      <c r="G3029" s="12">
        <f>EXP(-Assumptions!$B$8*B3029)</f>
        <v>0.22079955057954401</v>
      </c>
      <c r="H3029" s="12">
        <f t="shared" si="142"/>
        <v>8.9194493604307423E-2</v>
      </c>
      <c r="I3029" s="12">
        <f t="shared" si="143"/>
        <v>4.0460464869977487E-2</v>
      </c>
      <c r="J3029" s="12">
        <f>G3029*(D3029*Assumptions!$B$6+E3029*Assumptions!$B$7)</f>
        <v>2.9149681795419486E-3</v>
      </c>
    </row>
    <row r="3030" spans="1:10" x14ac:dyDescent="0.2">
      <c r="A3030" s="2">
        <v>3022</v>
      </c>
      <c r="B3030" s="14">
        <f>A3030*Assumptions!$B$12</f>
        <v>30.22</v>
      </c>
      <c r="C3030" s="15">
        <f>IF(A3030&lt;=Assumptions!$B$13,IF(OR(A3030=0,A3030=Assumptions!$B$13),0.5,1),0)*Assumptions!$B$12</f>
        <v>0</v>
      </c>
      <c r="D3030" s="12">
        <f>D3029*(1-Assumptions!$B$12*(Assumptions!$B$5+Assumptions!$B$6))</f>
        <v>0.4038402026733432</v>
      </c>
      <c r="E3030" s="12">
        <f>E3029+Assumptions!$B$12*(D3029*Assumptions!$B$5-E3029*Assumptions!$B$7)</f>
        <v>0.18323440165557839</v>
      </c>
      <c r="F3030" s="12">
        <f t="shared" si="141"/>
        <v>0.41292539567107844</v>
      </c>
      <c r="G3030" s="12">
        <f>EXP(-Assumptions!$B$8*B3030)</f>
        <v>0.22068917839959865</v>
      </c>
      <c r="H3030" s="12">
        <f t="shared" si="142"/>
        <v>8.9123162532707509E-2</v>
      </c>
      <c r="I3030" s="12">
        <f t="shared" si="143"/>
        <v>4.0437849555911655E-2</v>
      </c>
      <c r="J3030" s="12">
        <f>G3030*(D3030*Assumptions!$B$6+E3030*Assumptions!$B$7)</f>
        <v>2.913124103122658E-3</v>
      </c>
    </row>
    <row r="3031" spans="1:10" x14ac:dyDescent="0.2">
      <c r="A3031" s="2">
        <v>3023</v>
      </c>
      <c r="B3031" s="14">
        <f>A3031*Assumptions!$B$12</f>
        <v>30.23</v>
      </c>
      <c r="C3031" s="15">
        <f>IF(A3031&lt;=Assumptions!$B$13,IF(OR(A3031=0,A3031=Assumptions!$B$13),0.5,1),0)*Assumptions!$B$12</f>
        <v>0</v>
      </c>
      <c r="D3031" s="12">
        <f>D3030*(1-Assumptions!$B$12*(Assumptions!$B$5+Assumptions!$B$6))</f>
        <v>0.40371905061254121</v>
      </c>
      <c r="E3031" s="12">
        <f>E3030+Assumptions!$B$12*(D3030*Assumptions!$B$5-E3030*Assumptions!$B$7)</f>
        <v>0.18322355249528527</v>
      </c>
      <c r="F3031" s="12">
        <f t="shared" si="141"/>
        <v>0.41305739689217352</v>
      </c>
      <c r="G3031" s="12">
        <f>EXP(-Assumptions!$B$8*B3031)</f>
        <v>0.22057886139194904</v>
      </c>
      <c r="H3031" s="12">
        <f t="shared" si="142"/>
        <v>8.9051888506352983E-2</v>
      </c>
      <c r="I3031" s="12">
        <f t="shared" si="143"/>
        <v>4.0415242589598027E-2</v>
      </c>
      <c r="J3031" s="12">
        <f>G3031*(D3031*Assumptions!$B$6+E3031*Assumptions!$B$7)</f>
        <v>2.9112810145434315E-3</v>
      </c>
    </row>
    <row r="3032" spans="1:10" x14ac:dyDescent="0.2">
      <c r="A3032" s="2">
        <v>3024</v>
      </c>
      <c r="B3032" s="14">
        <f>A3032*Assumptions!$B$12</f>
        <v>30.240000000000002</v>
      </c>
      <c r="C3032" s="15">
        <f>IF(A3032&lt;=Assumptions!$B$13,IF(OR(A3032=0,A3032=Assumptions!$B$13),0.5,1),0)*Assumptions!$B$12</f>
        <v>0</v>
      </c>
      <c r="D3032" s="12">
        <f>D3031*(1-Assumptions!$B$12*(Assumptions!$B$5+Assumptions!$B$6))</f>
        <v>0.40359793489735746</v>
      </c>
      <c r="E3032" s="12">
        <f>E3031+Assumptions!$B$12*(D3031*Assumptions!$B$5-E3031*Assumptions!$B$7)</f>
        <v>0.18321268452916015</v>
      </c>
      <c r="F3032" s="12">
        <f t="shared" si="141"/>
        <v>0.41318938057348231</v>
      </c>
      <c r="G3032" s="12">
        <f>EXP(-Assumptions!$B$8*B3032)</f>
        <v>0.22046859952901587</v>
      </c>
      <c r="H3032" s="12">
        <f t="shared" si="142"/>
        <v>8.8980671479623324E-2</v>
      </c>
      <c r="I3032" s="12">
        <f t="shared" si="143"/>
        <v>4.0392643974095331E-2</v>
      </c>
      <c r="J3032" s="12">
        <f>G3032*(D3032*Assumptions!$B$6+E3032*Assumptions!$B$7)</f>
        <v>2.909438913501E-3</v>
      </c>
    </row>
    <row r="3033" spans="1:10" x14ac:dyDescent="0.2">
      <c r="A3033" s="2">
        <v>3025</v>
      </c>
      <c r="B3033" s="14">
        <f>A3033*Assumptions!$B$12</f>
        <v>30.25</v>
      </c>
      <c r="C3033" s="15">
        <f>IF(A3033&lt;=Assumptions!$B$13,IF(OR(A3033=0,A3033=Assumptions!$B$13),0.5,1),0)*Assumptions!$B$12</f>
        <v>0</v>
      </c>
      <c r="D3033" s="12">
        <f>D3032*(1-Assumptions!$B$12*(Assumptions!$B$5+Assumptions!$B$6))</f>
        <v>0.40347685551688828</v>
      </c>
      <c r="E3033" s="12">
        <f>E3032+Assumptions!$B$12*(D3032*Assumptions!$B$5-E3032*Assumptions!$B$7)</f>
        <v>0.18320179777387505</v>
      </c>
      <c r="F3033" s="12">
        <f t="shared" si="141"/>
        <v>0.4133213467092367</v>
      </c>
      <c r="G3033" s="12">
        <f>EXP(-Assumptions!$B$8*B3033)</f>
        <v>0.2203583927832338</v>
      </c>
      <c r="H3033" s="12">
        <f t="shared" si="142"/>
        <v>8.8909511406934538E-2</v>
      </c>
      <c r="I3033" s="12">
        <f t="shared" si="143"/>
        <v>4.0370053712450123E-2</v>
      </c>
      <c r="J3033" s="12">
        <f>G3033*(D3033*Assumptions!$B$6+E3033*Assumptions!$B$7)</f>
        <v>2.9075977996918514E-3</v>
      </c>
    </row>
    <row r="3034" spans="1:10" x14ac:dyDescent="0.2">
      <c r="A3034" s="2">
        <v>3026</v>
      </c>
      <c r="B3034" s="14">
        <f>A3034*Assumptions!$B$12</f>
        <v>30.26</v>
      </c>
      <c r="C3034" s="15">
        <f>IF(A3034&lt;=Assumptions!$B$13,IF(OR(A3034=0,A3034=Assumptions!$B$13),0.5,1),0)*Assumptions!$B$12</f>
        <v>0</v>
      </c>
      <c r="D3034" s="12">
        <f>D3033*(1-Assumptions!$B$12*(Assumptions!$B$5+Assumptions!$B$6))</f>
        <v>0.40335581246023322</v>
      </c>
      <c r="E3034" s="12">
        <f>E3033+Assumptions!$B$12*(D3033*Assumptions!$B$5-E3033*Assumptions!$B$7)</f>
        <v>0.18319089224609147</v>
      </c>
      <c r="F3034" s="12">
        <f t="shared" si="141"/>
        <v>0.4134532952936753</v>
      </c>
      <c r="G3034" s="12">
        <f>EXP(-Assumptions!$B$8*B3034)</f>
        <v>0.22024824112705108</v>
      </c>
      <c r="H3034" s="12">
        <f t="shared" si="142"/>
        <v>8.8838408242739045E-2</v>
      </c>
      <c r="I3034" s="12">
        <f t="shared" si="143"/>
        <v>4.0347471807696787E-2</v>
      </c>
      <c r="J3034" s="12">
        <f>G3034*(D3034*Assumptions!$B$6+E3034*Assumptions!$B$7)</f>
        <v>2.9057576728122297E-3</v>
      </c>
    </row>
    <row r="3035" spans="1:10" x14ac:dyDescent="0.2">
      <c r="A3035" s="2">
        <v>3027</v>
      </c>
      <c r="B3035" s="14">
        <f>A3035*Assumptions!$B$12</f>
        <v>30.27</v>
      </c>
      <c r="C3035" s="15">
        <f>IF(A3035&lt;=Assumptions!$B$13,IF(OR(A3035=0,A3035=Assumptions!$B$13),0.5,1),0)*Assumptions!$B$12</f>
        <v>0</v>
      </c>
      <c r="D3035" s="12">
        <f>D3034*(1-Assumptions!$B$12*(Assumptions!$B$5+Assumptions!$B$6))</f>
        <v>0.40323480571649517</v>
      </c>
      <c r="E3035" s="12">
        <f>E3034+Assumptions!$B$12*(D3034*Assumptions!$B$5-E3034*Assumptions!$B$7)</f>
        <v>0.18317996796246047</v>
      </c>
      <c r="F3035" s="12">
        <f t="shared" si="141"/>
        <v>0.41358522632104433</v>
      </c>
      <c r="G3035" s="12">
        <f>EXP(-Assumptions!$B$8*B3035)</f>
        <v>0.22013814453292976</v>
      </c>
      <c r="H3035" s="12">
        <f t="shared" si="142"/>
        <v>8.8767361941525666E-2</v>
      </c>
      <c r="I3035" s="12">
        <f t="shared" si="143"/>
        <v>4.0324898262857567E-2</v>
      </c>
      <c r="J3035" s="12">
        <f>G3035*(D3035*Assumptions!$B$6+E3035*Assumptions!$B$7)</f>
        <v>2.9039185325581349E-3</v>
      </c>
    </row>
    <row r="3036" spans="1:10" x14ac:dyDescent="0.2">
      <c r="A3036" s="2">
        <v>3028</v>
      </c>
      <c r="B3036" s="14">
        <f>A3036*Assumptions!$B$12</f>
        <v>30.28</v>
      </c>
      <c r="C3036" s="15">
        <f>IF(A3036&lt;=Assumptions!$B$13,IF(OR(A3036=0,A3036=Assumptions!$B$13),0.5,1),0)*Assumptions!$B$12</f>
        <v>0</v>
      </c>
      <c r="D3036" s="12">
        <f>D3035*(1-Assumptions!$B$12*(Assumptions!$B$5+Assumptions!$B$6))</f>
        <v>0.40311383527478023</v>
      </c>
      <c r="E3036" s="12">
        <f>E3035+Assumptions!$B$12*(D3035*Assumptions!$B$5-E3035*Assumptions!$B$7)</f>
        <v>0.18316902493962253</v>
      </c>
      <c r="F3036" s="12">
        <f t="shared" si="141"/>
        <v>0.41371713978559721</v>
      </c>
      <c r="G3036" s="12">
        <f>EXP(-Assumptions!$B$8*B3036)</f>
        <v>0.22002810297334569</v>
      </c>
      <c r="H3036" s="12">
        <f t="shared" si="142"/>
        <v>8.8696372457819653E-2</v>
      </c>
      <c r="I3036" s="12">
        <f t="shared" si="143"/>
        <v>4.0302333080942589E-2</v>
      </c>
      <c r="J3036" s="12">
        <f>G3036*(D3036*Assumptions!$B$6+E3036*Assumptions!$B$7)</f>
        <v>2.902080378625326E-3</v>
      </c>
    </row>
    <row r="3037" spans="1:10" x14ac:dyDescent="0.2">
      <c r="A3037" s="2">
        <v>3029</v>
      </c>
      <c r="B3037" s="14">
        <f>A3037*Assumptions!$B$12</f>
        <v>30.29</v>
      </c>
      <c r="C3037" s="15">
        <f>IF(A3037&lt;=Assumptions!$B$13,IF(OR(A3037=0,A3037=Assumptions!$B$13),0.5,1),0)*Assumptions!$B$12</f>
        <v>0</v>
      </c>
      <c r="D3037" s="12">
        <f>D3036*(1-Assumptions!$B$12*(Assumptions!$B$5+Assumptions!$B$6))</f>
        <v>0.40299290112419783</v>
      </c>
      <c r="E3037" s="12">
        <f>E3036+Assumptions!$B$12*(D3036*Assumptions!$B$5-E3036*Assumptions!$B$7)</f>
        <v>0.18315806319420769</v>
      </c>
      <c r="F3037" s="12">
        <f t="shared" si="141"/>
        <v>0.41384903568159448</v>
      </c>
      <c r="G3037" s="12">
        <f>EXP(-Assumptions!$B$8*B3037)</f>
        <v>0.21991811642078862</v>
      </c>
      <c r="H3037" s="12">
        <f t="shared" si="142"/>
        <v>8.8625439746182699E-2</v>
      </c>
      <c r="I3037" s="12">
        <f t="shared" si="143"/>
        <v>4.0279776264949926E-2</v>
      </c>
      <c r="J3037" s="12">
        <f>G3037*(D3037*Assumptions!$B$6+E3037*Assumptions!$B$7)</f>
        <v>2.9002432107093235E-3</v>
      </c>
    </row>
    <row r="3038" spans="1:10" x14ac:dyDescent="0.2">
      <c r="A3038" s="2">
        <v>3030</v>
      </c>
      <c r="B3038" s="14">
        <f>A3038*Assumptions!$B$12</f>
        <v>30.3</v>
      </c>
      <c r="C3038" s="15">
        <f>IF(A3038&lt;=Assumptions!$B$13,IF(OR(A3038=0,A3038=Assumptions!$B$13),0.5,1),0)*Assumptions!$B$12</f>
        <v>0</v>
      </c>
      <c r="D3038" s="12">
        <f>D3037*(1-Assumptions!$B$12*(Assumptions!$B$5+Assumptions!$B$6))</f>
        <v>0.40287200325386058</v>
      </c>
      <c r="E3038" s="12">
        <f>E3037+Assumptions!$B$12*(D3037*Assumptions!$B$5-E3037*Assumptions!$B$7)</f>
        <v>0.18314708274283542</v>
      </c>
      <c r="F3038" s="12">
        <f t="shared" si="141"/>
        <v>0.41398091400330395</v>
      </c>
      <c r="G3038" s="12">
        <f>EXP(-Assumptions!$B$8*B3038)</f>
        <v>0.21980818484776168</v>
      </c>
      <c r="H3038" s="12">
        <f t="shared" si="142"/>
        <v>8.8554563761212637E-2</v>
      </c>
      <c r="I3038" s="12">
        <f t="shared" si="143"/>
        <v>4.0257227817865469E-2</v>
      </c>
      <c r="J3038" s="12">
        <f>G3038*(D3038*Assumptions!$B$6+E3038*Assumptions!$B$7)</f>
        <v>2.8984070285053998E-3</v>
      </c>
    </row>
    <row r="3039" spans="1:10" x14ac:dyDescent="0.2">
      <c r="A3039" s="2">
        <v>3031</v>
      </c>
      <c r="B3039" s="14">
        <f>A3039*Assumptions!$B$12</f>
        <v>30.310000000000002</v>
      </c>
      <c r="C3039" s="15">
        <f>IF(A3039&lt;=Assumptions!$B$13,IF(OR(A3039=0,A3039=Assumptions!$B$13),0.5,1),0)*Assumptions!$B$12</f>
        <v>0</v>
      </c>
      <c r="D3039" s="12">
        <f>D3038*(1-Assumptions!$B$12*(Assumptions!$B$5+Assumptions!$B$6))</f>
        <v>0.40275114165288445</v>
      </c>
      <c r="E3039" s="12">
        <f>E3038+Assumptions!$B$12*(D3038*Assumptions!$B$5-E3038*Assumptions!$B$7)</f>
        <v>0.18313608360211478</v>
      </c>
      <c r="F3039" s="12">
        <f t="shared" si="141"/>
        <v>0.41411277474500086</v>
      </c>
      <c r="G3039" s="12">
        <f>EXP(-Assumptions!$B$8*B3039)</f>
        <v>0.2196983082267821</v>
      </c>
      <c r="H3039" s="12">
        <f t="shared" si="142"/>
        <v>8.8483744457543784E-2</v>
      </c>
      <c r="I3039" s="12">
        <f t="shared" si="143"/>
        <v>4.0234687742663151E-2</v>
      </c>
      <c r="J3039" s="12">
        <f>G3039*(D3039*Assumptions!$B$6+E3039*Assumptions!$B$7)</f>
        <v>2.8965718317085954E-3</v>
      </c>
    </row>
    <row r="3040" spans="1:10" x14ac:dyDescent="0.2">
      <c r="A3040" s="2">
        <v>3032</v>
      </c>
      <c r="B3040" s="14">
        <f>A3040*Assumptions!$B$12</f>
        <v>30.32</v>
      </c>
      <c r="C3040" s="15">
        <f>IF(A3040&lt;=Assumptions!$B$13,IF(OR(A3040=0,A3040=Assumptions!$B$13),0.5,1),0)*Assumptions!$B$12</f>
        <v>0</v>
      </c>
      <c r="D3040" s="12">
        <f>D3039*(1-Assumptions!$B$12*(Assumptions!$B$5+Assumptions!$B$6))</f>
        <v>0.40263031631038859</v>
      </c>
      <c r="E3040" s="12">
        <f>E3039+Assumptions!$B$12*(D3039*Assumptions!$B$5-E3039*Assumptions!$B$7)</f>
        <v>0.18312506578864429</v>
      </c>
      <c r="F3040" s="12">
        <f t="shared" si="141"/>
        <v>0.41424461790096712</v>
      </c>
      <c r="G3040" s="12">
        <f>EXP(-Assumptions!$B$8*B3040)</f>
        <v>0.21958848653038082</v>
      </c>
      <c r="H3040" s="12">
        <f t="shared" si="142"/>
        <v>8.8412981789846731E-2</v>
      </c>
      <c r="I3040" s="12">
        <f t="shared" si="143"/>
        <v>4.0212156042304818E-2</v>
      </c>
      <c r="J3040" s="12">
        <f>G3040*(D3040*Assumptions!$B$6+E3040*Assumptions!$B$7)</f>
        <v>2.8947376200137084E-3</v>
      </c>
    </row>
    <row r="3041" spans="1:10" x14ac:dyDescent="0.2">
      <c r="A3041" s="2">
        <v>3033</v>
      </c>
      <c r="B3041" s="14">
        <f>A3041*Assumptions!$B$12</f>
        <v>30.330000000000002</v>
      </c>
      <c r="C3041" s="15">
        <f>IF(A3041&lt;=Assumptions!$B$13,IF(OR(A3041=0,A3041=Assumptions!$B$13),0.5,1),0)*Assumptions!$B$12</f>
        <v>0</v>
      </c>
      <c r="D3041" s="12">
        <f>D3040*(1-Assumptions!$B$12*(Assumptions!$B$5+Assumptions!$B$6))</f>
        <v>0.40250952721549549</v>
      </c>
      <c r="E3041" s="12">
        <f>E3040+Assumptions!$B$12*(D3040*Assumptions!$B$5-E3040*Assumptions!$B$7)</f>
        <v>0.18311402931901205</v>
      </c>
      <c r="F3041" s="12">
        <f t="shared" si="141"/>
        <v>0.41437644346549246</v>
      </c>
      <c r="G3041" s="12">
        <f>EXP(-Assumptions!$B$8*B3041)</f>
        <v>0.21947871973110222</v>
      </c>
      <c r="H3041" s="12">
        <f t="shared" si="142"/>
        <v>8.8342275712828197E-2</v>
      </c>
      <c r="I3041" s="12">
        <f t="shared" si="143"/>
        <v>4.0189632719740284E-2</v>
      </c>
      <c r="J3041" s="12">
        <f>G3041*(D3041*Assumptions!$B$6+E3041*Assumptions!$B$7)</f>
        <v>2.8929043931152959E-3</v>
      </c>
    </row>
    <row r="3042" spans="1:10" x14ac:dyDescent="0.2">
      <c r="A3042" s="2">
        <v>3034</v>
      </c>
      <c r="B3042" s="14">
        <f>A3042*Assumptions!$B$12</f>
        <v>30.34</v>
      </c>
      <c r="C3042" s="15">
        <f>IF(A3042&lt;=Assumptions!$B$13,IF(OR(A3042=0,A3042=Assumptions!$B$13),0.5,1),0)*Assumptions!$B$12</f>
        <v>0</v>
      </c>
      <c r="D3042" s="12">
        <f>D3041*(1-Assumptions!$B$12*(Assumptions!$B$5+Assumptions!$B$6))</f>
        <v>0.40238877435733084</v>
      </c>
      <c r="E3042" s="12">
        <f>E3041+Assumptions!$B$12*(D3041*Assumptions!$B$5-E3041*Assumptions!$B$7)</f>
        <v>0.18310297420979565</v>
      </c>
      <c r="F3042" s="12">
        <f t="shared" si="141"/>
        <v>0.41450825143287345</v>
      </c>
      <c r="G3042" s="12">
        <f>EXP(-Assumptions!$B$8*B3042)</f>
        <v>0.21936900780150476</v>
      </c>
      <c r="H3042" s="12">
        <f t="shared" si="142"/>
        <v>8.8271626181231244E-2</v>
      </c>
      <c r="I3042" s="12">
        <f t="shared" si="143"/>
        <v>4.0167117777907387E-2</v>
      </c>
      <c r="J3042" s="12">
        <f>G3042*(D3042*Assumptions!$B$6+E3042*Assumptions!$B$7)</f>
        <v>2.8910721507076818E-3</v>
      </c>
    </row>
    <row r="3043" spans="1:10" x14ac:dyDescent="0.2">
      <c r="A3043" s="2">
        <v>3035</v>
      </c>
      <c r="B3043" s="14">
        <f>A3043*Assumptions!$B$12</f>
        <v>30.35</v>
      </c>
      <c r="C3043" s="15">
        <f>IF(A3043&lt;=Assumptions!$B$13,IF(OR(A3043=0,A3043=Assumptions!$B$13),0.5,1),0)*Assumptions!$B$12</f>
        <v>0</v>
      </c>
      <c r="D3043" s="12">
        <f>D3042*(1-Assumptions!$B$12*(Assumptions!$B$5+Assumptions!$B$6))</f>
        <v>0.40226805772502366</v>
      </c>
      <c r="E3043" s="12">
        <f>E3042+Assumptions!$B$12*(D3042*Assumptions!$B$5-E3042*Assumptions!$B$7)</f>
        <v>0.18309190047756221</v>
      </c>
      <c r="F3043" s="12">
        <f t="shared" si="141"/>
        <v>0.41464004179741409</v>
      </c>
      <c r="G3043" s="12">
        <f>EXP(-Assumptions!$B$8*B3043)</f>
        <v>0.21925935071416036</v>
      </c>
      <c r="H3043" s="12">
        <f t="shared" si="142"/>
        <v>8.8201033149835073E-2</v>
      </c>
      <c r="I3043" s="12">
        <f t="shared" si="143"/>
        <v>4.0144611219731959E-2</v>
      </c>
      <c r="J3043" s="12">
        <f>G3043*(D3043*Assumptions!$B$6+E3043*Assumptions!$B$7)</f>
        <v>2.8892408924849487E-3</v>
      </c>
    </row>
    <row r="3044" spans="1:10" x14ac:dyDescent="0.2">
      <c r="A3044" s="2">
        <v>3036</v>
      </c>
      <c r="B3044" s="14">
        <f>A3044*Assumptions!$B$12</f>
        <v>30.36</v>
      </c>
      <c r="C3044" s="15">
        <f>IF(A3044&lt;=Assumptions!$B$13,IF(OR(A3044=0,A3044=Assumptions!$B$13),0.5,1),0)*Assumptions!$B$12</f>
        <v>0</v>
      </c>
      <c r="D3044" s="12">
        <f>D3043*(1-Assumptions!$B$12*(Assumptions!$B$5+Assumptions!$B$6))</f>
        <v>0.40214737730770617</v>
      </c>
      <c r="E3044" s="12">
        <f>E3043+Assumptions!$B$12*(D3043*Assumptions!$B$5-E3043*Assumptions!$B$7)</f>
        <v>0.18308080813886843</v>
      </c>
      <c r="F3044" s="12">
        <f t="shared" si="141"/>
        <v>0.41477181455342538</v>
      </c>
      <c r="G3044" s="12">
        <f>EXP(-Assumptions!$B$8*B3044)</f>
        <v>0.2191497484416548</v>
      </c>
      <c r="H3044" s="12">
        <f t="shared" si="142"/>
        <v>8.813049657345505E-2</v>
      </c>
      <c r="I3044" s="12">
        <f t="shared" si="143"/>
        <v>4.0122113048127885E-2</v>
      </c>
      <c r="J3044" s="12">
        <f>G3044*(D3044*Assumptions!$B$6+E3044*Assumptions!$B$7)</f>
        <v>2.8874106181409447E-3</v>
      </c>
    </row>
    <row r="3045" spans="1:10" x14ac:dyDescent="0.2">
      <c r="A3045" s="2">
        <v>3037</v>
      </c>
      <c r="B3045" s="14">
        <f>A3045*Assumptions!$B$12</f>
        <v>30.37</v>
      </c>
      <c r="C3045" s="15">
        <f>IF(A3045&lt;=Assumptions!$B$13,IF(OR(A3045=0,A3045=Assumptions!$B$13),0.5,1),0)*Assumptions!$B$12</f>
        <v>0</v>
      </c>
      <c r="D3045" s="12">
        <f>D3044*(1-Assumptions!$B$12*(Assumptions!$B$5+Assumptions!$B$6))</f>
        <v>0.40202673309451387</v>
      </c>
      <c r="E3045" s="12">
        <f>E3044+Assumptions!$B$12*(D3044*Assumptions!$B$5-E3044*Assumptions!$B$7)</f>
        <v>0.18306969721026053</v>
      </c>
      <c r="F3045" s="12">
        <f t="shared" si="141"/>
        <v>0.41490356969522557</v>
      </c>
      <c r="G3045" s="12">
        <f>EXP(-Assumptions!$B$8*B3045)</f>
        <v>0.21904020095658744</v>
      </c>
      <c r="H3045" s="12">
        <f t="shared" si="142"/>
        <v>8.8060016406942665E-2</v>
      </c>
      <c r="I3045" s="12">
        <f t="shared" si="143"/>
        <v>4.0099623265997079E-2</v>
      </c>
      <c r="J3045" s="12">
        <f>G3045*(D3045*Assumptions!$B$6+E3045*Assumptions!$B$7)</f>
        <v>2.8855813273692809E-3</v>
      </c>
    </row>
    <row r="3046" spans="1:10" x14ac:dyDescent="0.2">
      <c r="A3046" s="2">
        <v>3038</v>
      </c>
      <c r="B3046" s="14">
        <f>A3046*Assumptions!$B$12</f>
        <v>30.38</v>
      </c>
      <c r="C3046" s="15">
        <f>IF(A3046&lt;=Assumptions!$B$13,IF(OR(A3046=0,A3046=Assumptions!$B$13),0.5,1),0)*Assumptions!$B$12</f>
        <v>0</v>
      </c>
      <c r="D3046" s="12">
        <f>D3045*(1-Assumptions!$B$12*(Assumptions!$B$5+Assumptions!$B$6))</f>
        <v>0.40190612507458551</v>
      </c>
      <c r="E3046" s="12">
        <f>E3045+Assumptions!$B$12*(D3045*Assumptions!$B$5-E3045*Assumptions!$B$7)</f>
        <v>0.18305856770827431</v>
      </c>
      <c r="F3046" s="12">
        <f t="shared" si="141"/>
        <v>0.41503530721714021</v>
      </c>
      <c r="G3046" s="12">
        <f>EXP(-Assumptions!$B$8*B3046)</f>
        <v>0.21893070823157151</v>
      </c>
      <c r="H3046" s="12">
        <f t="shared" si="142"/>
        <v>8.7989592605185574E-2</v>
      </c>
      <c r="I3046" s="12">
        <f t="shared" si="143"/>
        <v>4.0077141876229579E-2</v>
      </c>
      <c r="J3046" s="12">
        <f>G3046*(D3046*Assumptions!$B$6+E3046*Assumptions!$B$7)</f>
        <v>2.8837530198633351E-3</v>
      </c>
    </row>
    <row r="3047" spans="1:10" x14ac:dyDescent="0.2">
      <c r="A3047" s="2">
        <v>3039</v>
      </c>
      <c r="B3047" s="14">
        <f>A3047*Assumptions!$B$12</f>
        <v>30.39</v>
      </c>
      <c r="C3047" s="15">
        <f>IF(A3047&lt;=Assumptions!$B$13,IF(OR(A3047=0,A3047=Assumptions!$B$13),0.5,1),0)*Assumptions!$B$12</f>
        <v>0</v>
      </c>
      <c r="D3047" s="12">
        <f>D3046*(1-Assumptions!$B$12*(Assumptions!$B$5+Assumptions!$B$6))</f>
        <v>0.40178555323706316</v>
      </c>
      <c r="E3047" s="12">
        <f>E3046+Assumptions!$B$12*(D3046*Assumptions!$B$5-E3046*Assumptions!$B$7)</f>
        <v>0.18304741964943508</v>
      </c>
      <c r="F3047" s="12">
        <f t="shared" si="141"/>
        <v>0.41516702711350184</v>
      </c>
      <c r="G3047" s="12">
        <f>EXP(-Assumptions!$B$8*B3047)</f>
        <v>0.21882127023923378</v>
      </c>
      <c r="H3047" s="12">
        <f t="shared" si="142"/>
        <v>8.7919225123107445E-2</v>
      </c>
      <c r="I3047" s="12">
        <f t="shared" si="143"/>
        <v>4.0054668881703469E-2</v>
      </c>
      <c r="J3047" s="12">
        <f>G3047*(D3047*Assumptions!$B$6+E3047*Assumptions!$B$7)</f>
        <v>2.8819256953162482E-3</v>
      </c>
    </row>
    <row r="3048" spans="1:10" x14ac:dyDescent="0.2">
      <c r="A3048" s="2">
        <v>3040</v>
      </c>
      <c r="B3048" s="14">
        <f>A3048*Assumptions!$B$12</f>
        <v>30.400000000000002</v>
      </c>
      <c r="C3048" s="15">
        <f>IF(A3048&lt;=Assumptions!$B$13,IF(OR(A3048=0,A3048=Assumptions!$B$13),0.5,1),0)*Assumptions!$B$12</f>
        <v>0</v>
      </c>
      <c r="D3048" s="12">
        <f>D3047*(1-Assumptions!$B$12*(Assumptions!$B$5+Assumptions!$B$6))</f>
        <v>0.40166501757109208</v>
      </c>
      <c r="E3048" s="12">
        <f>E3047+Assumptions!$B$12*(D3047*Assumptions!$B$5-E3047*Assumptions!$B$7)</f>
        <v>0.18303625305025778</v>
      </c>
      <c r="F3048" s="12">
        <f t="shared" si="141"/>
        <v>0.41529872937865014</v>
      </c>
      <c r="G3048" s="12">
        <f>EXP(-Assumptions!$B$8*B3048)</f>
        <v>0.21871188695221472</v>
      </c>
      <c r="H3048" s="12">
        <f t="shared" si="142"/>
        <v>8.7848913915668028E-2</v>
      </c>
      <c r="I3048" s="12">
        <f t="shared" si="143"/>
        <v>4.0032204285284943E-2</v>
      </c>
      <c r="J3048" s="12">
        <f>G3048*(D3048*Assumptions!$B$6+E3048*Assumptions!$B$7)</f>
        <v>2.8800993534209281E-3</v>
      </c>
    </row>
    <row r="3049" spans="1:10" x14ac:dyDescent="0.2">
      <c r="A3049" s="2">
        <v>3041</v>
      </c>
      <c r="B3049" s="14">
        <f>A3049*Assumptions!$B$12</f>
        <v>30.41</v>
      </c>
      <c r="C3049" s="15">
        <f>IF(A3049&lt;=Assumptions!$B$13,IF(OR(A3049=0,A3049=Assumptions!$B$13),0.5,1),0)*Assumptions!$B$12</f>
        <v>0</v>
      </c>
      <c r="D3049" s="12">
        <f>D3048*(1-Assumptions!$B$12*(Assumptions!$B$5+Assumptions!$B$6))</f>
        <v>0.40154451806582075</v>
      </c>
      <c r="E3049" s="12">
        <f>E3048+Assumptions!$B$12*(D3048*Assumptions!$B$5-E3048*Assumptions!$B$7)</f>
        <v>0.18302506792724688</v>
      </c>
      <c r="F3049" s="12">
        <f t="shared" si="141"/>
        <v>0.41543041400693231</v>
      </c>
      <c r="G3049" s="12">
        <f>EXP(-Assumptions!$B$8*B3049)</f>
        <v>0.21860255834316855</v>
      </c>
      <c r="H3049" s="12">
        <f t="shared" si="142"/>
        <v>8.7778658937863074E-2</v>
      </c>
      <c r="I3049" s="12">
        <f t="shared" si="143"/>
        <v>4.0009748089828372E-2</v>
      </c>
      <c r="J3049" s="12">
        <f>G3049*(D3049*Assumptions!$B$6+E3049*Assumptions!$B$7)</f>
        <v>2.8782739938700494E-3</v>
      </c>
    </row>
    <row r="3050" spans="1:10" x14ac:dyDescent="0.2">
      <c r="A3050" s="2">
        <v>3042</v>
      </c>
      <c r="B3050" s="14">
        <f>A3050*Assumptions!$B$12</f>
        <v>30.42</v>
      </c>
      <c r="C3050" s="15">
        <f>IF(A3050&lt;=Assumptions!$B$13,IF(OR(A3050=0,A3050=Assumptions!$B$13),0.5,1),0)*Assumptions!$B$12</f>
        <v>0</v>
      </c>
      <c r="D3050" s="12">
        <f>D3049*(1-Assumptions!$B$12*(Assumptions!$B$5+Assumptions!$B$6))</f>
        <v>0.40142405471040105</v>
      </c>
      <c r="E3050" s="12">
        <f>E3049+Assumptions!$B$12*(D3049*Assumptions!$B$5-E3049*Assumptions!$B$7)</f>
        <v>0.18301386429689642</v>
      </c>
      <c r="F3050" s="12">
        <f t="shared" si="141"/>
        <v>0.41556208099270248</v>
      </c>
      <c r="G3050" s="12">
        <f>EXP(-Assumptions!$B$8*B3050)</f>
        <v>0.21849328438476312</v>
      </c>
      <c r="H3050" s="12">
        <f t="shared" si="142"/>
        <v>8.7708460144724359E-2</v>
      </c>
      <c r="I3050" s="12">
        <f t="shared" si="143"/>
        <v>3.9987300298176237E-2</v>
      </c>
      <c r="J3050" s="12">
        <f>G3050*(D3050*Assumptions!$B$6+E3050*Assumptions!$B$7)</f>
        <v>2.8764496163560557E-3</v>
      </c>
    </row>
    <row r="3051" spans="1:10" x14ac:dyDescent="0.2">
      <c r="A3051" s="2">
        <v>3043</v>
      </c>
      <c r="B3051" s="14">
        <f>A3051*Assumptions!$B$12</f>
        <v>30.43</v>
      </c>
      <c r="C3051" s="15">
        <f>IF(A3051&lt;=Assumptions!$B$13,IF(OR(A3051=0,A3051=Assumptions!$B$13),0.5,1),0)*Assumptions!$B$12</f>
        <v>0</v>
      </c>
      <c r="D3051" s="12">
        <f>D3050*(1-Assumptions!$B$12*(Assumptions!$B$5+Assumptions!$B$6))</f>
        <v>0.40130362749398796</v>
      </c>
      <c r="E3051" s="12">
        <f>E3050+Assumptions!$B$12*(D3050*Assumptions!$B$5-E3050*Assumptions!$B$7)</f>
        <v>0.18300264217569007</v>
      </c>
      <c r="F3051" s="12">
        <f t="shared" si="141"/>
        <v>0.41569373033032198</v>
      </c>
      <c r="G3051" s="12">
        <f>EXP(-Assumptions!$B$8*B3051)</f>
        <v>0.21838406504967992</v>
      </c>
      <c r="H3051" s="12">
        <f t="shared" si="142"/>
        <v>8.7638317491319589E-2</v>
      </c>
      <c r="I3051" s="12">
        <f t="shared" si="143"/>
        <v>3.9964860913159199E-2</v>
      </c>
      <c r="J3051" s="12">
        <f>G3051*(D3051*Assumptions!$B$6+E3051*Assumptions!$B$7)</f>
        <v>2.8746262205711559E-3</v>
      </c>
    </row>
    <row r="3052" spans="1:10" x14ac:dyDescent="0.2">
      <c r="A3052" s="2">
        <v>3044</v>
      </c>
      <c r="B3052" s="14">
        <f>A3052*Assumptions!$B$12</f>
        <v>30.44</v>
      </c>
      <c r="C3052" s="15">
        <f>IF(A3052&lt;=Assumptions!$B$13,IF(OR(A3052=0,A3052=Assumptions!$B$13),0.5,1),0)*Assumptions!$B$12</f>
        <v>0</v>
      </c>
      <c r="D3052" s="12">
        <f>D3051*(1-Assumptions!$B$12*(Assumptions!$B$5+Assumptions!$B$6))</f>
        <v>0.40118323640573977</v>
      </c>
      <c r="E3052" s="12">
        <f>E3051+Assumptions!$B$12*(D3051*Assumptions!$B$5-E3051*Assumptions!$B$7)</f>
        <v>0.18299140158010102</v>
      </c>
      <c r="F3052" s="12">
        <f t="shared" si="141"/>
        <v>0.41582536201415926</v>
      </c>
      <c r="G3052" s="12">
        <f>EXP(-Assumptions!$B$8*B3052)</f>
        <v>0.21827490031061408</v>
      </c>
      <c r="H3052" s="12">
        <f t="shared" si="142"/>
        <v>8.7568230932752372E-2</v>
      </c>
      <c r="I3052" s="12">
        <f t="shared" si="143"/>
        <v>3.9942429937596099E-2</v>
      </c>
      <c r="J3052" s="12">
        <f>G3052*(D3052*Assumptions!$B$6+E3052*Assumptions!$B$7)</f>
        <v>2.8728038062073289E-3</v>
      </c>
    </row>
    <row r="3053" spans="1:10" x14ac:dyDescent="0.2">
      <c r="A3053" s="2">
        <v>3045</v>
      </c>
      <c r="B3053" s="14">
        <f>A3053*Assumptions!$B$12</f>
        <v>30.45</v>
      </c>
      <c r="C3053" s="15">
        <f>IF(A3053&lt;=Assumptions!$B$13,IF(OR(A3053=0,A3053=Assumptions!$B$13),0.5,1),0)*Assumptions!$B$12</f>
        <v>0</v>
      </c>
      <c r="D3053" s="12">
        <f>D3052*(1-Assumptions!$B$12*(Assumptions!$B$5+Assumptions!$B$6))</f>
        <v>0.40106288143481805</v>
      </c>
      <c r="E3053" s="12">
        <f>E3052+Assumptions!$B$12*(D3052*Assumptions!$B$5-E3052*Assumptions!$B$7)</f>
        <v>0.18298014252659212</v>
      </c>
      <c r="F3053" s="12">
        <f t="shared" si="141"/>
        <v>0.41595697603858983</v>
      </c>
      <c r="G3053" s="12">
        <f>EXP(-Assumptions!$B$8*B3053)</f>
        <v>0.21816579014027454</v>
      </c>
      <c r="H3053" s="12">
        <f t="shared" si="142"/>
        <v>8.7498200424162328E-2</v>
      </c>
      <c r="I3053" s="12">
        <f t="shared" si="143"/>
        <v>3.992000737429402E-2</v>
      </c>
      <c r="J3053" s="12">
        <f>G3053*(D3053*Assumptions!$B$6+E3053*Assumptions!$B$7)</f>
        <v>2.870982372956324E-3</v>
      </c>
    </row>
    <row r="3054" spans="1:10" x14ac:dyDescent="0.2">
      <c r="A3054" s="2">
        <v>3046</v>
      </c>
      <c r="B3054" s="14">
        <f>A3054*Assumptions!$B$12</f>
        <v>30.46</v>
      </c>
      <c r="C3054" s="15">
        <f>IF(A3054&lt;=Assumptions!$B$13,IF(OR(A3054=0,A3054=Assumptions!$B$13),0.5,1),0)*Assumptions!$B$12</f>
        <v>0</v>
      </c>
      <c r="D3054" s="12">
        <f>D3053*(1-Assumptions!$B$12*(Assumptions!$B$5+Assumptions!$B$6))</f>
        <v>0.40094256257038763</v>
      </c>
      <c r="E3054" s="12">
        <f>E3053+Assumptions!$B$12*(D3053*Assumptions!$B$5-E3053*Assumptions!$B$7)</f>
        <v>0.18296886503161577</v>
      </c>
      <c r="F3054" s="12">
        <f t="shared" si="141"/>
        <v>0.41608857239799657</v>
      </c>
      <c r="G3054" s="12">
        <f>EXP(-Assumptions!$B$8*B3054)</f>
        <v>0.2180567345113836</v>
      </c>
      <c r="H3054" s="12">
        <f t="shared" si="142"/>
        <v>8.7428225920724828E-2</v>
      </c>
      <c r="I3054" s="12">
        <f t="shared" si="143"/>
        <v>3.9897593226048217E-2</v>
      </c>
      <c r="J3054" s="12">
        <f>G3054*(D3054*Assumptions!$B$6+E3054*Assumptions!$B$7)</f>
        <v>2.8691619205096592E-3</v>
      </c>
    </row>
    <row r="3055" spans="1:10" x14ac:dyDescent="0.2">
      <c r="A3055" s="2">
        <v>3047</v>
      </c>
      <c r="B3055" s="14">
        <f>A3055*Assumptions!$B$12</f>
        <v>30.47</v>
      </c>
      <c r="C3055" s="15">
        <f>IF(A3055&lt;=Assumptions!$B$13,IF(OR(A3055=0,A3055=Assumptions!$B$13),0.5,1),0)*Assumptions!$B$12</f>
        <v>0</v>
      </c>
      <c r="D3055" s="12">
        <f>D3054*(1-Assumptions!$B$12*(Assumptions!$B$5+Assumptions!$B$6))</f>
        <v>0.4008222798016165</v>
      </c>
      <c r="E3055" s="12">
        <f>E3054+Assumptions!$B$12*(D3054*Assumptions!$B$5-E3054*Assumptions!$B$7)</f>
        <v>0.18295756911161404</v>
      </c>
      <c r="F3055" s="12">
        <f t="shared" si="141"/>
        <v>0.41622015108676941</v>
      </c>
      <c r="G3055" s="12">
        <f>EXP(-Assumptions!$B$8*B3055)</f>
        <v>0.21794773339667745</v>
      </c>
      <c r="H3055" s="12">
        <f t="shared" si="142"/>
        <v>8.735830737765117E-2</v>
      </c>
      <c r="I3055" s="12">
        <f t="shared" si="143"/>
        <v>3.9875187495642242E-2</v>
      </c>
      <c r="J3055" s="12">
        <f>G3055*(D3055*Assumptions!$B$6+E3055*Assumptions!$B$7)</f>
        <v>2.8673424485586236E-3</v>
      </c>
    </row>
    <row r="3056" spans="1:10" x14ac:dyDescent="0.2">
      <c r="A3056" s="2">
        <v>3048</v>
      </c>
      <c r="B3056" s="14">
        <f>A3056*Assumptions!$B$12</f>
        <v>30.48</v>
      </c>
      <c r="C3056" s="15">
        <f>IF(A3056&lt;=Assumptions!$B$13,IF(OR(A3056=0,A3056=Assumptions!$B$13),0.5,1),0)*Assumptions!$B$12</f>
        <v>0</v>
      </c>
      <c r="D3056" s="12">
        <f>D3055*(1-Assumptions!$B$12*(Assumptions!$B$5+Assumptions!$B$6))</f>
        <v>0.40070203311767605</v>
      </c>
      <c r="E3056" s="12">
        <f>E3055+Assumptions!$B$12*(D3055*Assumptions!$B$5-E3055*Assumptions!$B$7)</f>
        <v>0.18294625478301854</v>
      </c>
      <c r="F3056" s="12">
        <f t="shared" si="141"/>
        <v>0.41635171209930544</v>
      </c>
      <c r="G3056" s="12">
        <f>EXP(-Assumptions!$B$8*B3056)</f>
        <v>0.21783878676890578</v>
      </c>
      <c r="H3056" s="12">
        <f t="shared" si="142"/>
        <v>8.728844475018846E-2</v>
      </c>
      <c r="I3056" s="12">
        <f t="shared" si="143"/>
        <v>3.9852790185847885E-2</v>
      </c>
      <c r="J3056" s="12">
        <f>G3056*(D3056*Assumptions!$B$6+E3056*Assumptions!$B$7)</f>
        <v>2.8655239567942793E-3</v>
      </c>
    </row>
    <row r="3057" spans="1:10" x14ac:dyDescent="0.2">
      <c r="A3057" s="2">
        <v>3049</v>
      </c>
      <c r="B3057" s="14">
        <f>A3057*Assumptions!$B$12</f>
        <v>30.490000000000002</v>
      </c>
      <c r="C3057" s="15">
        <f>IF(A3057&lt;=Assumptions!$B$13,IF(OR(A3057=0,A3057=Assumptions!$B$13),0.5,1),0)*Assumptions!$B$12</f>
        <v>0</v>
      </c>
      <c r="D3057" s="12">
        <f>D3056*(1-Assumptions!$B$12*(Assumptions!$B$5+Assumptions!$B$6))</f>
        <v>0.40058182250774077</v>
      </c>
      <c r="E3057" s="12">
        <f>E3056+Assumptions!$B$12*(D3056*Assumptions!$B$5-E3056*Assumptions!$B$7)</f>
        <v>0.18293492206225057</v>
      </c>
      <c r="F3057" s="12">
        <f t="shared" si="141"/>
        <v>0.41648325543000864</v>
      </c>
      <c r="G3057" s="12">
        <f>EXP(-Assumptions!$B$8*B3057)</f>
        <v>0.21772989460083189</v>
      </c>
      <c r="H3057" s="12">
        <f t="shared" si="142"/>
        <v>8.7218637993619549E-2</v>
      </c>
      <c r="I3057" s="12">
        <f t="shared" si="143"/>
        <v>3.9830401299425215E-2</v>
      </c>
      <c r="J3057" s="12">
        <f>G3057*(D3057*Assumptions!$B$6+E3057*Assumptions!$B$7)</f>
        <v>2.8637064449074561E-3</v>
      </c>
    </row>
    <row r="3058" spans="1:10" x14ac:dyDescent="0.2">
      <c r="A3058" s="2">
        <v>3050</v>
      </c>
      <c r="B3058" s="14">
        <f>A3058*Assumptions!$B$12</f>
        <v>30.5</v>
      </c>
      <c r="C3058" s="15">
        <f>IF(A3058&lt;=Assumptions!$B$13,IF(OR(A3058=0,A3058=Assumptions!$B$13),0.5,1),0)*Assumptions!$B$12</f>
        <v>0</v>
      </c>
      <c r="D3058" s="12">
        <f>D3057*(1-Assumptions!$B$12*(Assumptions!$B$5+Assumptions!$B$6))</f>
        <v>0.40046164796098849</v>
      </c>
      <c r="E3058" s="12">
        <f>E3057+Assumptions!$B$12*(D3057*Assumptions!$B$5-E3057*Assumptions!$B$7)</f>
        <v>0.18292357096572098</v>
      </c>
      <c r="F3058" s="12">
        <f t="shared" si="141"/>
        <v>0.41661478107329053</v>
      </c>
      <c r="G3058" s="12">
        <f>EXP(-Assumptions!$B$8*B3058)</f>
        <v>0.21762105686523284</v>
      </c>
      <c r="H3058" s="12">
        <f t="shared" si="142"/>
        <v>8.7148887063263125E-2</v>
      </c>
      <c r="I3058" s="12">
        <f t="shared" si="143"/>
        <v>3.9808020839122618E-2</v>
      </c>
      <c r="J3058" s="12">
        <f>G3058*(D3058*Assumptions!$B$6+E3058*Assumptions!$B$7)</f>
        <v>2.8618899125887626E-3</v>
      </c>
    </row>
    <row r="3059" spans="1:10" x14ac:dyDescent="0.2">
      <c r="A3059" s="2">
        <v>3051</v>
      </c>
      <c r="B3059" s="14">
        <f>A3059*Assumptions!$B$12</f>
        <v>30.51</v>
      </c>
      <c r="C3059" s="15">
        <f>IF(A3059&lt;=Assumptions!$B$13,IF(OR(A3059=0,A3059=Assumptions!$B$13),0.5,1),0)*Assumptions!$B$12</f>
        <v>0</v>
      </c>
      <c r="D3059" s="12">
        <f>D3058*(1-Assumptions!$B$12*(Assumptions!$B$5+Assumptions!$B$6))</f>
        <v>0.40034150946660019</v>
      </c>
      <c r="E3059" s="12">
        <f>E3058+Assumptions!$B$12*(D3058*Assumptions!$B$5-E3058*Assumptions!$B$7)</f>
        <v>0.18291220150983031</v>
      </c>
      <c r="F3059" s="12">
        <f t="shared" si="141"/>
        <v>0.41674628902356947</v>
      </c>
      <c r="G3059" s="12">
        <f>EXP(-Assumptions!$B$8*B3059)</f>
        <v>0.21751227353489916</v>
      </c>
      <c r="H3059" s="12">
        <f t="shared" si="142"/>
        <v>8.7079191914473567E-2</v>
      </c>
      <c r="I3059" s="12">
        <f t="shared" si="143"/>
        <v>3.9785648807676807E-2</v>
      </c>
      <c r="J3059" s="12">
        <f>G3059*(D3059*Assumptions!$B$6+E3059*Assumptions!$B$7)</f>
        <v>2.860074359528576E-3</v>
      </c>
    </row>
    <row r="3060" spans="1:10" x14ac:dyDescent="0.2">
      <c r="A3060" s="2">
        <v>3052</v>
      </c>
      <c r="B3060" s="14">
        <f>A3060*Assumptions!$B$12</f>
        <v>30.52</v>
      </c>
      <c r="C3060" s="15">
        <f>IF(A3060&lt;=Assumptions!$B$13,IF(OR(A3060=0,A3060=Assumptions!$B$13),0.5,1),0)*Assumptions!$B$12</f>
        <v>0</v>
      </c>
      <c r="D3060" s="12">
        <f>D3059*(1-Assumptions!$B$12*(Assumptions!$B$5+Assumptions!$B$6))</f>
        <v>0.40022140701376024</v>
      </c>
      <c r="E3060" s="12">
        <f>E3059+Assumptions!$B$12*(D3059*Assumptions!$B$5-E3059*Assumptions!$B$7)</f>
        <v>0.18290081371096872</v>
      </c>
      <c r="F3060" s="12">
        <f t="shared" si="141"/>
        <v>0.41687777927527109</v>
      </c>
      <c r="G3060" s="12">
        <f>EXP(-Assumptions!$B$8*B3060)</f>
        <v>0.21740354458263497</v>
      </c>
      <c r="H3060" s="12">
        <f t="shared" si="142"/>
        <v>8.7009552502640919E-2</v>
      </c>
      <c r="I3060" s="12">
        <f t="shared" si="143"/>
        <v>3.9763285207812804E-2</v>
      </c>
      <c r="J3060" s="12">
        <f>G3060*(D3060*Assumptions!$B$6+E3060*Assumptions!$B$7)</f>
        <v>2.8582597854170493E-3</v>
      </c>
    </row>
    <row r="3061" spans="1:10" x14ac:dyDescent="0.2">
      <c r="A3061" s="2">
        <v>3053</v>
      </c>
      <c r="B3061" s="14">
        <f>A3061*Assumptions!$B$12</f>
        <v>30.53</v>
      </c>
      <c r="C3061" s="15">
        <f>IF(A3061&lt;=Assumptions!$B$13,IF(OR(A3061=0,A3061=Assumptions!$B$13),0.5,1),0)*Assumptions!$B$12</f>
        <v>0</v>
      </c>
      <c r="D3061" s="12">
        <f>D3060*(1-Assumptions!$B$12*(Assumptions!$B$5+Assumptions!$B$6))</f>
        <v>0.40010134059165614</v>
      </c>
      <c r="E3061" s="12">
        <f>E3060+Assumptions!$B$12*(D3060*Assumptions!$B$5-E3060*Assumptions!$B$7)</f>
        <v>0.182889407585516</v>
      </c>
      <c r="F3061" s="12">
        <f t="shared" si="141"/>
        <v>0.41700925182282789</v>
      </c>
      <c r="G3061" s="12">
        <f>EXP(-Assumptions!$B$8*B3061)</f>
        <v>0.21729486998125799</v>
      </c>
      <c r="H3061" s="12">
        <f t="shared" si="142"/>
        <v>8.6939968783190935E-2</v>
      </c>
      <c r="I3061" s="12">
        <f t="shared" si="143"/>
        <v>3.9740930042244001E-2</v>
      </c>
      <c r="J3061" s="12">
        <f>G3061*(D3061*Assumptions!$B$6+E3061*Assumptions!$B$7)</f>
        <v>2.8564461899441094E-3</v>
      </c>
    </row>
    <row r="3062" spans="1:10" x14ac:dyDescent="0.2">
      <c r="A3062" s="2">
        <v>3054</v>
      </c>
      <c r="B3062" s="14">
        <f>A3062*Assumptions!$B$12</f>
        <v>30.54</v>
      </c>
      <c r="C3062" s="15">
        <f>IF(A3062&lt;=Assumptions!$B$13,IF(OR(A3062=0,A3062=Assumptions!$B$13),0.5,1),0)*Assumptions!$B$12</f>
        <v>0</v>
      </c>
      <c r="D3062" s="12">
        <f>D3061*(1-Assumptions!$B$12*(Assumptions!$B$5+Assumptions!$B$6))</f>
        <v>0.39998131018947863</v>
      </c>
      <c r="E3062" s="12">
        <f>E3061+Assumptions!$B$12*(D3061*Assumptions!$B$5-E3061*Assumptions!$B$7)</f>
        <v>0.18287798314984158</v>
      </c>
      <c r="F3062" s="12">
        <f t="shared" si="141"/>
        <v>0.41714070666067971</v>
      </c>
      <c r="G3062" s="12">
        <f>EXP(-Assumptions!$B$8*B3062)</f>
        <v>0.21718624970359973</v>
      </c>
      <c r="H3062" s="12">
        <f t="shared" si="142"/>
        <v>8.687044071158509E-2</v>
      </c>
      <c r="I3062" s="12">
        <f t="shared" si="143"/>
        <v>3.9718583313672194E-2</v>
      </c>
      <c r="J3062" s="12">
        <f>G3062*(D3062*Assumptions!$B$6+E3062*Assumptions!$B$7)</f>
        <v>2.8546335727994607E-3</v>
      </c>
    </row>
    <row r="3063" spans="1:10" x14ac:dyDescent="0.2">
      <c r="A3063" s="2">
        <v>3055</v>
      </c>
      <c r="B3063" s="14">
        <f>A3063*Assumptions!$B$12</f>
        <v>30.55</v>
      </c>
      <c r="C3063" s="15">
        <f>IF(A3063&lt;=Assumptions!$B$13,IF(OR(A3063=0,A3063=Assumptions!$B$13),0.5,1),0)*Assumptions!$B$12</f>
        <v>0</v>
      </c>
      <c r="D3063" s="12">
        <f>D3062*(1-Assumptions!$B$12*(Assumptions!$B$5+Assumptions!$B$6))</f>
        <v>0.39986131579642181</v>
      </c>
      <c r="E3063" s="12">
        <f>E3062+Assumptions!$B$12*(D3062*Assumptions!$B$5-E3062*Assumptions!$B$7)</f>
        <v>0.18286654042030456</v>
      </c>
      <c r="F3063" s="12">
        <f t="shared" si="141"/>
        <v>0.4172721437832736</v>
      </c>
      <c r="G3063" s="12">
        <f>EXP(-Assumptions!$B$8*B3063)</f>
        <v>0.21707768372250499</v>
      </c>
      <c r="H3063" s="12">
        <f t="shared" si="142"/>
        <v>8.6800968243320342E-2</v>
      </c>
      <c r="I3063" s="12">
        <f t="shared" si="143"/>
        <v>3.9696245024787552E-2</v>
      </c>
      <c r="J3063" s="12">
        <f>G3063*(D3063*Assumptions!$B$6+E3063*Assumptions!$B$7)</f>
        <v>2.8528219336725813E-3</v>
      </c>
    </row>
    <row r="3064" spans="1:10" x14ac:dyDescent="0.2">
      <c r="A3064" s="2">
        <v>3056</v>
      </c>
      <c r="B3064" s="14">
        <f>A3064*Assumptions!$B$12</f>
        <v>30.560000000000002</v>
      </c>
      <c r="C3064" s="15">
        <f>IF(A3064&lt;=Assumptions!$B$13,IF(OR(A3064=0,A3064=Assumptions!$B$13),0.5,1),0)*Assumptions!$B$12</f>
        <v>0</v>
      </c>
      <c r="D3064" s="12">
        <f>D3063*(1-Assumptions!$B$12*(Assumptions!$B$5+Assumptions!$B$6))</f>
        <v>0.39974135740168287</v>
      </c>
      <c r="E3064" s="12">
        <f>E3063+Assumptions!$B$12*(D3063*Assumptions!$B$5-E3063*Assumptions!$B$7)</f>
        <v>0.18285507941325368</v>
      </c>
      <c r="F3064" s="12">
        <f t="shared" si="141"/>
        <v>0.4174035631850635</v>
      </c>
      <c r="G3064" s="12">
        <f>EXP(-Assumptions!$B$8*B3064)</f>
        <v>0.2169691720108323</v>
      </c>
      <c r="H3064" s="12">
        <f t="shared" si="142"/>
        <v>8.6731551333929319E-2</v>
      </c>
      <c r="I3064" s="12">
        <f t="shared" si="143"/>
        <v>3.967391517826864E-2</v>
      </c>
      <c r="J3064" s="12">
        <f>G3064*(D3064*Assumptions!$B$6+E3064*Assumptions!$B$7)</f>
        <v>2.8510112722527252E-3</v>
      </c>
    </row>
    <row r="3065" spans="1:10" x14ac:dyDescent="0.2">
      <c r="A3065" s="2">
        <v>3057</v>
      </c>
      <c r="B3065" s="14">
        <f>A3065*Assumptions!$B$12</f>
        <v>30.57</v>
      </c>
      <c r="C3065" s="15">
        <f>IF(A3065&lt;=Assumptions!$B$13,IF(OR(A3065=0,A3065=Assumptions!$B$13),0.5,1),0)*Assumptions!$B$12</f>
        <v>0</v>
      </c>
      <c r="D3065" s="12">
        <f>D3064*(1-Assumptions!$B$12*(Assumptions!$B$5+Assumptions!$B$6))</f>
        <v>0.3996214349944624</v>
      </c>
      <c r="E3065" s="12">
        <f>E3064+Assumptions!$B$12*(D3064*Assumptions!$B$5-E3064*Assumptions!$B$7)</f>
        <v>0.1828436001450274</v>
      </c>
      <c r="F3065" s="12">
        <f t="shared" si="141"/>
        <v>0.41753496486051012</v>
      </c>
      <c r="G3065" s="12">
        <f>EXP(-Assumptions!$B$8*B3065)</f>
        <v>0.21686071454145375</v>
      </c>
      <c r="H3065" s="12">
        <f t="shared" si="142"/>
        <v>8.6662189938980227E-2</v>
      </c>
      <c r="I3065" s="12">
        <f t="shared" si="143"/>
        <v>3.9651593776782498E-2</v>
      </c>
      <c r="J3065" s="12">
        <f>G3065*(D3065*Assumptions!$B$6+E3065*Assumptions!$B$7)</f>
        <v>2.8492015882289278E-3</v>
      </c>
    </row>
    <row r="3066" spans="1:10" x14ac:dyDescent="0.2">
      <c r="A3066" s="2">
        <v>3058</v>
      </c>
      <c r="B3066" s="14">
        <f>A3066*Assumptions!$B$12</f>
        <v>30.580000000000002</v>
      </c>
      <c r="C3066" s="15">
        <f>IF(A3066&lt;=Assumptions!$B$13,IF(OR(A3066=0,A3066=Assumptions!$B$13),0.5,1),0)*Assumptions!$B$12</f>
        <v>0</v>
      </c>
      <c r="D3066" s="12">
        <f>D3065*(1-Assumptions!$B$12*(Assumptions!$B$5+Assumptions!$B$6))</f>
        <v>0.39950154856396408</v>
      </c>
      <c r="E3066" s="12">
        <f>E3065+Assumptions!$B$12*(D3065*Assumptions!$B$5-E3065*Assumptions!$B$7)</f>
        <v>0.18283210263195379</v>
      </c>
      <c r="F3066" s="12">
        <f t="shared" si="141"/>
        <v>0.41766634880408204</v>
      </c>
      <c r="G3066" s="12">
        <f>EXP(-Assumptions!$B$8*B3066)</f>
        <v>0.216752311287255</v>
      </c>
      <c r="H3066" s="12">
        <f t="shared" si="142"/>
        <v>8.6592884014076762E-2</v>
      </c>
      <c r="I3066" s="12">
        <f t="shared" si="143"/>
        <v>3.96292808229846E-2</v>
      </c>
      <c r="J3066" s="12">
        <f>G3066*(D3066*Assumptions!$B$6+E3066*Assumptions!$B$7)</f>
        <v>2.8473928812899978E-3</v>
      </c>
    </row>
    <row r="3067" spans="1:10" x14ac:dyDescent="0.2">
      <c r="A3067" s="2">
        <v>3059</v>
      </c>
      <c r="B3067" s="14">
        <f>A3067*Assumptions!$B$12</f>
        <v>30.59</v>
      </c>
      <c r="C3067" s="15">
        <f>IF(A3067&lt;=Assumptions!$B$13,IF(OR(A3067=0,A3067=Assumptions!$B$13),0.5,1),0)*Assumptions!$B$12</f>
        <v>0</v>
      </c>
      <c r="D3067" s="12">
        <f>D3066*(1-Assumptions!$B$12*(Assumptions!$B$5+Assumptions!$B$6))</f>
        <v>0.39938169809939489</v>
      </c>
      <c r="E3067" s="12">
        <f>E3066+Assumptions!$B$12*(D3066*Assumptions!$B$5-E3066*Assumptions!$B$7)</f>
        <v>0.18282058689035061</v>
      </c>
      <c r="F3067" s="12">
        <f t="shared" si="141"/>
        <v>0.41779771501025442</v>
      </c>
      <c r="G3067" s="12">
        <f>EXP(-Assumptions!$B$8*B3067)</f>
        <v>0.21664396222113519</v>
      </c>
      <c r="H3067" s="12">
        <f t="shared" si="142"/>
        <v>8.6523633514858131E-2</v>
      </c>
      <c r="I3067" s="12">
        <f t="shared" si="143"/>
        <v>3.9606976319518879E-2</v>
      </c>
      <c r="J3067" s="12">
        <f>G3067*(D3067*Assumptions!$B$6+E3067*Assumptions!$B$7)</f>
        <v>2.8455851511245255E-3</v>
      </c>
    </row>
    <row r="3068" spans="1:10" x14ac:dyDescent="0.2">
      <c r="A3068" s="2">
        <v>3060</v>
      </c>
      <c r="B3068" s="14">
        <f>A3068*Assumptions!$B$12</f>
        <v>30.6</v>
      </c>
      <c r="C3068" s="15">
        <f>IF(A3068&lt;=Assumptions!$B$13,IF(OR(A3068=0,A3068=Assumptions!$B$13),0.5,1),0)*Assumptions!$B$12</f>
        <v>0</v>
      </c>
      <c r="D3068" s="12">
        <f>D3067*(1-Assumptions!$B$12*(Assumptions!$B$5+Assumptions!$B$6))</f>
        <v>0.39926188358996506</v>
      </c>
      <c r="E3068" s="12">
        <f>E3067+Assumptions!$B$12*(D3067*Assumptions!$B$5-E3067*Assumptions!$B$7)</f>
        <v>0.1828090529365253</v>
      </c>
      <c r="F3068" s="12">
        <f t="shared" si="141"/>
        <v>0.41792906347350967</v>
      </c>
      <c r="G3068" s="12">
        <f>EXP(-Assumptions!$B$8*B3068)</f>
        <v>0.21653566731600701</v>
      </c>
      <c r="H3068" s="12">
        <f t="shared" si="142"/>
        <v>8.6454438396998998E-2</v>
      </c>
      <c r="I3068" s="12">
        <f t="shared" si="143"/>
        <v>3.9584680269017757E-2</v>
      </c>
      <c r="J3068" s="12">
        <f>G3068*(D3068*Assumptions!$B$6+E3068*Assumptions!$B$7)</f>
        <v>2.8437783974208774E-3</v>
      </c>
    </row>
    <row r="3069" spans="1:10" x14ac:dyDescent="0.2">
      <c r="A3069" s="2">
        <v>3061</v>
      </c>
      <c r="B3069" s="14">
        <f>A3069*Assumptions!$B$12</f>
        <v>30.61</v>
      </c>
      <c r="C3069" s="15">
        <f>IF(A3069&lt;=Assumptions!$B$13,IF(OR(A3069=0,A3069=Assumptions!$B$13),0.5,1),0)*Assumptions!$B$12</f>
        <v>0</v>
      </c>
      <c r="D3069" s="12">
        <f>D3068*(1-Assumptions!$B$12*(Assumptions!$B$5+Assumptions!$B$6))</f>
        <v>0.39914210502488806</v>
      </c>
      <c r="E3069" s="12">
        <f>E3068+Assumptions!$B$12*(D3068*Assumptions!$B$5-E3068*Assumptions!$B$7)</f>
        <v>0.18279750078677504</v>
      </c>
      <c r="F3069" s="12">
        <f t="shared" si="141"/>
        <v>0.41806039418833696</v>
      </c>
      <c r="G3069" s="12">
        <f>EXP(-Assumptions!$B$8*B3069)</f>
        <v>0.21642742654479688</v>
      </c>
      <c r="H3069" s="12">
        <f t="shared" si="142"/>
        <v>8.6385298616209569E-2</v>
      </c>
      <c r="I3069" s="12">
        <f t="shared" si="143"/>
        <v>3.9562392674102206E-2</v>
      </c>
      <c r="J3069" s="12">
        <f>G3069*(D3069*Assumptions!$B$6+E3069*Assumptions!$B$7)</f>
        <v>2.8419726198672061E-3</v>
      </c>
    </row>
    <row r="3070" spans="1:10" x14ac:dyDescent="0.2">
      <c r="A3070" s="2">
        <v>3062</v>
      </c>
      <c r="B3070" s="14">
        <f>A3070*Assumptions!$B$12</f>
        <v>30.62</v>
      </c>
      <c r="C3070" s="15">
        <f>IF(A3070&lt;=Assumptions!$B$13,IF(OR(A3070=0,A3070=Assumptions!$B$13),0.5,1),0)*Assumptions!$B$12</f>
        <v>0</v>
      </c>
      <c r="D3070" s="12">
        <f>D3069*(1-Assumptions!$B$12*(Assumptions!$B$5+Assumptions!$B$6))</f>
        <v>0.39902236239338063</v>
      </c>
      <c r="E3070" s="12">
        <f>E3069+Assumptions!$B$12*(D3069*Assumptions!$B$5-E3069*Assumptions!$B$7)</f>
        <v>0.18278593045738661</v>
      </c>
      <c r="F3070" s="12">
        <f t="shared" si="141"/>
        <v>0.41819170714923276</v>
      </c>
      <c r="G3070" s="12">
        <f>EXP(-Assumptions!$B$8*B3070)</f>
        <v>0.21631923988044444</v>
      </c>
      <c r="H3070" s="12">
        <f t="shared" si="142"/>
        <v>8.6316214128235341E-2</v>
      </c>
      <c r="I3070" s="12">
        <f t="shared" si="143"/>
        <v>3.9540113537381648E-2</v>
      </c>
      <c r="J3070" s="12">
        <f>G3070*(D3070*Assumptions!$B$6+E3070*Assumptions!$B$7)</f>
        <v>2.8401678181514361E-3</v>
      </c>
    </row>
    <row r="3071" spans="1:10" x14ac:dyDescent="0.2">
      <c r="A3071" s="2">
        <v>3063</v>
      </c>
      <c r="B3071" s="14">
        <f>A3071*Assumptions!$B$12</f>
        <v>30.63</v>
      </c>
      <c r="C3071" s="15">
        <f>IF(A3071&lt;=Assumptions!$B$13,IF(OR(A3071=0,A3071=Assumptions!$B$13),0.5,1),0)*Assumptions!$B$12</f>
        <v>0</v>
      </c>
      <c r="D3071" s="12">
        <f>D3070*(1-Assumptions!$B$12*(Assumptions!$B$5+Assumptions!$B$6))</f>
        <v>0.3989026556846626</v>
      </c>
      <c r="E3071" s="12">
        <f>E3070+Assumptions!$B$12*(D3070*Assumptions!$B$5-E3070*Assumptions!$B$7)</f>
        <v>0.1827743419646366</v>
      </c>
      <c r="F3071" s="12">
        <f t="shared" si="141"/>
        <v>0.41832300235070075</v>
      </c>
      <c r="G3071" s="12">
        <f>EXP(-Assumptions!$B$8*B3071)</f>
        <v>0.21621110729590312</v>
      </c>
      <c r="H3071" s="12">
        <f t="shared" si="142"/>
        <v>8.6247184888857284E-2</v>
      </c>
      <c r="I3071" s="12">
        <f t="shared" si="143"/>
        <v>3.9517842861454135E-2</v>
      </c>
      <c r="J3071" s="12">
        <f>G3071*(D3071*Assumptions!$B$6+E3071*Assumptions!$B$7)</f>
        <v>2.8383639919612796E-3</v>
      </c>
    </row>
    <row r="3072" spans="1:10" x14ac:dyDescent="0.2">
      <c r="A3072" s="2">
        <v>3064</v>
      </c>
      <c r="B3072" s="14">
        <f>A3072*Assumptions!$B$12</f>
        <v>30.64</v>
      </c>
      <c r="C3072" s="15">
        <f>IF(A3072&lt;=Assumptions!$B$13,IF(OR(A3072=0,A3072=Assumptions!$B$13),0.5,1),0)*Assumptions!$B$12</f>
        <v>0</v>
      </c>
      <c r="D3072" s="12">
        <f>D3071*(1-Assumptions!$B$12*(Assumptions!$B$5+Assumptions!$B$6))</f>
        <v>0.39878298488795721</v>
      </c>
      <c r="E3072" s="12">
        <f>E3071+Assumptions!$B$12*(D3071*Assumptions!$B$5-E3071*Assumptions!$B$7)</f>
        <v>0.1827627353247912</v>
      </c>
      <c r="F3072" s="12">
        <f t="shared" si="141"/>
        <v>0.41845427978725164</v>
      </c>
      <c r="G3072" s="12">
        <f>EXP(-Assumptions!$B$8*B3072)</f>
        <v>0.21610302876413975</v>
      </c>
      <c r="H3072" s="12">
        <f t="shared" si="142"/>
        <v>8.6178210853891726E-2</v>
      </c>
      <c r="I3072" s="12">
        <f t="shared" si="143"/>
        <v>3.9495580648906216E-2</v>
      </c>
      <c r="J3072" s="12">
        <f>G3072*(D3072*Assumptions!$B$6+E3072*Assumptions!$B$7)</f>
        <v>2.8365611409842282E-3</v>
      </c>
    </row>
    <row r="3073" spans="1:10" x14ac:dyDescent="0.2">
      <c r="A3073" s="2">
        <v>3065</v>
      </c>
      <c r="B3073" s="14">
        <f>A3073*Assumptions!$B$12</f>
        <v>30.650000000000002</v>
      </c>
      <c r="C3073" s="15">
        <f>IF(A3073&lt;=Assumptions!$B$13,IF(OR(A3073=0,A3073=Assumptions!$B$13),0.5,1),0)*Assumptions!$B$12</f>
        <v>0</v>
      </c>
      <c r="D3073" s="12">
        <f>D3072*(1-Assumptions!$B$12*(Assumptions!$B$5+Assumptions!$B$6))</f>
        <v>0.39866334999249087</v>
      </c>
      <c r="E3073" s="12">
        <f>E3072+Assumptions!$B$12*(D3072*Assumptions!$B$5-E3072*Assumptions!$B$7)</f>
        <v>0.18275111055410639</v>
      </c>
      <c r="F3073" s="12">
        <f t="shared" si="141"/>
        <v>0.41858553945340271</v>
      </c>
      <c r="G3073" s="12">
        <f>EXP(-Assumptions!$B$8*B3073)</f>
        <v>0.21599500425813464</v>
      </c>
      <c r="H3073" s="12">
        <f t="shared" si="142"/>
        <v>8.6109291979190289E-2</v>
      </c>
      <c r="I3073" s="12">
        <f t="shared" si="143"/>
        <v>3.9473326902313047E-2</v>
      </c>
      <c r="J3073" s="12">
        <f>G3073*(D3073*Assumptions!$B$6+E3073*Assumptions!$B$7)</f>
        <v>2.8347592649075552E-3</v>
      </c>
    </row>
    <row r="3074" spans="1:10" x14ac:dyDescent="0.2">
      <c r="A3074" s="2">
        <v>3066</v>
      </c>
      <c r="B3074" s="14">
        <f>A3074*Assumptions!$B$12</f>
        <v>30.66</v>
      </c>
      <c r="C3074" s="15">
        <f>IF(A3074&lt;=Assumptions!$B$13,IF(OR(A3074=0,A3074=Assumptions!$B$13),0.5,1),0)*Assumptions!$B$12</f>
        <v>0</v>
      </c>
      <c r="D3074" s="12">
        <f>D3073*(1-Assumptions!$B$12*(Assumptions!$B$5+Assumptions!$B$6))</f>
        <v>0.39854375098749312</v>
      </c>
      <c r="E3074" s="12">
        <f>E3073+Assumptions!$B$12*(D3073*Assumptions!$B$5-E3073*Assumptions!$B$7)</f>
        <v>0.18273946766882784</v>
      </c>
      <c r="F3074" s="12">
        <f t="shared" si="141"/>
        <v>0.41871678134367896</v>
      </c>
      <c r="G3074" s="12">
        <f>EXP(-Assumptions!$B$8*B3074)</f>
        <v>0.21588703375088181</v>
      </c>
      <c r="H3074" s="12">
        <f t="shared" si="142"/>
        <v>8.6040428220639967E-2</v>
      </c>
      <c r="I3074" s="12">
        <f t="shared" si="143"/>
        <v>3.945108162423841E-2</v>
      </c>
      <c r="J3074" s="12">
        <f>G3074*(D3074*Assumptions!$B$6+E3074*Assumptions!$B$7)</f>
        <v>2.8329583634183206E-3</v>
      </c>
    </row>
    <row r="3075" spans="1:10" x14ac:dyDescent="0.2">
      <c r="A3075" s="2">
        <v>3067</v>
      </c>
      <c r="B3075" s="14">
        <f>A3075*Assumptions!$B$12</f>
        <v>30.67</v>
      </c>
      <c r="C3075" s="15">
        <f>IF(A3075&lt;=Assumptions!$B$13,IF(OR(A3075=0,A3075=Assumptions!$B$13),0.5,1),0)*Assumptions!$B$12</f>
        <v>0</v>
      </c>
      <c r="D3075" s="12">
        <f>D3074*(1-Assumptions!$B$12*(Assumptions!$B$5+Assumptions!$B$6))</f>
        <v>0.39842418786219691</v>
      </c>
      <c r="E3075" s="12">
        <f>E3074+Assumptions!$B$12*(D3074*Assumptions!$B$5-E3074*Assumptions!$B$7)</f>
        <v>0.18272780668519092</v>
      </c>
      <c r="F3075" s="12">
        <f t="shared" si="141"/>
        <v>0.41884800545261214</v>
      </c>
      <c r="G3075" s="12">
        <f>EXP(-Assumptions!$B$8*B3075)</f>
        <v>0.21577911721538851</v>
      </c>
      <c r="H3075" s="12">
        <f t="shared" si="142"/>
        <v>8.5971619534162963E-2</v>
      </c>
      <c r="I3075" s="12">
        <f t="shared" si="143"/>
        <v>3.9428844817234666E-2</v>
      </c>
      <c r="J3075" s="12">
        <f>G3075*(D3075*Assumptions!$B$6+E3075*Assumptions!$B$7)</f>
        <v>2.8311584362033628E-3</v>
      </c>
    </row>
    <row r="3076" spans="1:10" x14ac:dyDescent="0.2">
      <c r="A3076" s="2">
        <v>3068</v>
      </c>
      <c r="B3076" s="14">
        <f>A3076*Assumptions!$B$12</f>
        <v>30.68</v>
      </c>
      <c r="C3076" s="15">
        <f>IF(A3076&lt;=Assumptions!$B$13,IF(OR(A3076=0,A3076=Assumptions!$B$13),0.5,1),0)*Assumptions!$B$12</f>
        <v>0</v>
      </c>
      <c r="D3076" s="12">
        <f>D3075*(1-Assumptions!$B$12*(Assumptions!$B$5+Assumptions!$B$6))</f>
        <v>0.39830466060583825</v>
      </c>
      <c r="E3076" s="12">
        <f>E3075+Assumptions!$B$12*(D3075*Assumptions!$B$5-E3075*Assumptions!$B$7)</f>
        <v>0.18271612761942077</v>
      </c>
      <c r="F3076" s="12">
        <f t="shared" si="141"/>
        <v>0.41897921177474096</v>
      </c>
      <c r="G3076" s="12">
        <f>EXP(-Assumptions!$B$8*B3076)</f>
        <v>0.21567125462467565</v>
      </c>
      <c r="H3076" s="12">
        <f t="shared" si="142"/>
        <v>8.5902865875716758E-2</v>
      </c>
      <c r="I3076" s="12">
        <f t="shared" si="143"/>
        <v>3.9406616483842825E-2</v>
      </c>
      <c r="J3076" s="12">
        <f>G3076*(D3076*Assumptions!$B$6+E3076*Assumptions!$B$7)</f>
        <v>2.8293594829493091E-3</v>
      </c>
    </row>
    <row r="3077" spans="1:10" x14ac:dyDescent="0.2">
      <c r="A3077" s="2">
        <v>3069</v>
      </c>
      <c r="B3077" s="14">
        <f>A3077*Assumptions!$B$12</f>
        <v>30.69</v>
      </c>
      <c r="C3077" s="15">
        <f>IF(A3077&lt;=Assumptions!$B$13,IF(OR(A3077=0,A3077=Assumptions!$B$13),0.5,1),0)*Assumptions!$B$12</f>
        <v>0</v>
      </c>
      <c r="D3077" s="12">
        <f>D3076*(1-Assumptions!$B$12*(Assumptions!$B$5+Assumptions!$B$6))</f>
        <v>0.39818516920765651</v>
      </c>
      <c r="E3077" s="12">
        <f>E3076+Assumptions!$B$12*(D3076*Assumptions!$B$5-E3076*Assumptions!$B$7)</f>
        <v>0.18270443048773222</v>
      </c>
      <c r="F3077" s="12">
        <f t="shared" si="141"/>
        <v>0.41911040030461122</v>
      </c>
      <c r="G3077" s="12">
        <f>EXP(-Assumptions!$B$8*B3077)</f>
        <v>0.21556344595177751</v>
      </c>
      <c r="H3077" s="12">
        <f t="shared" si="142"/>
        <v>8.583416720129404E-2</v>
      </c>
      <c r="I3077" s="12">
        <f t="shared" si="143"/>
        <v>3.9384396626592558E-2</v>
      </c>
      <c r="J3077" s="12">
        <f>G3077*(D3077*Assumptions!$B$6+E3077*Assumptions!$B$7)</f>
        <v>2.8275615033425683E-3</v>
      </c>
    </row>
    <row r="3078" spans="1:10" x14ac:dyDescent="0.2">
      <c r="A3078" s="2">
        <v>3070</v>
      </c>
      <c r="B3078" s="14">
        <f>A3078*Assumptions!$B$12</f>
        <v>30.7</v>
      </c>
      <c r="C3078" s="15">
        <f>IF(A3078&lt;=Assumptions!$B$13,IF(OR(A3078=0,A3078=Assumptions!$B$13),0.5,1),0)*Assumptions!$B$12</f>
        <v>0</v>
      </c>
      <c r="D3078" s="12">
        <f>D3077*(1-Assumptions!$B$12*(Assumptions!$B$5+Assumptions!$B$6))</f>
        <v>0.39806571365689425</v>
      </c>
      <c r="E3078" s="12">
        <f>E3077+Assumptions!$B$12*(D3077*Assumptions!$B$5-E3077*Assumptions!$B$7)</f>
        <v>0.18269271530632988</v>
      </c>
      <c r="F3078" s="12">
        <f t="shared" si="141"/>
        <v>0.41924157103677584</v>
      </c>
      <c r="G3078" s="12">
        <f>EXP(-Assumptions!$B$8*B3078)</f>
        <v>0.21545569116974203</v>
      </c>
      <c r="H3078" s="12">
        <f t="shared" si="142"/>
        <v>8.5765523466922775E-2</v>
      </c>
      <c r="I3078" s="12">
        <f t="shared" si="143"/>
        <v>3.9362185248002217E-2</v>
      </c>
      <c r="J3078" s="12">
        <f>G3078*(D3078*Assumptions!$B$6+E3078*Assumptions!$B$7)</f>
        <v>2.8257644970693385E-3</v>
      </c>
    </row>
    <row r="3079" spans="1:10" x14ac:dyDescent="0.2">
      <c r="A3079" s="2">
        <v>3071</v>
      </c>
      <c r="B3079" s="14">
        <f>A3079*Assumptions!$B$12</f>
        <v>30.71</v>
      </c>
      <c r="C3079" s="15">
        <f>IF(A3079&lt;=Assumptions!$B$13,IF(OR(A3079=0,A3079=Assumptions!$B$13),0.5,1),0)*Assumptions!$B$12</f>
        <v>0</v>
      </c>
      <c r="D3079" s="12">
        <f>D3078*(1-Assumptions!$B$12*(Assumptions!$B$5+Assumptions!$B$6))</f>
        <v>0.39794629394279718</v>
      </c>
      <c r="E3079" s="12">
        <f>E3078+Assumptions!$B$12*(D3078*Assumptions!$B$5-E3078*Assumptions!$B$7)</f>
        <v>0.1826809820914081</v>
      </c>
      <c r="F3079" s="12">
        <f t="shared" si="141"/>
        <v>0.41937272396579478</v>
      </c>
      <c r="G3079" s="12">
        <f>EXP(-Assumptions!$B$8*B3079)</f>
        <v>0.21534799025163046</v>
      </c>
      <c r="H3079" s="12">
        <f t="shared" si="142"/>
        <v>8.5696934628665955E-2</v>
      </c>
      <c r="I3079" s="12">
        <f t="shared" si="143"/>
        <v>3.9339982350578825E-2</v>
      </c>
      <c r="J3079" s="12">
        <f>G3079*(D3079*Assumptions!$B$6+E3079*Assumptions!$B$7)</f>
        <v>2.8239684638156006E-3</v>
      </c>
    </row>
    <row r="3080" spans="1:10" x14ac:dyDescent="0.2">
      <c r="A3080" s="2">
        <v>3072</v>
      </c>
      <c r="B3080" s="14">
        <f>A3080*Assumptions!$B$12</f>
        <v>30.72</v>
      </c>
      <c r="C3080" s="15">
        <f>IF(A3080&lt;=Assumptions!$B$13,IF(OR(A3080=0,A3080=Assumptions!$B$13),0.5,1),0)*Assumptions!$B$12</f>
        <v>0</v>
      </c>
      <c r="D3080" s="12">
        <f>D3079*(1-Assumptions!$B$12*(Assumptions!$B$5+Assumptions!$B$6))</f>
        <v>0.39782691005461435</v>
      </c>
      <c r="E3080" s="12">
        <f>E3079+Assumptions!$B$12*(D3079*Assumptions!$B$5-E3079*Assumptions!$B$7)</f>
        <v>0.18266923085915096</v>
      </c>
      <c r="F3080" s="12">
        <f t="shared" ref="F3080:F3143" si="144">1-D3080-E3080</f>
        <v>0.41950385908623467</v>
      </c>
      <c r="G3080" s="12">
        <f>EXP(-Assumptions!$B$8*B3080)</f>
        <v>0.21524034317051757</v>
      </c>
      <c r="H3080" s="12">
        <f t="shared" ref="H3080:H3143" si="145">G3080*D3080</f>
        <v>8.5628400642621824E-2</v>
      </c>
      <c r="I3080" s="12">
        <f t="shared" ref="I3080:I3143" si="146">G3080*E3080</f>
        <v>3.9317787936818151E-2</v>
      </c>
      <c r="J3080" s="12">
        <f>G3080*(D3080*Assumptions!$B$6+E3080*Assumptions!$B$7)</f>
        <v>2.8221734032671257E-3</v>
      </c>
    </row>
    <row r="3081" spans="1:10" x14ac:dyDescent="0.2">
      <c r="A3081" s="2">
        <v>3073</v>
      </c>
      <c r="B3081" s="14">
        <f>A3081*Assumptions!$B$12</f>
        <v>30.73</v>
      </c>
      <c r="C3081" s="15">
        <f>IF(A3081&lt;=Assumptions!$B$13,IF(OR(A3081=0,A3081=Assumptions!$B$13),0.5,1),0)*Assumptions!$B$12</f>
        <v>0</v>
      </c>
      <c r="D3081" s="12">
        <f>D3080*(1-Assumptions!$B$12*(Assumptions!$B$5+Assumptions!$B$6))</f>
        <v>0.39770756198159796</v>
      </c>
      <c r="E3081" s="12">
        <f>E3080+Assumptions!$B$12*(D3080*Assumptions!$B$5-E3080*Assumptions!$B$7)</f>
        <v>0.18265746162573232</v>
      </c>
      <c r="F3081" s="12">
        <f t="shared" si="144"/>
        <v>0.41963497639266972</v>
      </c>
      <c r="G3081" s="12">
        <f>EXP(-Assumptions!$B$8*B3081)</f>
        <v>0.21513274989949158</v>
      </c>
      <c r="H3081" s="12">
        <f t="shared" si="145"/>
        <v>8.5559921464923652E-2</v>
      </c>
      <c r="I3081" s="12">
        <f t="shared" si="146"/>
        <v>3.929560200920465E-2</v>
      </c>
      <c r="J3081" s="12">
        <f>G3081*(D3081*Assumptions!$B$6+E3081*Assumptions!$B$7)</f>
        <v>2.8203793151094694E-3</v>
      </c>
    </row>
    <row r="3082" spans="1:10" x14ac:dyDescent="0.2">
      <c r="A3082" s="2">
        <v>3074</v>
      </c>
      <c r="B3082" s="14">
        <f>A3082*Assumptions!$B$12</f>
        <v>30.740000000000002</v>
      </c>
      <c r="C3082" s="15">
        <f>IF(A3082&lt;=Assumptions!$B$13,IF(OR(A3082=0,A3082=Assumptions!$B$13),0.5,1),0)*Assumptions!$B$12</f>
        <v>0</v>
      </c>
      <c r="D3082" s="12">
        <f>D3081*(1-Assumptions!$B$12*(Assumptions!$B$5+Assumptions!$B$6))</f>
        <v>0.39758824971300349</v>
      </c>
      <c r="E3082" s="12">
        <f>E3081+Assumptions!$B$12*(D3081*Assumptions!$B$5-E3081*Assumptions!$B$7)</f>
        <v>0.18264567440731577</v>
      </c>
      <c r="F3082" s="12">
        <f t="shared" si="144"/>
        <v>0.41976607587968079</v>
      </c>
      <c r="G3082" s="12">
        <f>EXP(-Assumptions!$B$8*B3082)</f>
        <v>0.21502521041165421</v>
      </c>
      <c r="H3082" s="12">
        <f t="shared" si="145"/>
        <v>8.549149705173989E-2</v>
      </c>
      <c r="I3082" s="12">
        <f t="shared" si="146"/>
        <v>3.927342457021156E-2</v>
      </c>
      <c r="J3082" s="12">
        <f>G3082*(D3082*Assumptions!$B$6+E3082*Assumptions!$B$7)</f>
        <v>2.8185861990279769E-3</v>
      </c>
    </row>
    <row r="3083" spans="1:10" x14ac:dyDescent="0.2">
      <c r="A3083" s="2">
        <v>3075</v>
      </c>
      <c r="B3083" s="14">
        <f>A3083*Assumptions!$B$12</f>
        <v>30.75</v>
      </c>
      <c r="C3083" s="15">
        <f>IF(A3083&lt;=Assumptions!$B$13,IF(OR(A3083=0,A3083=Assumptions!$B$13),0.5,1),0)*Assumptions!$B$12</f>
        <v>0</v>
      </c>
      <c r="D3083" s="12">
        <f>D3082*(1-Assumptions!$B$12*(Assumptions!$B$5+Assumptions!$B$6))</f>
        <v>0.39746897323808961</v>
      </c>
      <c r="E3083" s="12">
        <f>E3082+Assumptions!$B$12*(D3082*Assumptions!$B$5-E3082*Assumptions!$B$7)</f>
        <v>0.18263386922005473</v>
      </c>
      <c r="F3083" s="12">
        <f t="shared" si="144"/>
        <v>0.41989715754185564</v>
      </c>
      <c r="G3083" s="12">
        <f>EXP(-Assumptions!$B$8*B3083)</f>
        <v>0.21491772468012055</v>
      </c>
      <c r="H3083" s="12">
        <f t="shared" si="145"/>
        <v>8.5423127359273945E-2</v>
      </c>
      <c r="I3083" s="12">
        <f t="shared" si="146"/>
        <v>3.9251255622300862E-2</v>
      </c>
      <c r="J3083" s="12">
        <f>G3083*(D3083*Assumptions!$B$6+E3083*Assumptions!$B$7)</f>
        <v>2.8167940547077831E-3</v>
      </c>
    </row>
    <row r="3084" spans="1:10" x14ac:dyDescent="0.2">
      <c r="A3084" s="2">
        <v>3076</v>
      </c>
      <c r="B3084" s="14">
        <f>A3084*Assumptions!$B$12</f>
        <v>30.76</v>
      </c>
      <c r="C3084" s="15">
        <f>IF(A3084&lt;=Assumptions!$B$13,IF(OR(A3084=0,A3084=Assumptions!$B$13),0.5,1),0)*Assumptions!$B$12</f>
        <v>0</v>
      </c>
      <c r="D3084" s="12">
        <f>D3083*(1-Assumptions!$B$12*(Assumptions!$B$5+Assumptions!$B$6))</f>
        <v>0.39734973254611822</v>
      </c>
      <c r="E3084" s="12">
        <f>E3083+Assumptions!$B$12*(D3083*Assumptions!$B$5-E3083*Assumptions!$B$7)</f>
        <v>0.18262204608009233</v>
      </c>
      <c r="F3084" s="12">
        <f t="shared" si="144"/>
        <v>0.42002822137378948</v>
      </c>
      <c r="G3084" s="12">
        <f>EXP(-Assumptions!$B$8*B3084)</f>
        <v>0.21481029267801915</v>
      </c>
      <c r="H3084" s="12">
        <f t="shared" si="145"/>
        <v>8.5354812343764283E-2</v>
      </c>
      <c r="I3084" s="12">
        <f t="shared" si="146"/>
        <v>3.9229095167923334E-2</v>
      </c>
      <c r="J3084" s="12">
        <f>G3084*(D3084*Assumptions!$B$6+E3084*Assumptions!$B$7)</f>
        <v>2.81500288183381E-3</v>
      </c>
    </row>
    <row r="3085" spans="1:10" x14ac:dyDescent="0.2">
      <c r="A3085" s="2">
        <v>3077</v>
      </c>
      <c r="B3085" s="14">
        <f>A3085*Assumptions!$B$12</f>
        <v>30.77</v>
      </c>
      <c r="C3085" s="15">
        <f>IF(A3085&lt;=Assumptions!$B$13,IF(OR(A3085=0,A3085=Assumptions!$B$13),0.5,1),0)*Assumptions!$B$12</f>
        <v>0</v>
      </c>
      <c r="D3085" s="12">
        <f>D3084*(1-Assumptions!$B$12*(Assumptions!$B$5+Assumptions!$B$6))</f>
        <v>0.39723052762635441</v>
      </c>
      <c r="E3085" s="12">
        <f>E3084+Assumptions!$B$12*(D3084*Assumptions!$B$5-E3084*Assumptions!$B$7)</f>
        <v>0.18261020500356151</v>
      </c>
      <c r="F3085" s="12">
        <f t="shared" si="144"/>
        <v>0.42015926737008413</v>
      </c>
      <c r="G3085" s="12">
        <f>EXP(-Assumptions!$B$8*B3085)</f>
        <v>0.21470291437849212</v>
      </c>
      <c r="H3085" s="12">
        <f t="shared" si="145"/>
        <v>8.5286551961484422E-2</v>
      </c>
      <c r="I3085" s="12">
        <f t="shared" si="146"/>
        <v>3.9206943209518563E-2</v>
      </c>
      <c r="J3085" s="12">
        <f>G3085*(D3085*Assumptions!$B$6+E3085*Assumptions!$B$7)</f>
        <v>2.8132126800907722E-3</v>
      </c>
    </row>
    <row r="3086" spans="1:10" x14ac:dyDescent="0.2">
      <c r="A3086" s="2">
        <v>3078</v>
      </c>
      <c r="B3086" s="14">
        <f>A3086*Assumptions!$B$12</f>
        <v>30.78</v>
      </c>
      <c r="C3086" s="15">
        <f>IF(A3086&lt;=Assumptions!$B$13,IF(OR(A3086=0,A3086=Assumptions!$B$13),0.5,1),0)*Assumptions!$B$12</f>
        <v>0</v>
      </c>
      <c r="D3086" s="12">
        <f>D3085*(1-Assumptions!$B$12*(Assumptions!$B$5+Assumptions!$B$6))</f>
        <v>0.3971113584680665</v>
      </c>
      <c r="E3086" s="12">
        <f>E3085+Assumptions!$B$12*(D3085*Assumptions!$B$5-E3085*Assumptions!$B$7)</f>
        <v>0.18259834600658501</v>
      </c>
      <c r="F3086" s="12">
        <f t="shared" si="144"/>
        <v>0.42029029552534847</v>
      </c>
      <c r="G3086" s="12">
        <f>EXP(-Assumptions!$B$8*B3086)</f>
        <v>0.21459558975469473</v>
      </c>
      <c r="H3086" s="12">
        <f t="shared" si="145"/>
        <v>8.5218346168742715E-2</v>
      </c>
      <c r="I3086" s="12">
        <f t="shared" si="146"/>
        <v>3.9184799749514915E-2</v>
      </c>
      <c r="J3086" s="12">
        <f>G3086*(D3086*Assumptions!$B$6+E3086*Assumptions!$B$7)</f>
        <v>2.8114234491631732E-3</v>
      </c>
    </row>
    <row r="3087" spans="1:10" x14ac:dyDescent="0.2">
      <c r="A3087" s="2">
        <v>3079</v>
      </c>
      <c r="B3087" s="14">
        <f>A3087*Assumptions!$B$12</f>
        <v>30.79</v>
      </c>
      <c r="C3087" s="15">
        <f>IF(A3087&lt;=Assumptions!$B$13,IF(OR(A3087=0,A3087=Assumptions!$B$13),0.5,1),0)*Assumptions!$B$12</f>
        <v>0</v>
      </c>
      <c r="D3087" s="12">
        <f>D3086*(1-Assumptions!$B$12*(Assumptions!$B$5+Assumptions!$B$6))</f>
        <v>0.39699222506052612</v>
      </c>
      <c r="E3087" s="12">
        <f>E3086+Assumptions!$B$12*(D3086*Assumptions!$B$5-E3086*Assumptions!$B$7)</f>
        <v>0.18258646910527532</v>
      </c>
      <c r="F3087" s="12">
        <f t="shared" si="144"/>
        <v>0.42042130583419857</v>
      </c>
      <c r="G3087" s="12">
        <f>EXP(-Assumptions!$B$8*B3087)</f>
        <v>0.21448831877979593</v>
      </c>
      <c r="H3087" s="12">
        <f t="shared" si="145"/>
        <v>8.5150194921882624E-2</v>
      </c>
      <c r="I3087" s="12">
        <f t="shared" si="146"/>
        <v>3.9162664790329656E-2</v>
      </c>
      <c r="J3087" s="12">
        <f>G3087*(D3087*Assumptions!$B$6+E3087*Assumptions!$B$7)</f>
        <v>2.8096351887353091E-3</v>
      </c>
    </row>
    <row r="3088" spans="1:10" x14ac:dyDescent="0.2">
      <c r="A3088" s="2">
        <v>3080</v>
      </c>
      <c r="B3088" s="14">
        <f>A3088*Assumptions!$B$12</f>
        <v>30.8</v>
      </c>
      <c r="C3088" s="15">
        <f>IF(A3088&lt;=Assumptions!$B$13,IF(OR(A3088=0,A3088=Assumptions!$B$13),0.5,1),0)*Assumptions!$B$12</f>
        <v>0</v>
      </c>
      <c r="D3088" s="12">
        <f>D3087*(1-Assumptions!$B$12*(Assumptions!$B$5+Assumptions!$B$6))</f>
        <v>0.39687312739300795</v>
      </c>
      <c r="E3088" s="12">
        <f>E3087+Assumptions!$B$12*(D3087*Assumptions!$B$5-E3087*Assumptions!$B$7)</f>
        <v>0.18257457431573479</v>
      </c>
      <c r="F3088" s="12">
        <f t="shared" si="144"/>
        <v>0.42055229829125729</v>
      </c>
      <c r="G3088" s="12">
        <f>EXP(-Assumptions!$B$8*B3088)</f>
        <v>0.21438110142697794</v>
      </c>
      <c r="H3088" s="12">
        <f t="shared" si="145"/>
        <v>8.5082098177282378E-2</v>
      </c>
      <c r="I3088" s="12">
        <f t="shared" si="146"/>
        <v>3.9140538334368861E-2</v>
      </c>
      <c r="J3088" s="12">
        <f>G3088*(D3088*Assumptions!$B$6+E3088*Assumptions!$B$7)</f>
        <v>2.8078478984912671E-3</v>
      </c>
    </row>
    <row r="3089" spans="1:10" x14ac:dyDescent="0.2">
      <c r="A3089" s="2">
        <v>3081</v>
      </c>
      <c r="B3089" s="14">
        <f>A3089*Assumptions!$B$12</f>
        <v>30.810000000000002</v>
      </c>
      <c r="C3089" s="15">
        <f>IF(A3089&lt;=Assumptions!$B$13,IF(OR(A3089=0,A3089=Assumptions!$B$13),0.5,1),0)*Assumptions!$B$12</f>
        <v>0</v>
      </c>
      <c r="D3089" s="12">
        <f>D3088*(1-Assumptions!$B$12*(Assumptions!$B$5+Assumptions!$B$6))</f>
        <v>0.39675406545479008</v>
      </c>
      <c r="E3089" s="12">
        <f>E3088+Assumptions!$B$12*(D3088*Assumptions!$B$5-E3088*Assumptions!$B$7)</f>
        <v>0.18256266165405552</v>
      </c>
      <c r="F3089" s="12">
        <f t="shared" si="144"/>
        <v>0.42068327289115437</v>
      </c>
      <c r="G3089" s="12">
        <f>EXP(-Assumptions!$B$8*B3089)</f>
        <v>0.21427393766943639</v>
      </c>
      <c r="H3089" s="12">
        <f t="shared" si="145"/>
        <v>8.5014055891355175E-2</v>
      </c>
      <c r="I3089" s="12">
        <f t="shared" si="146"/>
        <v>3.9118420384027498E-2</v>
      </c>
      <c r="J3089" s="12">
        <f>G3089*(D3089*Assumptions!$B$6+E3089*Assumptions!$B$7)</f>
        <v>2.8060615781149269E-3</v>
      </c>
    </row>
    <row r="3090" spans="1:10" x14ac:dyDescent="0.2">
      <c r="A3090" s="2">
        <v>3082</v>
      </c>
      <c r="B3090" s="14">
        <f>A3090*Assumptions!$B$12</f>
        <v>30.82</v>
      </c>
      <c r="C3090" s="15">
        <f>IF(A3090&lt;=Assumptions!$B$13,IF(OR(A3090=0,A3090=Assumptions!$B$13),0.5,1),0)*Assumptions!$B$12</f>
        <v>0</v>
      </c>
      <c r="D3090" s="12">
        <f>D3089*(1-Assumptions!$B$12*(Assumptions!$B$5+Assumptions!$B$6))</f>
        <v>0.39663503923515364</v>
      </c>
      <c r="E3090" s="12">
        <f>E3089+Assumptions!$B$12*(D3089*Assumptions!$B$5-E3089*Assumptions!$B$7)</f>
        <v>0.18255073113631945</v>
      </c>
      <c r="F3090" s="12">
        <f t="shared" si="144"/>
        <v>0.42081422962852688</v>
      </c>
      <c r="G3090" s="12">
        <f>EXP(-Assumptions!$B$8*B3090)</f>
        <v>0.21416682748038041</v>
      </c>
      <c r="H3090" s="12">
        <f t="shared" si="145"/>
        <v>8.4946068020549062E-2</v>
      </c>
      <c r="I3090" s="12">
        <f t="shared" si="146"/>
        <v>3.9096310941689437E-2</v>
      </c>
      <c r="J3090" s="12">
        <f>G3090*(D3090*Assumptions!$B$6+E3090*Assumptions!$B$7)</f>
        <v>2.8042762272899621E-3</v>
      </c>
    </row>
    <row r="3091" spans="1:10" x14ac:dyDescent="0.2">
      <c r="A3091" s="2">
        <v>3083</v>
      </c>
      <c r="B3091" s="14">
        <f>A3091*Assumptions!$B$12</f>
        <v>30.830000000000002</v>
      </c>
      <c r="C3091" s="15">
        <f>IF(A3091&lt;=Assumptions!$B$13,IF(OR(A3091=0,A3091=Assumptions!$B$13),0.5,1),0)*Assumptions!$B$12</f>
        <v>0</v>
      </c>
      <c r="D3091" s="12">
        <f>D3090*(1-Assumptions!$B$12*(Assumptions!$B$5+Assumptions!$B$6))</f>
        <v>0.39651604872338309</v>
      </c>
      <c r="E3091" s="12">
        <f>E3090+Assumptions!$B$12*(D3090*Assumptions!$B$5-E3090*Assumptions!$B$7)</f>
        <v>0.18253878277859831</v>
      </c>
      <c r="F3091" s="12">
        <f t="shared" si="144"/>
        <v>0.42094516849801861</v>
      </c>
      <c r="G3091" s="12">
        <f>EXP(-Assumptions!$B$8*B3091)</f>
        <v>0.2140597708330324</v>
      </c>
      <c r="H3091" s="12">
        <f t="shared" si="145"/>
        <v>8.487813452134689E-2</v>
      </c>
      <c r="I3091" s="12">
        <f t="shared" si="146"/>
        <v>3.9074210009727432E-2</v>
      </c>
      <c r="J3091" s="12">
        <f>G3091*(D3091*Assumptions!$B$6+E3091*Assumptions!$B$7)</f>
        <v>2.8024918456998407E-3</v>
      </c>
    </row>
    <row r="3092" spans="1:10" x14ac:dyDescent="0.2">
      <c r="A3092" s="2">
        <v>3084</v>
      </c>
      <c r="B3092" s="14">
        <f>A3092*Assumptions!$B$12</f>
        <v>30.84</v>
      </c>
      <c r="C3092" s="15">
        <f>IF(A3092&lt;=Assumptions!$B$13,IF(OR(A3092=0,A3092=Assumptions!$B$13),0.5,1),0)*Assumptions!$B$12</f>
        <v>0</v>
      </c>
      <c r="D3092" s="12">
        <f>D3091*(1-Assumptions!$B$12*(Assumptions!$B$5+Assumptions!$B$6))</f>
        <v>0.3963970939087661</v>
      </c>
      <c r="E3092" s="12">
        <f>E3091+Assumptions!$B$12*(D3091*Assumptions!$B$5-E3091*Assumptions!$B$7)</f>
        <v>0.18252681659695369</v>
      </c>
      <c r="F3092" s="12">
        <f t="shared" si="144"/>
        <v>0.42107608949428021</v>
      </c>
      <c r="G3092" s="12">
        <f>EXP(-Assumptions!$B$8*B3092)</f>
        <v>0.21395276770062824</v>
      </c>
      <c r="H3092" s="12">
        <f t="shared" si="145"/>
        <v>8.4810255350266345E-2</v>
      </c>
      <c r="I3092" s="12">
        <f t="shared" si="146"/>
        <v>3.9052117590503206E-2</v>
      </c>
      <c r="J3092" s="12">
        <f>G3092*(D3092*Assumptions!$B$6+E3092*Assumptions!$B$7)</f>
        <v>2.8007084330278239E-3</v>
      </c>
    </row>
    <row r="3093" spans="1:10" x14ac:dyDescent="0.2">
      <c r="A3093" s="2">
        <v>3085</v>
      </c>
      <c r="B3093" s="14">
        <f>A3093*Assumptions!$B$12</f>
        <v>30.85</v>
      </c>
      <c r="C3093" s="15">
        <f>IF(A3093&lt;=Assumptions!$B$13,IF(OR(A3093=0,A3093=Assumptions!$B$13),0.5,1),0)*Assumptions!$B$12</f>
        <v>0</v>
      </c>
      <c r="D3093" s="12">
        <f>D3092*(1-Assumptions!$B$12*(Assumptions!$B$5+Assumptions!$B$6))</f>
        <v>0.39627817478059346</v>
      </c>
      <c r="E3093" s="12">
        <f>E3092+Assumptions!$B$12*(D3092*Assumptions!$B$5-E3092*Assumptions!$B$7)</f>
        <v>0.18251483260743698</v>
      </c>
      <c r="F3093" s="12">
        <f t="shared" si="144"/>
        <v>0.42120699261196959</v>
      </c>
      <c r="G3093" s="12">
        <f>EXP(-Assumptions!$B$8*B3093)</f>
        <v>0.21384581805641706</v>
      </c>
      <c r="H3093" s="12">
        <f t="shared" si="145"/>
        <v>8.4742430463859833E-2</v>
      </c>
      <c r="I3093" s="12">
        <f t="shared" si="146"/>
        <v>3.9030033686367385E-2</v>
      </c>
      <c r="J3093" s="12">
        <f>G3093*(D3093*Assumptions!$B$6+E3093*Assumptions!$B$7)</f>
        <v>2.7989259889569678E-3</v>
      </c>
    </row>
    <row r="3094" spans="1:10" x14ac:dyDescent="0.2">
      <c r="A3094" s="2">
        <v>3086</v>
      </c>
      <c r="B3094" s="14">
        <f>A3094*Assumptions!$B$12</f>
        <v>30.86</v>
      </c>
      <c r="C3094" s="15">
        <f>IF(A3094&lt;=Assumptions!$B$13,IF(OR(A3094=0,A3094=Assumptions!$B$13),0.5,1),0)*Assumptions!$B$12</f>
        <v>0</v>
      </c>
      <c r="D3094" s="12">
        <f>D3093*(1-Assumptions!$B$12*(Assumptions!$B$5+Assumptions!$B$6))</f>
        <v>0.3961592913281593</v>
      </c>
      <c r="E3094" s="12">
        <f>E3093+Assumptions!$B$12*(D3093*Assumptions!$B$5-E3093*Assumptions!$B$7)</f>
        <v>0.18250283082608937</v>
      </c>
      <c r="F3094" s="12">
        <f t="shared" si="144"/>
        <v>0.42133787784575133</v>
      </c>
      <c r="G3094" s="12">
        <f>EXP(-Assumptions!$B$8*B3094)</f>
        <v>0.21373892187366156</v>
      </c>
      <c r="H3094" s="12">
        <f t="shared" si="145"/>
        <v>8.4674659818714568E-2</v>
      </c>
      <c r="I3094" s="12">
        <f t="shared" si="146"/>
        <v>3.9007958299659591E-2</v>
      </c>
      <c r="J3094" s="12">
        <f>G3094*(D3094*Assumptions!$B$6+E3094*Assumptions!$B$7)</f>
        <v>2.7971445131701254E-3</v>
      </c>
    </row>
    <row r="3095" spans="1:10" x14ac:dyDescent="0.2">
      <c r="A3095" s="2">
        <v>3087</v>
      </c>
      <c r="B3095" s="14">
        <f>A3095*Assumptions!$B$12</f>
        <v>30.87</v>
      </c>
      <c r="C3095" s="15">
        <f>IF(A3095&lt;=Assumptions!$B$13,IF(OR(A3095=0,A3095=Assumptions!$B$13),0.5,1),0)*Assumptions!$B$12</f>
        <v>0</v>
      </c>
      <c r="D3095" s="12">
        <f>D3094*(1-Assumptions!$B$12*(Assumptions!$B$5+Assumptions!$B$6))</f>
        <v>0.39604044354076084</v>
      </c>
      <c r="E3095" s="12">
        <f>E3094+Assumptions!$B$12*(D3094*Assumptions!$B$5-E3094*Assumptions!$B$7)</f>
        <v>0.18249081126894195</v>
      </c>
      <c r="F3095" s="12">
        <f t="shared" si="144"/>
        <v>0.4214687451902972</v>
      </c>
      <c r="G3095" s="12">
        <f>EXP(-Assumptions!$B$8*B3095)</f>
        <v>0.21363207912563764</v>
      </c>
      <c r="H3095" s="12">
        <f t="shared" si="145"/>
        <v>8.4606943371452442E-2</v>
      </c>
      <c r="I3095" s="12">
        <f t="shared" si="146"/>
        <v>3.8985891432708412E-2</v>
      </c>
      <c r="J3095" s="12">
        <f>G3095*(D3095*Assumptions!$B$6+E3095*Assumptions!$B$7)</f>
        <v>2.7953640053499451E-3</v>
      </c>
    </row>
    <row r="3096" spans="1:10" x14ac:dyDescent="0.2">
      <c r="A3096" s="2">
        <v>3088</v>
      </c>
      <c r="B3096" s="14">
        <f>A3096*Assumptions!$B$12</f>
        <v>30.88</v>
      </c>
      <c r="C3096" s="15">
        <f>IF(A3096&lt;=Assumptions!$B$13,IF(OR(A3096=0,A3096=Assumptions!$B$13),0.5,1),0)*Assumptions!$B$12</f>
        <v>0</v>
      </c>
      <c r="D3096" s="12">
        <f>D3095*(1-Assumptions!$B$12*(Assumptions!$B$5+Assumptions!$B$6))</f>
        <v>0.39592163140769865</v>
      </c>
      <c r="E3096" s="12">
        <f>E3095+Assumptions!$B$12*(D3095*Assumptions!$B$5-E3095*Assumptions!$B$7)</f>
        <v>0.18247877395201564</v>
      </c>
      <c r="F3096" s="12">
        <f t="shared" si="144"/>
        <v>0.42159959464028574</v>
      </c>
      <c r="G3096" s="12">
        <f>EXP(-Assumptions!$B$8*B3096)</f>
        <v>0.21352528978563459</v>
      </c>
      <c r="H3096" s="12">
        <f t="shared" si="145"/>
        <v>8.4539281078730058E-2</v>
      </c>
      <c r="I3096" s="12">
        <f t="shared" si="146"/>
        <v>3.8963833087831447E-2</v>
      </c>
      <c r="J3096" s="12">
        <f>G3096*(D3096*Assumptions!$B$6+E3096*Assumptions!$B$7)</f>
        <v>2.7935844651788733E-3</v>
      </c>
    </row>
    <row r="3097" spans="1:10" x14ac:dyDescent="0.2">
      <c r="A3097" s="2">
        <v>3089</v>
      </c>
      <c r="B3097" s="14">
        <f>A3097*Assumptions!$B$12</f>
        <v>30.89</v>
      </c>
      <c r="C3097" s="15">
        <f>IF(A3097&lt;=Assumptions!$B$13,IF(OR(A3097=0,A3097=Assumptions!$B$13),0.5,1),0)*Assumptions!$B$12</f>
        <v>0</v>
      </c>
      <c r="D3097" s="12">
        <f>D3096*(1-Assumptions!$B$12*(Assumptions!$B$5+Assumptions!$B$6))</f>
        <v>0.39580285491827633</v>
      </c>
      <c r="E3097" s="12">
        <f>E3096+Assumptions!$B$12*(D3096*Assumptions!$B$5-E3096*Assumptions!$B$7)</f>
        <v>0.18246671889132118</v>
      </c>
      <c r="F3097" s="12">
        <f t="shared" si="144"/>
        <v>0.42173042619040246</v>
      </c>
      <c r="G3097" s="12">
        <f>EXP(-Assumptions!$B$8*B3097)</f>
        <v>0.2134185538269551</v>
      </c>
      <c r="H3097" s="12">
        <f t="shared" si="145"/>
        <v>8.4471672897238656E-2</v>
      </c>
      <c r="I3097" s="12">
        <f t="shared" si="146"/>
        <v>3.8941783267335314E-2</v>
      </c>
      <c r="J3097" s="12">
        <f>G3097*(D3097*Assumptions!$B$6+E3097*Assumptions!$B$7)</f>
        <v>2.7918058923391519E-3</v>
      </c>
    </row>
    <row r="3098" spans="1:10" x14ac:dyDescent="0.2">
      <c r="A3098" s="2">
        <v>3090</v>
      </c>
      <c r="B3098" s="14">
        <f>A3098*Assumptions!$B$12</f>
        <v>30.900000000000002</v>
      </c>
      <c r="C3098" s="15">
        <f>IF(A3098&lt;=Assumptions!$B$13,IF(OR(A3098=0,A3098=Assumptions!$B$13),0.5,1),0)*Assumptions!$B$12</f>
        <v>0</v>
      </c>
      <c r="D3098" s="12">
        <f>D3097*(1-Assumptions!$B$12*(Assumptions!$B$5+Assumptions!$B$6))</f>
        <v>0.39568411406180087</v>
      </c>
      <c r="E3098" s="12">
        <f>E3097+Assumptions!$B$12*(D3097*Assumptions!$B$5-E3097*Assumptions!$B$7)</f>
        <v>0.18245464610285919</v>
      </c>
      <c r="F3098" s="12">
        <f t="shared" si="144"/>
        <v>0.42186123983533996</v>
      </c>
      <c r="G3098" s="12">
        <f>EXP(-Assumptions!$B$8*B3098)</f>
        <v>0.21331187122291517</v>
      </c>
      <c r="H3098" s="12">
        <f t="shared" si="145"/>
        <v>8.4404118783704143E-2</v>
      </c>
      <c r="I3098" s="12">
        <f t="shared" si="146"/>
        <v>3.8919741973515665E-2</v>
      </c>
      <c r="J3098" s="12">
        <f>G3098*(D3098*Assumptions!$B$6+E3098*Assumptions!$B$7)</f>
        <v>2.7900282865128243E-3</v>
      </c>
    </row>
    <row r="3099" spans="1:10" x14ac:dyDescent="0.2">
      <c r="A3099" s="2">
        <v>3091</v>
      </c>
      <c r="B3099" s="14">
        <f>A3099*Assumptions!$B$12</f>
        <v>30.91</v>
      </c>
      <c r="C3099" s="15">
        <f>IF(A3099&lt;=Assumptions!$B$13,IF(OR(A3099=0,A3099=Assumptions!$B$13),0.5,1),0)*Assumptions!$B$12</f>
        <v>0</v>
      </c>
      <c r="D3099" s="12">
        <f>D3098*(1-Assumptions!$B$12*(Assumptions!$B$5+Assumptions!$B$6))</f>
        <v>0.39556540882758234</v>
      </c>
      <c r="E3099" s="12">
        <f>E3098+Assumptions!$B$12*(D3098*Assumptions!$B$5-E3098*Assumptions!$B$7)</f>
        <v>0.18244255560262013</v>
      </c>
      <c r="F3099" s="12">
        <f t="shared" si="144"/>
        <v>0.42199203556979747</v>
      </c>
      <c r="G3099" s="12">
        <f>EXP(-Assumptions!$B$8*B3099)</f>
        <v>0.2132052419468442</v>
      </c>
      <c r="H3099" s="12">
        <f t="shared" si="145"/>
        <v>8.4336618694887039E-2</v>
      </c>
      <c r="I3099" s="12">
        <f t="shared" si="146"/>
        <v>3.8897709208657198E-2</v>
      </c>
      <c r="J3099" s="12">
        <f>G3099*(D3099*Assumptions!$B$6+E3099*Assumptions!$B$7)</f>
        <v>2.7882516473817305E-3</v>
      </c>
    </row>
    <row r="3100" spans="1:10" x14ac:dyDescent="0.2">
      <c r="A3100" s="2">
        <v>3092</v>
      </c>
      <c r="B3100" s="14">
        <f>A3100*Assumptions!$B$12</f>
        <v>30.92</v>
      </c>
      <c r="C3100" s="15">
        <f>IF(A3100&lt;=Assumptions!$B$13,IF(OR(A3100=0,A3100=Assumptions!$B$13),0.5,1),0)*Assumptions!$B$12</f>
        <v>0</v>
      </c>
      <c r="D3100" s="12">
        <f>D3099*(1-Assumptions!$B$12*(Assumptions!$B$5+Assumptions!$B$6))</f>
        <v>0.39544673920493406</v>
      </c>
      <c r="E3100" s="12">
        <f>E3099+Assumptions!$B$12*(D3099*Assumptions!$B$5-E3099*Assumptions!$B$7)</f>
        <v>0.18243044740658435</v>
      </c>
      <c r="F3100" s="12">
        <f t="shared" si="144"/>
        <v>0.42212281338848157</v>
      </c>
      <c r="G3100" s="12">
        <f>EXP(-Assumptions!$B$8*B3100)</f>
        <v>0.21309866597208477</v>
      </c>
      <c r="H3100" s="12">
        <f t="shared" si="145"/>
        <v>8.4269172587582361E-2</v>
      </c>
      <c r="I3100" s="12">
        <f t="shared" si="146"/>
        <v>3.8875684975033693E-2</v>
      </c>
      <c r="J3100" s="12">
        <f>G3100*(D3100*Assumptions!$B$6+E3100*Assumptions!$B$7)</f>
        <v>2.7864759746275081E-3</v>
      </c>
    </row>
    <row r="3101" spans="1:10" x14ac:dyDescent="0.2">
      <c r="A3101" s="2">
        <v>3093</v>
      </c>
      <c r="B3101" s="14">
        <f>A3101*Assumptions!$B$12</f>
        <v>30.93</v>
      </c>
      <c r="C3101" s="15">
        <f>IF(A3101&lt;=Assumptions!$B$13,IF(OR(A3101=0,A3101=Assumptions!$B$13),0.5,1),0)*Assumptions!$B$12</f>
        <v>0</v>
      </c>
      <c r="D3101" s="12">
        <f>D3100*(1-Assumptions!$B$12*(Assumptions!$B$5+Assumptions!$B$6))</f>
        <v>0.39532810518317257</v>
      </c>
      <c r="E3101" s="12">
        <f>E3100+Assumptions!$B$12*(D3100*Assumptions!$B$5-E3100*Assumptions!$B$7)</f>
        <v>0.18241832153072204</v>
      </c>
      <c r="F3101" s="12">
        <f t="shared" si="144"/>
        <v>0.42225357328610547</v>
      </c>
      <c r="G3101" s="12">
        <f>EXP(-Assumptions!$B$8*B3101)</f>
        <v>0.21299214327199303</v>
      </c>
      <c r="H3101" s="12">
        <f t="shared" si="145"/>
        <v>8.4201780418619823E-2</v>
      </c>
      <c r="I3101" s="12">
        <f t="shared" si="146"/>
        <v>3.8853669274908041E-2</v>
      </c>
      <c r="J3101" s="12">
        <f>G3101*(D3101*Assumptions!$B$6+E3101*Assumptions!$B$7)</f>
        <v>2.7847012679316002E-3</v>
      </c>
    </row>
    <row r="3102" spans="1:10" x14ac:dyDescent="0.2">
      <c r="A3102" s="2">
        <v>3094</v>
      </c>
      <c r="B3102" s="14">
        <f>A3102*Assumptions!$B$12</f>
        <v>30.94</v>
      </c>
      <c r="C3102" s="15">
        <f>IF(A3102&lt;=Assumptions!$B$13,IF(OR(A3102=0,A3102=Assumptions!$B$13),0.5,1),0)*Assumptions!$B$12</f>
        <v>0</v>
      </c>
      <c r="D3102" s="12">
        <f>D3101*(1-Assumptions!$B$12*(Assumptions!$B$5+Assumptions!$B$6))</f>
        <v>0.39520950675161765</v>
      </c>
      <c r="E3102" s="12">
        <f>E3101+Assumptions!$B$12*(D3101*Assumptions!$B$5-E3101*Assumptions!$B$7)</f>
        <v>0.18240617799099332</v>
      </c>
      <c r="F3102" s="12">
        <f t="shared" si="144"/>
        <v>0.42238431525738895</v>
      </c>
      <c r="G3102" s="12">
        <f>EXP(-Assumptions!$B$8*B3102)</f>
        <v>0.21288567381993811</v>
      </c>
      <c r="H3102" s="12">
        <f t="shared" si="145"/>
        <v>8.41344421448635E-2</v>
      </c>
      <c r="I3102" s="12">
        <f t="shared" si="146"/>
        <v>3.8831662110532177E-2</v>
      </c>
      <c r="J3102" s="12">
        <f>G3102*(D3102*Assumptions!$B$6+E3102*Assumptions!$B$7)</f>
        <v>2.7829275269752444E-3</v>
      </c>
    </row>
    <row r="3103" spans="1:10" x14ac:dyDescent="0.2">
      <c r="A3103" s="2">
        <v>3095</v>
      </c>
      <c r="B3103" s="14">
        <f>A3103*Assumptions!$B$12</f>
        <v>30.95</v>
      </c>
      <c r="C3103" s="15">
        <f>IF(A3103&lt;=Assumptions!$B$13,IF(OR(A3103=0,A3103=Assumptions!$B$13),0.5,1),0)*Assumptions!$B$12</f>
        <v>0</v>
      </c>
      <c r="D3103" s="12">
        <f>D3102*(1-Assumptions!$B$12*(Assumptions!$B$5+Assumptions!$B$6))</f>
        <v>0.39509094389959215</v>
      </c>
      <c r="E3103" s="12">
        <f>E3102+Assumptions!$B$12*(D3102*Assumptions!$B$5-E3102*Assumptions!$B$7)</f>
        <v>0.18239401680334816</v>
      </c>
      <c r="F3103" s="12">
        <f t="shared" si="144"/>
        <v>0.42251503929705964</v>
      </c>
      <c r="G3103" s="12">
        <f>EXP(-Assumptions!$B$8*B3103)</f>
        <v>0.21277925758930283</v>
      </c>
      <c r="H3103" s="12">
        <f t="shared" si="145"/>
        <v>8.4067157723212105E-2</v>
      </c>
      <c r="I3103" s="12">
        <f t="shared" si="146"/>
        <v>3.8809663484147244E-2</v>
      </c>
      <c r="J3103" s="12">
        <f>G3103*(D3103*Assumptions!$B$6+E3103*Assumptions!$B$7)</f>
        <v>2.7811547514394836E-3</v>
      </c>
    </row>
    <row r="3104" spans="1:10" x14ac:dyDescent="0.2">
      <c r="A3104" s="2">
        <v>3096</v>
      </c>
      <c r="B3104" s="14">
        <f>A3104*Assumptions!$B$12</f>
        <v>30.96</v>
      </c>
      <c r="C3104" s="15">
        <f>IF(A3104&lt;=Assumptions!$B$13,IF(OR(A3104=0,A3104=Assumptions!$B$13),0.5,1),0)*Assumptions!$B$12</f>
        <v>0</v>
      </c>
      <c r="D3104" s="12">
        <f>D3103*(1-Assumptions!$B$12*(Assumptions!$B$5+Assumptions!$B$6))</f>
        <v>0.39497241661642229</v>
      </c>
      <c r="E3104" s="12">
        <f>E3103+Assumptions!$B$12*(D3103*Assumptions!$B$5-E3103*Assumptions!$B$7)</f>
        <v>0.1823818379837264</v>
      </c>
      <c r="F3104" s="12">
        <f t="shared" si="144"/>
        <v>0.42264574539985122</v>
      </c>
      <c r="G3104" s="12">
        <f>EXP(-Assumptions!$B$8*B3104)</f>
        <v>0.21267289455348304</v>
      </c>
      <c r="H3104" s="12">
        <f t="shared" si="145"/>
        <v>8.3999927110598754E-2</v>
      </c>
      <c r="I3104" s="12">
        <f t="shared" si="146"/>
        <v>3.8787673397983474E-2</v>
      </c>
      <c r="J3104" s="12">
        <f>G3104*(D3104*Assumptions!$B$6+E3104*Assumptions!$B$7)</f>
        <v>2.7793829410051613E-3</v>
      </c>
    </row>
    <row r="3105" spans="1:10" x14ac:dyDescent="0.2">
      <c r="A3105" s="2">
        <v>3097</v>
      </c>
      <c r="B3105" s="14">
        <f>A3105*Assumptions!$B$12</f>
        <v>30.970000000000002</v>
      </c>
      <c r="C3105" s="15">
        <f>IF(A3105&lt;=Assumptions!$B$13,IF(OR(A3105=0,A3105=Assumptions!$B$13),0.5,1),0)*Assumptions!$B$12</f>
        <v>0</v>
      </c>
      <c r="D3105" s="12">
        <f>D3104*(1-Assumptions!$B$12*(Assumptions!$B$5+Assumptions!$B$6))</f>
        <v>0.39485392489143739</v>
      </c>
      <c r="E3105" s="12">
        <f>E3104+Assumptions!$B$12*(D3104*Assumptions!$B$5-E3104*Assumptions!$B$7)</f>
        <v>0.18236964154805782</v>
      </c>
      <c r="F3105" s="12">
        <f t="shared" si="144"/>
        <v>0.42277643356050487</v>
      </c>
      <c r="G3105" s="12">
        <f>EXP(-Assumptions!$B$8*B3105)</f>
        <v>0.21256658468588796</v>
      </c>
      <c r="H3105" s="12">
        <f t="shared" si="145"/>
        <v>8.3932750263990968E-2</v>
      </c>
      <c r="I3105" s="12">
        <f t="shared" si="146"/>
        <v>3.8765691854260265E-2</v>
      </c>
      <c r="J3105" s="12">
        <f>G3105*(D3105*Assumptions!$B$6+E3105*Assumptions!$B$7)</f>
        <v>2.7776120953529231E-3</v>
      </c>
    </row>
    <row r="3106" spans="1:10" x14ac:dyDescent="0.2">
      <c r="A3106" s="2">
        <v>3098</v>
      </c>
      <c r="B3106" s="14">
        <f>A3106*Assumptions!$B$12</f>
        <v>30.98</v>
      </c>
      <c r="C3106" s="15">
        <f>IF(A3106&lt;=Assumptions!$B$13,IF(OR(A3106=0,A3106=Assumptions!$B$13),0.5,1),0)*Assumptions!$B$12</f>
        <v>0</v>
      </c>
      <c r="D3106" s="12">
        <f>D3105*(1-Assumptions!$B$12*(Assumptions!$B$5+Assumptions!$B$6))</f>
        <v>0.39473546871396997</v>
      </c>
      <c r="E3106" s="12">
        <f>E3105+Assumptions!$B$12*(D3105*Assumptions!$B$5-E3105*Assumptions!$B$7)</f>
        <v>0.18235742751226208</v>
      </c>
      <c r="F3106" s="12">
        <f t="shared" si="144"/>
        <v>0.422907103773768</v>
      </c>
      <c r="G3106" s="12">
        <f>EXP(-Assumptions!$B$8*B3106)</f>
        <v>0.21246032795994019</v>
      </c>
      <c r="H3106" s="12">
        <f t="shared" si="145"/>
        <v>8.3865627140390767E-2</v>
      </c>
      <c r="I3106" s="12">
        <f t="shared" si="146"/>
        <v>3.8743718855186224E-2</v>
      </c>
      <c r="J3106" s="12">
        <f>G3106*(D3106*Assumptions!$B$6+E3106*Assumptions!$B$7)</f>
        <v>2.775842214163219E-3</v>
      </c>
    </row>
    <row r="3107" spans="1:10" x14ac:dyDescent="0.2">
      <c r="A3107" s="2">
        <v>3099</v>
      </c>
      <c r="B3107" s="14">
        <f>A3107*Assumptions!$B$12</f>
        <v>30.990000000000002</v>
      </c>
      <c r="C3107" s="15">
        <f>IF(A3107&lt;=Assumptions!$B$13,IF(OR(A3107=0,A3107=Assumptions!$B$13),0.5,1),0)*Assumptions!$B$12</f>
        <v>0</v>
      </c>
      <c r="D3107" s="12">
        <f>D3106*(1-Assumptions!$B$12*(Assumptions!$B$5+Assumptions!$B$6))</f>
        <v>0.39461704807335579</v>
      </c>
      <c r="E3107" s="12">
        <f>E3106+Assumptions!$B$12*(D3106*Assumptions!$B$5-E3106*Assumptions!$B$7)</f>
        <v>0.18234519589224873</v>
      </c>
      <c r="F3107" s="12">
        <f t="shared" si="144"/>
        <v>0.42303775603439553</v>
      </c>
      <c r="G3107" s="12">
        <f>EXP(-Assumptions!$B$8*B3107)</f>
        <v>0.21235412434907552</v>
      </c>
      <c r="H3107" s="12">
        <f t="shared" si="145"/>
        <v>8.3798557696834516E-2</v>
      </c>
      <c r="I3107" s="12">
        <f t="shared" si="146"/>
        <v>3.8721754402959122E-2</v>
      </c>
      <c r="J3107" s="12">
        <f>G3107*(D3107*Assumptions!$B$6+E3107*Assumptions!$B$7)</f>
        <v>2.7740732971163013E-3</v>
      </c>
    </row>
    <row r="3108" spans="1:10" x14ac:dyDescent="0.2">
      <c r="A3108" s="2">
        <v>3100</v>
      </c>
      <c r="B3108" s="14">
        <f>A3108*Assumptions!$B$12</f>
        <v>31</v>
      </c>
      <c r="C3108" s="15">
        <f>IF(A3108&lt;=Assumptions!$B$13,IF(OR(A3108=0,A3108=Assumptions!$B$13),0.5,1),0)*Assumptions!$B$12</f>
        <v>0</v>
      </c>
      <c r="D3108" s="12">
        <f>D3107*(1-Assumptions!$B$12*(Assumptions!$B$5+Assumptions!$B$6))</f>
        <v>0.39449866295893382</v>
      </c>
      <c r="E3108" s="12">
        <f>E3107+Assumptions!$B$12*(D3107*Assumptions!$B$5-E3107*Assumptions!$B$7)</f>
        <v>0.18233294670391728</v>
      </c>
      <c r="F3108" s="12">
        <f t="shared" si="144"/>
        <v>0.42316839033714893</v>
      </c>
      <c r="G3108" s="12">
        <f>EXP(-Assumptions!$B$8*B3108)</f>
        <v>0.21224797382674304</v>
      </c>
      <c r="H3108" s="12">
        <f t="shared" si="145"/>
        <v>8.3731541890392905E-2</v>
      </c>
      <c r="I3108" s="12">
        <f t="shared" si="146"/>
        <v>3.8699798499765972E-2</v>
      </c>
      <c r="J3108" s="12">
        <f>G3108*(D3108*Assumptions!$B$6+E3108*Assumptions!$B$7)</f>
        <v>2.7723053438922277E-3</v>
      </c>
    </row>
    <row r="3109" spans="1:10" x14ac:dyDescent="0.2">
      <c r="A3109" s="2">
        <v>3101</v>
      </c>
      <c r="B3109" s="14">
        <f>A3109*Assumptions!$B$12</f>
        <v>31.01</v>
      </c>
      <c r="C3109" s="15">
        <f>IF(A3109&lt;=Assumptions!$B$13,IF(OR(A3109=0,A3109=Assumptions!$B$13),0.5,1),0)*Assumptions!$B$12</f>
        <v>0</v>
      </c>
      <c r="D3109" s="12">
        <f>D3108*(1-Assumptions!$B$12*(Assumptions!$B$5+Assumptions!$B$6))</f>
        <v>0.39438031336004614</v>
      </c>
      <c r="E3109" s="12">
        <f>E3108+Assumptions!$B$12*(D3108*Assumptions!$B$5-E3108*Assumptions!$B$7)</f>
        <v>0.18232067996315712</v>
      </c>
      <c r="F3109" s="12">
        <f t="shared" si="144"/>
        <v>0.42329900667679676</v>
      </c>
      <c r="G3109" s="12">
        <f>EXP(-Assumptions!$B$8*B3109)</f>
        <v>0.21214187636640508</v>
      </c>
      <c r="H3109" s="12">
        <f t="shared" si="145"/>
        <v>8.3664579678171008E-2</v>
      </c>
      <c r="I3109" s="12">
        <f t="shared" si="146"/>
        <v>3.8677851147782986E-2</v>
      </c>
      <c r="J3109" s="12">
        <f>G3109*(D3109*Assumptions!$B$6+E3109*Assumptions!$B$7)</f>
        <v>2.7705383541708592E-3</v>
      </c>
    </row>
    <row r="3110" spans="1:10" x14ac:dyDescent="0.2">
      <c r="A3110" s="2">
        <v>3102</v>
      </c>
      <c r="B3110" s="14">
        <f>A3110*Assumptions!$B$12</f>
        <v>31.02</v>
      </c>
      <c r="C3110" s="15">
        <f>IF(A3110&lt;=Assumptions!$B$13,IF(OR(A3110=0,A3110=Assumptions!$B$13),0.5,1),0)*Assumptions!$B$12</f>
        <v>0</v>
      </c>
      <c r="D3110" s="12">
        <f>D3109*(1-Assumptions!$B$12*(Assumptions!$B$5+Assumptions!$B$6))</f>
        <v>0.39426199926603817</v>
      </c>
      <c r="E3110" s="12">
        <f>E3109+Assumptions!$B$12*(D3109*Assumptions!$B$5-E3109*Assumptions!$B$7)</f>
        <v>0.18230839568584756</v>
      </c>
      <c r="F3110" s="12">
        <f t="shared" si="144"/>
        <v>0.42342960504811433</v>
      </c>
      <c r="G3110" s="12">
        <f>EXP(-Assumptions!$B$8*B3110)</f>
        <v>0.21203583194153738</v>
      </c>
      <c r="H3110" s="12">
        <f t="shared" si="145"/>
        <v>8.3597671017308209E-2</v>
      </c>
      <c r="I3110" s="12">
        <f t="shared" si="146"/>
        <v>3.8655912349175675E-2</v>
      </c>
      <c r="J3110" s="12">
        <f>G3110*(D3110*Assumptions!$B$6+E3110*Assumptions!$B$7)</f>
        <v>2.7687723276318657E-3</v>
      </c>
    </row>
    <row r="3111" spans="1:10" x14ac:dyDescent="0.2">
      <c r="A3111" s="2">
        <v>3103</v>
      </c>
      <c r="B3111" s="14">
        <f>A3111*Assumptions!$B$12</f>
        <v>31.03</v>
      </c>
      <c r="C3111" s="15">
        <f>IF(A3111&lt;=Assumptions!$B$13,IF(OR(A3111=0,A3111=Assumptions!$B$13),0.5,1),0)*Assumptions!$B$12</f>
        <v>0</v>
      </c>
      <c r="D3111" s="12">
        <f>D3110*(1-Assumptions!$B$12*(Assumptions!$B$5+Assumptions!$B$6))</f>
        <v>0.39414372066625836</v>
      </c>
      <c r="E3111" s="12">
        <f>E3110+Assumptions!$B$12*(D3110*Assumptions!$B$5-E3110*Assumptions!$B$7)</f>
        <v>0.18229609388785784</v>
      </c>
      <c r="F3111" s="12">
        <f t="shared" si="144"/>
        <v>0.42356018544588381</v>
      </c>
      <c r="G3111" s="12">
        <f>EXP(-Assumptions!$B$8*B3111)</f>
        <v>0.21192984052562874</v>
      </c>
      <c r="H3111" s="12">
        <f t="shared" si="145"/>
        <v>8.3530815864978097E-2</v>
      </c>
      <c r="I3111" s="12">
        <f t="shared" si="146"/>
        <v>3.8633982106098759E-2</v>
      </c>
      <c r="J3111" s="12">
        <f>G3111*(D3111*Assumptions!$B$6+E3111*Assumptions!$B$7)</f>
        <v>2.7670072639547189E-3</v>
      </c>
    </row>
    <row r="3112" spans="1:10" x14ac:dyDescent="0.2">
      <c r="A3112" s="2">
        <v>3104</v>
      </c>
      <c r="B3112" s="14">
        <f>A3112*Assumptions!$B$12</f>
        <v>31.04</v>
      </c>
      <c r="C3112" s="15">
        <f>IF(A3112&lt;=Assumptions!$B$13,IF(OR(A3112=0,A3112=Assumptions!$B$13),0.5,1),0)*Assumptions!$B$12</f>
        <v>0</v>
      </c>
      <c r="D3112" s="12">
        <f>D3111*(1-Assumptions!$B$12*(Assumptions!$B$5+Assumptions!$B$6))</f>
        <v>0.39402547755005851</v>
      </c>
      <c r="E3112" s="12">
        <f>E3111+Assumptions!$B$12*(D3111*Assumptions!$B$5-E3111*Assumptions!$B$7)</f>
        <v>0.18228377458504716</v>
      </c>
      <c r="F3112" s="12">
        <f t="shared" si="144"/>
        <v>0.42369074786489436</v>
      </c>
      <c r="G3112" s="12">
        <f>EXP(-Assumptions!$B$8*B3112)</f>
        <v>0.21182390209218135</v>
      </c>
      <c r="H3112" s="12">
        <f t="shared" si="145"/>
        <v>8.3464014178388599E-2</v>
      </c>
      <c r="I3112" s="12">
        <f t="shared" si="146"/>
        <v>3.8612060420696287E-2</v>
      </c>
      <c r="J3112" s="12">
        <f>G3112*(D3112*Assumptions!$B$6+E3112*Assumptions!$B$7)</f>
        <v>2.7652431628187001E-3</v>
      </c>
    </row>
    <row r="3113" spans="1:10" x14ac:dyDescent="0.2">
      <c r="A3113" s="2">
        <v>3105</v>
      </c>
      <c r="B3113" s="14">
        <f>A3113*Assumptions!$B$12</f>
        <v>31.05</v>
      </c>
      <c r="C3113" s="15">
        <f>IF(A3113&lt;=Assumptions!$B$13,IF(OR(A3113=0,A3113=Assumptions!$B$13),0.5,1),0)*Assumptions!$B$12</f>
        <v>0</v>
      </c>
      <c r="D3113" s="12">
        <f>D3112*(1-Assumptions!$B$12*(Assumptions!$B$5+Assumptions!$B$6))</f>
        <v>0.39390726990679353</v>
      </c>
      <c r="E3113" s="12">
        <f>E3112+Assumptions!$B$12*(D3112*Assumptions!$B$5-E3112*Assumptions!$B$7)</f>
        <v>0.18227143779326466</v>
      </c>
      <c r="F3113" s="12">
        <f t="shared" si="144"/>
        <v>0.42382129229994175</v>
      </c>
      <c r="G3113" s="12">
        <f>EXP(-Assumptions!$B$8*B3113)</f>
        <v>0.21171801661471054</v>
      </c>
      <c r="H3113" s="12">
        <f t="shared" si="145"/>
        <v>8.3397265914781776E-2</v>
      </c>
      <c r="I3113" s="12">
        <f t="shared" si="146"/>
        <v>3.8590147295101587E-2</v>
      </c>
      <c r="J3113" s="12">
        <f>G3113*(D3113*Assumptions!$B$6+E3113*Assumptions!$B$7)</f>
        <v>2.763480023902897E-3</v>
      </c>
    </row>
    <row r="3114" spans="1:10" x14ac:dyDescent="0.2">
      <c r="A3114" s="2">
        <v>3106</v>
      </c>
      <c r="B3114" s="14">
        <f>A3114*Assumptions!$B$12</f>
        <v>31.060000000000002</v>
      </c>
      <c r="C3114" s="15">
        <f>IF(A3114&lt;=Assumptions!$B$13,IF(OR(A3114=0,A3114=Assumptions!$B$13),0.5,1),0)*Assumptions!$B$12</f>
        <v>0</v>
      </c>
      <c r="D3114" s="12">
        <f>D3113*(1-Assumptions!$B$12*(Assumptions!$B$5+Assumptions!$B$6))</f>
        <v>0.39378909772582149</v>
      </c>
      <c r="E3114" s="12">
        <f>E3113+Assumptions!$B$12*(D3113*Assumptions!$B$5-E3113*Assumptions!$B$7)</f>
        <v>0.18225908352834938</v>
      </c>
      <c r="F3114" s="12">
        <f t="shared" si="144"/>
        <v>0.4239518187458291</v>
      </c>
      <c r="G3114" s="12">
        <f>EXP(-Assumptions!$B$8*B3114)</f>
        <v>0.21161218406674503</v>
      </c>
      <c r="H3114" s="12">
        <f t="shared" si="145"/>
        <v>8.3330571031433986E-2</v>
      </c>
      <c r="I3114" s="12">
        <f t="shared" si="146"/>
        <v>3.856824273143733E-2</v>
      </c>
      <c r="J3114" s="12">
        <f>G3114*(D3114*Assumptions!$B$6+E3114*Assumptions!$B$7)</f>
        <v>2.761717846886206E-3</v>
      </c>
    </row>
    <row r="3115" spans="1:10" x14ac:dyDescent="0.2">
      <c r="A3115" s="2">
        <v>3107</v>
      </c>
      <c r="B3115" s="14">
        <f>A3115*Assumptions!$B$12</f>
        <v>31.07</v>
      </c>
      <c r="C3115" s="15">
        <f>IF(A3115&lt;=Assumptions!$B$13,IF(OR(A3115=0,A3115=Assumptions!$B$13),0.5,1),0)*Assumptions!$B$12</f>
        <v>0</v>
      </c>
      <c r="D3115" s="12">
        <f>D3114*(1-Assumptions!$B$12*(Assumptions!$B$5+Assumptions!$B$6))</f>
        <v>0.39367096099650378</v>
      </c>
      <c r="E3115" s="12">
        <f>E3114+Assumptions!$B$12*(D3114*Assumptions!$B$5-E3114*Assumptions!$B$7)</f>
        <v>0.18224671180613036</v>
      </c>
      <c r="F3115" s="12">
        <f t="shared" si="144"/>
        <v>0.42408232719736583</v>
      </c>
      <c r="G3115" s="12">
        <f>EXP(-Assumptions!$B$8*B3115)</f>
        <v>0.21150640442182664</v>
      </c>
      <c r="H3115" s="12">
        <f t="shared" si="145"/>
        <v>8.3263929485655669E-2</v>
      </c>
      <c r="I3115" s="12">
        <f t="shared" si="146"/>
        <v>3.8546346731815499E-2</v>
      </c>
      <c r="J3115" s="12">
        <f>G3115*(D3115*Assumptions!$B$6+E3115*Assumptions!$B$7)</f>
        <v>2.7599566314473311E-3</v>
      </c>
    </row>
    <row r="3116" spans="1:10" x14ac:dyDescent="0.2">
      <c r="A3116" s="2">
        <v>3108</v>
      </c>
      <c r="B3116" s="14">
        <f>A3116*Assumptions!$B$12</f>
        <v>31.080000000000002</v>
      </c>
      <c r="C3116" s="15">
        <f>IF(A3116&lt;=Assumptions!$B$13,IF(OR(A3116=0,A3116=Assumptions!$B$13),0.5,1),0)*Assumptions!$B$12</f>
        <v>0</v>
      </c>
      <c r="D3116" s="12">
        <f>D3115*(1-Assumptions!$B$12*(Assumptions!$B$5+Assumptions!$B$6))</f>
        <v>0.39355285970820486</v>
      </c>
      <c r="E3116" s="12">
        <f>E3115+Assumptions!$B$12*(D3115*Assumptions!$B$5-E3115*Assumptions!$B$7)</f>
        <v>0.18223432264242659</v>
      </c>
      <c r="F3116" s="12">
        <f t="shared" si="144"/>
        <v>0.42421281764936858</v>
      </c>
      <c r="G3116" s="12">
        <f>EXP(-Assumptions!$B$8*B3116)</f>
        <v>0.21140067765351042</v>
      </c>
      <c r="H3116" s="12">
        <f t="shared" si="145"/>
        <v>8.319734123479143E-2</v>
      </c>
      <c r="I3116" s="12">
        <f t="shared" si="146"/>
        <v>3.8524459298337442E-2</v>
      </c>
      <c r="J3116" s="12">
        <f>G3116*(D3116*Assumptions!$B$6+E3116*Assumptions!$B$7)</f>
        <v>2.7581963772647863E-3</v>
      </c>
    </row>
    <row r="3117" spans="1:10" x14ac:dyDescent="0.2">
      <c r="A3117" s="2">
        <v>3109</v>
      </c>
      <c r="B3117" s="14">
        <f>A3117*Assumptions!$B$12</f>
        <v>31.09</v>
      </c>
      <c r="C3117" s="15">
        <f>IF(A3117&lt;=Assumptions!$B$13,IF(OR(A3117=0,A3117=Assumptions!$B$13),0.5,1),0)*Assumptions!$B$12</f>
        <v>0</v>
      </c>
      <c r="D3117" s="12">
        <f>D3116*(1-Assumptions!$B$12*(Assumptions!$B$5+Assumptions!$B$6))</f>
        <v>0.3934347938502924</v>
      </c>
      <c r="E3117" s="12">
        <f>E3116+Assumptions!$B$12*(D3116*Assumptions!$B$5-E3116*Assumptions!$B$7)</f>
        <v>0.18222191605304702</v>
      </c>
      <c r="F3117" s="12">
        <f t="shared" si="144"/>
        <v>0.4243432900966605</v>
      </c>
      <c r="G3117" s="12">
        <f>EXP(-Assumptions!$B$8*B3117)</f>
        <v>0.21129500373536481</v>
      </c>
      <c r="H3117" s="12">
        <f t="shared" si="145"/>
        <v>8.3130806236220017E-2</v>
      </c>
      <c r="I3117" s="12">
        <f t="shared" si="146"/>
        <v>3.8502580433093903E-2</v>
      </c>
      <c r="J3117" s="12">
        <f>G3117*(D3117*Assumptions!$B$6+E3117*Assumptions!$B$7)</f>
        <v>2.7564370840168955E-3</v>
      </c>
    </row>
    <row r="3118" spans="1:10" x14ac:dyDescent="0.2">
      <c r="A3118" s="2">
        <v>3110</v>
      </c>
      <c r="B3118" s="14">
        <f>A3118*Assumptions!$B$12</f>
        <v>31.1</v>
      </c>
      <c r="C3118" s="15">
        <f>IF(A3118&lt;=Assumptions!$B$13,IF(OR(A3118=0,A3118=Assumptions!$B$13),0.5,1),0)*Assumptions!$B$12</f>
        <v>0</v>
      </c>
      <c r="D3118" s="12">
        <f>D3117*(1-Assumptions!$B$12*(Assumptions!$B$5+Assumptions!$B$6))</f>
        <v>0.39331676341213734</v>
      </c>
      <c r="E3118" s="12">
        <f>E3117+Assumptions!$B$12*(D3117*Assumptions!$B$5-E3117*Assumptions!$B$7)</f>
        <v>0.18220949205379056</v>
      </c>
      <c r="F3118" s="12">
        <f t="shared" si="144"/>
        <v>0.42447374453407216</v>
      </c>
      <c r="G3118" s="12">
        <f>EXP(-Assumptions!$B$8*B3118)</f>
        <v>0.21118938264097112</v>
      </c>
      <c r="H3118" s="12">
        <f t="shared" si="145"/>
        <v>8.3064324447354176E-2</v>
      </c>
      <c r="I3118" s="12">
        <f t="shared" si="146"/>
        <v>3.848071013816496E-2</v>
      </c>
      <c r="J3118" s="12">
        <f>G3118*(D3118*Assumptions!$B$6+E3118*Assumptions!$B$7)</f>
        <v>2.7546787513817901E-3</v>
      </c>
    </row>
    <row r="3119" spans="1:10" x14ac:dyDescent="0.2">
      <c r="A3119" s="2">
        <v>3111</v>
      </c>
      <c r="B3119" s="14">
        <f>A3119*Assumptions!$B$12</f>
        <v>31.11</v>
      </c>
      <c r="C3119" s="15">
        <f>IF(A3119&lt;=Assumptions!$B$13,IF(OR(A3119=0,A3119=Assumptions!$B$13),0.5,1),0)*Assumptions!$B$12</f>
        <v>0</v>
      </c>
      <c r="D3119" s="12">
        <f>D3118*(1-Assumptions!$B$12*(Assumptions!$B$5+Assumptions!$B$6))</f>
        <v>0.39319876838311368</v>
      </c>
      <c r="E3119" s="12">
        <f>E3118+Assumptions!$B$12*(D3118*Assumptions!$B$5-E3118*Assumptions!$B$7)</f>
        <v>0.18219705066044609</v>
      </c>
      <c r="F3119" s="12">
        <f t="shared" si="144"/>
        <v>0.42460418095644015</v>
      </c>
      <c r="G3119" s="12">
        <f>EXP(-Assumptions!$B$8*B3119)</f>
        <v>0.21108381434392426</v>
      </c>
      <c r="H3119" s="12">
        <f t="shared" si="145"/>
        <v>8.2997895825640849E-2</v>
      </c>
      <c r="I3119" s="12">
        <f t="shared" si="146"/>
        <v>3.8458848415620167E-2</v>
      </c>
      <c r="J3119" s="12">
        <f>G3119*(D3119*Assumptions!$B$6+E3119*Assumptions!$B$7)</f>
        <v>2.7529213790374171E-3</v>
      </c>
    </row>
    <row r="3120" spans="1:10" x14ac:dyDescent="0.2">
      <c r="A3120" s="2">
        <v>3112</v>
      </c>
      <c r="B3120" s="14">
        <f>A3120*Assumptions!$B$12</f>
        <v>31.12</v>
      </c>
      <c r="C3120" s="15">
        <f>IF(A3120&lt;=Assumptions!$B$13,IF(OR(A3120=0,A3120=Assumptions!$B$13),0.5,1),0)*Assumptions!$B$12</f>
        <v>0</v>
      </c>
      <c r="D3120" s="12">
        <f>D3119*(1-Assumptions!$B$12*(Assumptions!$B$5+Assumptions!$B$6))</f>
        <v>0.39308080875259876</v>
      </c>
      <c r="E3120" s="12">
        <f>E3119+Assumptions!$B$12*(D3119*Assumptions!$B$5-E3119*Assumptions!$B$7)</f>
        <v>0.18218459188879249</v>
      </c>
      <c r="F3120" s="12">
        <f t="shared" si="144"/>
        <v>0.42473459935860874</v>
      </c>
      <c r="G3120" s="12">
        <f>EXP(-Assumptions!$B$8*B3120)</f>
        <v>0.21097829881783206</v>
      </c>
      <c r="H3120" s="12">
        <f t="shared" si="145"/>
        <v>8.2931520328560882E-2</v>
      </c>
      <c r="I3120" s="12">
        <f t="shared" si="146"/>
        <v>3.8436995267518446E-2</v>
      </c>
      <c r="J3120" s="12">
        <f>G3120*(D3120*Assumptions!$B$6+E3120*Assumptions!$B$7)</f>
        <v>2.7511649666615307E-3</v>
      </c>
    </row>
    <row r="3121" spans="1:10" x14ac:dyDescent="0.2">
      <c r="A3121" s="2">
        <v>3113</v>
      </c>
      <c r="B3121" s="14">
        <f>A3121*Assumptions!$B$12</f>
        <v>31.13</v>
      </c>
      <c r="C3121" s="15">
        <f>IF(A3121&lt;=Assumptions!$B$13,IF(OR(A3121=0,A3121=Assumptions!$B$13),0.5,1),0)*Assumptions!$B$12</f>
        <v>0</v>
      </c>
      <c r="D3121" s="12">
        <f>D3120*(1-Assumptions!$B$12*(Assumptions!$B$5+Assumptions!$B$6))</f>
        <v>0.39296288450997302</v>
      </c>
      <c r="E3121" s="12">
        <f>E3120+Assumptions!$B$12*(D3120*Assumptions!$B$5-E3120*Assumptions!$B$7)</f>
        <v>0.1821721157545986</v>
      </c>
      <c r="F3121" s="12">
        <f t="shared" si="144"/>
        <v>0.42486499973542835</v>
      </c>
      <c r="G3121" s="12">
        <f>EXP(-Assumptions!$B$8*B3121)</f>
        <v>0.21087283603631568</v>
      </c>
      <c r="H3121" s="12">
        <f t="shared" si="145"/>
        <v>8.2865197913629202E-2</v>
      </c>
      <c r="I3121" s="12">
        <f t="shared" si="146"/>
        <v>3.8415150695908194E-2</v>
      </c>
      <c r="J3121" s="12">
        <f>G3121*(D3121*Assumptions!$B$6+E3121*Assumptions!$B$7)</f>
        <v>2.7494095139317014E-3</v>
      </c>
    </row>
    <row r="3122" spans="1:10" x14ac:dyDescent="0.2">
      <c r="A3122" s="2">
        <v>3114</v>
      </c>
      <c r="B3122" s="14">
        <f>A3122*Assumptions!$B$12</f>
        <v>31.14</v>
      </c>
      <c r="C3122" s="15">
        <f>IF(A3122&lt;=Assumptions!$B$13,IF(OR(A3122=0,A3122=Assumptions!$B$13),0.5,1),0)*Assumptions!$B$12</f>
        <v>0</v>
      </c>
      <c r="D3122" s="12">
        <f>D3121*(1-Assumptions!$B$12*(Assumptions!$B$5+Assumptions!$B$6))</f>
        <v>0.39284499564462005</v>
      </c>
      <c r="E3122" s="12">
        <f>E3121+Assumptions!$B$12*(D3121*Assumptions!$B$5-E3121*Assumptions!$B$7)</f>
        <v>0.18215962227362328</v>
      </c>
      <c r="F3122" s="12">
        <f t="shared" si="144"/>
        <v>0.42499538208175669</v>
      </c>
      <c r="G3122" s="12">
        <f>EXP(-Assumptions!$B$8*B3122)</f>
        <v>0.21076742597300935</v>
      </c>
      <c r="H3122" s="12">
        <f t="shared" si="145"/>
        <v>8.2798928538394642E-2</v>
      </c>
      <c r="I3122" s="12">
        <f t="shared" si="146"/>
        <v>3.8393314702827239E-2</v>
      </c>
      <c r="J3122" s="12">
        <f>G3122*(D3122*Assumptions!$B$6+E3122*Assumptions!$B$7)</f>
        <v>2.7476550205253083E-3</v>
      </c>
    </row>
    <row r="3123" spans="1:10" x14ac:dyDescent="0.2">
      <c r="A3123" s="2">
        <v>3115</v>
      </c>
      <c r="B3123" s="14">
        <f>A3123*Assumptions!$B$12</f>
        <v>31.150000000000002</v>
      </c>
      <c r="C3123" s="15">
        <f>IF(A3123&lt;=Assumptions!$B$13,IF(OR(A3123=0,A3123=Assumptions!$B$13),0.5,1),0)*Assumptions!$B$12</f>
        <v>0</v>
      </c>
      <c r="D3123" s="12">
        <f>D3122*(1-Assumptions!$B$12*(Assumptions!$B$5+Assumptions!$B$6))</f>
        <v>0.39272714214592669</v>
      </c>
      <c r="E3123" s="12">
        <f>E3122+Assumptions!$B$12*(D3122*Assumptions!$B$5-E3122*Assumptions!$B$7)</f>
        <v>0.18214711146161539</v>
      </c>
      <c r="F3123" s="12">
        <f t="shared" si="144"/>
        <v>0.42512574639245798</v>
      </c>
      <c r="G3123" s="12">
        <f>EXP(-Assumptions!$B$8*B3123)</f>
        <v>0.21066206860156067</v>
      </c>
      <c r="H3123" s="12">
        <f t="shared" si="145"/>
        <v>8.2732712160440078E-2</v>
      </c>
      <c r="I3123" s="12">
        <f t="shared" si="146"/>
        <v>3.8371487290302937E-2</v>
      </c>
      <c r="J3123" s="12">
        <f>G3123*(D3123*Assumptions!$B$6+E3123*Assumptions!$B$7)</f>
        <v>2.7459014861195481E-3</v>
      </c>
    </row>
    <row r="3124" spans="1:10" x14ac:dyDescent="0.2">
      <c r="A3124" s="2">
        <v>3116</v>
      </c>
      <c r="B3124" s="14">
        <f>A3124*Assumptions!$B$12</f>
        <v>31.16</v>
      </c>
      <c r="C3124" s="15">
        <f>IF(A3124&lt;=Assumptions!$B$13,IF(OR(A3124=0,A3124=Assumptions!$B$13),0.5,1),0)*Assumptions!$B$12</f>
        <v>0</v>
      </c>
      <c r="D3124" s="12">
        <f>D3123*(1-Assumptions!$B$12*(Assumptions!$B$5+Assumptions!$B$6))</f>
        <v>0.39260932400328291</v>
      </c>
      <c r="E3124" s="12">
        <f>E3123+Assumptions!$B$12*(D3123*Assumptions!$B$5-E3123*Assumptions!$B$7)</f>
        <v>0.18213458333431376</v>
      </c>
      <c r="F3124" s="12">
        <f t="shared" si="144"/>
        <v>0.42525609266240338</v>
      </c>
      <c r="G3124" s="12">
        <f>EXP(-Assumptions!$B$8*B3124)</f>
        <v>0.21055676389563024</v>
      </c>
      <c r="H3124" s="12">
        <f t="shared" si="145"/>
        <v>8.2666548737382231E-2</v>
      </c>
      <c r="I3124" s="12">
        <f t="shared" si="146"/>
        <v>3.8349668460352093E-2</v>
      </c>
      <c r="J3124" s="12">
        <f>G3124*(D3124*Assumptions!$B$6+E3124*Assumptions!$B$7)</f>
        <v>2.7441489103914272E-3</v>
      </c>
    </row>
    <row r="3125" spans="1:10" x14ac:dyDescent="0.2">
      <c r="A3125" s="2">
        <v>3117</v>
      </c>
      <c r="B3125" s="14">
        <f>A3125*Assumptions!$B$12</f>
        <v>31.17</v>
      </c>
      <c r="C3125" s="15">
        <f>IF(A3125&lt;=Assumptions!$B$13,IF(OR(A3125=0,A3125=Assumptions!$B$13),0.5,1),0)*Assumptions!$B$12</f>
        <v>0</v>
      </c>
      <c r="D3125" s="12">
        <f>D3124*(1-Assumptions!$B$12*(Assumptions!$B$5+Assumptions!$B$6))</f>
        <v>0.39249154120608193</v>
      </c>
      <c r="E3125" s="12">
        <f>E3124+Assumptions!$B$12*(D3124*Assumptions!$B$5-E3124*Assumptions!$B$7)</f>
        <v>0.18212203790744727</v>
      </c>
      <c r="F3125" s="12">
        <f t="shared" si="144"/>
        <v>0.42538642088647083</v>
      </c>
      <c r="G3125" s="12">
        <f>EXP(-Assumptions!$B$8*B3125)</f>
        <v>0.21045151182889182</v>
      </c>
      <c r="H3125" s="12">
        <f t="shared" si="145"/>
        <v>8.2600438226871728E-2</v>
      </c>
      <c r="I3125" s="12">
        <f t="shared" si="146"/>
        <v>3.8327858214981025E-2</v>
      </c>
      <c r="J3125" s="12">
        <f>G3125*(D3125*Assumptions!$B$6+E3125*Assumptions!$B$7)</f>
        <v>2.7423972930177682E-3</v>
      </c>
    </row>
    <row r="3126" spans="1:10" x14ac:dyDescent="0.2">
      <c r="A3126" s="2">
        <v>3118</v>
      </c>
      <c r="B3126" s="14">
        <f>A3126*Assumptions!$B$12</f>
        <v>31.18</v>
      </c>
      <c r="C3126" s="15">
        <f>IF(A3126&lt;=Assumptions!$B$13,IF(OR(A3126=0,A3126=Assumptions!$B$13),0.5,1),0)*Assumptions!$B$12</f>
        <v>0</v>
      </c>
      <c r="D3126" s="12">
        <f>D3125*(1-Assumptions!$B$12*(Assumptions!$B$5+Assumptions!$B$6))</f>
        <v>0.39237379374372011</v>
      </c>
      <c r="E3126" s="12">
        <f>E3125+Assumptions!$B$12*(D3125*Assumptions!$B$5-E3125*Assumptions!$B$7)</f>
        <v>0.18210947519673476</v>
      </c>
      <c r="F3126" s="12">
        <f t="shared" si="144"/>
        <v>0.42551673105954507</v>
      </c>
      <c r="G3126" s="12">
        <f>EXP(-Assumptions!$B$8*B3126)</f>
        <v>0.21034631237503251</v>
      </c>
      <c r="H3126" s="12">
        <f t="shared" si="145"/>
        <v>8.2534380586593126E-2</v>
      </c>
      <c r="I3126" s="12">
        <f t="shared" si="146"/>
        <v>3.8306056556185603E-2</v>
      </c>
      <c r="J3126" s="12">
        <f>G3126*(D3126*Assumptions!$B$6+E3126*Assumptions!$B$7)</f>
        <v>2.7406466336752115E-3</v>
      </c>
    </row>
    <row r="3127" spans="1:10" x14ac:dyDescent="0.2">
      <c r="A3127" s="2">
        <v>3119</v>
      </c>
      <c r="B3127" s="14">
        <f>A3127*Assumptions!$B$12</f>
        <v>31.19</v>
      </c>
      <c r="C3127" s="15">
        <f>IF(A3127&lt;=Assumptions!$B$13,IF(OR(A3127=0,A3127=Assumptions!$B$13),0.5,1),0)*Assumptions!$B$12</f>
        <v>0</v>
      </c>
      <c r="D3127" s="12">
        <f>D3126*(1-Assumptions!$B$12*(Assumptions!$B$5+Assumptions!$B$6))</f>
        <v>0.392256081605597</v>
      </c>
      <c r="E3127" s="12">
        <f>E3126+Assumptions!$B$12*(D3126*Assumptions!$B$5-E3126*Assumptions!$B$7)</f>
        <v>0.18209689521788514</v>
      </c>
      <c r="F3127" s="12">
        <f t="shared" si="144"/>
        <v>0.42564702317651787</v>
      </c>
      <c r="G3127" s="12">
        <f>EXP(-Assumptions!$B$8*B3127)</f>
        <v>0.21024116550775238</v>
      </c>
      <c r="H3127" s="12">
        <f t="shared" si="145"/>
        <v>8.2468375774264746E-2</v>
      </c>
      <c r="I3127" s="12">
        <f t="shared" si="146"/>
        <v>3.828426348595123E-2</v>
      </c>
      <c r="J3127" s="12">
        <f>G3127*(D3127*Assumptions!$B$6+E3127*Assumptions!$B$7)</f>
        <v>2.7388969320402087E-3</v>
      </c>
    </row>
    <row r="3128" spans="1:10" x14ac:dyDescent="0.2">
      <c r="A3128" s="2">
        <v>3120</v>
      </c>
      <c r="B3128" s="14">
        <f>A3128*Assumptions!$B$12</f>
        <v>31.2</v>
      </c>
      <c r="C3128" s="15">
        <f>IF(A3128&lt;=Assumptions!$B$13,IF(OR(A3128=0,A3128=Assumptions!$B$13),0.5,1),0)*Assumptions!$B$12</f>
        <v>0</v>
      </c>
      <c r="D3128" s="12">
        <f>D3127*(1-Assumptions!$B$12*(Assumptions!$B$5+Assumptions!$B$6))</f>
        <v>0.39213840478111534</v>
      </c>
      <c r="E3128" s="12">
        <f>E3127+Assumptions!$B$12*(D3127*Assumptions!$B$5-E3127*Assumptions!$B$7)</f>
        <v>0.18208429798659731</v>
      </c>
      <c r="F3128" s="12">
        <f t="shared" si="144"/>
        <v>0.4257772972322873</v>
      </c>
      <c r="G3128" s="12">
        <f>EXP(-Assumptions!$B$8*B3128)</f>
        <v>0.21013607120076472</v>
      </c>
      <c r="H3128" s="12">
        <f t="shared" si="145"/>
        <v>8.2402423747638745E-2</v>
      </c>
      <c r="I3128" s="12">
        <f t="shared" si="146"/>
        <v>3.8262479006252875E-2</v>
      </c>
      <c r="J3128" s="12">
        <f>G3128*(D3128*Assumptions!$B$6+E3128*Assumptions!$B$7)</f>
        <v>2.7371481877890309E-3</v>
      </c>
    </row>
    <row r="3129" spans="1:10" x14ac:dyDescent="0.2">
      <c r="A3129" s="2">
        <v>3121</v>
      </c>
      <c r="B3129" s="14">
        <f>A3129*Assumptions!$B$12</f>
        <v>31.21</v>
      </c>
      <c r="C3129" s="15">
        <f>IF(A3129&lt;=Assumptions!$B$13,IF(OR(A3129=0,A3129=Assumptions!$B$13),0.5,1),0)*Assumptions!$B$12</f>
        <v>0</v>
      </c>
      <c r="D3129" s="12">
        <f>D3128*(1-Assumptions!$B$12*(Assumptions!$B$5+Assumptions!$B$6))</f>
        <v>0.39202076325968099</v>
      </c>
      <c r="E3129" s="12">
        <f>E3128+Assumptions!$B$12*(D3128*Assumptions!$B$5-E3128*Assumptions!$B$7)</f>
        <v>0.18207168351856023</v>
      </c>
      <c r="F3129" s="12">
        <f t="shared" si="144"/>
        <v>0.42590755322175872</v>
      </c>
      <c r="G3129" s="12">
        <f>EXP(-Assumptions!$B$8*B3129)</f>
        <v>0.21003102942779592</v>
      </c>
      <c r="H3129" s="12">
        <f t="shared" si="145"/>
        <v>8.2336524464501071E-2</v>
      </c>
      <c r="I3129" s="12">
        <f t="shared" si="146"/>
        <v>3.8240703119055072E-2</v>
      </c>
      <c r="J3129" s="12">
        <f>G3129*(D3129*Assumptions!$B$6+E3129*Assumptions!$B$7)</f>
        <v>2.7354004005977644E-3</v>
      </c>
    </row>
    <row r="3130" spans="1:10" x14ac:dyDescent="0.2">
      <c r="A3130" s="2">
        <v>3122</v>
      </c>
      <c r="B3130" s="14">
        <f>A3130*Assumptions!$B$12</f>
        <v>31.220000000000002</v>
      </c>
      <c r="C3130" s="15">
        <f>IF(A3130&lt;=Assumptions!$B$13,IF(OR(A3130=0,A3130=Assumptions!$B$13),0.5,1),0)*Assumptions!$B$12</f>
        <v>0</v>
      </c>
      <c r="D3130" s="12">
        <f>D3129*(1-Assumptions!$B$12*(Assumptions!$B$5+Assumptions!$B$6))</f>
        <v>0.39190315703070311</v>
      </c>
      <c r="E3130" s="12">
        <f>E3129+Assumptions!$B$12*(D3129*Assumptions!$B$5-E3129*Assumptions!$B$7)</f>
        <v>0.18205905182945289</v>
      </c>
      <c r="F3130" s="12">
        <f t="shared" si="144"/>
        <v>0.42603779113984397</v>
      </c>
      <c r="G3130" s="12">
        <f>EXP(-Assumptions!$B$8*B3130)</f>
        <v>0.20992604016258562</v>
      </c>
      <c r="H3130" s="12">
        <f t="shared" si="145"/>
        <v>8.2270677882671478E-2</v>
      </c>
      <c r="I3130" s="12">
        <f t="shared" si="146"/>
        <v>3.8218935826311987E-2</v>
      </c>
      <c r="J3130" s="12">
        <f>G3130*(D3130*Assumptions!$B$6+E3130*Assumptions!$B$7)</f>
        <v>2.7336535701423144E-3</v>
      </c>
    </row>
    <row r="3131" spans="1:10" x14ac:dyDescent="0.2">
      <c r="A3131" s="2">
        <v>3123</v>
      </c>
      <c r="B3131" s="14">
        <f>A3131*Assumptions!$B$12</f>
        <v>31.23</v>
      </c>
      <c r="C3131" s="15">
        <f>IF(A3131&lt;=Assumptions!$B$13,IF(OR(A3131=0,A3131=Assumptions!$B$13),0.5,1),0)*Assumptions!$B$12</f>
        <v>0</v>
      </c>
      <c r="D3131" s="12">
        <f>D3130*(1-Assumptions!$B$12*(Assumptions!$B$5+Assumptions!$B$6))</f>
        <v>0.39178558608359393</v>
      </c>
      <c r="E3131" s="12">
        <f>E3130+Assumptions!$B$12*(D3130*Assumptions!$B$5-E3130*Assumptions!$B$7)</f>
        <v>0.18204640293494431</v>
      </c>
      <c r="F3131" s="12">
        <f t="shared" si="144"/>
        <v>0.42616801098146173</v>
      </c>
      <c r="G3131" s="12">
        <f>EXP(-Assumptions!$B$8*B3131)</f>
        <v>0.20982110337888643</v>
      </c>
      <c r="H3131" s="12">
        <f t="shared" si="145"/>
        <v>8.2204883960003375E-2</v>
      </c>
      <c r="I3131" s="12">
        <f t="shared" si="146"/>
        <v>3.8197177129967362E-2</v>
      </c>
      <c r="J3131" s="12">
        <f>G3131*(D3131*Assumptions!$B$6+E3131*Assumptions!$B$7)</f>
        <v>2.731907696098402E-3</v>
      </c>
    </row>
    <row r="3132" spans="1:10" x14ac:dyDescent="0.2">
      <c r="A3132" s="2">
        <v>3124</v>
      </c>
      <c r="B3132" s="14">
        <f>A3132*Assumptions!$B$12</f>
        <v>31.240000000000002</v>
      </c>
      <c r="C3132" s="15">
        <f>IF(A3132&lt;=Assumptions!$B$13,IF(OR(A3132=0,A3132=Assumptions!$B$13),0.5,1),0)*Assumptions!$B$12</f>
        <v>0</v>
      </c>
      <c r="D3132" s="12">
        <f>D3131*(1-Assumptions!$B$12*(Assumptions!$B$5+Assumptions!$B$6))</f>
        <v>0.39166805040776886</v>
      </c>
      <c r="E3132" s="12">
        <f>E3131+Assumptions!$B$12*(D3131*Assumptions!$B$5-E3131*Assumptions!$B$7)</f>
        <v>0.18203373685069357</v>
      </c>
      <c r="F3132" s="12">
        <f t="shared" si="144"/>
        <v>0.42629821274153756</v>
      </c>
      <c r="G3132" s="12">
        <f>EXP(-Assumptions!$B$8*B3132)</f>
        <v>0.20971621905046417</v>
      </c>
      <c r="H3132" s="12">
        <f t="shared" si="145"/>
        <v>8.2139142654383893E-2</v>
      </c>
      <c r="I3132" s="12">
        <f t="shared" si="146"/>
        <v>3.8175427031954604E-2</v>
      </c>
      <c r="J3132" s="12">
        <f>G3132*(D3132*Assumptions!$B$6+E3132*Assumptions!$B$7)</f>
        <v>2.7301627781415689E-3</v>
      </c>
    </row>
    <row r="3133" spans="1:10" x14ac:dyDescent="0.2">
      <c r="A3133" s="2">
        <v>3125</v>
      </c>
      <c r="B3133" s="14">
        <f>A3133*Assumptions!$B$12</f>
        <v>31.25</v>
      </c>
      <c r="C3133" s="15">
        <f>IF(A3133&lt;=Assumptions!$B$13,IF(OR(A3133=0,A3133=Assumptions!$B$13),0.5,1),0)*Assumptions!$B$12</f>
        <v>0</v>
      </c>
      <c r="D3133" s="12">
        <f>D3132*(1-Assumptions!$B$12*(Assumptions!$B$5+Assumptions!$B$6))</f>
        <v>0.39155054999264655</v>
      </c>
      <c r="E3133" s="12">
        <f>E3132+Assumptions!$B$12*(D3132*Assumptions!$B$5-E3132*Assumptions!$B$7)</f>
        <v>0.18202105359234977</v>
      </c>
      <c r="F3133" s="12">
        <f t="shared" si="144"/>
        <v>0.42642839641500363</v>
      </c>
      <c r="G3133" s="12">
        <f>EXP(-Assumptions!$B$8*B3133)</f>
        <v>0.20961138715109781</v>
      </c>
      <c r="H3133" s="12">
        <f t="shared" si="145"/>
        <v>8.2073453923733913E-2</v>
      </c>
      <c r="I3133" s="12">
        <f t="shared" si="146"/>
        <v>3.8153685534196749E-2</v>
      </c>
      <c r="J3133" s="12">
        <f>G3133*(D3133*Assumptions!$B$6+E3133*Assumptions!$B$7)</f>
        <v>2.7284188159471764E-3</v>
      </c>
    </row>
    <row r="3134" spans="1:10" x14ac:dyDescent="0.2">
      <c r="A3134" s="2">
        <v>3126</v>
      </c>
      <c r="B3134" s="14">
        <f>A3134*Assumptions!$B$12</f>
        <v>31.26</v>
      </c>
      <c r="C3134" s="15">
        <f>IF(A3134&lt;=Assumptions!$B$13,IF(OR(A3134=0,A3134=Assumptions!$B$13),0.5,1),0)*Assumptions!$B$12</f>
        <v>0</v>
      </c>
      <c r="D3134" s="12">
        <f>D3133*(1-Assumptions!$B$12*(Assumptions!$B$5+Assumptions!$B$6))</f>
        <v>0.39143308482764877</v>
      </c>
      <c r="E3134" s="12">
        <f>E3133+Assumptions!$B$12*(D3133*Assumptions!$B$5-E3133*Assumptions!$B$7)</f>
        <v>0.18200835317555211</v>
      </c>
      <c r="F3134" s="12">
        <f t="shared" si="144"/>
        <v>0.42655856199679909</v>
      </c>
      <c r="G3134" s="12">
        <f>EXP(-Assumptions!$B$8*B3134)</f>
        <v>0.20950660765457926</v>
      </c>
      <c r="H3134" s="12">
        <f t="shared" si="145"/>
        <v>8.2007817726007848E-2</v>
      </c>
      <c r="I3134" s="12">
        <f t="shared" si="146"/>
        <v>3.8131952638606491E-2</v>
      </c>
      <c r="J3134" s="12">
        <f>G3134*(D3134*Assumptions!$B$6+E3134*Assumptions!$B$7)</f>
        <v>2.7266758091904035E-3</v>
      </c>
    </row>
    <row r="3135" spans="1:10" x14ac:dyDescent="0.2">
      <c r="A3135" s="2">
        <v>3127</v>
      </c>
      <c r="B3135" s="14">
        <f>A3135*Assumptions!$B$12</f>
        <v>31.27</v>
      </c>
      <c r="C3135" s="15">
        <f>IF(A3135&lt;=Assumptions!$B$13,IF(OR(A3135=0,A3135=Assumptions!$B$13),0.5,1),0)*Assumptions!$B$12</f>
        <v>0</v>
      </c>
      <c r="D3135" s="12">
        <f>D3134*(1-Assumptions!$B$12*(Assumptions!$B$5+Assumptions!$B$6))</f>
        <v>0.39131565490220049</v>
      </c>
      <c r="E3135" s="12">
        <f>E3134+Assumptions!$B$12*(D3134*Assumptions!$B$5-E3134*Assumptions!$B$7)</f>
        <v>0.18199563561592988</v>
      </c>
      <c r="F3135" s="12">
        <f t="shared" si="144"/>
        <v>0.42668870948186954</v>
      </c>
      <c r="G3135" s="12">
        <f>EXP(-Assumptions!$B$8*B3135)</f>
        <v>0.20940188053471379</v>
      </c>
      <c r="H3135" s="12">
        <f t="shared" si="145"/>
        <v>8.1942234019193871E-2</v>
      </c>
      <c r="I3135" s="12">
        <f t="shared" si="146"/>
        <v>3.8110228347086252E-2</v>
      </c>
      <c r="J3135" s="12">
        <f>G3135*(D3135*Assumptions!$B$6+E3135*Assumptions!$B$7)</f>
        <v>2.7249337575462516E-3</v>
      </c>
    </row>
    <row r="3136" spans="1:10" x14ac:dyDescent="0.2">
      <c r="A3136" s="2">
        <v>3128</v>
      </c>
      <c r="B3136" s="14">
        <f>A3136*Assumptions!$B$12</f>
        <v>31.28</v>
      </c>
      <c r="C3136" s="15">
        <f>IF(A3136&lt;=Assumptions!$B$13,IF(OR(A3136=0,A3136=Assumptions!$B$13),0.5,1),0)*Assumptions!$B$12</f>
        <v>0</v>
      </c>
      <c r="D3136" s="12">
        <f>D3135*(1-Assumptions!$B$12*(Assumptions!$B$5+Assumptions!$B$6))</f>
        <v>0.39119826020572984</v>
      </c>
      <c r="E3136" s="12">
        <f>E3135+Assumptions!$B$12*(D3135*Assumptions!$B$5-E3135*Assumptions!$B$7)</f>
        <v>0.18198290092910235</v>
      </c>
      <c r="F3136" s="12">
        <f t="shared" si="144"/>
        <v>0.42681883886516786</v>
      </c>
      <c r="G3136" s="12">
        <f>EXP(-Assumptions!$B$8*B3136)</f>
        <v>0.20929720576531952</v>
      </c>
      <c r="H3136" s="12">
        <f t="shared" si="145"/>
        <v>8.1876702761313647E-2</v>
      </c>
      <c r="I3136" s="12">
        <f t="shared" si="146"/>
        <v>3.8088512661528094E-2</v>
      </c>
      <c r="J3136" s="12">
        <f>G3136*(D3136*Assumptions!$B$6+E3136*Assumptions!$B$7)</f>
        <v>2.7231926606895414E-3</v>
      </c>
    </row>
    <row r="3137" spans="1:10" x14ac:dyDescent="0.2">
      <c r="A3137" s="2">
        <v>3129</v>
      </c>
      <c r="B3137" s="14">
        <f>A3137*Assumptions!$B$12</f>
        <v>31.29</v>
      </c>
      <c r="C3137" s="15">
        <f>IF(A3137&lt;=Assumptions!$B$13,IF(OR(A3137=0,A3137=Assumptions!$B$13),0.5,1),0)*Assumptions!$B$12</f>
        <v>0</v>
      </c>
      <c r="D3137" s="12">
        <f>D3136*(1-Assumptions!$B$12*(Assumptions!$B$5+Assumptions!$B$6))</f>
        <v>0.39108090072766816</v>
      </c>
      <c r="E3137" s="12">
        <f>E3136+Assumptions!$B$12*(D3136*Assumptions!$B$5-E3136*Assumptions!$B$7)</f>
        <v>0.18197014913067894</v>
      </c>
      <c r="F3137" s="12">
        <f t="shared" si="144"/>
        <v>0.42694895014165296</v>
      </c>
      <c r="G3137" s="12">
        <f>EXP(-Assumptions!$B$8*B3137)</f>
        <v>0.20919258332022778</v>
      </c>
      <c r="H3137" s="12">
        <f t="shared" si="145"/>
        <v>8.1811223910422448E-2</v>
      </c>
      <c r="I3137" s="12">
        <f t="shared" si="146"/>
        <v>3.8066805583813826E-2</v>
      </c>
      <c r="J3137" s="12">
        <f>G3137*(D3137*Assumptions!$B$6+E3137*Assumptions!$B$7)</f>
        <v>2.7214525182949157E-3</v>
      </c>
    </row>
    <row r="3138" spans="1:10" x14ac:dyDescent="0.2">
      <c r="A3138" s="2">
        <v>3130</v>
      </c>
      <c r="B3138" s="14">
        <f>A3138*Assumptions!$B$12</f>
        <v>31.3</v>
      </c>
      <c r="C3138" s="15">
        <f>IF(A3138&lt;=Assumptions!$B$13,IF(OR(A3138=0,A3138=Assumptions!$B$13),0.5,1),0)*Assumptions!$B$12</f>
        <v>0</v>
      </c>
      <c r="D3138" s="12">
        <f>D3137*(1-Assumptions!$B$12*(Assumptions!$B$5+Assumptions!$B$6))</f>
        <v>0.39096357645744989</v>
      </c>
      <c r="E3138" s="12">
        <f>E3137+Assumptions!$B$12*(D3137*Assumptions!$B$5-E3137*Assumptions!$B$7)</f>
        <v>0.18195738023625913</v>
      </c>
      <c r="F3138" s="12">
        <f t="shared" si="144"/>
        <v>0.42707904330629093</v>
      </c>
      <c r="G3138" s="12">
        <f>EXP(-Assumptions!$B$8*B3138)</f>
        <v>0.20908801317328291</v>
      </c>
      <c r="H3138" s="12">
        <f t="shared" si="145"/>
        <v>8.1745797424609079E-2</v>
      </c>
      <c r="I3138" s="12">
        <f t="shared" si="146"/>
        <v>3.8045107115814991E-2</v>
      </c>
      <c r="J3138" s="12">
        <f>G3138*(D3138*Assumptions!$B$6+E3138*Assumptions!$B$7)</f>
        <v>2.7197133300368406E-3</v>
      </c>
    </row>
    <row r="3139" spans="1:10" x14ac:dyDescent="0.2">
      <c r="A3139" s="2">
        <v>3131</v>
      </c>
      <c r="B3139" s="14">
        <f>A3139*Assumptions!$B$12</f>
        <v>31.310000000000002</v>
      </c>
      <c r="C3139" s="15">
        <f>IF(A3139&lt;=Assumptions!$B$13,IF(OR(A3139=0,A3139=Assumptions!$B$13),0.5,1),0)*Assumptions!$B$12</f>
        <v>0</v>
      </c>
      <c r="D3139" s="12">
        <f>D3138*(1-Assumptions!$B$12*(Assumptions!$B$5+Assumptions!$B$6))</f>
        <v>0.39084628738451266</v>
      </c>
      <c r="E3139" s="12">
        <f>E3138+Assumptions!$B$12*(D3138*Assumptions!$B$5-E3138*Assumptions!$B$7)</f>
        <v>0.18194459426143247</v>
      </c>
      <c r="F3139" s="12">
        <f t="shared" si="144"/>
        <v>0.42720911835405484</v>
      </c>
      <c r="G3139" s="12">
        <f>EXP(-Assumptions!$B$8*B3139)</f>
        <v>0.20898349529834245</v>
      </c>
      <c r="H3139" s="12">
        <f t="shared" si="145"/>
        <v>8.1680423261995899E-2</v>
      </c>
      <c r="I3139" s="12">
        <f t="shared" si="146"/>
        <v>3.80234172593929E-2</v>
      </c>
      <c r="J3139" s="12">
        <f>G3139*(D3139*Assumptions!$B$6+E3139*Assumptions!$B$7)</f>
        <v>2.717975095589604E-3</v>
      </c>
    </row>
    <row r="3140" spans="1:10" x14ac:dyDescent="0.2">
      <c r="A3140" s="2">
        <v>3132</v>
      </c>
      <c r="B3140" s="14">
        <f>A3140*Assumptions!$B$12</f>
        <v>31.32</v>
      </c>
      <c r="C3140" s="15">
        <f>IF(A3140&lt;=Assumptions!$B$13,IF(OR(A3140=0,A3140=Assumptions!$B$13),0.5,1),0)*Assumptions!$B$12</f>
        <v>0</v>
      </c>
      <c r="D3140" s="12">
        <f>D3139*(1-Assumptions!$B$12*(Assumptions!$B$5+Assumptions!$B$6))</f>
        <v>0.3907290334982973</v>
      </c>
      <c r="E3140" s="12">
        <f>E3139+Assumptions!$B$12*(D3139*Assumptions!$B$5-E3139*Assumptions!$B$7)</f>
        <v>0.18193179122177866</v>
      </c>
      <c r="F3140" s="12">
        <f t="shared" si="144"/>
        <v>0.42733917527992399</v>
      </c>
      <c r="G3140" s="12">
        <f>EXP(-Assumptions!$B$8*B3140)</f>
        <v>0.20887902966927693</v>
      </c>
      <c r="H3140" s="12">
        <f t="shared" si="145"/>
        <v>8.1615101380738742E-2</v>
      </c>
      <c r="I3140" s="12">
        <f t="shared" si="146"/>
        <v>3.8001736016398599E-2</v>
      </c>
      <c r="J3140" s="12">
        <f>G3140*(D3140*Assumptions!$B$6+E3140*Assumptions!$B$7)</f>
        <v>2.7162378146273172E-3</v>
      </c>
    </row>
    <row r="3141" spans="1:10" x14ac:dyDescent="0.2">
      <c r="A3141" s="2">
        <v>3133</v>
      </c>
      <c r="B3141" s="14">
        <f>A3141*Assumptions!$B$12</f>
        <v>31.330000000000002</v>
      </c>
      <c r="C3141" s="15">
        <f>IF(A3141&lt;=Assumptions!$B$13,IF(OR(A3141=0,A3141=Assumptions!$B$13),0.5,1),0)*Assumptions!$B$12</f>
        <v>0</v>
      </c>
      <c r="D3141" s="12">
        <f>D3140*(1-Assumptions!$B$12*(Assumptions!$B$5+Assumptions!$B$6))</f>
        <v>0.3906118147882478</v>
      </c>
      <c r="E3141" s="12">
        <f>E3140+Assumptions!$B$12*(D3140*Assumptions!$B$5-E3140*Assumptions!$B$7)</f>
        <v>0.18191897113286742</v>
      </c>
      <c r="F3141" s="12">
        <f t="shared" si="144"/>
        <v>0.42746921407888477</v>
      </c>
      <c r="G3141" s="12">
        <f>EXP(-Assumptions!$B$8*B3141)</f>
        <v>0.20877461625996988</v>
      </c>
      <c r="H3141" s="12">
        <f t="shared" si="145"/>
        <v>8.1549831739026857E-2</v>
      </c>
      <c r="I3141" s="12">
        <f t="shared" si="146"/>
        <v>3.7980063388672936E-2</v>
      </c>
      <c r="J3141" s="12">
        <f>G3141*(D3141*Assumptions!$B$6+E3141*Assumptions!$B$7)</f>
        <v>2.7145014868239156E-3</v>
      </c>
    </row>
    <row r="3142" spans="1:10" x14ac:dyDescent="0.2">
      <c r="A3142" s="2">
        <v>3134</v>
      </c>
      <c r="B3142" s="14">
        <f>A3142*Assumptions!$B$12</f>
        <v>31.34</v>
      </c>
      <c r="C3142" s="15">
        <f>IF(A3142&lt;=Assumptions!$B$13,IF(OR(A3142=0,A3142=Assumptions!$B$13),0.5,1),0)*Assumptions!$B$12</f>
        <v>0</v>
      </c>
      <c r="D3142" s="12">
        <f>D3141*(1-Assumptions!$B$12*(Assumptions!$B$5+Assumptions!$B$6))</f>
        <v>0.39049463124381134</v>
      </c>
      <c r="E3142" s="12">
        <f>E3141+Assumptions!$B$12*(D3141*Assumptions!$B$5-E3141*Assumptions!$B$7)</f>
        <v>0.18190613401025865</v>
      </c>
      <c r="F3142" s="12">
        <f t="shared" si="144"/>
        <v>0.42759923474592998</v>
      </c>
      <c r="G3142" s="12">
        <f>EXP(-Assumptions!$B$8*B3142)</f>
        <v>0.20867025504431799</v>
      </c>
      <c r="H3142" s="12">
        <f t="shared" si="145"/>
        <v>8.1484614295083024E-2</v>
      </c>
      <c r="I3142" s="12">
        <f t="shared" si="146"/>
        <v>3.7958399378046563E-2</v>
      </c>
      <c r="J3142" s="12">
        <f>G3142*(D3142*Assumptions!$B$6+E3142*Assumptions!$B$7)</f>
        <v>2.7127661118531584E-3</v>
      </c>
    </row>
    <row r="3143" spans="1:10" x14ac:dyDescent="0.2">
      <c r="A3143" s="2">
        <v>3135</v>
      </c>
      <c r="B3143" s="14">
        <f>A3143*Assumptions!$B$12</f>
        <v>31.35</v>
      </c>
      <c r="C3143" s="15">
        <f>IF(A3143&lt;=Assumptions!$B$13,IF(OR(A3143=0,A3143=Assumptions!$B$13),0.5,1),0)*Assumptions!$B$12</f>
        <v>0</v>
      </c>
      <c r="D3143" s="12">
        <f>D3142*(1-Assumptions!$B$12*(Assumptions!$B$5+Assumptions!$B$6))</f>
        <v>0.39037748285443818</v>
      </c>
      <c r="E3143" s="12">
        <f>E3142+Assumptions!$B$12*(D3142*Assumptions!$B$5-E3142*Assumptions!$B$7)</f>
        <v>0.18189327986950229</v>
      </c>
      <c r="F3143" s="12">
        <f t="shared" si="144"/>
        <v>0.42772923727605949</v>
      </c>
      <c r="G3143" s="12">
        <f>EXP(-Assumptions!$B$8*B3143)</f>
        <v>0.20856594599623096</v>
      </c>
      <c r="H3143" s="12">
        <f t="shared" si="145"/>
        <v>8.141944900716333E-2</v>
      </c>
      <c r="I3143" s="12">
        <f t="shared" si="146"/>
        <v>3.7936743986339942E-2</v>
      </c>
      <c r="J3143" s="12">
        <f>G3143*(D3143*Assumptions!$B$6+E3143*Assumptions!$B$7)</f>
        <v>2.7110316893886308E-3</v>
      </c>
    </row>
    <row r="3144" spans="1:10" x14ac:dyDescent="0.2">
      <c r="A3144" s="2">
        <v>3136</v>
      </c>
      <c r="B3144" s="14">
        <f>A3144*Assumptions!$B$12</f>
        <v>31.36</v>
      </c>
      <c r="C3144" s="15">
        <f>IF(A3144&lt;=Assumptions!$B$13,IF(OR(A3144=0,A3144=Assumptions!$B$13),0.5,1),0)*Assumptions!$B$12</f>
        <v>0</v>
      </c>
      <c r="D3144" s="12">
        <f>D3143*(1-Assumptions!$B$12*(Assumptions!$B$5+Assumptions!$B$6))</f>
        <v>0.39026036960958188</v>
      </c>
      <c r="E3144" s="12">
        <f>E3143+Assumptions!$B$12*(D3143*Assumptions!$B$5-E3143*Assumptions!$B$7)</f>
        <v>0.18188040872613842</v>
      </c>
      <c r="F3144" s="12">
        <f t="shared" ref="F3144:F3207" si="147">1-D3144-E3144</f>
        <v>0.4278592216642797</v>
      </c>
      <c r="G3144" s="12">
        <f>EXP(-Assumptions!$B$8*B3144)</f>
        <v>0.20846168908963153</v>
      </c>
      <c r="H3144" s="12">
        <f t="shared" ref="H3144:H3207" si="148">G3144*D3144</f>
        <v>8.1354335833557348E-2</v>
      </c>
      <c r="I3144" s="12">
        <f t="shared" ref="I3144:I3207" si="149">G3144*E3144</f>
        <v>3.7915097215363375E-2</v>
      </c>
      <c r="J3144" s="12">
        <f>G3144*(D3144*Assumptions!$B$6+E3144*Assumptions!$B$7)</f>
        <v>2.7092982191037423E-3</v>
      </c>
    </row>
    <row r="3145" spans="1:10" x14ac:dyDescent="0.2">
      <c r="A3145" s="2">
        <v>3137</v>
      </c>
      <c r="B3145" s="14">
        <f>A3145*Assumptions!$B$12</f>
        <v>31.37</v>
      </c>
      <c r="C3145" s="15">
        <f>IF(A3145&lt;=Assumptions!$B$13,IF(OR(A3145=0,A3145=Assumptions!$B$13),0.5,1),0)*Assumptions!$B$12</f>
        <v>0</v>
      </c>
      <c r="D3145" s="12">
        <f>D3144*(1-Assumptions!$B$12*(Assumptions!$B$5+Assumptions!$B$6))</f>
        <v>0.39014329149869903</v>
      </c>
      <c r="E3145" s="12">
        <f>E3144+Assumptions!$B$12*(D3144*Assumptions!$B$5-E3144*Assumptions!$B$7)</f>
        <v>0.18186752059569727</v>
      </c>
      <c r="F3145" s="12">
        <f t="shared" si="147"/>
        <v>0.42798918790560364</v>
      </c>
      <c r="G3145" s="12">
        <f>EXP(-Assumptions!$B$8*B3145)</f>
        <v>0.20835748429845541</v>
      </c>
      <c r="H3145" s="12">
        <f t="shared" si="148"/>
        <v>8.1289274732587888E-2</v>
      </c>
      <c r="I3145" s="12">
        <f t="shared" si="149"/>
        <v>3.7893459066917011E-2</v>
      </c>
      <c r="J3145" s="12">
        <f>G3145*(D3145*Assumptions!$B$6+E3145*Assumptions!$B$7)</f>
        <v>2.7075657006717297E-3</v>
      </c>
    </row>
    <row r="3146" spans="1:10" x14ac:dyDescent="0.2">
      <c r="A3146" s="2">
        <v>3138</v>
      </c>
      <c r="B3146" s="14">
        <f>A3146*Assumptions!$B$12</f>
        <v>31.38</v>
      </c>
      <c r="C3146" s="15">
        <f>IF(A3146&lt;=Assumptions!$B$13,IF(OR(A3146=0,A3146=Assumptions!$B$13),0.5,1),0)*Assumptions!$B$12</f>
        <v>0</v>
      </c>
      <c r="D3146" s="12">
        <f>D3145*(1-Assumptions!$B$12*(Assumptions!$B$5+Assumptions!$B$6))</f>
        <v>0.39002624851124945</v>
      </c>
      <c r="E3146" s="12">
        <f>E3145+Assumptions!$B$12*(D3145*Assumptions!$B$5-E3145*Assumptions!$B$7)</f>
        <v>0.18185461549369916</v>
      </c>
      <c r="F3146" s="12">
        <f t="shared" si="147"/>
        <v>0.42811913599505136</v>
      </c>
      <c r="G3146" s="12">
        <f>EXP(-Assumptions!$B$8*B3146)</f>
        <v>0.20825333159665155</v>
      </c>
      <c r="H3146" s="12">
        <f t="shared" si="148"/>
        <v>8.1224265662611247E-2</v>
      </c>
      <c r="I3146" s="12">
        <f t="shared" si="149"/>
        <v>3.7871829542790898E-2</v>
      </c>
      <c r="J3146" s="12">
        <f>G3146*(D3146*Assumptions!$B$6+E3146*Assumptions!$B$7)</f>
        <v>2.7058341337656577E-3</v>
      </c>
    </row>
    <row r="3147" spans="1:10" x14ac:dyDescent="0.2">
      <c r="A3147" s="2">
        <v>3139</v>
      </c>
      <c r="B3147" s="14">
        <f>A3147*Assumptions!$B$12</f>
        <v>31.39</v>
      </c>
      <c r="C3147" s="15">
        <f>IF(A3147&lt;=Assumptions!$B$13,IF(OR(A3147=0,A3147=Assumptions!$B$13),0.5,1),0)*Assumptions!$B$12</f>
        <v>0</v>
      </c>
      <c r="D3147" s="12">
        <f>D3146*(1-Assumptions!$B$12*(Assumptions!$B$5+Assumptions!$B$6))</f>
        <v>0.38990924063669608</v>
      </c>
      <c r="E3147" s="12">
        <f>E3146+Assumptions!$B$12*(D3146*Assumptions!$B$5-E3146*Assumptions!$B$7)</f>
        <v>0.18184169343565457</v>
      </c>
      <c r="F3147" s="12">
        <f t="shared" si="147"/>
        <v>0.42824906592764933</v>
      </c>
      <c r="G3147" s="12">
        <f>EXP(-Assumptions!$B$8*B3147)</f>
        <v>0.20814923095818155</v>
      </c>
      <c r="H3147" s="12">
        <f t="shared" si="148"/>
        <v>8.1159308582016837E-2</v>
      </c>
      <c r="I3147" s="12">
        <f t="shared" si="149"/>
        <v>3.7850208644764911E-2</v>
      </c>
      <c r="J3147" s="12">
        <f>G3147*(D3147*Assumptions!$B$6+E3147*Assumptions!$B$7)</f>
        <v>2.7041035180584141E-3</v>
      </c>
    </row>
    <row r="3148" spans="1:10" x14ac:dyDescent="0.2">
      <c r="A3148" s="2">
        <v>3140</v>
      </c>
      <c r="B3148" s="14">
        <f>A3148*Assumptions!$B$12</f>
        <v>31.400000000000002</v>
      </c>
      <c r="C3148" s="15">
        <f>IF(A3148&lt;=Assumptions!$B$13,IF(OR(A3148=0,A3148=Assumptions!$B$13),0.5,1),0)*Assumptions!$B$12</f>
        <v>0</v>
      </c>
      <c r="D3148" s="12">
        <f>D3147*(1-Assumptions!$B$12*(Assumptions!$B$5+Assumptions!$B$6))</f>
        <v>0.3897922678645051</v>
      </c>
      <c r="E3148" s="12">
        <f>E3147+Assumptions!$B$12*(D3147*Assumptions!$B$5-E3147*Assumptions!$B$7)</f>
        <v>0.18182875443706409</v>
      </c>
      <c r="F3148" s="12">
        <f t="shared" si="147"/>
        <v>0.42837897769843075</v>
      </c>
      <c r="G3148" s="12">
        <f>EXP(-Assumptions!$B$8*B3148)</f>
        <v>0.20804518235702041</v>
      </c>
      <c r="H3148" s="12">
        <f t="shared" si="148"/>
        <v>8.1094403449227512E-2</v>
      </c>
      <c r="I3148" s="12">
        <f t="shared" si="149"/>
        <v>3.7828596374608885E-2</v>
      </c>
      <c r="J3148" s="12">
        <f>G3148*(D3148*Assumptions!$B$6+E3148*Assumptions!$B$7)</f>
        <v>2.7023738532227196E-3</v>
      </c>
    </row>
    <row r="3149" spans="1:10" x14ac:dyDescent="0.2">
      <c r="A3149" s="2">
        <v>3141</v>
      </c>
      <c r="B3149" s="14">
        <f>A3149*Assumptions!$B$12</f>
        <v>31.41</v>
      </c>
      <c r="C3149" s="15">
        <f>IF(A3149&lt;=Assumptions!$B$13,IF(OR(A3149=0,A3149=Assumptions!$B$13),0.5,1),0)*Assumptions!$B$12</f>
        <v>0</v>
      </c>
      <c r="D3149" s="12">
        <f>D3148*(1-Assumptions!$B$12*(Assumptions!$B$5+Assumptions!$B$6))</f>
        <v>0.38967533018414574</v>
      </c>
      <c r="E3149" s="12">
        <f>E3148+Assumptions!$B$12*(D3148*Assumptions!$B$5-E3148*Assumptions!$B$7)</f>
        <v>0.18181579851341845</v>
      </c>
      <c r="F3149" s="12">
        <f t="shared" si="147"/>
        <v>0.42850887130243576</v>
      </c>
      <c r="G3149" s="12">
        <f>EXP(-Assumptions!$B$8*B3149)</f>
        <v>0.20794118576715601</v>
      </c>
      <c r="H3149" s="12">
        <f t="shared" si="148"/>
        <v>8.1029550222699309E-2</v>
      </c>
      <c r="I3149" s="12">
        <f t="shared" si="149"/>
        <v>3.7806992734082549E-2</v>
      </c>
      <c r="J3149" s="12">
        <f>G3149*(D3149*Assumptions!$B$6+E3149*Assumptions!$B$7)</f>
        <v>2.7006451389311207E-3</v>
      </c>
    </row>
    <row r="3150" spans="1:10" x14ac:dyDescent="0.2">
      <c r="A3150" s="2">
        <v>3142</v>
      </c>
      <c r="B3150" s="14">
        <f>A3150*Assumptions!$B$12</f>
        <v>31.42</v>
      </c>
      <c r="C3150" s="15">
        <f>IF(A3150&lt;=Assumptions!$B$13,IF(OR(A3150=0,A3150=Assumptions!$B$13),0.5,1),0)*Assumptions!$B$12</f>
        <v>0</v>
      </c>
      <c r="D3150" s="12">
        <f>D3149*(1-Assumptions!$B$12*(Assumptions!$B$5+Assumptions!$B$6))</f>
        <v>0.38955842758509052</v>
      </c>
      <c r="E3150" s="12">
        <f>E3149+Assumptions!$B$12*(D3149*Assumptions!$B$5-E3149*Assumptions!$B$7)</f>
        <v>0.18180282568019857</v>
      </c>
      <c r="F3150" s="12">
        <f t="shared" si="147"/>
        <v>0.42863874673471092</v>
      </c>
      <c r="G3150" s="12">
        <f>EXP(-Assumptions!$B$8*B3150)</f>
        <v>0.20783724116258906</v>
      </c>
      <c r="H3150" s="12">
        <f t="shared" si="148"/>
        <v>8.0964748860921448E-2</v>
      </c>
      <c r="I3150" s="12">
        <f t="shared" si="149"/>
        <v>3.7785397724935568E-2</v>
      </c>
      <c r="J3150" s="12">
        <f>G3150*(D3150*Assumptions!$B$6+E3150*Assumptions!$B$7)</f>
        <v>2.6989173748559929E-3</v>
      </c>
    </row>
    <row r="3151" spans="1:10" x14ac:dyDescent="0.2">
      <c r="A3151" s="2">
        <v>3143</v>
      </c>
      <c r="B3151" s="14">
        <f>A3151*Assumptions!$B$12</f>
        <v>31.43</v>
      </c>
      <c r="C3151" s="15">
        <f>IF(A3151&lt;=Assumptions!$B$13,IF(OR(A3151=0,A3151=Assumptions!$B$13),0.5,1),0)*Assumptions!$B$12</f>
        <v>0</v>
      </c>
      <c r="D3151" s="12">
        <f>D3150*(1-Assumptions!$B$12*(Assumptions!$B$5+Assumptions!$B$6))</f>
        <v>0.38944156005681502</v>
      </c>
      <c r="E3151" s="12">
        <f>E3150+Assumptions!$B$12*(D3150*Assumptions!$B$5-E3150*Assumptions!$B$7)</f>
        <v>0.18178983595287548</v>
      </c>
      <c r="F3151" s="12">
        <f t="shared" si="147"/>
        <v>0.42876860399030947</v>
      </c>
      <c r="G3151" s="12">
        <f>EXP(-Assumptions!$B$8*B3151)</f>
        <v>0.20773334851733352</v>
      </c>
      <c r="H3151" s="12">
        <f t="shared" si="148"/>
        <v>8.0899999322416427E-2</v>
      </c>
      <c r="I3151" s="12">
        <f t="shared" si="149"/>
        <v>3.7763811348907571E-2</v>
      </c>
      <c r="J3151" s="12">
        <f>G3151*(D3151*Assumptions!$B$6+E3151*Assumptions!$B$7)</f>
        <v>2.6971905606695428E-3</v>
      </c>
    </row>
    <row r="3152" spans="1:10" x14ac:dyDescent="0.2">
      <c r="A3152" s="2">
        <v>3144</v>
      </c>
      <c r="B3152" s="14">
        <f>A3152*Assumptions!$B$12</f>
        <v>31.44</v>
      </c>
      <c r="C3152" s="15">
        <f>IF(A3152&lt;=Assumptions!$B$13,IF(OR(A3152=0,A3152=Assumptions!$B$13),0.5,1),0)*Assumptions!$B$12</f>
        <v>0</v>
      </c>
      <c r="D3152" s="12">
        <f>D3151*(1-Assumptions!$B$12*(Assumptions!$B$5+Assumptions!$B$6))</f>
        <v>0.38932472758879799</v>
      </c>
      <c r="E3152" s="12">
        <f>E3151+Assumptions!$B$12*(D3151*Assumptions!$B$5-E3151*Assumptions!$B$7)</f>
        <v>0.18177682934691042</v>
      </c>
      <c r="F3152" s="12">
        <f t="shared" si="147"/>
        <v>0.42889844306429159</v>
      </c>
      <c r="G3152" s="12">
        <f>EXP(-Assumptions!$B$8*B3152)</f>
        <v>0.2076295078054162</v>
      </c>
      <c r="H3152" s="12">
        <f t="shared" si="148"/>
        <v>8.083530156573987E-2</v>
      </c>
      <c r="I3152" s="12">
        <f t="shared" si="149"/>
        <v>3.7742233607728146E-2</v>
      </c>
      <c r="J3152" s="12">
        <f>G3152*(D3152*Assumptions!$B$6+E3152*Assumptions!$B$7)</f>
        <v>2.6954646960438062E-3</v>
      </c>
    </row>
    <row r="3153" spans="1:10" x14ac:dyDescent="0.2">
      <c r="A3153" s="2">
        <v>3145</v>
      </c>
      <c r="B3153" s="14">
        <f>A3153*Assumptions!$B$12</f>
        <v>31.45</v>
      </c>
      <c r="C3153" s="15">
        <f>IF(A3153&lt;=Assumptions!$B$13,IF(OR(A3153=0,A3153=Assumptions!$B$13),0.5,1),0)*Assumptions!$B$12</f>
        <v>0</v>
      </c>
      <c r="D3153" s="12">
        <f>D3152*(1-Assumptions!$B$12*(Assumptions!$B$5+Assumptions!$B$6))</f>
        <v>0.38920793017052135</v>
      </c>
      <c r="E3153" s="12">
        <f>E3152+Assumptions!$B$12*(D3152*Assumptions!$B$5-E3152*Assumptions!$B$7)</f>
        <v>0.18176380587775473</v>
      </c>
      <c r="F3153" s="12">
        <f t="shared" si="147"/>
        <v>0.42902826395172389</v>
      </c>
      <c r="G3153" s="12">
        <f>EXP(-Assumptions!$B$8*B3153)</f>
        <v>0.20752571900087691</v>
      </c>
      <c r="H3153" s="12">
        <f t="shared" si="148"/>
        <v>8.0770655549480541E-2</v>
      </c>
      <c r="I3153" s="12">
        <f t="shared" si="149"/>
        <v>3.7720664503116869E-2</v>
      </c>
      <c r="J3153" s="12">
        <f>G3153*(D3153*Assumptions!$B$6+E3153*Assumptions!$B$7)</f>
        <v>2.6937397806506484E-3</v>
      </c>
    </row>
    <row r="3154" spans="1:10" x14ac:dyDescent="0.2">
      <c r="A3154" s="2">
        <v>3146</v>
      </c>
      <c r="B3154" s="14">
        <f>A3154*Assumptions!$B$12</f>
        <v>31.46</v>
      </c>
      <c r="C3154" s="15">
        <f>IF(A3154&lt;=Assumptions!$B$13,IF(OR(A3154=0,A3154=Assumptions!$B$13),0.5,1),0)*Assumptions!$B$12</f>
        <v>0</v>
      </c>
      <c r="D3154" s="12">
        <f>D3153*(1-Assumptions!$B$12*(Assumptions!$B$5+Assumptions!$B$6))</f>
        <v>0.38909116779147024</v>
      </c>
      <c r="E3154" s="12">
        <f>E3153+Assumptions!$B$12*(D3153*Assumptions!$B$5-E3153*Assumptions!$B$7)</f>
        <v>0.18175076556084996</v>
      </c>
      <c r="F3154" s="12">
        <f t="shared" si="147"/>
        <v>0.4291580666476798</v>
      </c>
      <c r="G3154" s="12">
        <f>EXP(-Assumptions!$B$8*B3154)</f>
        <v>0.20742198207776838</v>
      </c>
      <c r="H3154" s="12">
        <f t="shared" si="148"/>
        <v>8.0706061232260304E-2</v>
      </c>
      <c r="I3154" s="12">
        <f t="shared" si="149"/>
        <v>3.7699104036783303E-2</v>
      </c>
      <c r="J3154" s="12">
        <f>G3154*(D3154*Assumptions!$B$6+E3154*Assumptions!$B$7)</f>
        <v>2.6920158141617682E-3</v>
      </c>
    </row>
    <row r="3155" spans="1:10" x14ac:dyDescent="0.2">
      <c r="A3155" s="2">
        <v>3147</v>
      </c>
      <c r="B3155" s="14">
        <f>A3155*Assumptions!$B$12</f>
        <v>31.470000000000002</v>
      </c>
      <c r="C3155" s="15">
        <f>IF(A3155&lt;=Assumptions!$B$13,IF(OR(A3155=0,A3155=Assumptions!$B$13),0.5,1),0)*Assumptions!$B$12</f>
        <v>0</v>
      </c>
      <c r="D3155" s="12">
        <f>D3154*(1-Assumptions!$B$12*(Assumptions!$B$5+Assumptions!$B$6))</f>
        <v>0.38897444044113283</v>
      </c>
      <c r="E3155" s="12">
        <f>E3154+Assumptions!$B$12*(D3154*Assumptions!$B$5-E3154*Assumptions!$B$7)</f>
        <v>0.18173770841162784</v>
      </c>
      <c r="F3155" s="12">
        <f t="shared" si="147"/>
        <v>0.42928785114723933</v>
      </c>
      <c r="G3155" s="12">
        <f>EXP(-Assumptions!$B$8*B3155)</f>
        <v>0.20731829701015653</v>
      </c>
      <c r="H3155" s="12">
        <f t="shared" si="148"/>
        <v>8.0641518572734217E-2</v>
      </c>
      <c r="I3155" s="12">
        <f t="shared" si="149"/>
        <v>3.7677552210427082E-2</v>
      </c>
      <c r="J3155" s="12">
        <f>G3155*(D3155*Assumptions!$B$6+E3155*Assumptions!$B$7)</f>
        <v>2.6902927962486963E-3</v>
      </c>
    </row>
    <row r="3156" spans="1:10" x14ac:dyDescent="0.2">
      <c r="A3156" s="2">
        <v>3148</v>
      </c>
      <c r="B3156" s="14">
        <f>A3156*Assumptions!$B$12</f>
        <v>31.48</v>
      </c>
      <c r="C3156" s="15">
        <f>IF(A3156&lt;=Assumptions!$B$13,IF(OR(A3156=0,A3156=Assumptions!$B$13),0.5,1),0)*Assumptions!$B$12</f>
        <v>0</v>
      </c>
      <c r="D3156" s="12">
        <f>D3155*(1-Assumptions!$B$12*(Assumptions!$B$5+Assumptions!$B$6))</f>
        <v>0.38885774810900048</v>
      </c>
      <c r="E3156" s="12">
        <f>E3155+Assumptions!$B$12*(D3155*Assumptions!$B$5-E3155*Assumptions!$B$7)</f>
        <v>0.18172463444551026</v>
      </c>
      <c r="F3156" s="12">
        <f t="shared" si="147"/>
        <v>0.42941761744548923</v>
      </c>
      <c r="G3156" s="12">
        <f>EXP(-Assumptions!$B$8*B3156)</f>
        <v>0.20721466377212</v>
      </c>
      <c r="H3156" s="12">
        <f t="shared" si="148"/>
        <v>8.057702752959027E-2</v>
      </c>
      <c r="I3156" s="12">
        <f t="shared" si="149"/>
        <v>3.7656009025737826E-2</v>
      </c>
      <c r="J3156" s="12">
        <f>G3156*(D3156*Assumptions!$B$6+E3156*Assumptions!$B$7)</f>
        <v>2.6885707265827943E-3</v>
      </c>
    </row>
    <row r="3157" spans="1:10" x14ac:dyDescent="0.2">
      <c r="A3157" s="2">
        <v>3149</v>
      </c>
      <c r="B3157" s="14">
        <f>A3157*Assumptions!$B$12</f>
        <v>31.490000000000002</v>
      </c>
      <c r="C3157" s="15">
        <f>IF(A3157&lt;=Assumptions!$B$13,IF(OR(A3157=0,A3157=Assumptions!$B$13),0.5,1),0)*Assumptions!$B$12</f>
        <v>0</v>
      </c>
      <c r="D3157" s="12">
        <f>D3156*(1-Assumptions!$B$12*(Assumptions!$B$5+Assumptions!$B$6))</f>
        <v>0.38874109078456781</v>
      </c>
      <c r="E3157" s="12">
        <f>E3156+Assumptions!$B$12*(D3156*Assumptions!$B$5-E3156*Assumptions!$B$7)</f>
        <v>0.18171154367790932</v>
      </c>
      <c r="F3157" s="12">
        <f t="shared" si="147"/>
        <v>0.42954736553752282</v>
      </c>
      <c r="G3157" s="12">
        <f>EXP(-Assumptions!$B$8*B3157)</f>
        <v>0.20711108233775044</v>
      </c>
      <c r="H3157" s="12">
        <f t="shared" si="148"/>
        <v>8.0512588061549539E-2</v>
      </c>
      <c r="I3157" s="12">
        <f t="shared" si="149"/>
        <v>3.7634474484395213E-2</v>
      </c>
      <c r="J3157" s="12">
        <f>G3157*(D3157*Assumptions!$B$6+E3157*Assumptions!$B$7)</f>
        <v>2.6868496048352559E-3</v>
      </c>
    </row>
    <row r="3158" spans="1:10" x14ac:dyDescent="0.2">
      <c r="A3158" s="2">
        <v>3150</v>
      </c>
      <c r="B3158" s="14">
        <f>A3158*Assumptions!$B$12</f>
        <v>31.5</v>
      </c>
      <c r="C3158" s="15">
        <f>IF(A3158&lt;=Assumptions!$B$13,IF(OR(A3158=0,A3158=Assumptions!$B$13),0.5,1),0)*Assumptions!$B$12</f>
        <v>0</v>
      </c>
      <c r="D3158" s="12">
        <f>D3157*(1-Assumptions!$B$12*(Assumptions!$B$5+Assumptions!$B$6))</f>
        <v>0.38862446845733245</v>
      </c>
      <c r="E3158" s="12">
        <f>E3157+Assumptions!$B$12*(D3157*Assumptions!$B$5-E3157*Assumptions!$B$7)</f>
        <v>0.18169843612422729</v>
      </c>
      <c r="F3158" s="12">
        <f t="shared" si="147"/>
        <v>0.42967709541844024</v>
      </c>
      <c r="G3158" s="12">
        <f>EXP(-Assumptions!$B$8*B3158)</f>
        <v>0.20700755268115259</v>
      </c>
      <c r="H3158" s="12">
        <f t="shared" si="148"/>
        <v>8.0448200127366171E-2</v>
      </c>
      <c r="I3158" s="12">
        <f t="shared" si="149"/>
        <v>3.7612948588069017E-2</v>
      </c>
      <c r="J3158" s="12">
        <f>G3158*(D3158*Assumptions!$B$6+E3158*Assumptions!$B$7)</f>
        <v>2.685129430677113E-3</v>
      </c>
    </row>
    <row r="3159" spans="1:10" x14ac:dyDescent="0.2">
      <c r="A3159" s="2">
        <v>3151</v>
      </c>
      <c r="B3159" s="14">
        <f>A3159*Assumptions!$B$12</f>
        <v>31.51</v>
      </c>
      <c r="C3159" s="15">
        <f>IF(A3159&lt;=Assumptions!$B$13,IF(OR(A3159=0,A3159=Assumptions!$B$13),0.5,1),0)*Assumptions!$B$12</f>
        <v>0</v>
      </c>
      <c r="D3159" s="12">
        <f>D3158*(1-Assumptions!$B$12*(Assumptions!$B$5+Assumptions!$B$6))</f>
        <v>0.38850788111679524</v>
      </c>
      <c r="E3159" s="12">
        <f>E3158+Assumptions!$B$12*(D3158*Assumptions!$B$5-E3158*Assumptions!$B$7)</f>
        <v>0.18168531179985664</v>
      </c>
      <c r="F3159" s="12">
        <f t="shared" si="147"/>
        <v>0.42980680708334812</v>
      </c>
      <c r="G3159" s="12">
        <f>EXP(-Assumptions!$B$8*B3159)</f>
        <v>0.20690407477644399</v>
      </c>
      <c r="H3159" s="12">
        <f t="shared" si="148"/>
        <v>8.0383863685827214E-2</v>
      </c>
      <c r="I3159" s="12">
        <f t="shared" si="149"/>
        <v>3.7591431338419079E-2</v>
      </c>
      <c r="J3159" s="12">
        <f>G3159*(D3159*Assumptions!$B$6+E3159*Assumptions!$B$7)</f>
        <v>2.6834102037792259E-3</v>
      </c>
    </row>
    <row r="3160" spans="1:10" x14ac:dyDescent="0.2">
      <c r="A3160" s="2">
        <v>3152</v>
      </c>
      <c r="B3160" s="14">
        <f>A3160*Assumptions!$B$12</f>
        <v>31.52</v>
      </c>
      <c r="C3160" s="15">
        <f>IF(A3160&lt;=Assumptions!$B$13,IF(OR(A3160=0,A3160=Assumptions!$B$13),0.5,1),0)*Assumptions!$B$12</f>
        <v>0</v>
      </c>
      <c r="D3160" s="12">
        <f>D3159*(1-Assumptions!$B$12*(Assumptions!$B$5+Assumptions!$B$6))</f>
        <v>0.38839132875246024</v>
      </c>
      <c r="E3160" s="12">
        <f>E3159+Assumptions!$B$12*(D3159*Assumptions!$B$5-E3159*Assumptions!$B$7)</f>
        <v>0.18167217072018008</v>
      </c>
      <c r="F3160" s="12">
        <f t="shared" si="147"/>
        <v>0.42993650052735966</v>
      </c>
      <c r="G3160" s="12">
        <f>EXP(-Assumptions!$B$8*B3160)</f>
        <v>0.20680064859775515</v>
      </c>
      <c r="H3160" s="12">
        <f t="shared" si="148"/>
        <v>8.0319578695752722E-2</v>
      </c>
      <c r="I3160" s="12">
        <f t="shared" si="149"/>
        <v>3.7569922737095342E-2</v>
      </c>
      <c r="J3160" s="12">
        <f>G3160*(D3160*Assumptions!$B$6+E3160*Assumptions!$B$7)</f>
        <v>2.6816919238122944E-3</v>
      </c>
    </row>
    <row r="3161" spans="1:10" x14ac:dyDescent="0.2">
      <c r="A3161" s="2">
        <v>3153</v>
      </c>
      <c r="B3161" s="14">
        <f>A3161*Assumptions!$B$12</f>
        <v>31.53</v>
      </c>
      <c r="C3161" s="15">
        <f>IF(A3161&lt;=Assumptions!$B$13,IF(OR(A3161=0,A3161=Assumptions!$B$13),0.5,1),0)*Assumptions!$B$12</f>
        <v>0</v>
      </c>
      <c r="D3161" s="12">
        <f>D3160*(1-Assumptions!$B$12*(Assumptions!$B$5+Assumptions!$B$6))</f>
        <v>0.38827481135383451</v>
      </c>
      <c r="E3161" s="12">
        <f>E3160+Assumptions!$B$12*(D3160*Assumptions!$B$5-E3160*Assumptions!$B$7)</f>
        <v>0.18165901290057049</v>
      </c>
      <c r="F3161" s="12">
        <f t="shared" si="147"/>
        <v>0.43006617574559491</v>
      </c>
      <c r="G3161" s="12">
        <f>EXP(-Assumptions!$B$8*B3161)</f>
        <v>0.20669727411922953</v>
      </c>
      <c r="H3161" s="12">
        <f t="shared" si="148"/>
        <v>8.0255345115995663E-2</v>
      </c>
      <c r="I3161" s="12">
        <f t="shared" si="149"/>
        <v>3.7548422785737869E-2</v>
      </c>
      <c r="J3161" s="12">
        <f>G3161*(D3161*Assumptions!$B$6+E3161*Assumptions!$B$7)</f>
        <v>2.6799745904468506E-3</v>
      </c>
    </row>
    <row r="3162" spans="1:10" x14ac:dyDescent="0.2">
      <c r="A3162" s="2">
        <v>3154</v>
      </c>
      <c r="B3162" s="14">
        <f>A3162*Assumptions!$B$12</f>
        <v>31.54</v>
      </c>
      <c r="C3162" s="15">
        <f>IF(A3162&lt;=Assumptions!$B$13,IF(OR(A3162=0,A3162=Assumptions!$B$13),0.5,1),0)*Assumptions!$B$12</f>
        <v>0</v>
      </c>
      <c r="D3162" s="12">
        <f>D3161*(1-Assumptions!$B$12*(Assumptions!$B$5+Assumptions!$B$6))</f>
        <v>0.3881583289104284</v>
      </c>
      <c r="E3162" s="12">
        <f>E3161+Assumptions!$B$12*(D3161*Assumptions!$B$5-E3161*Assumptions!$B$7)</f>
        <v>0.18164583835639098</v>
      </c>
      <c r="F3162" s="12">
        <f t="shared" si="147"/>
        <v>0.43019583273318057</v>
      </c>
      <c r="G3162" s="12">
        <f>EXP(-Assumptions!$B$8*B3162)</f>
        <v>0.20659395131502356</v>
      </c>
      <c r="H3162" s="12">
        <f t="shared" si="148"/>
        <v>8.019116290544194E-2</v>
      </c>
      <c r="I3162" s="12">
        <f t="shared" si="149"/>
        <v>3.7526931485976876E-2</v>
      </c>
      <c r="J3162" s="12">
        <f>G3162*(D3162*Assumptions!$B$6+E3162*Assumptions!$B$7)</f>
        <v>2.6782582033532632E-3</v>
      </c>
    </row>
    <row r="3163" spans="1:10" x14ac:dyDescent="0.2">
      <c r="A3163" s="2">
        <v>3155</v>
      </c>
      <c r="B3163" s="14">
        <f>A3163*Assumptions!$B$12</f>
        <v>31.55</v>
      </c>
      <c r="C3163" s="15">
        <f>IF(A3163&lt;=Assumptions!$B$13,IF(OR(A3163=0,A3163=Assumptions!$B$13),0.5,1),0)*Assumptions!$B$12</f>
        <v>0</v>
      </c>
      <c r="D3163" s="12">
        <f>D3162*(1-Assumptions!$B$12*(Assumptions!$B$5+Assumptions!$B$6))</f>
        <v>0.38804188141175527</v>
      </c>
      <c r="E3163" s="12">
        <f>E3162+Assumptions!$B$12*(D3162*Assumptions!$B$5-E3162*Assumptions!$B$7)</f>
        <v>0.18163264710299487</v>
      </c>
      <c r="F3163" s="12">
        <f t="shared" si="147"/>
        <v>0.43032547148524991</v>
      </c>
      <c r="G3163" s="12">
        <f>EXP(-Assumptions!$B$8*B3163)</f>
        <v>0.20649068015930644</v>
      </c>
      <c r="H3163" s="12">
        <f t="shared" si="148"/>
        <v>8.0127032023010275E-2</v>
      </c>
      <c r="I3163" s="12">
        <f t="shared" si="149"/>
        <v>3.7505448839432694E-2</v>
      </c>
      <c r="J3163" s="12">
        <f>G3163*(D3163*Assumptions!$B$6+E3163*Assumptions!$B$7)</f>
        <v>2.6765427622017376E-3</v>
      </c>
    </row>
    <row r="3164" spans="1:10" x14ac:dyDescent="0.2">
      <c r="A3164" s="2">
        <v>3156</v>
      </c>
      <c r="B3164" s="14">
        <f>A3164*Assumptions!$B$12</f>
        <v>31.560000000000002</v>
      </c>
      <c r="C3164" s="15">
        <f>IF(A3164&lt;=Assumptions!$B$13,IF(OR(A3164=0,A3164=Assumptions!$B$13),0.5,1),0)*Assumptions!$B$12</f>
        <v>0</v>
      </c>
      <c r="D3164" s="12">
        <f>D3163*(1-Assumptions!$B$12*(Assumptions!$B$5+Assumptions!$B$6))</f>
        <v>0.38792546884733176</v>
      </c>
      <c r="E3164" s="12">
        <f>E3163+Assumptions!$B$12*(D3163*Assumptions!$B$5-E3163*Assumptions!$B$7)</f>
        <v>0.18161943915572573</v>
      </c>
      <c r="F3164" s="12">
        <f t="shared" si="147"/>
        <v>0.43045509199694254</v>
      </c>
      <c r="G3164" s="12">
        <f>EXP(-Assumptions!$B$8*B3164)</f>
        <v>0.20638746062626043</v>
      </c>
      <c r="H3164" s="12">
        <f t="shared" si="148"/>
        <v>8.0062952427652295E-2</v>
      </c>
      <c r="I3164" s="12">
        <f t="shared" si="149"/>
        <v>3.7483974847715845E-2</v>
      </c>
      <c r="J3164" s="12">
        <f>G3164*(D3164*Assumptions!$B$6+E3164*Assumptions!$B$7)</f>
        <v>2.6748282666623152E-3</v>
      </c>
    </row>
    <row r="3165" spans="1:10" x14ac:dyDescent="0.2">
      <c r="A3165" s="2">
        <v>3157</v>
      </c>
      <c r="B3165" s="14">
        <f>A3165*Assumptions!$B$12</f>
        <v>31.57</v>
      </c>
      <c r="C3165" s="15">
        <f>IF(A3165&lt;=Assumptions!$B$13,IF(OR(A3165=0,A3165=Assumptions!$B$13),0.5,1),0)*Assumptions!$B$12</f>
        <v>0</v>
      </c>
      <c r="D3165" s="12">
        <f>D3164*(1-Assumptions!$B$12*(Assumptions!$B$5+Assumptions!$B$6))</f>
        <v>0.38780909120667756</v>
      </c>
      <c r="E3165" s="12">
        <f>E3164+Assumptions!$B$12*(D3164*Assumptions!$B$5-E3164*Assumptions!$B$7)</f>
        <v>0.18160621452991735</v>
      </c>
      <c r="F3165" s="12">
        <f t="shared" si="147"/>
        <v>0.43058469426340507</v>
      </c>
      <c r="G3165" s="12">
        <f>EXP(-Assumptions!$B$8*B3165)</f>
        <v>0.20628429269008072</v>
      </c>
      <c r="H3165" s="12">
        <f t="shared" si="148"/>
        <v>7.999892407835249E-2</v>
      </c>
      <c r="I3165" s="12">
        <f t="shared" si="149"/>
        <v>3.7462509512427064E-2</v>
      </c>
      <c r="J3165" s="12">
        <f>G3165*(D3165*Assumptions!$B$6+E3165*Assumptions!$B$7)</f>
        <v>2.673114716404878E-3</v>
      </c>
    </row>
    <row r="3166" spans="1:10" x14ac:dyDescent="0.2">
      <c r="A3166" s="2">
        <v>3158</v>
      </c>
      <c r="B3166" s="14">
        <f>A3166*Assumptions!$B$12</f>
        <v>31.580000000000002</v>
      </c>
      <c r="C3166" s="15">
        <f>IF(A3166&lt;=Assumptions!$B$13,IF(OR(A3166=0,A3166=Assumptions!$B$13),0.5,1),0)*Assumptions!$B$12</f>
        <v>0</v>
      </c>
      <c r="D3166" s="12">
        <f>D3165*(1-Assumptions!$B$12*(Assumptions!$B$5+Assumptions!$B$6))</f>
        <v>0.38769274847931556</v>
      </c>
      <c r="E3166" s="12">
        <f>E3165+Assumptions!$B$12*(D3165*Assumptions!$B$5-E3165*Assumptions!$B$7)</f>
        <v>0.18159297324089371</v>
      </c>
      <c r="F3166" s="12">
        <f t="shared" si="147"/>
        <v>0.4307142782797907</v>
      </c>
      <c r="G3166" s="12">
        <f>EXP(-Assumptions!$B$8*B3166)</f>
        <v>0.20618117632497518</v>
      </c>
      <c r="H3166" s="12">
        <f t="shared" si="148"/>
        <v>7.9934946934128018E-2</v>
      </c>
      <c r="I3166" s="12">
        <f t="shared" si="149"/>
        <v>3.7441052835157203E-2</v>
      </c>
      <c r="J3166" s="12">
        <f>G3166*(D3166*Assumptions!$B$6+E3166*Assumptions!$B$7)</f>
        <v>2.6714021110991405E-3</v>
      </c>
    </row>
    <row r="3167" spans="1:10" x14ac:dyDescent="0.2">
      <c r="A3167" s="2">
        <v>3159</v>
      </c>
      <c r="B3167" s="14">
        <f>A3167*Assumptions!$B$12</f>
        <v>31.59</v>
      </c>
      <c r="C3167" s="15">
        <f>IF(A3167&lt;=Assumptions!$B$13,IF(OR(A3167=0,A3167=Assumptions!$B$13),0.5,1),0)*Assumptions!$B$12</f>
        <v>0</v>
      </c>
      <c r="D3167" s="12">
        <f>D3166*(1-Assumptions!$B$12*(Assumptions!$B$5+Assumptions!$B$6))</f>
        <v>0.38757644065477176</v>
      </c>
      <c r="E3167" s="12">
        <f>E3166+Assumptions!$B$12*(D3166*Assumptions!$B$5-E3166*Assumptions!$B$7)</f>
        <v>0.18157971530396913</v>
      </c>
      <c r="F3167" s="12">
        <f t="shared" si="147"/>
        <v>0.43084384404125919</v>
      </c>
      <c r="G3167" s="12">
        <f>EXP(-Assumptions!$B$8*B3167)</f>
        <v>0.20607811150516483</v>
      </c>
      <c r="H3167" s="12">
        <f t="shared" si="148"/>
        <v>7.9871020954028954E-2</v>
      </c>
      <c r="I3167" s="12">
        <f t="shared" si="149"/>
        <v>3.7419604817487434E-2</v>
      </c>
      <c r="J3167" s="12">
        <f>G3167*(D3167*Assumptions!$B$6+E3167*Assumptions!$B$7)</f>
        <v>2.6696904504146615E-3</v>
      </c>
    </row>
    <row r="3168" spans="1:10" x14ac:dyDescent="0.2">
      <c r="A3168" s="2">
        <v>3160</v>
      </c>
      <c r="B3168" s="14">
        <f>A3168*Assumptions!$B$12</f>
        <v>31.6</v>
      </c>
      <c r="C3168" s="15">
        <f>IF(A3168&lt;=Assumptions!$B$13,IF(OR(A3168=0,A3168=Assumptions!$B$13),0.5,1),0)*Assumptions!$B$12</f>
        <v>0</v>
      </c>
      <c r="D3168" s="12">
        <f>D3167*(1-Assumptions!$B$12*(Assumptions!$B$5+Assumptions!$B$6))</f>
        <v>0.38746016772257535</v>
      </c>
      <c r="E3168" s="12">
        <f>E3167+Assumptions!$B$12*(D3167*Assumptions!$B$5-E3167*Assumptions!$B$7)</f>
        <v>0.18156644073444811</v>
      </c>
      <c r="F3168" s="12">
        <f t="shared" si="147"/>
        <v>0.43097339154297659</v>
      </c>
      <c r="G3168" s="12">
        <f>EXP(-Assumptions!$B$8*B3168)</f>
        <v>0.20597509820488344</v>
      </c>
      <c r="H3168" s="12">
        <f t="shared" si="148"/>
        <v>7.9807146097138071E-2</v>
      </c>
      <c r="I3168" s="12">
        <f t="shared" si="149"/>
        <v>3.7398165460989098E-2</v>
      </c>
      <c r="J3168" s="12">
        <f>G3168*(D3168*Assumptions!$B$6+E3168*Assumptions!$B$7)</f>
        <v>2.6679797340208354E-3</v>
      </c>
    </row>
    <row r="3169" spans="1:10" x14ac:dyDescent="0.2">
      <c r="A3169" s="2">
        <v>3161</v>
      </c>
      <c r="B3169" s="14">
        <f>A3169*Assumptions!$B$12</f>
        <v>31.61</v>
      </c>
      <c r="C3169" s="15">
        <f>IF(A3169&lt;=Assumptions!$B$13,IF(OR(A3169=0,A3169=Assumptions!$B$13),0.5,1),0)*Assumptions!$B$12</f>
        <v>0</v>
      </c>
      <c r="D3169" s="12">
        <f>D3168*(1-Assumptions!$B$12*(Assumptions!$B$5+Assumptions!$B$6))</f>
        <v>0.38734392967225861</v>
      </c>
      <c r="E3169" s="12">
        <f>E3168+Assumptions!$B$12*(D3168*Assumptions!$B$5-E3168*Assumptions!$B$7)</f>
        <v>0.18155314954762539</v>
      </c>
      <c r="F3169" s="12">
        <f t="shared" si="147"/>
        <v>0.43110292078011603</v>
      </c>
      <c r="G3169" s="12">
        <f>EXP(-Assumptions!$B$8*B3169)</f>
        <v>0.20587213639837768</v>
      </c>
      <c r="H3169" s="12">
        <f t="shared" si="148"/>
        <v>7.9743322322570837E-2</v>
      </c>
      <c r="I3169" s="12">
        <f t="shared" si="149"/>
        <v>3.7376734767223793E-2</v>
      </c>
      <c r="J3169" s="12">
        <f>G3169*(D3169*Assumptions!$B$6+E3169*Assumptions!$B$7)</f>
        <v>2.666269961586898E-3</v>
      </c>
    </row>
    <row r="3170" spans="1:10" x14ac:dyDescent="0.2">
      <c r="A3170" s="2">
        <v>3162</v>
      </c>
      <c r="B3170" s="14">
        <f>A3170*Assumptions!$B$12</f>
        <v>31.62</v>
      </c>
      <c r="C3170" s="15">
        <f>IF(A3170&lt;=Assumptions!$B$13,IF(OR(A3170=0,A3170=Assumptions!$B$13),0.5,1),0)*Assumptions!$B$12</f>
        <v>0</v>
      </c>
      <c r="D3170" s="12">
        <f>D3169*(1-Assumptions!$B$12*(Assumptions!$B$5+Assumptions!$B$6))</f>
        <v>0.38722772649335696</v>
      </c>
      <c r="E3170" s="12">
        <f>E3169+Assumptions!$B$12*(D3169*Assumptions!$B$5-E3169*Assumptions!$B$7)</f>
        <v>0.18153984175878601</v>
      </c>
      <c r="F3170" s="12">
        <f t="shared" si="147"/>
        <v>0.43123243174785697</v>
      </c>
      <c r="G3170" s="12">
        <f>EXP(-Assumptions!$B$8*B3170)</f>
        <v>0.20576922605990705</v>
      </c>
      <c r="H3170" s="12">
        <f t="shared" si="148"/>
        <v>7.9679549589475429E-2</v>
      </c>
      <c r="I3170" s="12">
        <f t="shared" si="149"/>
        <v>3.7355312737743396E-2</v>
      </c>
      <c r="J3170" s="12">
        <f>G3170*(D3170*Assumptions!$B$6+E3170*Assumptions!$B$7)</f>
        <v>2.6645611327819241E-3</v>
      </c>
    </row>
    <row r="3171" spans="1:10" x14ac:dyDescent="0.2">
      <c r="A3171" s="2">
        <v>3163</v>
      </c>
      <c r="B3171" s="14">
        <f>A3171*Assumptions!$B$12</f>
        <v>31.63</v>
      </c>
      <c r="C3171" s="15">
        <f>IF(A3171&lt;=Assumptions!$B$13,IF(OR(A3171=0,A3171=Assumptions!$B$13),0.5,1),0)*Assumptions!$B$12</f>
        <v>0</v>
      </c>
      <c r="D3171" s="12">
        <f>D3170*(1-Assumptions!$B$12*(Assumptions!$B$5+Assumptions!$B$6))</f>
        <v>0.38711155817540899</v>
      </c>
      <c r="E3171" s="12">
        <f>E3170+Assumptions!$B$12*(D3170*Assumptions!$B$5-E3170*Assumptions!$B$7)</f>
        <v>0.1815265173832053</v>
      </c>
      <c r="F3171" s="12">
        <f t="shared" si="147"/>
        <v>0.43136192444138571</v>
      </c>
      <c r="G3171" s="12">
        <f>EXP(-Assumptions!$B$8*B3171)</f>
        <v>0.20566636716374403</v>
      </c>
      <c r="H3171" s="12">
        <f t="shared" si="148"/>
        <v>7.9615827857032723E-2</v>
      </c>
      <c r="I3171" s="12">
        <f t="shared" si="149"/>
        <v>3.7333899374090068E-2</v>
      </c>
      <c r="J3171" s="12">
        <f>G3171*(D3171*Assumptions!$B$6+E3171*Assumptions!$B$7)</f>
        <v>2.6628532472748306E-3</v>
      </c>
    </row>
    <row r="3172" spans="1:10" x14ac:dyDescent="0.2">
      <c r="A3172" s="2">
        <v>3164</v>
      </c>
      <c r="B3172" s="14">
        <f>A3172*Assumptions!$B$12</f>
        <v>31.64</v>
      </c>
      <c r="C3172" s="15">
        <f>IF(A3172&lt;=Assumptions!$B$13,IF(OR(A3172=0,A3172=Assumptions!$B$13),0.5,1),0)*Assumptions!$B$12</f>
        <v>0</v>
      </c>
      <c r="D3172" s="12">
        <f>D3171*(1-Assumptions!$B$12*(Assumptions!$B$5+Assumptions!$B$6))</f>
        <v>0.38699542470795639</v>
      </c>
      <c r="E3172" s="12">
        <f>E3171+Assumptions!$B$12*(D3171*Assumptions!$B$5-E3171*Assumptions!$B$7)</f>
        <v>0.18151317643614878</v>
      </c>
      <c r="F3172" s="12">
        <f t="shared" si="147"/>
        <v>0.43149139885589488</v>
      </c>
      <c r="G3172" s="12">
        <f>EXP(-Assumptions!$B$8*B3172)</f>
        <v>0.20556355968417389</v>
      </c>
      <c r="H3172" s="12">
        <f t="shared" si="148"/>
        <v>7.9552157084456218E-2</v>
      </c>
      <c r="I3172" s="12">
        <f t="shared" si="149"/>
        <v>3.7312494677796258E-2</v>
      </c>
      <c r="J3172" s="12">
        <f>G3172*(D3172*Assumptions!$B$6+E3172*Assumptions!$B$7)</f>
        <v>2.661146304734375E-3</v>
      </c>
    </row>
    <row r="3173" spans="1:10" x14ac:dyDescent="0.2">
      <c r="A3173" s="2">
        <v>3165</v>
      </c>
      <c r="B3173" s="14">
        <f>A3173*Assumptions!$B$12</f>
        <v>31.650000000000002</v>
      </c>
      <c r="C3173" s="15">
        <f>IF(A3173&lt;=Assumptions!$B$13,IF(OR(A3173=0,A3173=Assumptions!$B$13),0.5,1),0)*Assumptions!$B$12</f>
        <v>0</v>
      </c>
      <c r="D3173" s="12">
        <f>D3172*(1-Assumptions!$B$12*(Assumptions!$B$5+Assumptions!$B$6))</f>
        <v>0.38687932608054404</v>
      </c>
      <c r="E3173" s="12">
        <f>E3172+Assumptions!$B$12*(D3172*Assumptions!$B$5-E3172*Assumptions!$B$7)</f>
        <v>0.18149981893287229</v>
      </c>
      <c r="F3173" s="12">
        <f t="shared" si="147"/>
        <v>0.43162085498658365</v>
      </c>
      <c r="G3173" s="12">
        <f>EXP(-Assumptions!$B$8*B3173)</f>
        <v>0.20546080359549468</v>
      </c>
      <c r="H3173" s="12">
        <f t="shared" si="148"/>
        <v>7.9488537230992001E-2</v>
      </c>
      <c r="I3173" s="12">
        <f t="shared" si="149"/>
        <v>3.729109865038472E-2</v>
      </c>
      <c r="J3173" s="12">
        <f>G3173*(D3173*Assumptions!$B$6+E3173*Assumptions!$B$7)</f>
        <v>2.6594403048291557E-3</v>
      </c>
    </row>
    <row r="3174" spans="1:10" x14ac:dyDescent="0.2">
      <c r="A3174" s="2">
        <v>3166</v>
      </c>
      <c r="B3174" s="14">
        <f>A3174*Assumptions!$B$12</f>
        <v>31.66</v>
      </c>
      <c r="C3174" s="15">
        <f>IF(A3174&lt;=Assumptions!$B$13,IF(OR(A3174=0,A3174=Assumptions!$B$13),0.5,1),0)*Assumptions!$B$12</f>
        <v>0</v>
      </c>
      <c r="D3174" s="12">
        <f>D3173*(1-Assumptions!$B$12*(Assumptions!$B$5+Assumptions!$B$6))</f>
        <v>0.3867632622827199</v>
      </c>
      <c r="E3174" s="12">
        <f>E3173+Assumptions!$B$12*(D3173*Assumptions!$B$5-E3173*Assumptions!$B$7)</f>
        <v>0.18148644488862195</v>
      </c>
      <c r="F3174" s="12">
        <f t="shared" si="147"/>
        <v>0.43175029282865807</v>
      </c>
      <c r="G3174" s="12">
        <f>EXP(-Assumptions!$B$8*B3174)</f>
        <v>0.2053580988720175</v>
      </c>
      <c r="H3174" s="12">
        <f t="shared" si="148"/>
        <v>7.9424968255918826E-2</v>
      </c>
      <c r="I3174" s="12">
        <f t="shared" si="149"/>
        <v>3.7269711293368583E-2</v>
      </c>
      <c r="J3174" s="12">
        <f>G3174*(D3174*Assumptions!$B$6+E3174*Assumptions!$B$7)</f>
        <v>2.6577352472276173E-3</v>
      </c>
    </row>
    <row r="3175" spans="1:10" x14ac:dyDescent="0.2">
      <c r="A3175" s="2">
        <v>3167</v>
      </c>
      <c r="B3175" s="14">
        <f>A3175*Assumptions!$B$12</f>
        <v>31.67</v>
      </c>
      <c r="C3175" s="15">
        <f>IF(A3175&lt;=Assumptions!$B$13,IF(OR(A3175=0,A3175=Assumptions!$B$13),0.5,1),0)*Assumptions!$B$12</f>
        <v>0</v>
      </c>
      <c r="D3175" s="12">
        <f>D3174*(1-Assumptions!$B$12*(Assumptions!$B$5+Assumptions!$B$6))</f>
        <v>0.38664723330403511</v>
      </c>
      <c r="E3175" s="12">
        <f>E3174+Assumptions!$B$12*(D3174*Assumptions!$B$5-E3174*Assumptions!$B$7)</f>
        <v>0.1814730543186342</v>
      </c>
      <c r="F3175" s="12">
        <f t="shared" si="147"/>
        <v>0.43187971237733064</v>
      </c>
      <c r="G3175" s="12">
        <f>EXP(-Assumptions!$B$8*B3175)</f>
        <v>0.2052554454880661</v>
      </c>
      <c r="H3175" s="12">
        <f t="shared" si="148"/>
        <v>7.9361450118547949E-2</v>
      </c>
      <c r="I3175" s="12">
        <f t="shared" si="149"/>
        <v>3.7248332608251278E-2</v>
      </c>
      <c r="J3175" s="12">
        <f>G3175*(D3175*Assumptions!$B$6+E3175*Assumptions!$B$7)</f>
        <v>2.6560311315980433E-3</v>
      </c>
    </row>
    <row r="3176" spans="1:10" x14ac:dyDescent="0.2">
      <c r="A3176" s="2">
        <v>3168</v>
      </c>
      <c r="B3176" s="14">
        <f>A3176*Assumptions!$B$12</f>
        <v>31.68</v>
      </c>
      <c r="C3176" s="15">
        <f>IF(A3176&lt;=Assumptions!$B$13,IF(OR(A3176=0,A3176=Assumptions!$B$13),0.5,1),0)*Assumptions!$B$12</f>
        <v>0</v>
      </c>
      <c r="D3176" s="12">
        <f>D3175*(1-Assumptions!$B$12*(Assumptions!$B$5+Assumptions!$B$6))</f>
        <v>0.38653123913404391</v>
      </c>
      <c r="E3176" s="12">
        <f>E3175+Assumptions!$B$12*(D3175*Assumptions!$B$5-E3175*Assumptions!$B$7)</f>
        <v>0.18145964723813568</v>
      </c>
      <c r="F3176" s="12">
        <f t="shared" si="147"/>
        <v>0.43200911362782046</v>
      </c>
      <c r="G3176" s="12">
        <f>EXP(-Assumptions!$B$8*B3176)</f>
        <v>0.20515284341797715</v>
      </c>
      <c r="H3176" s="12">
        <f t="shared" si="148"/>
        <v>7.9297982778223197E-2</v>
      </c>
      <c r="I3176" s="12">
        <f t="shared" si="149"/>
        <v>3.7226962596526622E-2</v>
      </c>
      <c r="J3176" s="12">
        <f>G3176*(D3176*Assumptions!$B$6+E3176*Assumptions!$B$7)</f>
        <v>2.6543279576085634E-3</v>
      </c>
    </row>
    <row r="3177" spans="1:10" x14ac:dyDescent="0.2">
      <c r="A3177" s="2">
        <v>3169</v>
      </c>
      <c r="B3177" s="14">
        <f>A3177*Assumptions!$B$12</f>
        <v>31.69</v>
      </c>
      <c r="C3177" s="15">
        <f>IF(A3177&lt;=Assumptions!$B$13,IF(OR(A3177=0,A3177=Assumptions!$B$13),0.5,1),0)*Assumptions!$B$12</f>
        <v>0</v>
      </c>
      <c r="D3177" s="12">
        <f>D3176*(1-Assumptions!$B$12*(Assumptions!$B$5+Assumptions!$B$6))</f>
        <v>0.38641527976230372</v>
      </c>
      <c r="E3177" s="12">
        <f>E3176+Assumptions!$B$12*(D3176*Assumptions!$B$5-E3176*Assumptions!$B$7)</f>
        <v>0.18144622366234342</v>
      </c>
      <c r="F3177" s="12">
        <f t="shared" si="147"/>
        <v>0.43213849657535286</v>
      </c>
      <c r="G3177" s="12">
        <f>EXP(-Assumptions!$B$8*B3177)</f>
        <v>0.20505029263610008</v>
      </c>
      <c r="H3177" s="12">
        <f t="shared" si="148"/>
        <v>7.9234566194320857E-2</v>
      </c>
      <c r="I3177" s="12">
        <f t="shared" si="149"/>
        <v>3.7205601259678783E-2</v>
      </c>
      <c r="J3177" s="12">
        <f>G3177*(D3177*Assumptions!$B$6+E3177*Assumptions!$B$7)</f>
        <v>2.6526257249271483E-3</v>
      </c>
    </row>
    <row r="3178" spans="1:10" x14ac:dyDescent="0.2">
      <c r="A3178" s="2">
        <v>3170</v>
      </c>
      <c r="B3178" s="14">
        <f>A3178*Assumptions!$B$12</f>
        <v>31.7</v>
      </c>
      <c r="C3178" s="15">
        <f>IF(A3178&lt;=Assumptions!$B$13,IF(OR(A3178=0,A3178=Assumptions!$B$13),0.5,1),0)*Assumptions!$B$12</f>
        <v>0</v>
      </c>
      <c r="D3178" s="12">
        <f>D3177*(1-Assumptions!$B$12*(Assumptions!$B$5+Assumptions!$B$6))</f>
        <v>0.38629935517837505</v>
      </c>
      <c r="E3178" s="12">
        <f>E3177+Assumptions!$B$12*(D3177*Assumptions!$B$5-E3177*Assumptions!$B$7)</f>
        <v>0.1814327836064647</v>
      </c>
      <c r="F3178" s="12">
        <f t="shared" si="147"/>
        <v>0.4322678612151602</v>
      </c>
      <c r="G3178" s="12">
        <f>EXP(-Assumptions!$B$8*B3178)</f>
        <v>0.20494779311679731</v>
      </c>
      <c r="H3178" s="12">
        <f t="shared" si="148"/>
        <v>7.9171200326249816E-2</v>
      </c>
      <c r="I3178" s="12">
        <f t="shared" si="149"/>
        <v>3.718424859918238E-2</v>
      </c>
      <c r="J3178" s="12">
        <f>G3178*(D3178*Assumptions!$B$6+E3178*Assumptions!$B$7)</f>
        <v>2.6509244332216172E-3</v>
      </c>
    </row>
    <row r="3179" spans="1:10" x14ac:dyDescent="0.2">
      <c r="A3179" s="2">
        <v>3171</v>
      </c>
      <c r="B3179" s="14">
        <f>A3179*Assumptions!$B$12</f>
        <v>31.71</v>
      </c>
      <c r="C3179" s="15">
        <f>IF(A3179&lt;=Assumptions!$B$13,IF(OR(A3179=0,A3179=Assumptions!$B$13),0.5,1),0)*Assumptions!$B$12</f>
        <v>0</v>
      </c>
      <c r="D3179" s="12">
        <f>D3178*(1-Assumptions!$B$12*(Assumptions!$B$5+Assumptions!$B$6))</f>
        <v>0.38618346537182152</v>
      </c>
      <c r="E3179" s="12">
        <f>E3178+Assumptions!$B$12*(D3178*Assumptions!$B$5-E3178*Assumptions!$B$7)</f>
        <v>0.18141932708569714</v>
      </c>
      <c r="F3179" s="12">
        <f t="shared" si="147"/>
        <v>0.4323972075424814</v>
      </c>
      <c r="G3179" s="12">
        <f>EXP(-Assumptions!$B$8*B3179)</f>
        <v>0.2048453448344438</v>
      </c>
      <c r="H3179" s="12">
        <f t="shared" si="148"/>
        <v>7.9107885133451267E-2</v>
      </c>
      <c r="I3179" s="12">
        <f t="shared" si="149"/>
        <v>3.716290461650238E-2</v>
      </c>
      <c r="J3179" s="12">
        <f>G3179*(D3179*Assumptions!$B$6+E3179*Assumptions!$B$7)</f>
        <v>2.6492240821596315E-3</v>
      </c>
    </row>
    <row r="3180" spans="1:10" x14ac:dyDescent="0.2">
      <c r="A3180" s="2">
        <v>3172</v>
      </c>
      <c r="B3180" s="14">
        <f>A3180*Assumptions!$B$12</f>
        <v>31.720000000000002</v>
      </c>
      <c r="C3180" s="15">
        <f>IF(A3180&lt;=Assumptions!$B$13,IF(OR(A3180=0,A3180=Assumptions!$B$13),0.5,1),0)*Assumptions!$B$12</f>
        <v>0</v>
      </c>
      <c r="D3180" s="12">
        <f>D3179*(1-Assumptions!$B$12*(Assumptions!$B$5+Assumptions!$B$6))</f>
        <v>0.38606761033220999</v>
      </c>
      <c r="E3180" s="12">
        <f>E3179+Assumptions!$B$12*(D3179*Assumptions!$B$5-E3179*Assumptions!$B$7)</f>
        <v>0.18140585411522864</v>
      </c>
      <c r="F3180" s="12">
        <f t="shared" si="147"/>
        <v>0.43252653555256132</v>
      </c>
      <c r="G3180" s="12">
        <f>EXP(-Assumptions!$B$8*B3180)</f>
        <v>0.20474294776342758</v>
      </c>
      <c r="H3180" s="12">
        <f t="shared" si="148"/>
        <v>7.9044620575398988E-2</v>
      </c>
      <c r="I3180" s="12">
        <f t="shared" si="149"/>
        <v>3.7141569313094223E-2</v>
      </c>
      <c r="J3180" s="12">
        <f>G3180*(D3180*Assumptions!$B$6+E3180*Assumptions!$B$7)</f>
        <v>2.6475246714087008E-3</v>
      </c>
    </row>
    <row r="3181" spans="1:10" x14ac:dyDescent="0.2">
      <c r="A3181" s="2">
        <v>3173</v>
      </c>
      <c r="B3181" s="14">
        <f>A3181*Assumptions!$B$12</f>
        <v>31.73</v>
      </c>
      <c r="C3181" s="15">
        <f>IF(A3181&lt;=Assumptions!$B$13,IF(OR(A3181=0,A3181=Assumptions!$B$13),0.5,1),0)*Assumptions!$B$12</f>
        <v>0</v>
      </c>
      <c r="D3181" s="12">
        <f>D3180*(1-Assumptions!$B$12*(Assumptions!$B$5+Assumptions!$B$6))</f>
        <v>0.38595179004911034</v>
      </c>
      <c r="E3181" s="12">
        <f>E3180+Assumptions!$B$12*(D3180*Assumptions!$B$5-E3180*Assumptions!$B$7)</f>
        <v>0.18139236471023745</v>
      </c>
      <c r="F3181" s="12">
        <f t="shared" si="147"/>
        <v>0.43265584524065226</v>
      </c>
      <c r="G3181" s="12">
        <f>EXP(-Assumptions!$B$8*B3181)</f>
        <v>0.20464060187814945</v>
      </c>
      <c r="H3181" s="12">
        <f t="shared" si="148"/>
        <v>7.8981406611599109E-2</v>
      </c>
      <c r="I3181" s="12">
        <f t="shared" si="149"/>
        <v>3.7120242690403787E-2</v>
      </c>
      <c r="J3181" s="12">
        <f>G3181*(D3181*Assumptions!$B$6+E3181*Assumptions!$B$7)</f>
        <v>2.6458262006361808E-3</v>
      </c>
    </row>
    <row r="3182" spans="1:10" x14ac:dyDescent="0.2">
      <c r="A3182" s="2">
        <v>3174</v>
      </c>
      <c r="B3182" s="14">
        <f>A3182*Assumptions!$B$12</f>
        <v>31.740000000000002</v>
      </c>
      <c r="C3182" s="15">
        <f>IF(A3182&lt;=Assumptions!$B$13,IF(OR(A3182=0,A3182=Assumptions!$B$13),0.5,1),0)*Assumptions!$B$12</f>
        <v>0</v>
      </c>
      <c r="D3182" s="12">
        <f>D3181*(1-Assumptions!$B$12*(Assumptions!$B$5+Assumptions!$B$6))</f>
        <v>0.3858360045120956</v>
      </c>
      <c r="E3182" s="12">
        <f>E3181+Assumptions!$B$12*(D3181*Assumptions!$B$5-E3181*Assumptions!$B$7)</f>
        <v>0.18137885888589217</v>
      </c>
      <c r="F3182" s="12">
        <f t="shared" si="147"/>
        <v>0.43278513660201218</v>
      </c>
      <c r="G3182" s="12">
        <f>EXP(-Assumptions!$B$8*B3182)</f>
        <v>0.20453830715302276</v>
      </c>
      <c r="H3182" s="12">
        <f t="shared" si="148"/>
        <v>7.8918243201590091E-2</v>
      </c>
      <c r="I3182" s="12">
        <f t="shared" si="149"/>
        <v>3.7098924749867382E-2</v>
      </c>
      <c r="J3182" s="12">
        <f>G3182*(D3182*Assumptions!$B$6+E3182*Assumptions!$B$7)</f>
        <v>2.64412866950927E-3</v>
      </c>
    </row>
    <row r="3183" spans="1:10" x14ac:dyDescent="0.2">
      <c r="A3183" s="2">
        <v>3175</v>
      </c>
      <c r="B3183" s="14">
        <f>A3183*Assumptions!$B$12</f>
        <v>31.75</v>
      </c>
      <c r="C3183" s="15">
        <f>IF(A3183&lt;=Assumptions!$B$13,IF(OR(A3183=0,A3183=Assumptions!$B$13),0.5,1),0)*Assumptions!$B$12</f>
        <v>0</v>
      </c>
      <c r="D3183" s="12">
        <f>D3182*(1-Assumptions!$B$12*(Assumptions!$B$5+Assumptions!$B$6))</f>
        <v>0.38572025371074198</v>
      </c>
      <c r="E3183" s="12">
        <f>E3182+Assumptions!$B$12*(D3182*Assumptions!$B$5-E3182*Assumptions!$B$7)</f>
        <v>0.18136533665735163</v>
      </c>
      <c r="F3183" s="12">
        <f t="shared" si="147"/>
        <v>0.43291440963190631</v>
      </c>
      <c r="G3183" s="12">
        <f>EXP(-Assumptions!$B$8*B3183)</f>
        <v>0.20443606356247396</v>
      </c>
      <c r="H3183" s="12">
        <f t="shared" si="148"/>
        <v>7.885513030494283E-2</v>
      </c>
      <c r="I3183" s="12">
        <f t="shared" si="149"/>
        <v>3.7077615492911824E-2</v>
      </c>
      <c r="J3183" s="12">
        <f>G3183*(D3183*Assumptions!$B$6+E3183*Assumptions!$B$7)</f>
        <v>2.6424320776950198E-3</v>
      </c>
    </row>
    <row r="3184" spans="1:10" x14ac:dyDescent="0.2">
      <c r="A3184" s="2">
        <v>3176</v>
      </c>
      <c r="B3184" s="14">
        <f>A3184*Assumptions!$B$12</f>
        <v>31.76</v>
      </c>
      <c r="C3184" s="15">
        <f>IF(A3184&lt;=Assumptions!$B$13,IF(OR(A3184=0,A3184=Assumptions!$B$13),0.5,1),0)*Assumptions!$B$12</f>
        <v>0</v>
      </c>
      <c r="D3184" s="12">
        <f>D3183*(1-Assumptions!$B$12*(Assumptions!$B$5+Assumptions!$B$6))</f>
        <v>0.38560453763462876</v>
      </c>
      <c r="E3184" s="12">
        <f>E3183+Assumptions!$B$12*(D3183*Assumptions!$B$5-E3183*Assumptions!$B$7)</f>
        <v>0.18135179803976512</v>
      </c>
      <c r="F3184" s="12">
        <f t="shared" si="147"/>
        <v>0.43304366432560615</v>
      </c>
      <c r="G3184" s="12">
        <f>EXP(-Assumptions!$B$8*B3184)</f>
        <v>0.20433387108094214</v>
      </c>
      <c r="H3184" s="12">
        <f t="shared" si="148"/>
        <v>7.879206788126053E-2</v>
      </c>
      <c r="I3184" s="12">
        <f t="shared" si="149"/>
        <v>3.7056314920954424E-2</v>
      </c>
      <c r="J3184" s="12">
        <f>G3184*(D3184*Assumptions!$B$6+E3184*Assumptions!$B$7)</f>
        <v>2.6407364248603265E-3</v>
      </c>
    </row>
    <row r="3185" spans="1:10" x14ac:dyDescent="0.2">
      <c r="A3185" s="2">
        <v>3177</v>
      </c>
      <c r="B3185" s="14">
        <f>A3185*Assumptions!$B$12</f>
        <v>31.77</v>
      </c>
      <c r="C3185" s="15">
        <f>IF(A3185&lt;=Assumptions!$B$13,IF(OR(A3185=0,A3185=Assumptions!$B$13),0.5,1),0)*Assumptions!$B$12</f>
        <v>0</v>
      </c>
      <c r="D3185" s="12">
        <f>D3184*(1-Assumptions!$B$12*(Assumptions!$B$5+Assumptions!$B$6))</f>
        <v>0.3854888562733384</v>
      </c>
      <c r="E3185" s="12">
        <f>E3184+Assumptions!$B$12*(D3184*Assumptions!$B$5-E3184*Assumptions!$B$7)</f>
        <v>0.18133824304827215</v>
      </c>
      <c r="F3185" s="12">
        <f t="shared" si="147"/>
        <v>0.43317290067838943</v>
      </c>
      <c r="G3185" s="12">
        <f>EXP(-Assumptions!$B$8*B3185)</f>
        <v>0.20423172968287914</v>
      </c>
      <c r="H3185" s="12">
        <f t="shared" si="148"/>
        <v>7.8729055890178701E-2</v>
      </c>
      <c r="I3185" s="12">
        <f t="shared" si="149"/>
        <v>3.7035023035402952E-2</v>
      </c>
      <c r="J3185" s="12">
        <f>G3185*(D3185*Assumptions!$B$6+E3185*Assumptions!$B$7)</f>
        <v>2.6390417106719345E-3</v>
      </c>
    </row>
    <row r="3186" spans="1:10" x14ac:dyDescent="0.2">
      <c r="A3186" s="2">
        <v>3178</v>
      </c>
      <c r="B3186" s="14">
        <f>A3186*Assumptions!$B$12</f>
        <v>31.78</v>
      </c>
      <c r="C3186" s="15">
        <f>IF(A3186&lt;=Assumptions!$B$13,IF(OR(A3186=0,A3186=Assumptions!$B$13),0.5,1),0)*Assumptions!$B$12</f>
        <v>0</v>
      </c>
      <c r="D3186" s="12">
        <f>D3185*(1-Assumptions!$B$12*(Assumptions!$B$5+Assumptions!$B$6))</f>
        <v>0.38537320961645644</v>
      </c>
      <c r="E3186" s="12">
        <f>E3185+Assumptions!$B$12*(D3185*Assumptions!$B$5-E3185*Assumptions!$B$7)</f>
        <v>0.18132467169800268</v>
      </c>
      <c r="F3186" s="12">
        <f t="shared" si="147"/>
        <v>0.43330211868554092</v>
      </c>
      <c r="G3186" s="12">
        <f>EXP(-Assumptions!$B$8*B3186)</f>
        <v>0.20412963934274958</v>
      </c>
      <c r="H3186" s="12">
        <f t="shared" si="148"/>
        <v>7.8666094291365091E-2</v>
      </c>
      <c r="I3186" s="12">
        <f t="shared" si="149"/>
        <v>3.7013739837655761E-2</v>
      </c>
      <c r="J3186" s="12">
        <f>G3186*(D3186*Assumptions!$B$6+E3186*Assumptions!$B$7)</f>
        <v>2.6373479347964386E-3</v>
      </c>
    </row>
    <row r="3187" spans="1:10" x14ac:dyDescent="0.2">
      <c r="A3187" s="2">
        <v>3179</v>
      </c>
      <c r="B3187" s="14">
        <f>A3187*Assumptions!$B$12</f>
        <v>31.79</v>
      </c>
      <c r="C3187" s="15">
        <f>IF(A3187&lt;=Assumptions!$B$13,IF(OR(A3187=0,A3187=Assumptions!$B$13),0.5,1),0)*Assumptions!$B$12</f>
        <v>0</v>
      </c>
      <c r="D3187" s="12">
        <f>D3186*(1-Assumptions!$B$12*(Assumptions!$B$5+Assumptions!$B$6))</f>
        <v>0.38525759765357154</v>
      </c>
      <c r="E3187" s="12">
        <f>E3186+Assumptions!$B$12*(D3186*Assumptions!$B$5-E3186*Assumptions!$B$7)</f>
        <v>0.18131108400407697</v>
      </c>
      <c r="F3187" s="12">
        <f t="shared" si="147"/>
        <v>0.43343131834235155</v>
      </c>
      <c r="G3187" s="12">
        <f>EXP(-Assumptions!$B$8*B3187)</f>
        <v>0.20402760003503095</v>
      </c>
      <c r="H3187" s="12">
        <f t="shared" si="148"/>
        <v>7.860318304451977E-2</v>
      </c>
      <c r="I3187" s="12">
        <f t="shared" si="149"/>
        <v>3.6992465329101713E-2</v>
      </c>
      <c r="J3187" s="12">
        <f>G3187*(D3187*Assumptions!$B$6+E3187*Assumptions!$B$7)</f>
        <v>2.6356550969002836E-3</v>
      </c>
    </row>
    <row r="3188" spans="1:10" x14ac:dyDescent="0.2">
      <c r="A3188" s="2">
        <v>3180</v>
      </c>
      <c r="B3188" s="14">
        <f>A3188*Assumptions!$B$12</f>
        <v>31.8</v>
      </c>
      <c r="C3188" s="15">
        <f>IF(A3188&lt;=Assumptions!$B$13,IF(OR(A3188=0,A3188=Assumptions!$B$13),0.5,1),0)*Assumptions!$B$12</f>
        <v>0</v>
      </c>
      <c r="D3188" s="12">
        <f>D3187*(1-Assumptions!$B$12*(Assumptions!$B$5+Assumptions!$B$6))</f>
        <v>0.38514202037427547</v>
      </c>
      <c r="E3188" s="12">
        <f>E3187+Assumptions!$B$12*(D3187*Assumptions!$B$5-E3187*Assumptions!$B$7)</f>
        <v>0.18129747998160564</v>
      </c>
      <c r="F3188" s="12">
        <f t="shared" si="147"/>
        <v>0.43356049964411891</v>
      </c>
      <c r="G3188" s="12">
        <f>EXP(-Assumptions!$B$8*B3188)</f>
        <v>0.20392561173421342</v>
      </c>
      <c r="H3188" s="12">
        <f t="shared" si="148"/>
        <v>7.8540322109375019E-2</v>
      </c>
      <c r="I3188" s="12">
        <f t="shared" si="149"/>
        <v>3.697119951112024E-2</v>
      </c>
      <c r="J3188" s="12">
        <f>G3188*(D3188*Assumptions!$B$6+E3188*Assumptions!$B$7)</f>
        <v>2.6339631966497625E-3</v>
      </c>
    </row>
    <row r="3189" spans="1:10" x14ac:dyDescent="0.2">
      <c r="A3189" s="2">
        <v>3181</v>
      </c>
      <c r="B3189" s="14">
        <f>A3189*Assumptions!$B$12</f>
        <v>31.810000000000002</v>
      </c>
      <c r="C3189" s="15">
        <f>IF(A3189&lt;=Assumptions!$B$13,IF(OR(A3189=0,A3189=Assumptions!$B$13),0.5,1),0)*Assumptions!$B$12</f>
        <v>0</v>
      </c>
      <c r="D3189" s="12">
        <f>D3188*(1-Assumptions!$B$12*(Assumptions!$B$5+Assumptions!$B$6))</f>
        <v>0.38502647776816318</v>
      </c>
      <c r="E3189" s="12">
        <f>E3188+Assumptions!$B$12*(D3188*Assumptions!$B$5-E3188*Assumptions!$B$7)</f>
        <v>0.18128385964568969</v>
      </c>
      <c r="F3189" s="12">
        <f t="shared" si="147"/>
        <v>0.43368966258614716</v>
      </c>
      <c r="G3189" s="12">
        <f>EXP(-Assumptions!$B$8*B3189)</f>
        <v>0.20382367441479982</v>
      </c>
      <c r="H3189" s="12">
        <f t="shared" si="148"/>
        <v>7.8477511445695244E-2</v>
      </c>
      <c r="I3189" s="12">
        <f t="shared" si="149"/>
        <v>3.6949942385081321E-2</v>
      </c>
      <c r="J3189" s="12">
        <f>G3189*(D3189*Assumptions!$B$6+E3189*Assumptions!$B$7)</f>
        <v>2.6322722337110186E-3</v>
      </c>
    </row>
    <row r="3190" spans="1:10" x14ac:dyDescent="0.2">
      <c r="A3190" s="2">
        <v>3182</v>
      </c>
      <c r="B3190" s="14">
        <f>A3190*Assumptions!$B$12</f>
        <v>31.82</v>
      </c>
      <c r="C3190" s="15">
        <f>IF(A3190&lt;=Assumptions!$B$13,IF(OR(A3190=0,A3190=Assumptions!$B$13),0.5,1),0)*Assumptions!$B$12</f>
        <v>0</v>
      </c>
      <c r="D3190" s="12">
        <f>D3189*(1-Assumptions!$B$12*(Assumptions!$B$5+Assumptions!$B$6))</f>
        <v>0.38491096982483275</v>
      </c>
      <c r="E3190" s="12">
        <f>E3189+Assumptions!$B$12*(D3189*Assumptions!$B$5-E3189*Assumptions!$B$7)</f>
        <v>0.18127022301142048</v>
      </c>
      <c r="F3190" s="12">
        <f t="shared" si="147"/>
        <v>0.43381880716374677</v>
      </c>
      <c r="G3190" s="12">
        <f>EXP(-Assumptions!$B$8*B3190)</f>
        <v>0.20372178805130595</v>
      </c>
      <c r="H3190" s="12">
        <f t="shared" si="148"/>
        <v>7.841475101327719E-2</v>
      </c>
      <c r="I3190" s="12">
        <f t="shared" si="149"/>
        <v>3.6928693952345569E-2</v>
      </c>
      <c r="J3190" s="12">
        <f>G3190*(D3190*Assumptions!$B$6+E3190*Assumptions!$B$7)</f>
        <v>2.63058220775005E-3</v>
      </c>
    </row>
    <row r="3191" spans="1:10" x14ac:dyDescent="0.2">
      <c r="A3191" s="2">
        <v>3183</v>
      </c>
      <c r="B3191" s="14">
        <f>A3191*Assumptions!$B$12</f>
        <v>31.830000000000002</v>
      </c>
      <c r="C3191" s="15">
        <f>IF(A3191&lt;=Assumptions!$B$13,IF(OR(A3191=0,A3191=Assumptions!$B$13),0.5,1),0)*Assumptions!$B$12</f>
        <v>0</v>
      </c>
      <c r="D3191" s="12">
        <f>D3190*(1-Assumptions!$B$12*(Assumptions!$B$5+Assumptions!$B$6))</f>
        <v>0.38479549653388534</v>
      </c>
      <c r="E3191" s="12">
        <f>E3190+Assumptions!$B$12*(D3190*Assumptions!$B$5-E3190*Assumptions!$B$7)</f>
        <v>0.18125657009387974</v>
      </c>
      <c r="F3191" s="12">
        <f t="shared" si="147"/>
        <v>0.43394793337223492</v>
      </c>
      <c r="G3191" s="12">
        <f>EXP(-Assumptions!$B$8*B3191)</f>
        <v>0.20361995261826013</v>
      </c>
      <c r="H3191" s="12">
        <f t="shared" si="148"/>
        <v>7.8352040771949613E-2</v>
      </c>
      <c r="I3191" s="12">
        <f t="shared" si="149"/>
        <v>3.690745421426414E-2</v>
      </c>
      <c r="J3191" s="12">
        <f>G3191*(D3191*Assumptions!$B$6+E3191*Assumptions!$B$7)</f>
        <v>2.6288931184327031E-3</v>
      </c>
    </row>
    <row r="3192" spans="1:10" x14ac:dyDescent="0.2">
      <c r="A3192" s="2">
        <v>3184</v>
      </c>
      <c r="B3192" s="14">
        <f>A3192*Assumptions!$B$12</f>
        <v>31.84</v>
      </c>
      <c r="C3192" s="15">
        <f>IF(A3192&lt;=Assumptions!$B$13,IF(OR(A3192=0,A3192=Assumptions!$B$13),0.5,1),0)*Assumptions!$B$12</f>
        <v>0</v>
      </c>
      <c r="D3192" s="12">
        <f>D3191*(1-Assumptions!$B$12*(Assumptions!$B$5+Assumptions!$B$6))</f>
        <v>0.38468005788492521</v>
      </c>
      <c r="E3192" s="12">
        <f>E3191+Assumptions!$B$12*(D3191*Assumptions!$B$5-E3191*Assumptions!$B$7)</f>
        <v>0.18124290090813958</v>
      </c>
      <c r="F3192" s="12">
        <f t="shared" si="147"/>
        <v>0.43407704120693524</v>
      </c>
      <c r="G3192" s="12">
        <f>EXP(-Assumptions!$B$8*B3192)</f>
        <v>0.20351816809020354</v>
      </c>
      <c r="H3192" s="12">
        <f t="shared" si="148"/>
        <v>7.8289380681573442E-2</v>
      </c>
      <c r="I3192" s="12">
        <f t="shared" si="149"/>
        <v>3.688622317217885E-2</v>
      </c>
      <c r="J3192" s="12">
        <f>G3192*(D3192*Assumptions!$B$6+E3192*Assumptions!$B$7)</f>
        <v>2.627204965424677E-3</v>
      </c>
    </row>
    <row r="3193" spans="1:10" x14ac:dyDescent="0.2">
      <c r="A3193" s="2">
        <v>3185</v>
      </c>
      <c r="B3193" s="14">
        <f>A3193*Assumptions!$B$12</f>
        <v>31.85</v>
      </c>
      <c r="C3193" s="15">
        <f>IF(A3193&lt;=Assumptions!$B$13,IF(OR(A3193=0,A3193=Assumptions!$B$13),0.5,1),0)*Assumptions!$B$12</f>
        <v>0</v>
      </c>
      <c r="D3193" s="12">
        <f>D3192*(1-Assumptions!$B$12*(Assumptions!$B$5+Assumptions!$B$6))</f>
        <v>0.38456465386755972</v>
      </c>
      <c r="E3193" s="12">
        <f>E3192+Assumptions!$B$12*(D3192*Assumptions!$B$5-E3192*Assumptions!$B$7)</f>
        <v>0.18122921546926249</v>
      </c>
      <c r="F3193" s="12">
        <f t="shared" si="147"/>
        <v>0.4342061306631777</v>
      </c>
      <c r="G3193" s="12">
        <f>EXP(-Assumptions!$B$8*B3193)</f>
        <v>0.20341643444169</v>
      </c>
      <c r="H3193" s="12">
        <f t="shared" si="148"/>
        <v>7.8226770702041662E-2</v>
      </c>
      <c r="I3193" s="12">
        <f t="shared" si="149"/>
        <v>3.6865000827422147E-2</v>
      </c>
      <c r="J3193" s="12">
        <f>G3193*(D3193*Assumptions!$B$6+E3193*Assumptions!$B$7)</f>
        <v>2.6255177483915241E-3</v>
      </c>
    </row>
    <row r="3194" spans="1:10" x14ac:dyDescent="0.2">
      <c r="A3194" s="2">
        <v>3186</v>
      </c>
      <c r="B3194" s="14">
        <f>A3194*Assumptions!$B$12</f>
        <v>31.86</v>
      </c>
      <c r="C3194" s="15">
        <f>IF(A3194&lt;=Assumptions!$B$13,IF(OR(A3194=0,A3194=Assumptions!$B$13),0.5,1),0)*Assumptions!$B$12</f>
        <v>0</v>
      </c>
      <c r="D3194" s="12">
        <f>D3193*(1-Assumptions!$B$12*(Assumptions!$B$5+Assumptions!$B$6))</f>
        <v>0.38444928447139948</v>
      </c>
      <c r="E3194" s="12">
        <f>E3193+Assumptions!$B$12*(D3193*Assumptions!$B$5-E3193*Assumptions!$B$7)</f>
        <v>0.18121551379230136</v>
      </c>
      <c r="F3194" s="12">
        <f t="shared" si="147"/>
        <v>0.43433520173629914</v>
      </c>
      <c r="G3194" s="12">
        <f>EXP(-Assumptions!$B$8*B3194)</f>
        <v>0.20331475164728618</v>
      </c>
      <c r="H3194" s="12">
        <f t="shared" si="148"/>
        <v>7.8164210793279468E-2</v>
      </c>
      <c r="I3194" s="12">
        <f t="shared" si="149"/>
        <v>3.6843787181317117E-2</v>
      </c>
      <c r="J3194" s="12">
        <f>G3194*(D3194*Assumptions!$B$6+E3194*Assumptions!$B$7)</f>
        <v>2.6238314669986503E-3</v>
      </c>
    </row>
    <row r="3195" spans="1:10" x14ac:dyDescent="0.2">
      <c r="A3195" s="2">
        <v>3187</v>
      </c>
      <c r="B3195" s="14">
        <f>A3195*Assumptions!$B$12</f>
        <v>31.87</v>
      </c>
      <c r="C3195" s="15">
        <f>IF(A3195&lt;=Assumptions!$B$13,IF(OR(A3195=0,A3195=Assumptions!$B$13),0.5,1),0)*Assumptions!$B$12</f>
        <v>0</v>
      </c>
      <c r="D3195" s="12">
        <f>D3194*(1-Assumptions!$B$12*(Assumptions!$B$5+Assumptions!$B$6))</f>
        <v>0.38433394968605805</v>
      </c>
      <c r="E3195" s="12">
        <f>E3194+Assumptions!$B$12*(D3194*Assumptions!$B$5-E3194*Assumptions!$B$7)</f>
        <v>0.18120179589229948</v>
      </c>
      <c r="F3195" s="12">
        <f t="shared" si="147"/>
        <v>0.43446425442164249</v>
      </c>
      <c r="G3195" s="12">
        <f>EXP(-Assumptions!$B$8*B3195)</f>
        <v>0.20321311968157127</v>
      </c>
      <c r="H3195" s="12">
        <f t="shared" si="148"/>
        <v>7.8101700915243905E-2</v>
      </c>
      <c r="I3195" s="12">
        <f t="shared" si="149"/>
        <v>3.6822582235177502E-2</v>
      </c>
      <c r="J3195" s="12">
        <f>G3195*(D3195*Assumptions!$B$6+E3195*Assumptions!$B$7)</f>
        <v>2.6221461209113145E-3</v>
      </c>
    </row>
    <row r="3196" spans="1:10" x14ac:dyDescent="0.2">
      <c r="A3196" s="2">
        <v>3188</v>
      </c>
      <c r="B3196" s="14">
        <f>A3196*Assumptions!$B$12</f>
        <v>31.88</v>
      </c>
      <c r="C3196" s="15">
        <f>IF(A3196&lt;=Assumptions!$B$13,IF(OR(A3196=0,A3196=Assumptions!$B$13),0.5,1),0)*Assumptions!$B$12</f>
        <v>0</v>
      </c>
      <c r="D3196" s="12">
        <f>D3195*(1-Assumptions!$B$12*(Assumptions!$B$5+Assumptions!$B$6))</f>
        <v>0.38421864950115225</v>
      </c>
      <c r="E3196" s="12">
        <f>E3195+Assumptions!$B$12*(D3195*Assumptions!$B$5-E3195*Assumptions!$B$7)</f>
        <v>0.18118806178429053</v>
      </c>
      <c r="F3196" s="12">
        <f t="shared" si="147"/>
        <v>0.43459328871455721</v>
      </c>
      <c r="G3196" s="12">
        <f>EXP(-Assumptions!$B$8*B3196)</f>
        <v>0.20311153851913738</v>
      </c>
      <c r="H3196" s="12">
        <f t="shared" si="148"/>
        <v>7.8039241027924228E-2</v>
      </c>
      <c r="I3196" s="12">
        <f t="shared" si="149"/>
        <v>3.6801385990307772E-2</v>
      </c>
      <c r="J3196" s="12">
        <f>G3196*(D3196*Assumptions!$B$6+E3196*Assumptions!$B$7)</f>
        <v>2.6204617097946308E-3</v>
      </c>
    </row>
    <row r="3197" spans="1:10" x14ac:dyDescent="0.2">
      <c r="A3197" s="2">
        <v>3189</v>
      </c>
      <c r="B3197" s="14">
        <f>A3197*Assumptions!$B$12</f>
        <v>31.89</v>
      </c>
      <c r="C3197" s="15">
        <f>IF(A3197&lt;=Assumptions!$B$13,IF(OR(A3197=0,A3197=Assumptions!$B$13),0.5,1),0)*Assumptions!$B$12</f>
        <v>0</v>
      </c>
      <c r="D3197" s="12">
        <f>D3196*(1-Assumptions!$B$12*(Assumptions!$B$5+Assumptions!$B$6))</f>
        <v>0.38410338390630194</v>
      </c>
      <c r="E3197" s="12">
        <f>E3196+Assumptions!$B$12*(D3196*Assumptions!$B$5-E3196*Assumptions!$B$7)</f>
        <v>0.18117431148329863</v>
      </c>
      <c r="F3197" s="12">
        <f t="shared" si="147"/>
        <v>0.4347223046103994</v>
      </c>
      <c r="G3197" s="12">
        <f>EXP(-Assumptions!$B$8*B3197)</f>
        <v>0.20301000813458919</v>
      </c>
      <c r="H3197" s="12">
        <f t="shared" si="148"/>
        <v>7.7976831091341597E-2</v>
      </c>
      <c r="I3197" s="12">
        <f t="shared" si="149"/>
        <v>3.6780198448003051E-2</v>
      </c>
      <c r="J3197" s="12">
        <f>G3197*(D3197*Assumptions!$B$6+E3197*Assumptions!$B$7)</f>
        <v>2.6187782333135685E-3</v>
      </c>
    </row>
    <row r="3198" spans="1:10" x14ac:dyDescent="0.2">
      <c r="A3198" s="2">
        <v>3190</v>
      </c>
      <c r="B3198" s="14">
        <f>A3198*Assumptions!$B$12</f>
        <v>31.900000000000002</v>
      </c>
      <c r="C3198" s="15">
        <f>IF(A3198&lt;=Assumptions!$B$13,IF(OR(A3198=0,A3198=Assumptions!$B$13),0.5,1),0)*Assumptions!$B$12</f>
        <v>0</v>
      </c>
      <c r="D3198" s="12">
        <f>D3197*(1-Assumptions!$B$12*(Assumptions!$B$5+Assumptions!$B$6))</f>
        <v>0.38398815289113009</v>
      </c>
      <c r="E3198" s="12">
        <f>E3197+Assumptions!$B$12*(D3197*Assumptions!$B$5-E3197*Assumptions!$B$7)</f>
        <v>0.18116054500433823</v>
      </c>
      <c r="F3198" s="12">
        <f t="shared" si="147"/>
        <v>0.43485130210453171</v>
      </c>
      <c r="G3198" s="12">
        <f>EXP(-Assumptions!$B$8*B3198)</f>
        <v>0.20290852850254401</v>
      </c>
      <c r="H3198" s="12">
        <f t="shared" si="148"/>
        <v>7.7914471065549093E-2</v>
      </c>
      <c r="I3198" s="12">
        <f t="shared" si="149"/>
        <v>3.6759019609549172E-2</v>
      </c>
      <c r="J3198" s="12">
        <f>G3198*(D3198*Assumptions!$B$6+E3198*Assumptions!$B$7)</f>
        <v>2.6170956911329498E-3</v>
      </c>
    </row>
    <row r="3199" spans="1:10" x14ac:dyDescent="0.2">
      <c r="A3199" s="2">
        <v>3191</v>
      </c>
      <c r="B3199" s="14">
        <f>A3199*Assumptions!$B$12</f>
        <v>31.91</v>
      </c>
      <c r="C3199" s="15">
        <f>IF(A3199&lt;=Assumptions!$B$13,IF(OR(A3199=0,A3199=Assumptions!$B$13),0.5,1),0)*Assumptions!$B$12</f>
        <v>0</v>
      </c>
      <c r="D3199" s="12">
        <f>D3198*(1-Assumptions!$B$12*(Assumptions!$B$5+Assumptions!$B$6))</f>
        <v>0.38387295644526276</v>
      </c>
      <c r="E3199" s="12">
        <f>E3198+Assumptions!$B$12*(D3198*Assumptions!$B$5-E3198*Assumptions!$B$7)</f>
        <v>0.18114676236241428</v>
      </c>
      <c r="F3199" s="12">
        <f t="shared" si="147"/>
        <v>0.43498028119232296</v>
      </c>
      <c r="G3199" s="12">
        <f>EXP(-Assumptions!$B$8*B3199)</f>
        <v>0.2028070995976321</v>
      </c>
      <c r="H3199" s="12">
        <f t="shared" si="148"/>
        <v>7.7852160910631893E-2</v>
      </c>
      <c r="I3199" s="12">
        <f t="shared" si="149"/>
        <v>3.6737849476222745E-2</v>
      </c>
      <c r="J3199" s="12">
        <f>G3199*(D3199*Assumptions!$B$6+E3199*Assumptions!$B$7)</f>
        <v>2.6154140829174563E-3</v>
      </c>
    </row>
    <row r="3200" spans="1:10" x14ac:dyDescent="0.2">
      <c r="A3200" s="2">
        <v>3192</v>
      </c>
      <c r="B3200" s="14">
        <f>A3200*Assumptions!$B$12</f>
        <v>31.92</v>
      </c>
      <c r="C3200" s="15">
        <f>IF(A3200&lt;=Assumptions!$B$13,IF(OR(A3200=0,A3200=Assumptions!$B$13),0.5,1),0)*Assumptions!$B$12</f>
        <v>0</v>
      </c>
      <c r="D3200" s="12">
        <f>D3199*(1-Assumptions!$B$12*(Assumptions!$B$5+Assumptions!$B$6))</f>
        <v>0.3837577945583292</v>
      </c>
      <c r="E3200" s="12">
        <f>E3199+Assumptions!$B$12*(D3199*Assumptions!$B$5-E3199*Assumptions!$B$7)</f>
        <v>0.18113296357252212</v>
      </c>
      <c r="F3200" s="12">
        <f t="shared" si="147"/>
        <v>0.43510924186914862</v>
      </c>
      <c r="G3200" s="12">
        <f>EXP(-Assumptions!$B$8*B3200)</f>
        <v>0.20270572139449611</v>
      </c>
      <c r="H3200" s="12">
        <f t="shared" si="148"/>
        <v>7.7789900586706956E-2</v>
      </c>
      <c r="I3200" s="12">
        <f t="shared" si="149"/>
        <v>3.6716688049291082E-2</v>
      </c>
      <c r="J3200" s="12">
        <f>G3200*(D3200*Assumptions!$B$6+E3200*Assumptions!$B$7)</f>
        <v>2.6137334083316238E-3</v>
      </c>
    </row>
    <row r="3201" spans="1:10" x14ac:dyDescent="0.2">
      <c r="A3201" s="2">
        <v>3193</v>
      </c>
      <c r="B3201" s="14">
        <f>A3201*Assumptions!$B$12</f>
        <v>31.93</v>
      </c>
      <c r="C3201" s="15">
        <f>IF(A3201&lt;=Assumptions!$B$13,IF(OR(A3201=0,A3201=Assumptions!$B$13),0.5,1),0)*Assumptions!$B$12</f>
        <v>0</v>
      </c>
      <c r="D3201" s="12">
        <f>D3200*(1-Assumptions!$B$12*(Assumptions!$B$5+Assumptions!$B$6))</f>
        <v>0.38364266721996171</v>
      </c>
      <c r="E3201" s="12">
        <f>E3200+Assumptions!$B$12*(D3200*Assumptions!$B$5-E3200*Assumptions!$B$7)</f>
        <v>0.18111914864964754</v>
      </c>
      <c r="F3201" s="12">
        <f t="shared" si="147"/>
        <v>0.43523818413039073</v>
      </c>
      <c r="G3201" s="12">
        <f>EXP(-Assumptions!$B$8*B3201)</f>
        <v>0.20260439386779155</v>
      </c>
      <c r="H3201" s="12">
        <f t="shared" si="148"/>
        <v>7.7727690053923201E-2</v>
      </c>
      <c r="I3201" s="12">
        <f t="shared" si="149"/>
        <v>3.6695535330012276E-2</v>
      </c>
      <c r="J3201" s="12">
        <f>G3201*(D3201*Assumptions!$B$6+E3201*Assumptions!$B$7)</f>
        <v>2.6120536670398461E-3</v>
      </c>
    </row>
    <row r="3202" spans="1:10" x14ac:dyDescent="0.2">
      <c r="A3202" s="2">
        <v>3194</v>
      </c>
      <c r="B3202" s="14">
        <f>A3202*Assumptions!$B$12</f>
        <v>31.94</v>
      </c>
      <c r="C3202" s="15">
        <f>IF(A3202&lt;=Assumptions!$B$13,IF(OR(A3202=0,A3202=Assumptions!$B$13),0.5,1),0)*Assumptions!$B$12</f>
        <v>0</v>
      </c>
      <c r="D3202" s="12">
        <f>D3201*(1-Assumptions!$B$12*(Assumptions!$B$5+Assumptions!$B$6))</f>
        <v>0.38352757441979574</v>
      </c>
      <c r="E3202" s="12">
        <f>E3201+Assumptions!$B$12*(D3201*Assumptions!$B$5-E3201*Assumptions!$B$7)</f>
        <v>0.18110531760876672</v>
      </c>
      <c r="F3202" s="12">
        <f t="shared" si="147"/>
        <v>0.43536710797143763</v>
      </c>
      <c r="G3202" s="12">
        <f>EXP(-Assumptions!$B$8*B3202)</f>
        <v>0.20250311699218645</v>
      </c>
      <c r="H3202" s="12">
        <f t="shared" si="148"/>
        <v>7.7665529272461398E-2</v>
      </c>
      <c r="I3202" s="12">
        <f t="shared" si="149"/>
        <v>3.6674391319635173E-2</v>
      </c>
      <c r="J3202" s="12">
        <f>G3202*(D3202*Assumptions!$B$6+E3202*Assumptions!$B$7)</f>
        <v>2.6103748587063729E-3</v>
      </c>
    </row>
    <row r="3203" spans="1:10" x14ac:dyDescent="0.2">
      <c r="A3203" s="2">
        <v>3195</v>
      </c>
      <c r="B3203" s="14">
        <f>A3203*Assumptions!$B$12</f>
        <v>31.95</v>
      </c>
      <c r="C3203" s="15">
        <f>IF(A3203&lt;=Assumptions!$B$13,IF(OR(A3203=0,A3203=Assumptions!$B$13),0.5,1),0)*Assumptions!$B$12</f>
        <v>0</v>
      </c>
      <c r="D3203" s="12">
        <f>D3202*(1-Assumptions!$B$12*(Assumptions!$B$5+Assumptions!$B$6))</f>
        <v>0.3834125161474698</v>
      </c>
      <c r="E3203" s="12">
        <f>E3202+Assumptions!$B$12*(D3202*Assumptions!$B$5-E3202*Assumptions!$B$7)</f>
        <v>0.1810914704648463</v>
      </c>
      <c r="F3203" s="12">
        <f t="shared" si="147"/>
        <v>0.43549601338768396</v>
      </c>
      <c r="G3203" s="12">
        <f>EXP(-Assumptions!$B$8*B3203)</f>
        <v>0.2024018907423617</v>
      </c>
      <c r="H3203" s="12">
        <f t="shared" si="148"/>
        <v>7.7603418202534177E-2</v>
      </c>
      <c r="I3203" s="12">
        <f t="shared" si="149"/>
        <v>3.6653256019399443E-2</v>
      </c>
      <c r="J3203" s="12">
        <f>G3203*(D3203*Assumptions!$B$6+E3203*Assumptions!$B$7)</f>
        <v>2.6086969829953138E-3</v>
      </c>
    </row>
    <row r="3204" spans="1:10" x14ac:dyDescent="0.2">
      <c r="A3204" s="2">
        <v>3196</v>
      </c>
      <c r="B3204" s="14">
        <f>A3204*Assumptions!$B$12</f>
        <v>31.96</v>
      </c>
      <c r="C3204" s="15">
        <f>IF(A3204&lt;=Assumptions!$B$13,IF(OR(A3204=0,A3204=Assumptions!$B$13),0.5,1),0)*Assumptions!$B$12</f>
        <v>0</v>
      </c>
      <c r="D3204" s="12">
        <f>D3203*(1-Assumptions!$B$12*(Assumptions!$B$5+Assumptions!$B$6))</f>
        <v>0.38329749239262556</v>
      </c>
      <c r="E3204" s="12">
        <f>E3203+Assumptions!$B$12*(D3203*Assumptions!$B$5-E3203*Assumptions!$B$7)</f>
        <v>0.18107760723284338</v>
      </c>
      <c r="F3204" s="12">
        <f t="shared" si="147"/>
        <v>0.43562490037453105</v>
      </c>
      <c r="G3204" s="12">
        <f>EXP(-Assumptions!$B$8*B3204)</f>
        <v>0.2023007150930107</v>
      </c>
      <c r="H3204" s="12">
        <f t="shared" si="148"/>
        <v>7.754135680438598E-2</v>
      </c>
      <c r="I3204" s="12">
        <f t="shared" si="149"/>
        <v>3.6632129430535544E-2</v>
      </c>
      <c r="J3204" s="12">
        <f>G3204*(D3204*Assumptions!$B$6+E3204*Assumptions!$B$7)</f>
        <v>2.607020039570637E-3</v>
      </c>
    </row>
    <row r="3205" spans="1:10" x14ac:dyDescent="0.2">
      <c r="A3205" s="2">
        <v>3197</v>
      </c>
      <c r="B3205" s="14">
        <f>A3205*Assumptions!$B$12</f>
        <v>31.970000000000002</v>
      </c>
      <c r="C3205" s="15">
        <f>IF(A3205&lt;=Assumptions!$B$13,IF(OR(A3205=0,A3205=Assumptions!$B$13),0.5,1),0)*Assumptions!$B$12</f>
        <v>0</v>
      </c>
      <c r="D3205" s="12">
        <f>D3204*(1-Assumptions!$B$12*(Assumptions!$B$5+Assumptions!$B$6))</f>
        <v>0.38318250314490776</v>
      </c>
      <c r="E3205" s="12">
        <f>E3204+Assumptions!$B$12*(D3204*Assumptions!$B$5-E3204*Assumptions!$B$7)</f>
        <v>0.18106372792770548</v>
      </c>
      <c r="F3205" s="12">
        <f t="shared" si="147"/>
        <v>0.43575376892738676</v>
      </c>
      <c r="G3205" s="12">
        <f>EXP(-Assumptions!$B$8*B3205)</f>
        <v>0.20219959001883947</v>
      </c>
      <c r="H3205" s="12">
        <f t="shared" si="148"/>
        <v>7.7479345038293013E-2</v>
      </c>
      <c r="I3205" s="12">
        <f t="shared" si="149"/>
        <v>3.6611011554264744E-2</v>
      </c>
      <c r="J3205" s="12">
        <f>G3205*(D3205*Assumptions!$B$6+E3205*Assumptions!$B$7)</f>
        <v>2.6053440280961676E-3</v>
      </c>
    </row>
    <row r="3206" spans="1:10" x14ac:dyDescent="0.2">
      <c r="A3206" s="2">
        <v>3198</v>
      </c>
      <c r="B3206" s="14">
        <f>A3206*Assumptions!$B$12</f>
        <v>31.98</v>
      </c>
      <c r="C3206" s="15">
        <f>IF(A3206&lt;=Assumptions!$B$13,IF(OR(A3206=0,A3206=Assumptions!$B$13),0.5,1),0)*Assumptions!$B$12</f>
        <v>0</v>
      </c>
      <c r="D3206" s="12">
        <f>D3205*(1-Assumptions!$B$12*(Assumptions!$B$5+Assumptions!$B$6))</f>
        <v>0.38306754839396429</v>
      </c>
      <c r="E3206" s="12">
        <f>E3205+Assumptions!$B$12*(D3205*Assumptions!$B$5-E3205*Assumptions!$B$7)</f>
        <v>0.1810498325643706</v>
      </c>
      <c r="F3206" s="12">
        <f t="shared" si="147"/>
        <v>0.43588261904166514</v>
      </c>
      <c r="G3206" s="12">
        <f>EXP(-Assumptions!$B$8*B3206)</f>
        <v>0.20209851549456687</v>
      </c>
      <c r="H3206" s="12">
        <f t="shared" si="148"/>
        <v>7.7417382864563331E-2</v>
      </c>
      <c r="I3206" s="12">
        <f t="shared" si="149"/>
        <v>3.6589902391799191E-2</v>
      </c>
      <c r="J3206" s="12">
        <f>G3206*(D3206*Assumptions!$B$6+E3206*Assumptions!$B$7)</f>
        <v>2.6036689482355929E-3</v>
      </c>
    </row>
    <row r="3207" spans="1:10" x14ac:dyDescent="0.2">
      <c r="A3207" s="2">
        <v>3199</v>
      </c>
      <c r="B3207" s="14">
        <f>A3207*Assumptions!$B$12</f>
        <v>31.990000000000002</v>
      </c>
      <c r="C3207" s="15">
        <f>IF(A3207&lt;=Assumptions!$B$13,IF(OR(A3207=0,A3207=Assumptions!$B$13),0.5,1),0)*Assumptions!$B$12</f>
        <v>0</v>
      </c>
      <c r="D3207" s="12">
        <f>D3206*(1-Assumptions!$B$12*(Assumptions!$B$5+Assumptions!$B$6))</f>
        <v>0.38295262812944608</v>
      </c>
      <c r="E3207" s="12">
        <f>E3206+Assumptions!$B$12*(D3206*Assumptions!$B$5-E3206*Assumptions!$B$7)</f>
        <v>0.1810359211577672</v>
      </c>
      <c r="F3207" s="12">
        <f t="shared" si="147"/>
        <v>0.43601145071278669</v>
      </c>
      <c r="G3207" s="12">
        <f>EXP(-Assumptions!$B$8*B3207)</f>
        <v>0.20199749149492416</v>
      </c>
      <c r="H3207" s="12">
        <f t="shared" si="148"/>
        <v>7.7355470243536645E-2</v>
      </c>
      <c r="I3207" s="12">
        <f t="shared" si="149"/>
        <v>3.6568801944341839E-2</v>
      </c>
      <c r="J3207" s="12">
        <f>G3207*(D3207*Assumptions!$B$6+E3207*Assumptions!$B$7)</f>
        <v>2.6019947996524587E-3</v>
      </c>
    </row>
    <row r="3208" spans="1:10" x14ac:dyDescent="0.2">
      <c r="A3208" s="2">
        <v>3200</v>
      </c>
      <c r="B3208" s="14">
        <f>A3208*Assumptions!$B$12</f>
        <v>32</v>
      </c>
      <c r="C3208" s="15">
        <f>IF(A3208&lt;=Assumptions!$B$13,IF(OR(A3208=0,A3208=Assumptions!$B$13),0.5,1),0)*Assumptions!$B$12</f>
        <v>0</v>
      </c>
      <c r="D3208" s="12">
        <f>D3207*(1-Assumptions!$B$12*(Assumptions!$B$5+Assumptions!$B$6))</f>
        <v>0.38283774234100726</v>
      </c>
      <c r="E3208" s="12">
        <f>E3207+Assumptions!$B$12*(D3207*Assumptions!$B$5-E3207*Assumptions!$B$7)</f>
        <v>0.18102199372281422</v>
      </c>
      <c r="F3208" s="12">
        <f t="shared" ref="F3208:F3271" si="150">1-D3208-E3208</f>
        <v>0.43614026393617855</v>
      </c>
      <c r="G3208" s="12">
        <f>EXP(-Assumptions!$B$8*B3208)</f>
        <v>0.20189651799465538</v>
      </c>
      <c r="H3208" s="12">
        <f t="shared" ref="H3208:H3271" si="151">G3208*D3208</f>
        <v>7.7293607135584419E-2</v>
      </c>
      <c r="I3208" s="12">
        <f t="shared" ref="I3208:I3271" si="152">G3208*E3208</f>
        <v>3.6547710213086552E-2</v>
      </c>
      <c r="J3208" s="12">
        <f>G3208*(D3208*Assumptions!$B$6+E3208*Assumptions!$B$7)</f>
        <v>2.6003215820101723E-3</v>
      </c>
    </row>
    <row r="3209" spans="1:10" x14ac:dyDescent="0.2">
      <c r="A3209" s="2">
        <v>3201</v>
      </c>
      <c r="B3209" s="14">
        <f>A3209*Assumptions!$B$12</f>
        <v>32.01</v>
      </c>
      <c r="C3209" s="15">
        <f>IF(A3209&lt;=Assumptions!$B$13,IF(OR(A3209=0,A3209=Assumptions!$B$13),0.5,1),0)*Assumptions!$B$12</f>
        <v>0</v>
      </c>
      <c r="D3209" s="12">
        <f>D3208*(1-Assumptions!$B$12*(Assumptions!$B$5+Assumptions!$B$6))</f>
        <v>0.38272289101830498</v>
      </c>
      <c r="E3209" s="12">
        <f>E3208+Assumptions!$B$12*(D3208*Assumptions!$B$5-E3208*Assumptions!$B$7)</f>
        <v>0.18100805027442102</v>
      </c>
      <c r="F3209" s="12">
        <f t="shared" si="150"/>
        <v>0.43626905870727406</v>
      </c>
      <c r="G3209" s="12">
        <f>EXP(-Assumptions!$B$8*B3209)</f>
        <v>0.20179559496851718</v>
      </c>
      <c r="H3209" s="12">
        <f t="shared" si="151"/>
        <v>7.7231793501109813E-2</v>
      </c>
      <c r="I3209" s="12">
        <f t="shared" si="152"/>
        <v>3.6526627199218058E-2</v>
      </c>
      <c r="J3209" s="12">
        <f>G3209*(D3209*Assumptions!$B$6+E3209*Assumptions!$B$7)</f>
        <v>2.598649294972001E-3</v>
      </c>
    </row>
    <row r="3210" spans="1:10" x14ac:dyDescent="0.2">
      <c r="A3210" s="2">
        <v>3202</v>
      </c>
      <c r="B3210" s="14">
        <f>A3210*Assumptions!$B$12</f>
        <v>32.020000000000003</v>
      </c>
      <c r="C3210" s="15">
        <f>IF(A3210&lt;=Assumptions!$B$13,IF(OR(A3210=0,A3210=Assumptions!$B$13),0.5,1),0)*Assumptions!$B$12</f>
        <v>0</v>
      </c>
      <c r="D3210" s="12">
        <f>D3209*(1-Assumptions!$B$12*(Assumptions!$B$5+Assumptions!$B$6))</f>
        <v>0.38260807415099951</v>
      </c>
      <c r="E3210" s="12">
        <f>E3209+Assumptions!$B$12*(D3209*Assumptions!$B$5-E3209*Assumptions!$B$7)</f>
        <v>0.18099409082748746</v>
      </c>
      <c r="F3210" s="12">
        <f t="shared" si="150"/>
        <v>0.43639783502151303</v>
      </c>
      <c r="G3210" s="12">
        <f>EXP(-Assumptions!$B$8*B3210)</f>
        <v>0.2016947223912787</v>
      </c>
      <c r="H3210" s="12">
        <f t="shared" si="151"/>
        <v>7.7170029300547616E-2</v>
      </c>
      <c r="I3210" s="12">
        <f t="shared" si="152"/>
        <v>3.6505552903911963E-2</v>
      </c>
      <c r="J3210" s="12">
        <f>G3210*(D3210*Assumptions!$B$6+E3210*Assumptions!$B$7)</f>
        <v>2.5969779382010744E-3</v>
      </c>
    </row>
    <row r="3211" spans="1:10" x14ac:dyDescent="0.2">
      <c r="A3211" s="2">
        <v>3203</v>
      </c>
      <c r="B3211" s="14">
        <f>A3211*Assumptions!$B$12</f>
        <v>32.03</v>
      </c>
      <c r="C3211" s="15">
        <f>IF(A3211&lt;=Assumptions!$B$13,IF(OR(A3211=0,A3211=Assumptions!$B$13),0.5,1),0)*Assumptions!$B$12</f>
        <v>0</v>
      </c>
      <c r="D3211" s="12">
        <f>D3210*(1-Assumptions!$B$12*(Assumptions!$B$5+Assumptions!$B$6))</f>
        <v>0.38249329172875424</v>
      </c>
      <c r="E3211" s="12">
        <f>E3210+Assumptions!$B$12*(D3210*Assumptions!$B$5-E3210*Assumptions!$B$7)</f>
        <v>0.18098011539690392</v>
      </c>
      <c r="F3211" s="12">
        <f t="shared" si="150"/>
        <v>0.43652659287434181</v>
      </c>
      <c r="G3211" s="12">
        <f>EXP(-Assumptions!$B$8*B3211)</f>
        <v>0.20159390023772192</v>
      </c>
      <c r="H3211" s="12">
        <f t="shared" si="151"/>
        <v>7.7108314494364352E-2</v>
      </c>
      <c r="I3211" s="12">
        <f t="shared" si="152"/>
        <v>3.6484487328334848E-2</v>
      </c>
      <c r="J3211" s="12">
        <f>G3211*(D3211*Assumptions!$B$6+E3211*Assumptions!$B$7)</f>
        <v>2.5953075113603861E-3</v>
      </c>
    </row>
    <row r="3212" spans="1:10" x14ac:dyDescent="0.2">
      <c r="A3212" s="2">
        <v>3204</v>
      </c>
      <c r="B3212" s="14">
        <f>A3212*Assumptions!$B$12</f>
        <v>32.04</v>
      </c>
      <c r="C3212" s="15">
        <f>IF(A3212&lt;=Assumptions!$B$13,IF(OR(A3212=0,A3212=Assumptions!$B$13),0.5,1),0)*Assumptions!$B$12</f>
        <v>0</v>
      </c>
      <c r="D3212" s="12">
        <f>D3211*(1-Assumptions!$B$12*(Assumptions!$B$5+Assumptions!$B$6))</f>
        <v>0.38237854374123564</v>
      </c>
      <c r="E3212" s="12">
        <f>E3211+Assumptions!$B$12*(D3211*Assumptions!$B$5-E3211*Assumptions!$B$7)</f>
        <v>0.18096612399755121</v>
      </c>
      <c r="F3212" s="12">
        <f t="shared" si="150"/>
        <v>0.43665533226121311</v>
      </c>
      <c r="G3212" s="12">
        <f>EXP(-Assumptions!$B$8*B3212)</f>
        <v>0.20149312848264125</v>
      </c>
      <c r="H3212" s="12">
        <f t="shared" si="151"/>
        <v>7.7046649043058052E-2</v>
      </c>
      <c r="I3212" s="12">
        <f t="shared" si="152"/>
        <v>3.6463430473644177E-2</v>
      </c>
      <c r="J3212" s="12">
        <f>G3212*(D3212*Assumptions!$B$6+E3212*Assumptions!$B$7)</f>
        <v>2.5936380141127892E-3</v>
      </c>
    </row>
    <row r="3213" spans="1:10" x14ac:dyDescent="0.2">
      <c r="A3213" s="2">
        <v>3205</v>
      </c>
      <c r="B3213" s="14">
        <f>A3213*Assumptions!$B$12</f>
        <v>32.049999999999997</v>
      </c>
      <c r="C3213" s="15">
        <f>IF(A3213&lt;=Assumptions!$B$13,IF(OR(A3213=0,A3213=Assumptions!$B$13),0.5,1),0)*Assumptions!$B$12</f>
        <v>0</v>
      </c>
      <c r="D3213" s="12">
        <f>D3212*(1-Assumptions!$B$12*(Assumptions!$B$5+Assumptions!$B$6))</f>
        <v>0.38226383017811327</v>
      </c>
      <c r="E3213" s="12">
        <f>E3212+Assumptions!$B$12*(D3212*Assumptions!$B$5-E3212*Assumptions!$B$7)</f>
        <v>0.18095211664430069</v>
      </c>
      <c r="F3213" s="12">
        <f t="shared" si="150"/>
        <v>0.43678405317758606</v>
      </c>
      <c r="G3213" s="12">
        <f>EXP(-Assumptions!$B$8*B3213)</f>
        <v>0.20139240710084375</v>
      </c>
      <c r="H3213" s="12">
        <f t="shared" si="151"/>
        <v>7.6985032907158385E-2</v>
      </c>
      <c r="I3213" s="12">
        <f t="shared" si="152"/>
        <v>3.6442382340988372E-2</v>
      </c>
      <c r="J3213" s="12">
        <f>G3213*(D3213*Assumptions!$B$6+E3213*Assumptions!$B$7)</f>
        <v>2.5919694461210025E-3</v>
      </c>
    </row>
    <row r="3214" spans="1:10" x14ac:dyDescent="0.2">
      <c r="A3214" s="2">
        <v>3206</v>
      </c>
      <c r="B3214" s="14">
        <f>A3214*Assumptions!$B$12</f>
        <v>32.06</v>
      </c>
      <c r="C3214" s="15">
        <f>IF(A3214&lt;=Assumptions!$B$13,IF(OR(A3214=0,A3214=Assumptions!$B$13),0.5,1),0)*Assumptions!$B$12</f>
        <v>0</v>
      </c>
      <c r="D3214" s="12">
        <f>D3213*(1-Assumptions!$B$12*(Assumptions!$B$5+Assumptions!$B$6))</f>
        <v>0.38214915102905983</v>
      </c>
      <c r="E3214" s="12">
        <f>E3213+Assumptions!$B$12*(D3213*Assumptions!$B$5-E3213*Assumptions!$B$7)</f>
        <v>0.18093809335201416</v>
      </c>
      <c r="F3214" s="12">
        <f t="shared" si="150"/>
        <v>0.43691275561892606</v>
      </c>
      <c r="G3214" s="12">
        <f>EXP(-Assumptions!$B$8*B3214)</f>
        <v>0.20129173606714904</v>
      </c>
      <c r="H3214" s="12">
        <f t="shared" si="151"/>
        <v>7.692346604722658E-2</v>
      </c>
      <c r="I3214" s="12">
        <f t="shared" si="152"/>
        <v>3.6421342931506812E-2</v>
      </c>
      <c r="J3214" s="12">
        <f>G3214*(D3214*Assumptions!$B$6+E3214*Assumptions!$B$7)</f>
        <v>2.5903018070476064E-3</v>
      </c>
    </row>
    <row r="3215" spans="1:10" x14ac:dyDescent="0.2">
      <c r="A3215" s="2">
        <v>3207</v>
      </c>
      <c r="B3215" s="14">
        <f>A3215*Assumptions!$B$12</f>
        <v>32.07</v>
      </c>
      <c r="C3215" s="15">
        <f>IF(A3215&lt;=Assumptions!$B$13,IF(OR(A3215=0,A3215=Assumptions!$B$13),0.5,1),0)*Assumptions!$B$12</f>
        <v>0</v>
      </c>
      <c r="D3215" s="12">
        <f>D3214*(1-Assumptions!$B$12*(Assumptions!$B$5+Assumptions!$B$6))</f>
        <v>0.38203450628375113</v>
      </c>
      <c r="E3215" s="12">
        <f>E3214+Assumptions!$B$12*(D3214*Assumptions!$B$5-E3214*Assumptions!$B$7)</f>
        <v>0.18092405413554397</v>
      </c>
      <c r="F3215" s="12">
        <f t="shared" si="150"/>
        <v>0.4370414395807049</v>
      </c>
      <c r="G3215" s="12">
        <f>EXP(-Assumptions!$B$8*B3215)</f>
        <v>0.20119111535638942</v>
      </c>
      <c r="H3215" s="12">
        <f t="shared" si="151"/>
        <v>7.686194842385545E-2</v>
      </c>
      <c r="I3215" s="12">
        <f t="shared" si="152"/>
        <v>3.640031224632987E-2</v>
      </c>
      <c r="J3215" s="12">
        <f>G3215*(D3215*Assumptions!$B$6+E3215*Assumptions!$B$7)</f>
        <v>2.5886350965550484E-3</v>
      </c>
    </row>
    <row r="3216" spans="1:10" x14ac:dyDescent="0.2">
      <c r="A3216" s="2">
        <v>3208</v>
      </c>
      <c r="B3216" s="14">
        <f>A3216*Assumptions!$B$12</f>
        <v>32.08</v>
      </c>
      <c r="C3216" s="15">
        <f>IF(A3216&lt;=Assumptions!$B$13,IF(OR(A3216=0,A3216=Assumptions!$B$13),0.5,1),0)*Assumptions!$B$12</f>
        <v>0</v>
      </c>
      <c r="D3216" s="12">
        <f>D3215*(1-Assumptions!$B$12*(Assumptions!$B$5+Assumptions!$B$6))</f>
        <v>0.38191989593186604</v>
      </c>
      <c r="E3216" s="12">
        <f>E3215+Assumptions!$B$12*(D3215*Assumptions!$B$5-E3215*Assumptions!$B$7)</f>
        <v>0.18090999900973295</v>
      </c>
      <c r="F3216" s="12">
        <f t="shared" si="150"/>
        <v>0.43717010505840104</v>
      </c>
      <c r="G3216" s="12">
        <f>EXP(-Assumptions!$B$8*B3216)</f>
        <v>0.20109054494340972</v>
      </c>
      <c r="H3216" s="12">
        <f t="shared" si="151"/>
        <v>7.6800479997669271E-2</v>
      </c>
      <c r="I3216" s="12">
        <f t="shared" si="152"/>
        <v>3.6379290286578915E-2</v>
      </c>
      <c r="J3216" s="12">
        <f>G3216*(D3216*Assumptions!$B$6+E3216*Assumptions!$B$7)</f>
        <v>2.5869693143056385E-3</v>
      </c>
    </row>
    <row r="3217" spans="1:10" x14ac:dyDescent="0.2">
      <c r="A3217" s="2">
        <v>3209</v>
      </c>
      <c r="B3217" s="14">
        <f>A3217*Assumptions!$B$12</f>
        <v>32.090000000000003</v>
      </c>
      <c r="C3217" s="15">
        <f>IF(A3217&lt;=Assumptions!$B$13,IF(OR(A3217=0,A3217=Assumptions!$B$13),0.5,1),0)*Assumptions!$B$12</f>
        <v>0</v>
      </c>
      <c r="D3217" s="12">
        <f>D3216*(1-Assumptions!$B$12*(Assumptions!$B$5+Assumptions!$B$6))</f>
        <v>0.38180531996308648</v>
      </c>
      <c r="E3217" s="12">
        <f>E3216+Assumptions!$B$12*(D3216*Assumptions!$B$5-E3216*Assumptions!$B$7)</f>
        <v>0.18089592798941445</v>
      </c>
      <c r="F3217" s="12">
        <f t="shared" si="150"/>
        <v>0.43729875204749913</v>
      </c>
      <c r="G3217" s="12">
        <f>EXP(-Assumptions!$B$8*B3217)</f>
        <v>0.20099002480306721</v>
      </c>
      <c r="H3217" s="12">
        <f t="shared" si="151"/>
        <v>7.6739060729323766E-2</v>
      </c>
      <c r="I3217" s="12">
        <f t="shared" si="152"/>
        <v>3.6358277053366271E-2</v>
      </c>
      <c r="J3217" s="12">
        <f>G3217*(D3217*Assumptions!$B$6+E3217*Assumptions!$B$7)</f>
        <v>2.5853044599615511E-3</v>
      </c>
    </row>
    <row r="3218" spans="1:10" x14ac:dyDescent="0.2">
      <c r="A3218" s="2">
        <v>3210</v>
      </c>
      <c r="B3218" s="14">
        <f>A3218*Assumptions!$B$12</f>
        <v>32.1</v>
      </c>
      <c r="C3218" s="15">
        <f>IF(A3218&lt;=Assumptions!$B$13,IF(OR(A3218=0,A3218=Assumptions!$B$13),0.5,1),0)*Assumptions!$B$12</f>
        <v>0</v>
      </c>
      <c r="D3218" s="12">
        <f>D3217*(1-Assumptions!$B$12*(Assumptions!$B$5+Assumptions!$B$6))</f>
        <v>0.38169077836709758</v>
      </c>
      <c r="E3218" s="12">
        <f>E3217+Assumptions!$B$12*(D3217*Assumptions!$B$5-E3217*Assumptions!$B$7)</f>
        <v>0.18088184108941235</v>
      </c>
      <c r="F3218" s="12">
        <f t="shared" si="150"/>
        <v>0.43742738054349012</v>
      </c>
      <c r="G3218" s="12">
        <f>EXP(-Assumptions!$B$8*B3218)</f>
        <v>0.20088955491023203</v>
      </c>
      <c r="H3218" s="12">
        <f t="shared" si="151"/>
        <v>7.6677690579506255E-2</v>
      </c>
      <c r="I3218" s="12">
        <f t="shared" si="152"/>
        <v>3.6337272547795368E-2</v>
      </c>
      <c r="J3218" s="12">
        <f>G3218*(D3218*Assumptions!$B$6+E3218*Assumptions!$B$7)</f>
        <v>2.5836405331848308E-3</v>
      </c>
    </row>
    <row r="3219" spans="1:10" x14ac:dyDescent="0.2">
      <c r="A3219" s="2">
        <v>3211</v>
      </c>
      <c r="B3219" s="14">
        <f>A3219*Assumptions!$B$12</f>
        <v>32.11</v>
      </c>
      <c r="C3219" s="15">
        <f>IF(A3219&lt;=Assumptions!$B$13,IF(OR(A3219=0,A3219=Assumptions!$B$13),0.5,1),0)*Assumptions!$B$12</f>
        <v>0</v>
      </c>
      <c r="D3219" s="12">
        <f>D3218*(1-Assumptions!$B$12*(Assumptions!$B$5+Assumptions!$B$6))</f>
        <v>0.38157627113358744</v>
      </c>
      <c r="E3219" s="12">
        <f>E3218+Assumptions!$B$12*(D3218*Assumptions!$B$5-E3218*Assumptions!$B$7)</f>
        <v>0.18086773832454106</v>
      </c>
      <c r="F3219" s="12">
        <f t="shared" si="150"/>
        <v>0.43755599054187144</v>
      </c>
      <c r="G3219" s="12">
        <f>EXP(-Assumptions!$B$8*B3219)</f>
        <v>0.20078913523978661</v>
      </c>
      <c r="H3219" s="12">
        <f t="shared" si="151"/>
        <v>7.661636950893537E-2</v>
      </c>
      <c r="I3219" s="12">
        <f t="shared" si="152"/>
        <v>3.6316276770960609E-2</v>
      </c>
      <c r="J3219" s="12">
        <f>G3219*(D3219*Assumptions!$B$6+E3219*Assumptions!$B$7)</f>
        <v>2.5819775336373843E-3</v>
      </c>
    </row>
    <row r="3220" spans="1:10" x14ac:dyDescent="0.2">
      <c r="A3220" s="2">
        <v>3212</v>
      </c>
      <c r="B3220" s="14">
        <f>A3220*Assumptions!$B$12</f>
        <v>32.119999999999997</v>
      </c>
      <c r="C3220" s="15">
        <f>IF(A3220&lt;=Assumptions!$B$13,IF(OR(A3220=0,A3220=Assumptions!$B$13),0.5,1),0)*Assumptions!$B$12</f>
        <v>0</v>
      </c>
      <c r="D3220" s="12">
        <f>D3219*(1-Assumptions!$B$12*(Assumptions!$B$5+Assumptions!$B$6))</f>
        <v>0.38146179825224735</v>
      </c>
      <c r="E3220" s="12">
        <f>E3219+Assumptions!$B$12*(D3219*Assumptions!$B$5-E3219*Assumptions!$B$7)</f>
        <v>0.18085361970960551</v>
      </c>
      <c r="F3220" s="12">
        <f t="shared" si="150"/>
        <v>0.43768458203814714</v>
      </c>
      <c r="G3220" s="12">
        <f>EXP(-Assumptions!$B$8*B3220)</f>
        <v>0.20068876576662609</v>
      </c>
      <c r="H3220" s="12">
        <f t="shared" si="151"/>
        <v>7.6555097478361242E-2</v>
      </c>
      <c r="I3220" s="12">
        <f t="shared" si="152"/>
        <v>3.6295289723947494E-2</v>
      </c>
      <c r="J3220" s="12">
        <f>G3220*(D3220*Assumptions!$B$6+E3220*Assumptions!$B$7)</f>
        <v>2.5803154609809874E-3</v>
      </c>
    </row>
    <row r="3221" spans="1:10" x14ac:dyDescent="0.2">
      <c r="A3221" s="2">
        <v>3213</v>
      </c>
      <c r="B3221" s="14">
        <f>A3221*Assumptions!$B$12</f>
        <v>32.130000000000003</v>
      </c>
      <c r="C3221" s="15">
        <f>IF(A3221&lt;=Assumptions!$B$13,IF(OR(A3221=0,A3221=Assumptions!$B$13),0.5,1),0)*Assumptions!$B$12</f>
        <v>0</v>
      </c>
      <c r="D3221" s="12">
        <f>D3220*(1-Assumptions!$B$12*(Assumptions!$B$5+Assumptions!$B$6))</f>
        <v>0.38134735971277167</v>
      </c>
      <c r="E3221" s="12">
        <f>E3220+Assumptions!$B$12*(D3220*Assumptions!$B$5-E3220*Assumptions!$B$7)</f>
        <v>0.18083948525940116</v>
      </c>
      <c r="F3221" s="12">
        <f t="shared" si="150"/>
        <v>0.43781315502782714</v>
      </c>
      <c r="G3221" s="12">
        <f>EXP(-Assumptions!$B$8*B3221)</f>
        <v>0.20058844646565793</v>
      </c>
      <c r="H3221" s="12">
        <f t="shared" si="151"/>
        <v>7.6493874448565299E-2</v>
      </c>
      <c r="I3221" s="12">
        <f t="shared" si="152"/>
        <v>3.6274311407832528E-2</v>
      </c>
      <c r="J3221" s="12">
        <f>G3221*(D3221*Assumptions!$B$6+E3221*Assumptions!$B$7)</f>
        <v>2.5786543148772793E-3</v>
      </c>
    </row>
    <row r="3222" spans="1:10" x14ac:dyDescent="0.2">
      <c r="A3222" s="2">
        <v>3214</v>
      </c>
      <c r="B3222" s="14">
        <f>A3222*Assumptions!$B$12</f>
        <v>32.14</v>
      </c>
      <c r="C3222" s="15">
        <f>IF(A3222&lt;=Assumptions!$B$13,IF(OR(A3222=0,A3222=Assumptions!$B$13),0.5,1),0)*Assumptions!$B$12</f>
        <v>0</v>
      </c>
      <c r="D3222" s="12">
        <f>D3221*(1-Assumptions!$B$12*(Assumptions!$B$5+Assumptions!$B$6))</f>
        <v>0.38123295550485786</v>
      </c>
      <c r="E3222" s="12">
        <f>E3221+Assumptions!$B$12*(D3221*Assumptions!$B$5-E3221*Assumptions!$B$7)</f>
        <v>0.180825334988714</v>
      </c>
      <c r="F3222" s="12">
        <f t="shared" si="150"/>
        <v>0.43794170950642808</v>
      </c>
      <c r="G3222" s="12">
        <f>EXP(-Assumptions!$B$8*B3222)</f>
        <v>0.20048817731180252</v>
      </c>
      <c r="H3222" s="12">
        <f t="shared" si="151"/>
        <v>7.6432700380360458E-2</v>
      </c>
      <c r="I3222" s="12">
        <f t="shared" si="152"/>
        <v>3.625334182368338E-2</v>
      </c>
      <c r="J3222" s="12">
        <f>G3222*(D3222*Assumptions!$B$6+E3222*Assumptions!$B$7)</f>
        <v>2.5769940949877737E-3</v>
      </c>
    </row>
    <row r="3223" spans="1:10" x14ac:dyDescent="0.2">
      <c r="A3223" s="2">
        <v>3215</v>
      </c>
      <c r="B3223" s="14">
        <f>A3223*Assumptions!$B$12</f>
        <v>32.15</v>
      </c>
      <c r="C3223" s="15">
        <f>IF(A3223&lt;=Assumptions!$B$13,IF(OR(A3223=0,A3223=Assumptions!$B$13),0.5,1),0)*Assumptions!$B$12</f>
        <v>0</v>
      </c>
      <c r="D3223" s="12">
        <f>D3222*(1-Assumptions!$B$12*(Assumptions!$B$5+Assumptions!$B$6))</f>
        <v>0.38111858561820644</v>
      </c>
      <c r="E3223" s="12">
        <f>E3222+Assumptions!$B$12*(D3222*Assumptions!$B$5-E3222*Assumptions!$B$7)</f>
        <v>0.18081116891232063</v>
      </c>
      <c r="F3223" s="12">
        <f t="shared" si="150"/>
        <v>0.43807024546947293</v>
      </c>
      <c r="G3223" s="12">
        <f>EXP(-Assumptions!$B$8*B3223)</f>
        <v>0.20038795827999253</v>
      </c>
      <c r="H3223" s="12">
        <f t="shared" si="151"/>
        <v>7.6371575234590913E-2</v>
      </c>
      <c r="I3223" s="12">
        <f t="shared" si="152"/>
        <v>3.6232380972558792E-2</v>
      </c>
      <c r="J3223" s="12">
        <f>G3223*(D3223*Assumptions!$B$6+E3223*Assumptions!$B$7)</f>
        <v>2.5753348009738487E-3</v>
      </c>
    </row>
    <row r="3224" spans="1:10" x14ac:dyDescent="0.2">
      <c r="A3224" s="2">
        <v>3216</v>
      </c>
      <c r="B3224" s="14">
        <f>A3224*Assumptions!$B$12</f>
        <v>32.160000000000004</v>
      </c>
      <c r="C3224" s="15">
        <f>IF(A3224&lt;=Assumptions!$B$13,IF(OR(A3224=0,A3224=Assumptions!$B$13),0.5,1),0)*Assumptions!$B$12</f>
        <v>0</v>
      </c>
      <c r="D3224" s="12">
        <f>D3223*(1-Assumptions!$B$12*(Assumptions!$B$5+Assumptions!$B$6))</f>
        <v>0.38100425004252098</v>
      </c>
      <c r="E3224" s="12">
        <f>E3223+Assumptions!$B$12*(D3223*Assumptions!$B$5-E3223*Assumptions!$B$7)</f>
        <v>0.18079698704498812</v>
      </c>
      <c r="F3224" s="12">
        <f t="shared" si="150"/>
        <v>0.43819876291249082</v>
      </c>
      <c r="G3224" s="12">
        <f>EXP(-Assumptions!$B$8*B3224)</f>
        <v>0.20028778934517302</v>
      </c>
      <c r="H3224" s="12">
        <f t="shared" si="151"/>
        <v>7.6310498972132074E-2</v>
      </c>
      <c r="I3224" s="12">
        <f t="shared" si="152"/>
        <v>3.6211428855508557E-2</v>
      </c>
      <c r="J3224" s="12">
        <f>G3224*(D3224*Assumptions!$B$6+E3224*Assumptions!$B$7)</f>
        <v>2.5736764324967485E-3</v>
      </c>
    </row>
    <row r="3225" spans="1:10" x14ac:dyDescent="0.2">
      <c r="A3225" s="2">
        <v>3217</v>
      </c>
      <c r="B3225" s="14">
        <f>A3225*Assumptions!$B$12</f>
        <v>32.17</v>
      </c>
      <c r="C3225" s="15">
        <f>IF(A3225&lt;=Assumptions!$B$13,IF(OR(A3225=0,A3225=Assumptions!$B$13),0.5,1),0)*Assumptions!$B$12</f>
        <v>0</v>
      </c>
      <c r="D3225" s="12">
        <f>D3224*(1-Assumptions!$B$12*(Assumptions!$B$5+Assumptions!$B$6))</f>
        <v>0.38088994876750826</v>
      </c>
      <c r="E3225" s="12">
        <f>E3224+Assumptions!$B$12*(D3224*Assumptions!$B$5-E3224*Assumptions!$B$7)</f>
        <v>0.18078278940147413</v>
      </c>
      <c r="F3225" s="12">
        <f t="shared" si="150"/>
        <v>0.43832726183101761</v>
      </c>
      <c r="G3225" s="12">
        <f>EXP(-Assumptions!$B$8*B3225)</f>
        <v>0.20018767048230196</v>
      </c>
      <c r="H3225" s="12">
        <f t="shared" si="151"/>
        <v>7.6249471553890821E-2</v>
      </c>
      <c r="I3225" s="12">
        <f t="shared" si="152"/>
        <v>3.6190485473573696E-2</v>
      </c>
      <c r="J3225" s="12">
        <f>G3225*(D3225*Assumptions!$B$6+E3225*Assumptions!$B$7)</f>
        <v>2.572018989217593E-3</v>
      </c>
    </row>
    <row r="3226" spans="1:10" x14ac:dyDescent="0.2">
      <c r="A3226" s="2">
        <v>3218</v>
      </c>
      <c r="B3226" s="14">
        <f>A3226*Assumptions!$B$12</f>
        <v>32.18</v>
      </c>
      <c r="C3226" s="15">
        <f>IF(A3226&lt;=Assumptions!$B$13,IF(OR(A3226=0,A3226=Assumptions!$B$13),0.5,1),0)*Assumptions!$B$12</f>
        <v>0</v>
      </c>
      <c r="D3226" s="12">
        <f>D3225*(1-Assumptions!$B$12*(Assumptions!$B$5+Assumptions!$B$6))</f>
        <v>0.38077568178287802</v>
      </c>
      <c r="E3226" s="12">
        <f>E3225+Assumptions!$B$12*(D3225*Assumptions!$B$5-E3225*Assumptions!$B$7)</f>
        <v>0.1807685759965269</v>
      </c>
      <c r="F3226" s="12">
        <f t="shared" si="150"/>
        <v>0.43845574222059508</v>
      </c>
      <c r="G3226" s="12">
        <f>EXP(-Assumptions!$B$8*B3226)</f>
        <v>0.20008760166634962</v>
      </c>
      <c r="H3226" s="12">
        <f t="shared" si="151"/>
        <v>7.6188492940805194E-2</v>
      </c>
      <c r="I3226" s="12">
        <f t="shared" si="152"/>
        <v>3.6169550827786327E-2</v>
      </c>
      <c r="J3226" s="12">
        <f>G3226*(D3226*Assumptions!$B$6+E3226*Assumptions!$B$7)</f>
        <v>2.5703624707973682E-3</v>
      </c>
    </row>
    <row r="3227" spans="1:10" x14ac:dyDescent="0.2">
      <c r="A3227" s="2">
        <v>3219</v>
      </c>
      <c r="B3227" s="14">
        <f>A3227*Assumptions!$B$12</f>
        <v>32.19</v>
      </c>
      <c r="C3227" s="15">
        <f>IF(A3227&lt;=Assumptions!$B$13,IF(OR(A3227=0,A3227=Assumptions!$B$13),0.5,1),0)*Assumptions!$B$12</f>
        <v>0</v>
      </c>
      <c r="D3227" s="12">
        <f>D3226*(1-Assumptions!$B$12*(Assumptions!$B$5+Assumptions!$B$6))</f>
        <v>0.38066144907834315</v>
      </c>
      <c r="E3227" s="12">
        <f>E3226+Assumptions!$B$12*(D3226*Assumptions!$B$5-E3226*Assumptions!$B$7)</f>
        <v>0.18075434684488523</v>
      </c>
      <c r="F3227" s="12">
        <f t="shared" si="150"/>
        <v>0.43858420407677168</v>
      </c>
      <c r="G3227" s="12">
        <f>EXP(-Assumptions!$B$8*B3227)</f>
        <v>0.1999875828722987</v>
      </c>
      <c r="H3227" s="12">
        <f t="shared" si="151"/>
        <v>7.6127563093844469E-2</v>
      </c>
      <c r="I3227" s="12">
        <f t="shared" si="152"/>
        <v>3.614862491916971E-2</v>
      </c>
      <c r="J3227" s="12">
        <f>G3227*(D3227*Assumptions!$B$6+E3227*Assumptions!$B$7)</f>
        <v>2.5687068768969301E-3</v>
      </c>
    </row>
    <row r="3228" spans="1:10" x14ac:dyDescent="0.2">
      <c r="A3228" s="2">
        <v>3220</v>
      </c>
      <c r="B3228" s="14">
        <f>A3228*Assumptions!$B$12</f>
        <v>32.200000000000003</v>
      </c>
      <c r="C3228" s="15">
        <f>IF(A3228&lt;=Assumptions!$B$13,IF(OR(A3228=0,A3228=Assumptions!$B$13),0.5,1),0)*Assumptions!$B$12</f>
        <v>0</v>
      </c>
      <c r="D3228" s="12">
        <f>D3227*(1-Assumptions!$B$12*(Assumptions!$B$5+Assumptions!$B$6))</f>
        <v>0.38054725064361966</v>
      </c>
      <c r="E3228" s="12">
        <f>E3227+Assumptions!$B$12*(D3227*Assumptions!$B$5-E3227*Assumptions!$B$7)</f>
        <v>0.18074010196127846</v>
      </c>
      <c r="F3228" s="12">
        <f t="shared" si="150"/>
        <v>0.43871264739510196</v>
      </c>
      <c r="G3228" s="12">
        <f>EXP(-Assumptions!$B$8*B3228)</f>
        <v>0.19988761407514444</v>
      </c>
      <c r="H3228" s="12">
        <f t="shared" si="151"/>
        <v>7.6066681974009107E-2</v>
      </c>
      <c r="I3228" s="12">
        <f t="shared" si="152"/>
        <v>3.6127707748738282E-2</v>
      </c>
      <c r="J3228" s="12">
        <f>G3228*(D3228*Assumptions!$B$6+E3228*Assumptions!$B$7)</f>
        <v>2.5670522071770058E-3</v>
      </c>
    </row>
    <row r="3229" spans="1:10" x14ac:dyDescent="0.2">
      <c r="A3229" s="2">
        <v>3221</v>
      </c>
      <c r="B3229" s="14">
        <f>A3229*Assumptions!$B$12</f>
        <v>32.21</v>
      </c>
      <c r="C3229" s="15">
        <f>IF(A3229&lt;=Assumptions!$B$13,IF(OR(A3229=0,A3229=Assumptions!$B$13),0.5,1),0)*Assumptions!$B$12</f>
        <v>0</v>
      </c>
      <c r="D3229" s="12">
        <f>D3228*(1-Assumptions!$B$12*(Assumptions!$B$5+Assumptions!$B$6))</f>
        <v>0.38043308646842661</v>
      </c>
      <c r="E3229" s="12">
        <f>E3228+Assumptions!$B$12*(D3228*Assumptions!$B$5-E3228*Assumptions!$B$7)</f>
        <v>0.18072584136042655</v>
      </c>
      <c r="F3229" s="12">
        <f t="shared" si="150"/>
        <v>0.43884107217114676</v>
      </c>
      <c r="G3229" s="12">
        <f>EXP(-Assumptions!$B$8*B3229)</f>
        <v>0.19978769524989487</v>
      </c>
      <c r="H3229" s="12">
        <f t="shared" si="151"/>
        <v>7.6005849542330917E-2</v>
      </c>
      <c r="I3229" s="12">
        <f t="shared" si="152"/>
        <v>3.6106799317497745E-2</v>
      </c>
      <c r="J3229" s="12">
        <f>G3229*(D3229*Assumptions!$B$6+E3229*Assumptions!$B$7)</f>
        <v>2.5653984612981967E-3</v>
      </c>
    </row>
    <row r="3230" spans="1:10" x14ac:dyDescent="0.2">
      <c r="A3230" s="2">
        <v>3222</v>
      </c>
      <c r="B3230" s="14">
        <f>A3230*Assumptions!$B$12</f>
        <v>32.22</v>
      </c>
      <c r="C3230" s="15">
        <f>IF(A3230&lt;=Assumptions!$B$13,IF(OR(A3230=0,A3230=Assumptions!$B$13),0.5,1),0)*Assumptions!$B$12</f>
        <v>0</v>
      </c>
      <c r="D3230" s="12">
        <f>D3229*(1-Assumptions!$B$12*(Assumptions!$B$5+Assumptions!$B$6))</f>
        <v>0.3803189565424861</v>
      </c>
      <c r="E3230" s="12">
        <f>E3229+Assumptions!$B$12*(D3229*Assumptions!$B$5-E3229*Assumptions!$B$7)</f>
        <v>0.18071156505704003</v>
      </c>
      <c r="F3230" s="12">
        <f t="shared" si="150"/>
        <v>0.43896947840047396</v>
      </c>
      <c r="G3230" s="12">
        <f>EXP(-Assumptions!$B$8*B3230)</f>
        <v>0.19968782637157012</v>
      </c>
      <c r="H3230" s="12">
        <f t="shared" si="151"/>
        <v>7.5945065759872685E-2</v>
      </c>
      <c r="I3230" s="12">
        <f t="shared" si="152"/>
        <v>3.6085899626444908E-2</v>
      </c>
      <c r="J3230" s="12">
        <f>G3230*(D3230*Assumptions!$B$6+E3230*Assumptions!$B$7)</f>
        <v>2.5637456389209726E-3</v>
      </c>
    </row>
    <row r="3231" spans="1:10" x14ac:dyDescent="0.2">
      <c r="A3231" s="2">
        <v>3223</v>
      </c>
      <c r="B3231" s="14">
        <f>A3231*Assumptions!$B$12</f>
        <v>32.230000000000004</v>
      </c>
      <c r="C3231" s="15">
        <f>IF(A3231&lt;=Assumptions!$B$13,IF(OR(A3231=0,A3231=Assumptions!$B$13),0.5,1),0)*Assumptions!$B$12</f>
        <v>0</v>
      </c>
      <c r="D3231" s="12">
        <f>D3230*(1-Assumptions!$B$12*(Assumptions!$B$5+Assumptions!$B$6))</f>
        <v>0.38020486085552335</v>
      </c>
      <c r="E3231" s="12">
        <f>E3230+Assumptions!$B$12*(D3230*Assumptions!$B$5-E3230*Assumptions!$B$7)</f>
        <v>0.18069727306582001</v>
      </c>
      <c r="F3231" s="12">
        <f t="shared" si="150"/>
        <v>0.4390978660786567</v>
      </c>
      <c r="G3231" s="12">
        <f>EXP(-Assumptions!$B$8*B3231)</f>
        <v>0.19958800741520291</v>
      </c>
      <c r="H3231" s="12">
        <f t="shared" si="151"/>
        <v>7.588433058772838E-2</v>
      </c>
      <c r="I3231" s="12">
        <f t="shared" si="152"/>
        <v>3.6065008676567832E-2</v>
      </c>
      <c r="J3231" s="12">
        <f>G3231*(D3231*Assumptions!$B$6+E3231*Assumptions!$B$7)</f>
        <v>2.5620937397056753E-3</v>
      </c>
    </row>
    <row r="3232" spans="1:10" x14ac:dyDescent="0.2">
      <c r="A3232" s="2">
        <v>3224</v>
      </c>
      <c r="B3232" s="14">
        <f>A3232*Assumptions!$B$12</f>
        <v>32.24</v>
      </c>
      <c r="C3232" s="15">
        <f>IF(A3232&lt;=Assumptions!$B$13,IF(OR(A3232=0,A3232=Assumptions!$B$13),0.5,1),0)*Assumptions!$B$12</f>
        <v>0</v>
      </c>
      <c r="D3232" s="12">
        <f>D3231*(1-Assumptions!$B$12*(Assumptions!$B$5+Assumptions!$B$6))</f>
        <v>0.3800907993972667</v>
      </c>
      <c r="E3232" s="12">
        <f>E3231+Assumptions!$B$12*(D3231*Assumptions!$B$5-E3231*Assumptions!$B$7)</f>
        <v>0.1806829654014582</v>
      </c>
      <c r="F3232" s="12">
        <f t="shared" si="150"/>
        <v>0.43922623520127513</v>
      </c>
      <c r="G3232" s="12">
        <f>EXP(-Assumptions!$B$8*B3232)</f>
        <v>0.19948823835583873</v>
      </c>
      <c r="H3232" s="12">
        <f t="shared" si="151"/>
        <v>7.5823643987023223E-2</v>
      </c>
      <c r="I3232" s="12">
        <f t="shared" si="152"/>
        <v>3.6044126468845854E-2</v>
      </c>
      <c r="J3232" s="12">
        <f>G3232*(D3232*Assumptions!$B$6+E3232*Assumptions!$B$7)</f>
        <v>2.5604427633125252E-3</v>
      </c>
    </row>
    <row r="3233" spans="1:10" x14ac:dyDescent="0.2">
      <c r="A3233" s="2">
        <v>3225</v>
      </c>
      <c r="B3233" s="14">
        <f>A3233*Assumptions!$B$12</f>
        <v>32.25</v>
      </c>
      <c r="C3233" s="15">
        <f>IF(A3233&lt;=Assumptions!$B$13,IF(OR(A3233=0,A3233=Assumptions!$B$13),0.5,1),0)*Assumptions!$B$12</f>
        <v>0</v>
      </c>
      <c r="D3233" s="12">
        <f>D3232*(1-Assumptions!$B$12*(Assumptions!$B$5+Assumptions!$B$6))</f>
        <v>0.37997677215744752</v>
      </c>
      <c r="E3233" s="12">
        <f>E3232+Assumptions!$B$12*(D3232*Assumptions!$B$5-E3232*Assumptions!$B$7)</f>
        <v>0.18066864207863692</v>
      </c>
      <c r="F3233" s="12">
        <f t="shared" si="150"/>
        <v>0.43935458576391556</v>
      </c>
      <c r="G3233" s="12">
        <f>EXP(-Assumptions!$B$8*B3233)</f>
        <v>0.19938851916853514</v>
      </c>
      <c r="H3233" s="12">
        <f t="shared" si="151"/>
        <v>7.5763005918913329E-2</v>
      </c>
      <c r="I3233" s="12">
        <f t="shared" si="152"/>
        <v>3.6023253004249516E-2</v>
      </c>
      <c r="J3233" s="12">
        <f>G3233*(D3233*Assumptions!$B$6+E3233*Assumptions!$B$7)</f>
        <v>2.5587927094016093E-3</v>
      </c>
    </row>
    <row r="3234" spans="1:10" x14ac:dyDescent="0.2">
      <c r="A3234" s="2">
        <v>3226</v>
      </c>
      <c r="B3234" s="14">
        <f>A3234*Assumptions!$B$12</f>
        <v>32.26</v>
      </c>
      <c r="C3234" s="15">
        <f>IF(A3234&lt;=Assumptions!$B$13,IF(OR(A3234=0,A3234=Assumptions!$B$13),0.5,1),0)*Assumptions!$B$12</f>
        <v>0</v>
      </c>
      <c r="D3234" s="12">
        <f>D3233*(1-Assumptions!$B$12*(Assumptions!$B$5+Assumptions!$B$6))</f>
        <v>0.3798627791258003</v>
      </c>
      <c r="E3234" s="12">
        <f>E3233+Assumptions!$B$12*(D3233*Assumptions!$B$5-E3233*Assumptions!$B$7)</f>
        <v>0.1806543031120291</v>
      </c>
      <c r="F3234" s="12">
        <f t="shared" si="150"/>
        <v>0.43948291776217063</v>
      </c>
      <c r="G3234" s="12">
        <f>EXP(-Assumptions!$B$8*B3234)</f>
        <v>0.19928884982836237</v>
      </c>
      <c r="H3234" s="12">
        <f t="shared" si="151"/>
        <v>7.5702416344585993E-2</v>
      </c>
      <c r="I3234" s="12">
        <f t="shared" si="152"/>
        <v>3.6002388283740624E-2</v>
      </c>
      <c r="J3234" s="12">
        <f>G3234*(D3234*Assumptions!$B$6+E3234*Assumptions!$B$7)</f>
        <v>2.5571435776328912E-3</v>
      </c>
    </row>
    <row r="3235" spans="1:10" x14ac:dyDescent="0.2">
      <c r="A3235" s="2">
        <v>3227</v>
      </c>
      <c r="B3235" s="14">
        <f>A3235*Assumptions!$B$12</f>
        <v>32.270000000000003</v>
      </c>
      <c r="C3235" s="15">
        <f>IF(A3235&lt;=Assumptions!$B$13,IF(OR(A3235=0,A3235=Assumptions!$B$13),0.5,1),0)*Assumptions!$B$12</f>
        <v>0</v>
      </c>
      <c r="D3235" s="12">
        <f>D3234*(1-Assumptions!$B$12*(Assumptions!$B$5+Assumptions!$B$6))</f>
        <v>0.37974882029206258</v>
      </c>
      <c r="E3235" s="12">
        <f>E3234+Assumptions!$B$12*(D3234*Assumptions!$B$5-E3234*Assumptions!$B$7)</f>
        <v>0.18063994851629825</v>
      </c>
      <c r="F3235" s="12">
        <f t="shared" si="150"/>
        <v>0.43961123119163914</v>
      </c>
      <c r="G3235" s="12">
        <f>EXP(-Assumptions!$B$8*B3235)</f>
        <v>0.19918923031040303</v>
      </c>
      <c r="H3235" s="12">
        <f t="shared" si="151"/>
        <v>7.5641875225259503E-2</v>
      </c>
      <c r="I3235" s="12">
        <f t="shared" si="152"/>
        <v>3.5981532308272279E-2</v>
      </c>
      <c r="J3235" s="12">
        <f>G3235*(D3235*Assumptions!$B$6+E3235*Assumptions!$B$7)</f>
        <v>2.5554953676662092E-3</v>
      </c>
    </row>
    <row r="3236" spans="1:10" x14ac:dyDescent="0.2">
      <c r="A3236" s="2">
        <v>3228</v>
      </c>
      <c r="B3236" s="14">
        <f>A3236*Assumptions!$B$12</f>
        <v>32.28</v>
      </c>
      <c r="C3236" s="15">
        <f>IF(A3236&lt;=Assumptions!$B$13,IF(OR(A3236=0,A3236=Assumptions!$B$13),0.5,1),0)*Assumptions!$B$12</f>
        <v>0</v>
      </c>
      <c r="D3236" s="12">
        <f>D3235*(1-Assumptions!$B$12*(Assumptions!$B$5+Assumptions!$B$6))</f>
        <v>0.37963489564597497</v>
      </c>
      <c r="E3236" s="12">
        <f>E3235+Assumptions!$B$12*(D3235*Assumptions!$B$5-E3235*Assumptions!$B$7)</f>
        <v>0.18062557830609852</v>
      </c>
      <c r="F3236" s="12">
        <f t="shared" si="150"/>
        <v>0.43973952604792654</v>
      </c>
      <c r="G3236" s="12">
        <f>EXP(-Assumptions!$B$8*B3236)</f>
        <v>0.19908966058975239</v>
      </c>
      <c r="H3236" s="12">
        <f t="shared" si="151"/>
        <v>7.558138252218323E-2</v>
      </c>
      <c r="I3236" s="12">
        <f t="shared" si="152"/>
        <v>3.5960685078788898E-2</v>
      </c>
      <c r="J3236" s="12">
        <f>G3236*(D3236*Assumptions!$B$6+E3236*Assumptions!$B$7)</f>
        <v>2.553848079161277E-3</v>
      </c>
    </row>
    <row r="3237" spans="1:10" x14ac:dyDescent="0.2">
      <c r="A3237" s="2">
        <v>3229</v>
      </c>
      <c r="B3237" s="14">
        <f>A3237*Assumptions!$B$12</f>
        <v>32.29</v>
      </c>
      <c r="C3237" s="15">
        <f>IF(A3237&lt;=Assumptions!$B$13,IF(OR(A3237=0,A3237=Assumptions!$B$13),0.5,1),0)*Assumptions!$B$12</f>
        <v>0</v>
      </c>
      <c r="D3237" s="12">
        <f>D3236*(1-Assumptions!$B$12*(Assumptions!$B$5+Assumptions!$B$6))</f>
        <v>0.37952100517728121</v>
      </c>
      <c r="E3237" s="12">
        <f>E3236+Assumptions!$B$12*(D3236*Assumptions!$B$5-E3236*Assumptions!$B$7)</f>
        <v>0.18061119249607466</v>
      </c>
      <c r="F3237" s="12">
        <f t="shared" si="150"/>
        <v>0.43986780232664408</v>
      </c>
      <c r="G3237" s="12">
        <f>EXP(-Assumptions!$B$8*B3237)</f>
        <v>0.1989901406415179</v>
      </c>
      <c r="H3237" s="12">
        <f t="shared" si="151"/>
        <v>7.5520938196637438E-2</v>
      </c>
      <c r="I3237" s="12">
        <f t="shared" si="152"/>
        <v>3.5939846596226156E-2</v>
      </c>
      <c r="J3237" s="12">
        <f>G3237*(D3237*Assumptions!$B$6+E3237*Assumptions!$B$7)</f>
        <v>2.5522017117776824E-3</v>
      </c>
    </row>
    <row r="3238" spans="1:10" x14ac:dyDescent="0.2">
      <c r="A3238" s="2">
        <v>3230</v>
      </c>
      <c r="B3238" s="14">
        <f>A3238*Assumptions!$B$12</f>
        <v>32.299999999999997</v>
      </c>
      <c r="C3238" s="15">
        <f>IF(A3238&lt;=Assumptions!$B$13,IF(OR(A3238=0,A3238=Assumptions!$B$13),0.5,1),0)*Assumptions!$B$12</f>
        <v>0</v>
      </c>
      <c r="D3238" s="12">
        <f>D3237*(1-Assumptions!$B$12*(Assumptions!$B$5+Assumptions!$B$6))</f>
        <v>0.37940714887572802</v>
      </c>
      <c r="E3238" s="12">
        <f>E3237+Assumptions!$B$12*(D3237*Assumptions!$B$5-E3237*Assumptions!$B$7)</f>
        <v>0.18059679110086208</v>
      </c>
      <c r="F3238" s="12">
        <f t="shared" si="150"/>
        <v>0.43999606002340991</v>
      </c>
      <c r="G3238" s="12">
        <f>EXP(-Assumptions!$B$8*B3238)</f>
        <v>0.19889067044081962</v>
      </c>
      <c r="H3238" s="12">
        <f t="shared" si="151"/>
        <v>7.5460542209933409E-2</v>
      </c>
      <c r="I3238" s="12">
        <f t="shared" si="152"/>
        <v>3.5919016861511104E-2</v>
      </c>
      <c r="J3238" s="12">
        <f>G3238*(D3238*Assumptions!$B$6+E3238*Assumptions!$B$7)</f>
        <v>2.5505562651748897E-3</v>
      </c>
    </row>
    <row r="3239" spans="1:10" x14ac:dyDescent="0.2">
      <c r="A3239" s="2">
        <v>3231</v>
      </c>
      <c r="B3239" s="14">
        <f>A3239*Assumptions!$B$12</f>
        <v>32.31</v>
      </c>
      <c r="C3239" s="15">
        <f>IF(A3239&lt;=Assumptions!$B$13,IF(OR(A3239=0,A3239=Assumptions!$B$13),0.5,1),0)*Assumptions!$B$12</f>
        <v>0</v>
      </c>
      <c r="D3239" s="12">
        <f>D3238*(1-Assumptions!$B$12*(Assumptions!$B$5+Assumptions!$B$6))</f>
        <v>0.37929332673106531</v>
      </c>
      <c r="E3239" s="12">
        <f>E3238+Assumptions!$B$12*(D3238*Assumptions!$B$5-E3238*Assumptions!$B$7)</f>
        <v>0.18058237413508679</v>
      </c>
      <c r="F3239" s="12">
        <f t="shared" si="150"/>
        <v>0.44012429913384787</v>
      </c>
      <c r="G3239" s="12">
        <f>EXP(-Assumptions!$B$8*B3239)</f>
        <v>0.19879124996278996</v>
      </c>
      <c r="H3239" s="12">
        <f t="shared" si="151"/>
        <v>7.5400194523413372E-2</v>
      </c>
      <c r="I3239" s="12">
        <f t="shared" si="152"/>
        <v>3.5898195875562096E-2</v>
      </c>
      <c r="J3239" s="12">
        <f>G3239*(D3239*Assumptions!$B$6+E3239*Assumptions!$B$7)</f>
        <v>2.5489117390122386E-3</v>
      </c>
    </row>
    <row r="3240" spans="1:10" x14ac:dyDescent="0.2">
      <c r="A3240" s="2">
        <v>3232</v>
      </c>
      <c r="B3240" s="14">
        <f>A3240*Assumptions!$B$12</f>
        <v>32.32</v>
      </c>
      <c r="C3240" s="15">
        <f>IF(A3240&lt;=Assumptions!$B$13,IF(OR(A3240=0,A3240=Assumptions!$B$13),0.5,1),0)*Assumptions!$B$12</f>
        <v>0</v>
      </c>
      <c r="D3240" s="12">
        <f>D3239*(1-Assumptions!$B$12*(Assumptions!$B$5+Assumptions!$B$6))</f>
        <v>0.379179538733046</v>
      </c>
      <c r="E3240" s="12">
        <f>E3239+Assumptions!$B$12*(D3239*Assumptions!$B$5-E3239*Assumptions!$B$7)</f>
        <v>0.18056794161336545</v>
      </c>
      <c r="F3240" s="12">
        <f t="shared" si="150"/>
        <v>0.44025251965358858</v>
      </c>
      <c r="G3240" s="12">
        <f>EXP(-Assumptions!$B$8*B3240)</f>
        <v>0.19869187918257386</v>
      </c>
      <c r="H3240" s="12">
        <f t="shared" si="151"/>
        <v>7.533989509845046E-2</v>
      </c>
      <c r="I3240" s="12">
        <f t="shared" si="152"/>
        <v>3.5877383639288857E-2</v>
      </c>
      <c r="J3240" s="12">
        <f>G3240*(D3240*Assumptions!$B$6+E3240*Assumptions!$B$7)</f>
        <v>2.5472681329489475E-3</v>
      </c>
    </row>
    <row r="3241" spans="1:10" x14ac:dyDescent="0.2">
      <c r="A3241" s="2">
        <v>3233</v>
      </c>
      <c r="B3241" s="14">
        <f>A3241*Assumptions!$B$12</f>
        <v>32.33</v>
      </c>
      <c r="C3241" s="15">
        <f>IF(A3241&lt;=Assumptions!$B$13,IF(OR(A3241=0,A3241=Assumptions!$B$13),0.5,1),0)*Assumptions!$B$12</f>
        <v>0</v>
      </c>
      <c r="D3241" s="12">
        <f>D3240*(1-Assumptions!$B$12*(Assumptions!$B$5+Assumptions!$B$6))</f>
        <v>0.37906578487142611</v>
      </c>
      <c r="E3241" s="12">
        <f>E3240+Assumptions!$B$12*(D3240*Assumptions!$B$5-E3240*Assumptions!$B$7)</f>
        <v>0.18055349355030537</v>
      </c>
      <c r="F3241" s="12">
        <f t="shared" si="150"/>
        <v>0.44038072157826857</v>
      </c>
      <c r="G3241" s="12">
        <f>EXP(-Assumptions!$B$8*B3241)</f>
        <v>0.19859255807532858</v>
      </c>
      <c r="H3241" s="12">
        <f t="shared" si="151"/>
        <v>7.52796438964487E-2</v>
      </c>
      <c r="I3241" s="12">
        <f t="shared" si="152"/>
        <v>3.5856580153592485E-2</v>
      </c>
      <c r="J3241" s="12">
        <f>G3241*(D3241*Assumptions!$B$6+E3241*Assumptions!$B$7)</f>
        <v>2.5456254466441112E-3</v>
      </c>
    </row>
    <row r="3242" spans="1:10" x14ac:dyDescent="0.2">
      <c r="A3242" s="2">
        <v>3234</v>
      </c>
      <c r="B3242" s="14">
        <f>A3242*Assumptions!$B$12</f>
        <v>32.340000000000003</v>
      </c>
      <c r="C3242" s="15">
        <f>IF(A3242&lt;=Assumptions!$B$13,IF(OR(A3242=0,A3242=Assumptions!$B$13),0.5,1),0)*Assumptions!$B$12</f>
        <v>0</v>
      </c>
      <c r="D3242" s="12">
        <f>D3241*(1-Assumptions!$B$12*(Assumptions!$B$5+Assumptions!$B$6))</f>
        <v>0.37895206513596469</v>
      </c>
      <c r="E3242" s="12">
        <f>E3241+Assumptions!$B$12*(D3241*Assumptions!$B$5-E3241*Assumptions!$B$7)</f>
        <v>0.1805390299605045</v>
      </c>
      <c r="F3242" s="12">
        <f t="shared" si="150"/>
        <v>0.44050890490353078</v>
      </c>
      <c r="G3242" s="12">
        <f>EXP(-Assumptions!$B$8*B3242)</f>
        <v>0.19849328661622381</v>
      </c>
      <c r="H3242" s="12">
        <f t="shared" si="151"/>
        <v>7.5219440878842955E-2</v>
      </c>
      <c r="I3242" s="12">
        <f t="shared" si="152"/>
        <v>3.583578541936544E-2</v>
      </c>
      <c r="J3242" s="12">
        <f>G3242*(D3242*Assumptions!$B$6+E3242*Assumptions!$B$7)</f>
        <v>2.5439836797567015E-3</v>
      </c>
    </row>
    <row r="3243" spans="1:10" x14ac:dyDescent="0.2">
      <c r="A3243" s="2">
        <v>3235</v>
      </c>
      <c r="B3243" s="14">
        <f>A3243*Assumptions!$B$12</f>
        <v>32.35</v>
      </c>
      <c r="C3243" s="15">
        <f>IF(A3243&lt;=Assumptions!$B$13,IF(OR(A3243=0,A3243=Assumptions!$B$13),0.5,1),0)*Assumptions!$B$12</f>
        <v>0</v>
      </c>
      <c r="D3243" s="12">
        <f>D3242*(1-Assumptions!$B$12*(Assumptions!$B$5+Assumptions!$B$6))</f>
        <v>0.37883837951642391</v>
      </c>
      <c r="E3243" s="12">
        <f>E3242+Assumptions!$B$12*(D3242*Assumptions!$B$5-E3242*Assumptions!$B$7)</f>
        <v>0.18052455085855143</v>
      </c>
      <c r="F3243" s="12">
        <f t="shared" si="150"/>
        <v>0.44063706962502469</v>
      </c>
      <c r="G3243" s="12">
        <f>EXP(-Assumptions!$B$8*B3243)</f>
        <v>0.19839406478044178</v>
      </c>
      <c r="H3243" s="12">
        <f t="shared" si="151"/>
        <v>7.5159286007098994E-2</v>
      </c>
      <c r="I3243" s="12">
        <f t="shared" si="152"/>
        <v>3.5814999437491606E-2</v>
      </c>
      <c r="J3243" s="12">
        <f>G3243*(D3243*Assumptions!$B$6+E3243*Assumptions!$B$7)</f>
        <v>2.5423428319455705E-3</v>
      </c>
    </row>
    <row r="3244" spans="1:10" x14ac:dyDescent="0.2">
      <c r="A3244" s="2">
        <v>3236</v>
      </c>
      <c r="B3244" s="14">
        <f>A3244*Assumptions!$B$12</f>
        <v>32.36</v>
      </c>
      <c r="C3244" s="15">
        <f>IF(A3244&lt;=Assumptions!$B$13,IF(OR(A3244=0,A3244=Assumptions!$B$13),0.5,1),0)*Assumptions!$B$12</f>
        <v>0</v>
      </c>
      <c r="D3244" s="12">
        <f>D3243*(1-Assumptions!$B$12*(Assumptions!$B$5+Assumptions!$B$6))</f>
        <v>0.37872472800256901</v>
      </c>
      <c r="E3244" s="12">
        <f>E3243+Assumptions!$B$12*(D3243*Assumptions!$B$5-E3243*Assumptions!$B$7)</f>
        <v>0.18051005625902544</v>
      </c>
      <c r="F3244" s="12">
        <f t="shared" si="150"/>
        <v>0.4407652157384056</v>
      </c>
      <c r="G3244" s="12">
        <f>EXP(-Assumptions!$B$8*B3244)</f>
        <v>0.19829489254317698</v>
      </c>
      <c r="H3244" s="12">
        <f t="shared" si="151"/>
        <v>7.5099179242713351E-2</v>
      </c>
      <c r="I3244" s="12">
        <f t="shared" si="152"/>
        <v>3.5794222208846281E-2</v>
      </c>
      <c r="J3244" s="12">
        <f>G3244*(D3244*Assumptions!$B$6+E3244*Assumptions!$B$7)</f>
        <v>2.5407029028694478E-3</v>
      </c>
    </row>
    <row r="3245" spans="1:10" x14ac:dyDescent="0.2">
      <c r="A3245" s="2">
        <v>3237</v>
      </c>
      <c r="B3245" s="14">
        <f>A3245*Assumptions!$B$12</f>
        <v>32.369999999999997</v>
      </c>
      <c r="C3245" s="15">
        <f>IF(A3245&lt;=Assumptions!$B$13,IF(OR(A3245=0,A3245=Assumptions!$B$13),0.5,1),0)*Assumptions!$B$12</f>
        <v>0</v>
      </c>
      <c r="D3245" s="12">
        <f>D3244*(1-Assumptions!$B$12*(Assumptions!$B$5+Assumptions!$B$6))</f>
        <v>0.37861111058416824</v>
      </c>
      <c r="E3245" s="12">
        <f>E3244+Assumptions!$B$12*(D3244*Assumptions!$B$5-E3244*Assumptions!$B$7)</f>
        <v>0.18049554617649644</v>
      </c>
      <c r="F3245" s="12">
        <f t="shared" si="150"/>
        <v>0.44089334323933527</v>
      </c>
      <c r="G3245" s="12">
        <f>EXP(-Assumptions!$B$8*B3245)</f>
        <v>0.19819576987963633</v>
      </c>
      <c r="H3245" s="12">
        <f t="shared" si="151"/>
        <v>7.5039120547213345E-2</v>
      </c>
      <c r="I3245" s="12">
        <f t="shared" si="152"/>
        <v>3.5773453734296162E-2</v>
      </c>
      <c r="J3245" s="12">
        <f>G3245*(D3245*Assumptions!$B$6+E3245*Assumptions!$B$7)</f>
        <v>2.5390638921869418E-3</v>
      </c>
    </row>
    <row r="3246" spans="1:10" x14ac:dyDescent="0.2">
      <c r="A3246" s="2">
        <v>3238</v>
      </c>
      <c r="B3246" s="14">
        <f>A3246*Assumptions!$B$12</f>
        <v>32.380000000000003</v>
      </c>
      <c r="C3246" s="15">
        <f>IF(A3246&lt;=Assumptions!$B$13,IF(OR(A3246=0,A3246=Assumptions!$B$13),0.5,1),0)*Assumptions!$B$12</f>
        <v>0</v>
      </c>
      <c r="D3246" s="12">
        <f>D3245*(1-Assumptions!$B$12*(Assumptions!$B$5+Assumptions!$B$6))</f>
        <v>0.378497527250993</v>
      </c>
      <c r="E3246" s="12">
        <f>E3245+Assumptions!$B$12*(D3245*Assumptions!$B$5-E3245*Assumptions!$B$7)</f>
        <v>0.18048102062552501</v>
      </c>
      <c r="F3246" s="12">
        <f t="shared" si="150"/>
        <v>0.44102145212348204</v>
      </c>
      <c r="G3246" s="12">
        <f>EXP(-Assumptions!$B$8*B3246)</f>
        <v>0.19809669676503916</v>
      </c>
      <c r="H3246" s="12">
        <f t="shared" si="151"/>
        <v>7.4979109882157113E-2</v>
      </c>
      <c r="I3246" s="12">
        <f t="shared" si="152"/>
        <v>3.575269401469941E-2</v>
      </c>
      <c r="J3246" s="12">
        <f>G3246*(D3246*Assumptions!$B$6+E3246*Assumptions!$B$7)</f>
        <v>2.5374257995565415E-3</v>
      </c>
    </row>
    <row r="3247" spans="1:10" x14ac:dyDescent="0.2">
      <c r="A3247" s="2">
        <v>3239</v>
      </c>
      <c r="B3247" s="14">
        <f>A3247*Assumptions!$B$12</f>
        <v>32.39</v>
      </c>
      <c r="C3247" s="15">
        <f>IF(A3247&lt;=Assumptions!$B$13,IF(OR(A3247=0,A3247=Assumptions!$B$13),0.5,1),0)*Assumptions!$B$12</f>
        <v>0</v>
      </c>
      <c r="D3247" s="12">
        <f>D3246*(1-Assumptions!$B$12*(Assumptions!$B$5+Assumptions!$B$6))</f>
        <v>0.3783839779928177</v>
      </c>
      <c r="E3247" s="12">
        <f>E3246+Assumptions!$B$12*(D3246*Assumptions!$B$5-E3246*Assumptions!$B$7)</f>
        <v>0.18046647962066245</v>
      </c>
      <c r="F3247" s="12">
        <f t="shared" si="150"/>
        <v>0.44114954238651982</v>
      </c>
      <c r="G3247" s="12">
        <f>EXP(-Assumptions!$B$8*B3247)</f>
        <v>0.19799767317461725</v>
      </c>
      <c r="H3247" s="12">
        <f t="shared" si="151"/>
        <v>7.491914720913348E-2</v>
      </c>
      <c r="I3247" s="12">
        <f t="shared" si="152"/>
        <v>3.573194305090565E-2</v>
      </c>
      <c r="J3247" s="12">
        <f>G3247*(D3247*Assumptions!$B$6+E3247*Assumptions!$B$7)</f>
        <v>2.5357886246366174E-3</v>
      </c>
    </row>
    <row r="3248" spans="1:10" x14ac:dyDescent="0.2">
      <c r="A3248" s="2">
        <v>3240</v>
      </c>
      <c r="B3248" s="14">
        <f>A3248*Assumptions!$B$12</f>
        <v>32.4</v>
      </c>
      <c r="C3248" s="15">
        <f>IF(A3248&lt;=Assumptions!$B$13,IF(OR(A3248=0,A3248=Assumptions!$B$13),0.5,1),0)*Assumptions!$B$12</f>
        <v>0</v>
      </c>
      <c r="D3248" s="12">
        <f>D3247*(1-Assumptions!$B$12*(Assumptions!$B$5+Assumptions!$B$6))</f>
        <v>0.37827046279941989</v>
      </c>
      <c r="E3248" s="12">
        <f>E3247+Assumptions!$B$12*(D3247*Assumptions!$B$5-E3247*Assumptions!$B$7)</f>
        <v>0.18045192317645067</v>
      </c>
      <c r="F3248" s="12">
        <f t="shared" si="150"/>
        <v>0.44127761402412946</v>
      </c>
      <c r="G3248" s="12">
        <f>EXP(-Assumptions!$B$8*B3248)</f>
        <v>0.19789869908361465</v>
      </c>
      <c r="H3248" s="12">
        <f t="shared" si="151"/>
        <v>7.4859232489762048E-2</v>
      </c>
      <c r="I3248" s="12">
        <f t="shared" si="152"/>
        <v>3.5711200843755959E-2</v>
      </c>
      <c r="J3248" s="12">
        <f>G3248*(D3248*Assumptions!$B$6+E3248*Assumptions!$B$7)</f>
        <v>2.5341523670854189E-3</v>
      </c>
    </row>
    <row r="3249" spans="1:10" x14ac:dyDescent="0.2">
      <c r="A3249" s="2">
        <v>3241</v>
      </c>
      <c r="B3249" s="14">
        <f>A3249*Assumptions!$B$12</f>
        <v>32.410000000000004</v>
      </c>
      <c r="C3249" s="15">
        <f>IF(A3249&lt;=Assumptions!$B$13,IF(OR(A3249=0,A3249=Assumptions!$B$13),0.5,1),0)*Assumptions!$B$12</f>
        <v>0</v>
      </c>
      <c r="D3249" s="12">
        <f>D3248*(1-Assumptions!$B$12*(Assumptions!$B$5+Assumptions!$B$6))</f>
        <v>0.37815698166058009</v>
      </c>
      <c r="E3249" s="12">
        <f>E3248+Assumptions!$B$12*(D3248*Assumptions!$B$5-E3248*Assumptions!$B$7)</f>
        <v>0.18043735130742233</v>
      </c>
      <c r="F3249" s="12">
        <f t="shared" si="150"/>
        <v>0.44140566703199757</v>
      </c>
      <c r="G3249" s="12">
        <f>EXP(-Assumptions!$B$8*B3249)</f>
        <v>0.19779977446728783</v>
      </c>
      <c r="H3249" s="12">
        <f t="shared" si="151"/>
        <v>7.4799365685693037E-2</v>
      </c>
      <c r="I3249" s="12">
        <f t="shared" si="152"/>
        <v>3.5690467394082923E-2</v>
      </c>
      <c r="J3249" s="12">
        <f>G3249*(D3249*Assumptions!$B$6+E3249*Assumptions!$B$7)</f>
        <v>2.5325170265610764E-3</v>
      </c>
    </row>
    <row r="3250" spans="1:10" x14ac:dyDescent="0.2">
      <c r="A3250" s="2">
        <v>3242</v>
      </c>
      <c r="B3250" s="14">
        <f>A3250*Assumptions!$B$12</f>
        <v>32.42</v>
      </c>
      <c r="C3250" s="15">
        <f>IF(A3250&lt;=Assumptions!$B$13,IF(OR(A3250=0,A3250=Assumptions!$B$13),0.5,1),0)*Assumptions!$B$12</f>
        <v>0</v>
      </c>
      <c r="D3250" s="12">
        <f>D3249*(1-Assumptions!$B$12*(Assumptions!$B$5+Assumptions!$B$6))</f>
        <v>0.37804353456608192</v>
      </c>
      <c r="E3250" s="12">
        <f>E3249+Assumptions!$B$12*(D3249*Assumptions!$B$5-E3249*Assumptions!$B$7)</f>
        <v>0.18042276402810073</v>
      </c>
      <c r="F3250" s="12">
        <f t="shared" si="150"/>
        <v>0.44153370140581727</v>
      </c>
      <c r="G3250" s="12">
        <f>EXP(-Assumptions!$B$8*B3250)</f>
        <v>0.1977008993009057</v>
      </c>
      <c r="H3250" s="12">
        <f t="shared" si="151"/>
        <v>7.4739546758607431E-2</v>
      </c>
      <c r="I3250" s="12">
        <f t="shared" si="152"/>
        <v>3.5669742702710616E-2</v>
      </c>
      <c r="J3250" s="12">
        <f>G3250*(D3250*Assumptions!$B$6+E3250*Assumptions!$B$7)</f>
        <v>2.5308826027216052E-3</v>
      </c>
    </row>
    <row r="3251" spans="1:10" x14ac:dyDescent="0.2">
      <c r="A3251" s="2">
        <v>3243</v>
      </c>
      <c r="B3251" s="14">
        <f>A3251*Assumptions!$B$12</f>
        <v>32.43</v>
      </c>
      <c r="C3251" s="15">
        <f>IF(A3251&lt;=Assumptions!$B$13,IF(OR(A3251=0,A3251=Assumptions!$B$13),0.5,1),0)*Assumptions!$B$12</f>
        <v>0</v>
      </c>
      <c r="D3251" s="12">
        <f>D3250*(1-Assumptions!$B$12*(Assumptions!$B$5+Assumptions!$B$6))</f>
        <v>0.37793012150571209</v>
      </c>
      <c r="E3251" s="12">
        <f>E3250+Assumptions!$B$12*(D3250*Assumptions!$B$5-E3250*Assumptions!$B$7)</f>
        <v>0.18040816135299989</v>
      </c>
      <c r="F3251" s="12">
        <f t="shared" si="150"/>
        <v>0.4416617171412881</v>
      </c>
      <c r="G3251" s="12">
        <f>EXP(-Assumptions!$B$8*B3251)</f>
        <v>0.1976020735597494</v>
      </c>
      <c r="H3251" s="12">
        <f t="shared" si="151"/>
        <v>7.4679775670216747E-2</v>
      </c>
      <c r="I3251" s="12">
        <f t="shared" si="152"/>
        <v>3.5649026770454624E-2</v>
      </c>
      <c r="J3251" s="12">
        <f>G3251*(D3251*Assumptions!$B$6+E3251*Assumptions!$B$7)</f>
        <v>2.5292490952248991E-3</v>
      </c>
    </row>
    <row r="3252" spans="1:10" x14ac:dyDescent="0.2">
      <c r="A3252" s="2">
        <v>3244</v>
      </c>
      <c r="B3252" s="14">
        <f>A3252*Assumptions!$B$12</f>
        <v>32.44</v>
      </c>
      <c r="C3252" s="15">
        <f>IF(A3252&lt;=Assumptions!$B$13,IF(OR(A3252=0,A3252=Assumptions!$B$13),0.5,1),0)*Assumptions!$B$12</f>
        <v>0</v>
      </c>
      <c r="D3252" s="12">
        <f>D3251*(1-Assumptions!$B$12*(Assumptions!$B$5+Assumptions!$B$6))</f>
        <v>0.37781674246926039</v>
      </c>
      <c r="E3252" s="12">
        <f>E3251+Assumptions!$B$12*(D3251*Assumptions!$B$5-E3251*Assumptions!$B$7)</f>
        <v>0.18039354329662452</v>
      </c>
      <c r="F3252" s="12">
        <f t="shared" si="150"/>
        <v>0.44178971423411506</v>
      </c>
      <c r="G3252" s="12">
        <f>EXP(-Assumptions!$B$8*B3252)</f>
        <v>0.19750329721911258</v>
      </c>
      <c r="H3252" s="12">
        <f t="shared" si="151"/>
        <v>7.4620052382263255E-2</v>
      </c>
      <c r="I3252" s="12">
        <f t="shared" si="152"/>
        <v>3.5628319598122085E-2</v>
      </c>
      <c r="J3252" s="12">
        <f>G3252*(D3252*Assumptions!$B$6+E3252*Assumptions!$B$7)</f>
        <v>2.5276165037287374E-3</v>
      </c>
    </row>
    <row r="3253" spans="1:10" x14ac:dyDescent="0.2">
      <c r="A3253" s="2">
        <v>3245</v>
      </c>
      <c r="B3253" s="14">
        <f>A3253*Assumptions!$B$12</f>
        <v>32.450000000000003</v>
      </c>
      <c r="C3253" s="15">
        <f>IF(A3253&lt;=Assumptions!$B$13,IF(OR(A3253=0,A3253=Assumptions!$B$13),0.5,1),0)*Assumptions!$B$12</f>
        <v>0</v>
      </c>
      <c r="D3253" s="12">
        <f>D3252*(1-Assumptions!$B$12*(Assumptions!$B$5+Assumptions!$B$6))</f>
        <v>0.37770339744651965</v>
      </c>
      <c r="E3253" s="12">
        <f>E3252+Assumptions!$B$12*(D3252*Assumptions!$B$5-E3252*Assumptions!$B$7)</f>
        <v>0.18037890987347005</v>
      </c>
      <c r="F3253" s="12">
        <f t="shared" si="150"/>
        <v>0.44191769268001035</v>
      </c>
      <c r="G3253" s="12">
        <f>EXP(-Assumptions!$B$8*B3253)</f>
        <v>0.19740457025430097</v>
      </c>
      <c r="H3253" s="12">
        <f t="shared" si="151"/>
        <v>7.4560376856519645E-2</v>
      </c>
      <c r="I3253" s="12">
        <f t="shared" si="152"/>
        <v>3.5607621186511638E-2</v>
      </c>
      <c r="J3253" s="12">
        <f>G3253*(D3253*Assumptions!$B$6+E3253*Assumptions!$B$7)</f>
        <v>2.5259848278907787E-3</v>
      </c>
    </row>
    <row r="3254" spans="1:10" x14ac:dyDescent="0.2">
      <c r="A3254" s="2">
        <v>3246</v>
      </c>
      <c r="B3254" s="14">
        <f>A3254*Assumptions!$B$12</f>
        <v>32.46</v>
      </c>
      <c r="C3254" s="15">
        <f>IF(A3254&lt;=Assumptions!$B$13,IF(OR(A3254=0,A3254=Assumptions!$B$13),0.5,1),0)*Assumptions!$B$12</f>
        <v>0</v>
      </c>
      <c r="D3254" s="12">
        <f>D3253*(1-Assumptions!$B$12*(Assumptions!$B$5+Assumptions!$B$6))</f>
        <v>0.3775900864272857</v>
      </c>
      <c r="E3254" s="12">
        <f>E3253+Assumptions!$B$12*(D3253*Assumptions!$B$5-E3253*Assumptions!$B$7)</f>
        <v>0.18036426109802262</v>
      </c>
      <c r="F3254" s="12">
        <f t="shared" si="150"/>
        <v>0.44204565247469174</v>
      </c>
      <c r="G3254" s="12">
        <f>EXP(-Assumptions!$B$8*B3254)</f>
        <v>0.19730589264063303</v>
      </c>
      <c r="H3254" s="12">
        <f t="shared" si="151"/>
        <v>7.4500749054789372E-2</v>
      </c>
      <c r="I3254" s="12">
        <f t="shared" si="152"/>
        <v>3.5586931536413555E-2</v>
      </c>
      <c r="J3254" s="12">
        <f>G3254*(D3254*Assumptions!$B$6+E3254*Assumptions!$B$7)</f>
        <v>2.5243540673685716E-3</v>
      </c>
    </row>
    <row r="3255" spans="1:10" x14ac:dyDescent="0.2">
      <c r="A3255" s="2">
        <v>3247</v>
      </c>
      <c r="B3255" s="14">
        <f>A3255*Assumptions!$B$12</f>
        <v>32.47</v>
      </c>
      <c r="C3255" s="15">
        <f>IF(A3255&lt;=Assumptions!$B$13,IF(OR(A3255=0,A3255=Assumptions!$B$13),0.5,1),0)*Assumptions!$B$12</f>
        <v>0</v>
      </c>
      <c r="D3255" s="12">
        <f>D3254*(1-Assumptions!$B$12*(Assumptions!$B$5+Assumptions!$B$6))</f>
        <v>0.37747680940135753</v>
      </c>
      <c r="E3255" s="12">
        <f>E3254+Assumptions!$B$12*(D3254*Assumptions!$B$5-E3254*Assumptions!$B$7)</f>
        <v>0.18034959698475905</v>
      </c>
      <c r="F3255" s="12">
        <f t="shared" si="150"/>
        <v>0.44217359361388342</v>
      </c>
      <c r="G3255" s="12">
        <f>EXP(-Assumptions!$B$8*B3255)</f>
        <v>0.19720726435343933</v>
      </c>
      <c r="H3255" s="12">
        <f t="shared" si="151"/>
        <v>7.4441168938906344E-2</v>
      </c>
      <c r="I3255" s="12">
        <f t="shared" si="152"/>
        <v>3.5566250648609625E-2</v>
      </c>
      <c r="J3255" s="12">
        <f>G3255*(D3255*Assumptions!$B$6+E3255*Assumptions!$B$7)</f>
        <v>2.5227242218195446E-3</v>
      </c>
    </row>
    <row r="3256" spans="1:10" x14ac:dyDescent="0.2">
      <c r="A3256" s="2">
        <v>3248</v>
      </c>
      <c r="B3256" s="14">
        <f>A3256*Assumptions!$B$12</f>
        <v>32.480000000000004</v>
      </c>
      <c r="C3256" s="15">
        <f>IF(A3256&lt;=Assumptions!$B$13,IF(OR(A3256=0,A3256=Assumptions!$B$13),0.5,1),0)*Assumptions!$B$12</f>
        <v>0</v>
      </c>
      <c r="D3256" s="12">
        <f>D3255*(1-Assumptions!$B$12*(Assumptions!$B$5+Assumptions!$B$6))</f>
        <v>0.37736356635853713</v>
      </c>
      <c r="E3256" s="12">
        <f>E3255+Assumptions!$B$12*(D3255*Assumptions!$B$5-E3255*Assumptions!$B$7)</f>
        <v>0.18033491754814696</v>
      </c>
      <c r="F3256" s="12">
        <f t="shared" si="150"/>
        <v>0.44230151609331597</v>
      </c>
      <c r="G3256" s="12">
        <f>EXP(-Assumptions!$B$8*B3256)</f>
        <v>0.19710868536806259</v>
      </c>
      <c r="H3256" s="12">
        <f t="shared" si="151"/>
        <v>7.4381636470734896E-2</v>
      </c>
      <c r="I3256" s="12">
        <f t="shared" si="152"/>
        <v>3.554557852387321E-2</v>
      </c>
      <c r="J3256" s="12">
        <f>G3256*(D3256*Assumptions!$B$6+E3256*Assumptions!$B$7)</f>
        <v>2.5210952909010096E-3</v>
      </c>
    </row>
    <row r="3257" spans="1:10" x14ac:dyDescent="0.2">
      <c r="A3257" s="2">
        <v>3249</v>
      </c>
      <c r="B3257" s="14">
        <f>A3257*Assumptions!$B$12</f>
        <v>32.49</v>
      </c>
      <c r="C3257" s="15">
        <f>IF(A3257&lt;=Assumptions!$B$13,IF(OR(A3257=0,A3257=Assumptions!$B$13),0.5,1),0)*Assumptions!$B$12</f>
        <v>0</v>
      </c>
      <c r="D3257" s="12">
        <f>D3256*(1-Assumptions!$B$12*(Assumptions!$B$5+Assumptions!$B$6))</f>
        <v>0.3772503572886296</v>
      </c>
      <c r="E3257" s="12">
        <f>E3256+Assumptions!$B$12*(D3256*Assumptions!$B$5-E3256*Assumptions!$B$7)</f>
        <v>0.18032022280264459</v>
      </c>
      <c r="F3257" s="12">
        <f t="shared" si="150"/>
        <v>0.44242941990872575</v>
      </c>
      <c r="G3257" s="12">
        <f>EXP(-Assumptions!$B$8*B3257)</f>
        <v>0.19701015565985833</v>
      </c>
      <c r="H3257" s="12">
        <f t="shared" si="151"/>
        <v>7.4322151612170081E-2</v>
      </c>
      <c r="I3257" s="12">
        <f t="shared" si="152"/>
        <v>3.5524915162969344E-2</v>
      </c>
      <c r="J3257" s="12">
        <f>G3257*(D3257*Assumptions!$B$6+E3257*Assumptions!$B$7)</f>
        <v>2.5194672742701683E-3</v>
      </c>
    </row>
    <row r="3258" spans="1:10" x14ac:dyDescent="0.2">
      <c r="A3258" s="2">
        <v>3250</v>
      </c>
      <c r="B3258" s="14">
        <f>A3258*Assumptions!$B$12</f>
        <v>32.5</v>
      </c>
      <c r="C3258" s="15">
        <f>IF(A3258&lt;=Assumptions!$B$13,IF(OR(A3258=0,A3258=Assumptions!$B$13),0.5,1),0)*Assumptions!$B$12</f>
        <v>0</v>
      </c>
      <c r="D3258" s="12">
        <f>D3257*(1-Assumptions!$B$12*(Assumptions!$B$5+Assumptions!$B$6))</f>
        <v>0.37713718218144304</v>
      </c>
      <c r="E3258" s="12">
        <f>E3257+Assumptions!$B$12*(D3257*Assumptions!$B$5-E3257*Assumptions!$B$7)</f>
        <v>0.18030551276270099</v>
      </c>
      <c r="F3258" s="12">
        <f t="shared" si="150"/>
        <v>0.44255730505585589</v>
      </c>
      <c r="G3258" s="12">
        <f>EXP(-Assumptions!$B$8*B3258)</f>
        <v>0.19691167520419406</v>
      </c>
      <c r="H3258" s="12">
        <f t="shared" si="151"/>
        <v>7.4262714325137272E-2</v>
      </c>
      <c r="I3258" s="12">
        <f t="shared" si="152"/>
        <v>3.5504260566654643E-2</v>
      </c>
      <c r="J3258" s="12">
        <f>G3258*(D3258*Assumptions!$B$6+E3258*Assumptions!$B$7)</f>
        <v>2.5178401715841049E-3</v>
      </c>
    </row>
    <row r="3259" spans="1:10" x14ac:dyDescent="0.2">
      <c r="A3259" s="2">
        <v>3251</v>
      </c>
      <c r="B3259" s="14">
        <f>A3259*Assumptions!$B$12</f>
        <v>32.51</v>
      </c>
      <c r="C3259" s="15">
        <f>IF(A3259&lt;=Assumptions!$B$13,IF(OR(A3259=0,A3259=Assumptions!$B$13),0.5,1),0)*Assumptions!$B$12</f>
        <v>0</v>
      </c>
      <c r="D3259" s="12">
        <f>D3258*(1-Assumptions!$B$12*(Assumptions!$B$5+Assumptions!$B$6))</f>
        <v>0.3770240410267886</v>
      </c>
      <c r="E3259" s="12">
        <f>E3258+Assumptions!$B$12*(D3258*Assumptions!$B$5-E3258*Assumptions!$B$7)</f>
        <v>0.18029078744275592</v>
      </c>
      <c r="F3259" s="12">
        <f t="shared" si="150"/>
        <v>0.44268517153045539</v>
      </c>
      <c r="G3259" s="12">
        <f>EXP(-Assumptions!$B$8*B3259)</f>
        <v>0.19681324397644956</v>
      </c>
      <c r="H3259" s="12">
        <f t="shared" si="151"/>
        <v>7.4203324571592275E-2</v>
      </c>
      <c r="I3259" s="12">
        <f t="shared" si="152"/>
        <v>3.5483614735677328E-2</v>
      </c>
      <c r="J3259" s="12">
        <f>G3259*(D3259*Assumptions!$B$6+E3259*Assumptions!$B$7)</f>
        <v>2.5162139824997896E-3</v>
      </c>
    </row>
    <row r="3260" spans="1:10" x14ac:dyDescent="0.2">
      <c r="A3260" s="2">
        <v>3252</v>
      </c>
      <c r="B3260" s="14">
        <f>A3260*Assumptions!$B$12</f>
        <v>32.520000000000003</v>
      </c>
      <c r="C3260" s="15">
        <f>IF(A3260&lt;=Assumptions!$B$13,IF(OR(A3260=0,A3260=Assumptions!$B$13),0.5,1),0)*Assumptions!$B$12</f>
        <v>0</v>
      </c>
      <c r="D3260" s="12">
        <f>D3259*(1-Assumptions!$B$12*(Assumptions!$B$5+Assumptions!$B$6))</f>
        <v>0.3769109338144806</v>
      </c>
      <c r="E3260" s="12">
        <f>E3259+Assumptions!$B$12*(D3259*Assumptions!$B$5-E3259*Assumptions!$B$7)</f>
        <v>0.18027604685723991</v>
      </c>
      <c r="F3260" s="12">
        <f t="shared" si="150"/>
        <v>0.44281301932827949</v>
      </c>
      <c r="G3260" s="12">
        <f>EXP(-Assumptions!$B$8*B3260)</f>
        <v>0.19671486195201698</v>
      </c>
      <c r="H3260" s="12">
        <f t="shared" si="151"/>
        <v>7.4143982313521359E-2</v>
      </c>
      <c r="I3260" s="12">
        <f t="shared" si="152"/>
        <v>3.5462977670777295E-2</v>
      </c>
      <c r="J3260" s="12">
        <f>G3260*(D3260*Assumptions!$B$6+E3260*Assumptions!$B$7)</f>
        <v>2.5145887066740781E-3</v>
      </c>
    </row>
    <row r="3261" spans="1:10" x14ac:dyDescent="0.2">
      <c r="A3261" s="2">
        <v>3253</v>
      </c>
      <c r="B3261" s="14">
        <f>A3261*Assumptions!$B$12</f>
        <v>32.53</v>
      </c>
      <c r="C3261" s="15">
        <f>IF(A3261&lt;=Assumptions!$B$13,IF(OR(A3261=0,A3261=Assumptions!$B$13),0.5,1),0)*Assumptions!$B$12</f>
        <v>0</v>
      </c>
      <c r="D3261" s="12">
        <f>D3260*(1-Assumptions!$B$12*(Assumptions!$B$5+Assumptions!$B$6))</f>
        <v>0.37679786053433628</v>
      </c>
      <c r="E3261" s="12">
        <f>E3260+Assumptions!$B$12*(D3260*Assumptions!$B$5-E3260*Assumptions!$B$7)</f>
        <v>0.1802612910205742</v>
      </c>
      <c r="F3261" s="12">
        <f t="shared" si="150"/>
        <v>0.44294084844508952</v>
      </c>
      <c r="G3261" s="12">
        <f>EXP(-Assumptions!$B$8*B3261)</f>
        <v>0.19661652910630106</v>
      </c>
      <c r="H3261" s="12">
        <f t="shared" si="151"/>
        <v>7.4084687512941297E-2</v>
      </c>
      <c r="I3261" s="12">
        <f t="shared" si="152"/>
        <v>3.5442349372686137E-2</v>
      </c>
      <c r="J3261" s="12">
        <f>G3261*(D3261*Assumptions!$B$6+E3261*Assumptions!$B$7)</f>
        <v>2.5129643437637201E-3</v>
      </c>
    </row>
    <row r="3262" spans="1:10" x14ac:dyDescent="0.2">
      <c r="A3262" s="2">
        <v>3254</v>
      </c>
      <c r="B3262" s="14">
        <f>A3262*Assumptions!$B$12</f>
        <v>32.54</v>
      </c>
      <c r="C3262" s="15">
        <f>IF(A3262&lt;=Assumptions!$B$13,IF(OR(A3262=0,A3262=Assumptions!$B$13),0.5,1),0)*Assumptions!$B$12</f>
        <v>0</v>
      </c>
      <c r="D3262" s="12">
        <f>D3261*(1-Assumptions!$B$12*(Assumptions!$B$5+Assumptions!$B$6))</f>
        <v>0.37668482117617597</v>
      </c>
      <c r="E3262" s="12">
        <f>E3261+Assumptions!$B$12*(D3261*Assumptions!$B$5-E3261*Assumptions!$B$7)</f>
        <v>0.18024651994717078</v>
      </c>
      <c r="F3262" s="12">
        <f t="shared" si="150"/>
        <v>0.44306865887665325</v>
      </c>
      <c r="G3262" s="12">
        <f>EXP(-Assumptions!$B$8*B3262)</f>
        <v>0.19651824541471838</v>
      </c>
      <c r="H3262" s="12">
        <f t="shared" si="151"/>
        <v>7.4025440131899059E-2</v>
      </c>
      <c r="I3262" s="12">
        <f t="shared" si="152"/>
        <v>3.5421729842127041E-2</v>
      </c>
      <c r="J3262" s="12">
        <f>G3262*(D3262*Assumptions!$B$6+E3262*Assumptions!$B$7)</f>
        <v>2.5113408934253423E-3</v>
      </c>
    </row>
    <row r="3263" spans="1:10" x14ac:dyDescent="0.2">
      <c r="A3263" s="2">
        <v>3255</v>
      </c>
      <c r="B3263" s="14">
        <f>A3263*Assumptions!$B$12</f>
        <v>32.549999999999997</v>
      </c>
      <c r="C3263" s="15">
        <f>IF(A3263&lt;=Assumptions!$B$13,IF(OR(A3263=0,A3263=Assumptions!$B$13),0.5,1),0)*Assumptions!$B$12</f>
        <v>0</v>
      </c>
      <c r="D3263" s="12">
        <f>D3262*(1-Assumptions!$B$12*(Assumptions!$B$5+Assumptions!$B$6))</f>
        <v>0.37657181572982312</v>
      </c>
      <c r="E3263" s="12">
        <f>E3262+Assumptions!$B$12*(D3262*Assumptions!$B$5-E3262*Assumptions!$B$7)</f>
        <v>0.18023173365143244</v>
      </c>
      <c r="F3263" s="12">
        <f t="shared" si="150"/>
        <v>0.44319645061874446</v>
      </c>
      <c r="G3263" s="12">
        <f>EXP(-Assumptions!$B$8*B3263)</f>
        <v>0.19642001085269811</v>
      </c>
      <c r="H3263" s="12">
        <f t="shared" si="151"/>
        <v>7.3966240132472091E-2</v>
      </c>
      <c r="I3263" s="12">
        <f t="shared" si="152"/>
        <v>3.5401119079814955E-2</v>
      </c>
      <c r="J3263" s="12">
        <f>G3263*(D3263*Assumptions!$B$6+E3263*Assumptions!$B$7)</f>
        <v>2.5097183553154686E-3</v>
      </c>
    </row>
    <row r="3264" spans="1:10" x14ac:dyDescent="0.2">
      <c r="A3264" s="2">
        <v>3256</v>
      </c>
      <c r="B3264" s="14">
        <f>A3264*Assumptions!$B$12</f>
        <v>32.56</v>
      </c>
      <c r="C3264" s="15">
        <f>IF(A3264&lt;=Assumptions!$B$13,IF(OR(A3264=0,A3264=Assumptions!$B$13),0.5,1),0)*Assumptions!$B$12</f>
        <v>0</v>
      </c>
      <c r="D3264" s="12">
        <f>D3263*(1-Assumptions!$B$12*(Assumptions!$B$5+Assumptions!$B$6))</f>
        <v>0.37645884418510417</v>
      </c>
      <c r="E3264" s="12">
        <f>E3263+Assumptions!$B$12*(D3263*Assumptions!$B$5-E3263*Assumptions!$B$7)</f>
        <v>0.1802169321477527</v>
      </c>
      <c r="F3264" s="12">
        <f t="shared" si="150"/>
        <v>0.44332422366714308</v>
      </c>
      <c r="G3264" s="12">
        <f>EXP(-Assumptions!$B$8*B3264)</f>
        <v>0.19632182539568149</v>
      </c>
      <c r="H3264" s="12">
        <f t="shared" si="151"/>
        <v>7.390708747676808E-2</v>
      </c>
      <c r="I3264" s="12">
        <f t="shared" si="152"/>
        <v>3.5380517086456481E-2</v>
      </c>
      <c r="J3264" s="12">
        <f>G3264*(D3264*Assumptions!$B$6+E3264*Assumptions!$B$7)</f>
        <v>2.508096729090505E-3</v>
      </c>
    </row>
    <row r="3265" spans="1:10" x14ac:dyDescent="0.2">
      <c r="A3265" s="2">
        <v>3257</v>
      </c>
      <c r="B3265" s="14">
        <f>A3265*Assumptions!$B$12</f>
        <v>32.57</v>
      </c>
      <c r="C3265" s="15">
        <f>IF(A3265&lt;=Assumptions!$B$13,IF(OR(A3265=0,A3265=Assumptions!$B$13),0.5,1),0)*Assumptions!$B$12</f>
        <v>0</v>
      </c>
      <c r="D3265" s="12">
        <f>D3264*(1-Assumptions!$B$12*(Assumptions!$B$5+Assumptions!$B$6))</f>
        <v>0.37634590653184863</v>
      </c>
      <c r="E3265" s="12">
        <f>E3264+Assumptions!$B$12*(D3264*Assumptions!$B$5-E3264*Assumptions!$B$7)</f>
        <v>0.18020211545051584</v>
      </c>
      <c r="F3265" s="12">
        <f t="shared" si="150"/>
        <v>0.44345197801763553</v>
      </c>
      <c r="G3265" s="12">
        <f>EXP(-Assumptions!$B$8*B3265)</f>
        <v>0.19622368901912232</v>
      </c>
      <c r="H3265" s="12">
        <f t="shared" si="151"/>
        <v>7.3847982126925144E-2</v>
      </c>
      <c r="I3265" s="12">
        <f t="shared" si="152"/>
        <v>3.5359923862749998E-2</v>
      </c>
      <c r="J3265" s="12">
        <f>G3265*(D3265*Assumptions!$B$6+E3265*Assumptions!$B$7)</f>
        <v>2.5064760144067515E-3</v>
      </c>
    </row>
    <row r="3266" spans="1:10" x14ac:dyDescent="0.2">
      <c r="A3266" s="2">
        <v>3258</v>
      </c>
      <c r="B3266" s="14">
        <f>A3266*Assumptions!$B$12</f>
        <v>32.58</v>
      </c>
      <c r="C3266" s="15">
        <f>IF(A3266&lt;=Assumptions!$B$13,IF(OR(A3266=0,A3266=Assumptions!$B$13),0.5,1),0)*Assumptions!$B$12</f>
        <v>0</v>
      </c>
      <c r="D3266" s="12">
        <f>D3265*(1-Assumptions!$B$12*(Assumptions!$B$5+Assumptions!$B$6))</f>
        <v>0.37623300275988908</v>
      </c>
      <c r="E3266" s="12">
        <f>E3265+Assumptions!$B$12*(D3265*Assumptions!$B$5-E3265*Assumptions!$B$7)</f>
        <v>0.18018728357409697</v>
      </c>
      <c r="F3266" s="12">
        <f t="shared" si="150"/>
        <v>0.44357971366601401</v>
      </c>
      <c r="G3266" s="12">
        <f>EXP(-Assumptions!$B$8*B3266)</f>
        <v>0.19612560169848642</v>
      </c>
      <c r="H3266" s="12">
        <f t="shared" si="151"/>
        <v>7.3788924045111545E-2</v>
      </c>
      <c r="I3266" s="12">
        <f t="shared" si="152"/>
        <v>3.5339339409385565E-2</v>
      </c>
      <c r="J3266" s="12">
        <f>G3266*(D3266*Assumptions!$B$6+E3266*Assumptions!$B$7)</f>
        <v>2.5048562109203937E-3</v>
      </c>
    </row>
    <row r="3267" spans="1:10" x14ac:dyDescent="0.2">
      <c r="A3267" s="2">
        <v>3259</v>
      </c>
      <c r="B3267" s="14">
        <f>A3267*Assumptions!$B$12</f>
        <v>32.590000000000003</v>
      </c>
      <c r="C3267" s="15">
        <f>IF(A3267&lt;=Assumptions!$B$13,IF(OR(A3267=0,A3267=Assumptions!$B$13),0.5,1),0)*Assumptions!$B$12</f>
        <v>0</v>
      </c>
      <c r="D3267" s="12">
        <f>D3266*(1-Assumptions!$B$12*(Assumptions!$B$5+Assumptions!$B$6))</f>
        <v>0.37612013285906115</v>
      </c>
      <c r="E3267" s="12">
        <f>E3266+Assumptions!$B$12*(D3266*Assumptions!$B$5-E3266*Assumptions!$B$7)</f>
        <v>0.18017243653286188</v>
      </c>
      <c r="F3267" s="12">
        <f t="shared" si="150"/>
        <v>0.44370743060807705</v>
      </c>
      <c r="G3267" s="12">
        <f>EXP(-Assumptions!$B$8*B3267)</f>
        <v>0.19602756340925193</v>
      </c>
      <c r="H3267" s="12">
        <f t="shared" si="151"/>
        <v>7.372991319352587E-2</v>
      </c>
      <c r="I3267" s="12">
        <f t="shared" si="152"/>
        <v>3.5318763727045004E-2</v>
      </c>
      <c r="J3267" s="12">
        <f>G3267*(D3267*Assumptions!$B$6+E3267*Assumptions!$B$7)</f>
        <v>2.5032373182875089E-3</v>
      </c>
    </row>
    <row r="3268" spans="1:10" x14ac:dyDescent="0.2">
      <c r="A3268" s="2">
        <v>3260</v>
      </c>
      <c r="B3268" s="14">
        <f>A3268*Assumptions!$B$12</f>
        <v>32.6</v>
      </c>
      <c r="C3268" s="15">
        <f>IF(A3268&lt;=Assumptions!$B$13,IF(OR(A3268=0,A3268=Assumptions!$B$13),0.5,1),0)*Assumptions!$B$12</f>
        <v>0</v>
      </c>
      <c r="D3268" s="12">
        <f>D3267*(1-Assumptions!$B$12*(Assumptions!$B$5+Assumptions!$B$6))</f>
        <v>0.37600729681920342</v>
      </c>
      <c r="E3268" s="12">
        <f>E3267+Assumptions!$B$12*(D3267*Assumptions!$B$5-E3267*Assumptions!$B$7)</f>
        <v>0.18015757434116728</v>
      </c>
      <c r="F3268" s="12">
        <f t="shared" si="150"/>
        <v>0.44383512883962928</v>
      </c>
      <c r="G3268" s="12">
        <f>EXP(-Assumptions!$B$8*B3268)</f>
        <v>0.19592957412690934</v>
      </c>
      <c r="H3268" s="12">
        <f t="shared" si="151"/>
        <v>7.3670949534396915E-2</v>
      </c>
      <c r="I3268" s="12">
        <f t="shared" si="152"/>
        <v>3.5298196816401915E-2</v>
      </c>
      <c r="J3268" s="12">
        <f>G3268*(D3268*Assumptions!$B$6+E3268*Assumptions!$B$7)</f>
        <v>2.501619336164065E-3</v>
      </c>
    </row>
    <row r="3269" spans="1:10" x14ac:dyDescent="0.2">
      <c r="A3269" s="2">
        <v>3261</v>
      </c>
      <c r="B3269" s="14">
        <f>A3269*Assumptions!$B$12</f>
        <v>32.61</v>
      </c>
      <c r="C3269" s="15">
        <f>IF(A3269&lt;=Assumptions!$B$13,IF(OR(A3269=0,A3269=Assumptions!$B$13),0.5,1),0)*Assumptions!$B$12</f>
        <v>0</v>
      </c>
      <c r="D3269" s="12">
        <f>D3268*(1-Assumptions!$B$12*(Assumptions!$B$5+Assumptions!$B$6))</f>
        <v>0.37589449463015767</v>
      </c>
      <c r="E3269" s="12">
        <f>E3268+Assumptions!$B$12*(D3268*Assumptions!$B$5-E3268*Assumptions!$B$7)</f>
        <v>0.18014269701336053</v>
      </c>
      <c r="F3269" s="12">
        <f t="shared" si="150"/>
        <v>0.44396280835648183</v>
      </c>
      <c r="G3269" s="12">
        <f>EXP(-Assumptions!$B$8*B3269)</f>
        <v>0.19583163382696128</v>
      </c>
      <c r="H3269" s="12">
        <f t="shared" si="151"/>
        <v>7.3612033029983703E-2</v>
      </c>
      <c r="I3269" s="12">
        <f t="shared" si="152"/>
        <v>3.5277638678121649E-2</v>
      </c>
      <c r="J3269" s="12">
        <f>G3269*(D3269*Assumptions!$B$6+E3269*Assumptions!$B$7)</f>
        <v>2.50000226420592E-3</v>
      </c>
    </row>
    <row r="3270" spans="1:10" x14ac:dyDescent="0.2">
      <c r="A3270" s="2">
        <v>3262</v>
      </c>
      <c r="B3270" s="14">
        <f>A3270*Assumptions!$B$12</f>
        <v>32.619999999999997</v>
      </c>
      <c r="C3270" s="15">
        <f>IF(A3270&lt;=Assumptions!$B$13,IF(OR(A3270=0,A3270=Assumptions!$B$13),0.5,1),0)*Assumptions!$B$12</f>
        <v>0</v>
      </c>
      <c r="D3270" s="12">
        <f>D3269*(1-Assumptions!$B$12*(Assumptions!$B$5+Assumptions!$B$6))</f>
        <v>0.37578172628176865</v>
      </c>
      <c r="E3270" s="12">
        <f>E3269+Assumptions!$B$12*(D3269*Assumptions!$B$5-E3269*Assumptions!$B$7)</f>
        <v>0.18012780456377989</v>
      </c>
      <c r="F3270" s="12">
        <f t="shared" si="150"/>
        <v>0.44409046915445149</v>
      </c>
      <c r="G3270" s="12">
        <f>EXP(-Assumptions!$B$8*B3270)</f>
        <v>0.19573374248492273</v>
      </c>
      <c r="H3270" s="12">
        <f t="shared" si="151"/>
        <v>7.3553163642575428E-2</v>
      </c>
      <c r="I3270" s="12">
        <f t="shared" si="152"/>
        <v>3.5257089312861381E-2</v>
      </c>
      <c r="J3270" s="12">
        <f>G3270*(D3270*Assumptions!$B$6+E3270*Assumptions!$B$7)</f>
        <v>2.4983861020688235E-3</v>
      </c>
    </row>
    <row r="3271" spans="1:10" x14ac:dyDescent="0.2">
      <c r="A3271" s="2">
        <v>3263</v>
      </c>
      <c r="B3271" s="14">
        <f>A3271*Assumptions!$B$12</f>
        <v>32.630000000000003</v>
      </c>
      <c r="C3271" s="15">
        <f>IF(A3271&lt;=Assumptions!$B$13,IF(OR(A3271=0,A3271=Assumptions!$B$13),0.5,1),0)*Assumptions!$B$12</f>
        <v>0</v>
      </c>
      <c r="D3271" s="12">
        <f>D3270*(1-Assumptions!$B$12*(Assumptions!$B$5+Assumptions!$B$6))</f>
        <v>0.37566899176388413</v>
      </c>
      <c r="E3271" s="12">
        <f>E3270+Assumptions!$B$12*(D3270*Assumptions!$B$5-E3270*Assumptions!$B$7)</f>
        <v>0.18011289700675434</v>
      </c>
      <c r="F3271" s="12">
        <f t="shared" si="150"/>
        <v>0.4442181112293615</v>
      </c>
      <c r="G3271" s="12">
        <f>EXP(-Assumptions!$B$8*B3271)</f>
        <v>0.19563590007632078</v>
      </c>
      <c r="H3271" s="12">
        <f t="shared" si="151"/>
        <v>7.3494341334491411E-2</v>
      </c>
      <c r="I3271" s="12">
        <f t="shared" si="152"/>
        <v>3.523654872127005E-2</v>
      </c>
      <c r="J3271" s="12">
        <f>G3271*(D3271*Assumptions!$B$6+E3271*Assumptions!$B$7)</f>
        <v>2.4967708494084166E-3</v>
      </c>
    </row>
    <row r="3272" spans="1:10" x14ac:dyDescent="0.2">
      <c r="A3272" s="2">
        <v>3264</v>
      </c>
      <c r="B3272" s="14">
        <f>A3272*Assumptions!$B$12</f>
        <v>32.64</v>
      </c>
      <c r="C3272" s="15">
        <f>IF(A3272&lt;=Assumptions!$B$13,IF(OR(A3272=0,A3272=Assumptions!$B$13),0.5,1),0)*Assumptions!$B$12</f>
        <v>0</v>
      </c>
      <c r="D3272" s="12">
        <f>D3271*(1-Assumptions!$B$12*(Assumptions!$B$5+Assumptions!$B$6))</f>
        <v>0.37555629106635496</v>
      </c>
      <c r="E3272" s="12">
        <f>E3271+Assumptions!$B$12*(D3271*Assumptions!$B$5-E3271*Assumptions!$B$7)</f>
        <v>0.18009797435660374</v>
      </c>
      <c r="F3272" s="12">
        <f t="shared" ref="F3272:F3335" si="153">1-D3272-E3272</f>
        <v>0.44434573457704124</v>
      </c>
      <c r="G3272" s="12">
        <f>EXP(-Assumptions!$B$8*B3272)</f>
        <v>0.1955381065766949</v>
      </c>
      <c r="H3272" s="12">
        <f t="shared" ref="H3272:H3335" si="154">G3272*D3272</f>
        <v>7.3435566068081173E-2</v>
      </c>
      <c r="I3272" s="12">
        <f t="shared" ref="I3272:I3335" si="155">G3272*E3272</f>
        <v>3.5216016903988449E-2</v>
      </c>
      <c r="J3272" s="12">
        <f>G3272*(D3272*Assumptions!$B$6+E3272*Assumptions!$B$7)</f>
        <v>2.4951565058802341E-3</v>
      </c>
    </row>
    <row r="3273" spans="1:10" x14ac:dyDescent="0.2">
      <c r="A3273" s="2">
        <v>3265</v>
      </c>
      <c r="B3273" s="14">
        <f>A3273*Assumptions!$B$12</f>
        <v>32.65</v>
      </c>
      <c r="C3273" s="15">
        <f>IF(A3273&lt;=Assumptions!$B$13,IF(OR(A3273=0,A3273=Assumptions!$B$13),0.5,1),0)*Assumptions!$B$12</f>
        <v>0</v>
      </c>
      <c r="D3273" s="12">
        <f>D3272*(1-Assumptions!$B$12*(Assumptions!$B$5+Assumptions!$B$6))</f>
        <v>0.3754436241790351</v>
      </c>
      <c r="E3273" s="12">
        <f>E3272+Assumptions!$B$12*(D3272*Assumptions!$B$5-E3272*Assumptions!$B$7)</f>
        <v>0.18008303662763872</v>
      </c>
      <c r="F3273" s="12">
        <f t="shared" si="153"/>
        <v>0.44447333919332621</v>
      </c>
      <c r="G3273" s="12">
        <f>EXP(-Assumptions!$B$8*B3273)</f>
        <v>0.19544036196159667</v>
      </c>
      <c r="H3273" s="12">
        <f t="shared" si="154"/>
        <v>7.3376837805724293E-2</v>
      </c>
      <c r="I3273" s="12">
        <f t="shared" si="155"/>
        <v>3.5195493861649184E-2</v>
      </c>
      <c r="J3273" s="12">
        <f>G3273*(D3273*Assumptions!$B$6+E3273*Assumptions!$B$7)</f>
        <v>2.4935430711397022E-3</v>
      </c>
    </row>
    <row r="3274" spans="1:10" x14ac:dyDescent="0.2">
      <c r="A3274" s="2">
        <v>3266</v>
      </c>
      <c r="B3274" s="14">
        <f>A3274*Assumptions!$B$12</f>
        <v>32.660000000000004</v>
      </c>
      <c r="C3274" s="15">
        <f>IF(A3274&lt;=Assumptions!$B$13,IF(OR(A3274=0,A3274=Assumptions!$B$13),0.5,1),0)*Assumptions!$B$12</f>
        <v>0</v>
      </c>
      <c r="D3274" s="12">
        <f>D3273*(1-Assumptions!$B$12*(Assumptions!$B$5+Assumptions!$B$6))</f>
        <v>0.37533099109178142</v>
      </c>
      <c r="E3274" s="12">
        <f>E3273+Assumptions!$B$12*(D3273*Assumptions!$B$5-E3273*Assumptions!$B$7)</f>
        <v>0.1800680838341607</v>
      </c>
      <c r="F3274" s="12">
        <f t="shared" si="153"/>
        <v>0.4446009250740578</v>
      </c>
      <c r="G3274" s="12">
        <f>EXP(-Assumptions!$B$8*B3274)</f>
        <v>0.19534266620658994</v>
      </c>
      <c r="H3274" s="12">
        <f t="shared" si="154"/>
        <v>7.3318156509830437E-2</v>
      </c>
      <c r="I3274" s="12">
        <f t="shared" si="155"/>
        <v>3.5174979594876706E-2</v>
      </c>
      <c r="J3274" s="12">
        <f>G3274*(D3274*Assumptions!$B$6+E3274*Assumptions!$B$7)</f>
        <v>2.49193054484214E-3</v>
      </c>
    </row>
    <row r="3275" spans="1:10" x14ac:dyDescent="0.2">
      <c r="A3275" s="2">
        <v>3267</v>
      </c>
      <c r="B3275" s="14">
        <f>A3275*Assumptions!$B$12</f>
        <v>32.67</v>
      </c>
      <c r="C3275" s="15">
        <f>IF(A3275&lt;=Assumptions!$B$13,IF(OR(A3275=0,A3275=Assumptions!$B$13),0.5,1),0)*Assumptions!$B$12</f>
        <v>0</v>
      </c>
      <c r="D3275" s="12">
        <f>D3274*(1-Assumptions!$B$12*(Assumptions!$B$5+Assumptions!$B$6))</f>
        <v>0.37521839179445388</v>
      </c>
      <c r="E3275" s="12">
        <f>E3274+Assumptions!$B$12*(D3274*Assumptions!$B$5-E3274*Assumptions!$B$7)</f>
        <v>0.18005311599046198</v>
      </c>
      <c r="F3275" s="12">
        <f t="shared" si="153"/>
        <v>0.4447284922150842</v>
      </c>
      <c r="G3275" s="12">
        <f>EXP(-Assumptions!$B$8*B3275)</f>
        <v>0.1952450192872508</v>
      </c>
      <c r="H3275" s="12">
        <f t="shared" si="154"/>
        <v>7.3259522142839373E-2</v>
      </c>
      <c r="I3275" s="12">
        <f t="shared" si="155"/>
        <v>3.5154474104287355E-2</v>
      </c>
      <c r="J3275" s="12">
        <f>G3275*(D3275*Assumptions!$B$6+E3275*Assumptions!$B$7)</f>
        <v>2.4903189266427613E-3</v>
      </c>
    </row>
    <row r="3276" spans="1:10" x14ac:dyDescent="0.2">
      <c r="A3276" s="2">
        <v>3268</v>
      </c>
      <c r="B3276" s="14">
        <f>A3276*Assumptions!$B$12</f>
        <v>32.68</v>
      </c>
      <c r="C3276" s="15">
        <f>IF(A3276&lt;=Assumptions!$B$13,IF(OR(A3276=0,A3276=Assumptions!$B$13),0.5,1),0)*Assumptions!$B$12</f>
        <v>0</v>
      </c>
      <c r="D3276" s="12">
        <f>D3275*(1-Assumptions!$B$12*(Assumptions!$B$5+Assumptions!$B$6))</f>
        <v>0.37510582627691558</v>
      </c>
      <c r="E3276" s="12">
        <f>E3275+Assumptions!$B$12*(D3275*Assumptions!$B$5-E3275*Assumptions!$B$7)</f>
        <v>0.18003813311082564</v>
      </c>
      <c r="F3276" s="12">
        <f t="shared" si="153"/>
        <v>0.44485604061225881</v>
      </c>
      <c r="G3276" s="12">
        <f>EXP(-Assumptions!$B$8*B3276)</f>
        <v>0.1951474211791675</v>
      </c>
      <c r="H3276" s="12">
        <f t="shared" si="154"/>
        <v>7.3200934667220885E-2</v>
      </c>
      <c r="I3276" s="12">
        <f t="shared" si="155"/>
        <v>3.5133977390489311E-2</v>
      </c>
      <c r="J3276" s="12">
        <f>G3276*(D3276*Assumptions!$B$6+E3276*Assumptions!$B$7)</f>
        <v>2.4887082161966748E-3</v>
      </c>
    </row>
    <row r="3277" spans="1:10" x14ac:dyDescent="0.2">
      <c r="A3277" s="2">
        <v>3269</v>
      </c>
      <c r="B3277" s="14">
        <f>A3277*Assumptions!$B$12</f>
        <v>32.69</v>
      </c>
      <c r="C3277" s="15">
        <f>IF(A3277&lt;=Assumptions!$B$13,IF(OR(A3277=0,A3277=Assumptions!$B$13),0.5,1),0)*Assumptions!$B$12</f>
        <v>0</v>
      </c>
      <c r="D3277" s="12">
        <f>D3276*(1-Assumptions!$B$12*(Assumptions!$B$5+Assumptions!$B$6))</f>
        <v>0.37499329452903252</v>
      </c>
      <c r="E3277" s="12">
        <f>E3276+Assumptions!$B$12*(D3276*Assumptions!$B$5-E3276*Assumptions!$B$7)</f>
        <v>0.18002313520952562</v>
      </c>
      <c r="F3277" s="12">
        <f t="shared" si="153"/>
        <v>0.44498357026144186</v>
      </c>
      <c r="G3277" s="12">
        <f>EXP(-Assumptions!$B$8*B3277)</f>
        <v>0.19504987185794051</v>
      </c>
      <c r="H3277" s="12">
        <f t="shared" si="154"/>
        <v>7.3142394045474735E-2</v>
      </c>
      <c r="I3277" s="12">
        <f t="shared" si="155"/>
        <v>3.5113489454082672E-2</v>
      </c>
      <c r="J3277" s="12">
        <f>G3277*(D3277*Assumptions!$B$6+E3277*Assumptions!$B$7)</f>
        <v>2.4870984131588809E-3</v>
      </c>
    </row>
    <row r="3278" spans="1:10" x14ac:dyDescent="0.2">
      <c r="A3278" s="2">
        <v>3270</v>
      </c>
      <c r="B3278" s="14">
        <f>A3278*Assumptions!$B$12</f>
        <v>32.700000000000003</v>
      </c>
      <c r="C3278" s="15">
        <f>IF(A3278&lt;=Assumptions!$B$13,IF(OR(A3278=0,A3278=Assumptions!$B$13),0.5,1),0)*Assumptions!$B$12</f>
        <v>0</v>
      </c>
      <c r="D3278" s="12">
        <f>D3277*(1-Assumptions!$B$12*(Assumptions!$B$5+Assumptions!$B$6))</f>
        <v>0.3748807965406738</v>
      </c>
      <c r="E3278" s="12">
        <f>E3277+Assumptions!$B$12*(D3277*Assumptions!$B$5-E3277*Assumptions!$B$7)</f>
        <v>0.18000812230082666</v>
      </c>
      <c r="F3278" s="12">
        <f t="shared" si="153"/>
        <v>0.44511108115849962</v>
      </c>
      <c r="G3278" s="12">
        <f>EXP(-Assumptions!$B$8*B3278)</f>
        <v>0.19495237129918244</v>
      </c>
      <c r="H3278" s="12">
        <f t="shared" si="154"/>
        <v>7.3083900240130714E-2</v>
      </c>
      <c r="I3278" s="12">
        <f t="shared" si="155"/>
        <v>3.5093010295659401E-2</v>
      </c>
      <c r="J3278" s="12">
        <f>G3278*(D3278*Assumptions!$B$6+E3278*Assumptions!$B$7)</f>
        <v>2.4854895171842772E-3</v>
      </c>
    </row>
    <row r="3279" spans="1:10" x14ac:dyDescent="0.2">
      <c r="A3279" s="2">
        <v>3271</v>
      </c>
      <c r="B3279" s="14">
        <f>A3279*Assumptions!$B$12</f>
        <v>32.71</v>
      </c>
      <c r="C3279" s="15">
        <f>IF(A3279&lt;=Assumptions!$B$13,IF(OR(A3279=0,A3279=Assumptions!$B$13),0.5,1),0)*Assumptions!$B$12</f>
        <v>0</v>
      </c>
      <c r="D3279" s="12">
        <f>D3278*(1-Assumptions!$B$12*(Assumptions!$B$5+Assumptions!$B$6))</f>
        <v>0.37476833230171164</v>
      </c>
      <c r="E3279" s="12">
        <f>E3278+Assumptions!$B$12*(D3278*Assumptions!$B$5-E3278*Assumptions!$B$7)</f>
        <v>0.17999309439898439</v>
      </c>
      <c r="F3279" s="12">
        <f t="shared" si="153"/>
        <v>0.44523857329930394</v>
      </c>
      <c r="G3279" s="12">
        <f>EXP(-Assumptions!$B$8*B3279)</f>
        <v>0.1948549194785183</v>
      </c>
      <c r="H3279" s="12">
        <f t="shared" si="154"/>
        <v>7.3025453213748606E-2</v>
      </c>
      <c r="I3279" s="12">
        <f t="shared" si="155"/>
        <v>3.5072539915803447E-2</v>
      </c>
      <c r="J3279" s="12">
        <f>G3279*(D3279*Assumptions!$B$6+E3279*Assumptions!$B$7)</f>
        <v>2.4838815279276585E-3</v>
      </c>
    </row>
    <row r="3280" spans="1:10" x14ac:dyDescent="0.2">
      <c r="A3280" s="2">
        <v>3272</v>
      </c>
      <c r="B3280" s="14">
        <f>A3280*Assumptions!$B$12</f>
        <v>32.72</v>
      </c>
      <c r="C3280" s="15">
        <f>IF(A3280&lt;=Assumptions!$B$13,IF(OR(A3280=0,A3280=Assumptions!$B$13),0.5,1),0)*Assumptions!$B$12</f>
        <v>0</v>
      </c>
      <c r="D3280" s="12">
        <f>D3279*(1-Assumptions!$B$12*(Assumptions!$B$5+Assumptions!$B$6))</f>
        <v>0.37465590180202113</v>
      </c>
      <c r="E3280" s="12">
        <f>E3279+Assumptions!$B$12*(D3279*Assumptions!$B$5-E3279*Assumptions!$B$7)</f>
        <v>0.17997805151824525</v>
      </c>
      <c r="F3280" s="12">
        <f t="shared" si="153"/>
        <v>0.44536604667973362</v>
      </c>
      <c r="G3280" s="12">
        <f>EXP(-Assumptions!$B$8*B3280)</f>
        <v>0.194757516371585</v>
      </c>
      <c r="H3280" s="12">
        <f t="shared" si="154"/>
        <v>7.2967052928918072E-2</v>
      </c>
      <c r="I3280" s="12">
        <f t="shared" si="155"/>
        <v>3.5052078315090621E-2</v>
      </c>
      <c r="J3280" s="12">
        <f>G3280*(D3280*Assumptions!$B$6+E3280*Assumptions!$B$7)</f>
        <v>2.482274445043712E-3</v>
      </c>
    </row>
    <row r="3281" spans="1:10" x14ac:dyDescent="0.2">
      <c r="A3281" s="2">
        <v>3273</v>
      </c>
      <c r="B3281" s="14">
        <f>A3281*Assumptions!$B$12</f>
        <v>32.730000000000004</v>
      </c>
      <c r="C3281" s="15">
        <f>IF(A3281&lt;=Assumptions!$B$13,IF(OR(A3281=0,A3281=Assumptions!$B$13),0.5,1),0)*Assumptions!$B$12</f>
        <v>0</v>
      </c>
      <c r="D3281" s="12">
        <f>D3280*(1-Assumptions!$B$12*(Assumptions!$B$5+Assumptions!$B$6))</f>
        <v>0.37454350503148054</v>
      </c>
      <c r="E3281" s="12">
        <f>E3280+Assumptions!$B$12*(D3280*Assumptions!$B$5-E3280*Assumptions!$B$7)</f>
        <v>0.17996299367284654</v>
      </c>
      <c r="F3281" s="12">
        <f t="shared" si="153"/>
        <v>0.445493501295673</v>
      </c>
      <c r="G3281" s="12">
        <f>EXP(-Assumptions!$B$8*B3281)</f>
        <v>0.19466016195403177</v>
      </c>
      <c r="H3281" s="12">
        <f t="shared" si="154"/>
        <v>7.2908699348258721E-2</v>
      </c>
      <c r="I3281" s="12">
        <f t="shared" si="155"/>
        <v>3.5031625494088704E-2</v>
      </c>
      <c r="J3281" s="12">
        <f>G3281*(D3281*Assumptions!$B$6+E3281*Assumptions!$B$7)</f>
        <v>2.4806682681870226E-3</v>
      </c>
    </row>
    <row r="3282" spans="1:10" x14ac:dyDescent="0.2">
      <c r="A3282" s="2">
        <v>3274</v>
      </c>
      <c r="B3282" s="14">
        <f>A3282*Assumptions!$B$12</f>
        <v>32.74</v>
      </c>
      <c r="C3282" s="15">
        <f>IF(A3282&lt;=Assumptions!$B$13,IF(OR(A3282=0,A3282=Assumptions!$B$13),0.5,1),0)*Assumptions!$B$12</f>
        <v>0</v>
      </c>
      <c r="D3282" s="12">
        <f>D3281*(1-Assumptions!$B$12*(Assumptions!$B$5+Assumptions!$B$6))</f>
        <v>0.37443114197997113</v>
      </c>
      <c r="E3282" s="12">
        <f>E3281+Assumptions!$B$12*(D3281*Assumptions!$B$5-E3281*Assumptions!$B$7)</f>
        <v>0.17994792087701642</v>
      </c>
      <c r="F3282" s="12">
        <f t="shared" si="153"/>
        <v>0.44562093714301254</v>
      </c>
      <c r="G3282" s="12">
        <f>EXP(-Assumptions!$B$8*B3282)</f>
        <v>0.19456285620152011</v>
      </c>
      <c r="H3282" s="12">
        <f t="shared" si="154"/>
        <v>7.2850392434420083E-2</v>
      </c>
      <c r="I3282" s="12">
        <f t="shared" si="155"/>
        <v>3.5011181453357465E-2</v>
      </c>
      <c r="J3282" s="12">
        <f>G3282*(D3282*Assumptions!$B$6+E3282*Assumptions!$B$7)</f>
        <v>2.4790629970120742E-3</v>
      </c>
    </row>
    <row r="3283" spans="1:10" x14ac:dyDescent="0.2">
      <c r="A3283" s="2">
        <v>3275</v>
      </c>
      <c r="B3283" s="14">
        <f>A3283*Assumptions!$B$12</f>
        <v>32.75</v>
      </c>
      <c r="C3283" s="15">
        <f>IF(A3283&lt;=Assumptions!$B$13,IF(OR(A3283=0,A3283=Assumptions!$B$13),0.5,1),0)*Assumptions!$B$12</f>
        <v>0</v>
      </c>
      <c r="D3283" s="12">
        <f>D3282*(1-Assumptions!$B$12*(Assumptions!$B$5+Assumptions!$B$6))</f>
        <v>0.37431881263737715</v>
      </c>
      <c r="E3283" s="12">
        <f>E3282+Assumptions!$B$12*(D3282*Assumptions!$B$5-E3282*Assumptions!$B$7)</f>
        <v>0.17993283314497391</v>
      </c>
      <c r="F3283" s="12">
        <f t="shared" si="153"/>
        <v>0.44574835421764902</v>
      </c>
      <c r="G3283" s="12">
        <f>EXP(-Assumptions!$B$8*B3283)</f>
        <v>0.1944655990897235</v>
      </c>
      <c r="H3283" s="12">
        <f t="shared" si="154"/>
        <v>7.2792132150081512E-2</v>
      </c>
      <c r="I3283" s="12">
        <f t="shared" si="155"/>
        <v>3.4990746193448607E-2</v>
      </c>
      <c r="J3283" s="12">
        <f>G3283*(D3283*Assumptions!$B$6+E3283*Assumptions!$B$7)</f>
        <v>2.4774586311732453E-3</v>
      </c>
    </row>
    <row r="3284" spans="1:10" x14ac:dyDescent="0.2">
      <c r="A3284" s="2">
        <v>3276</v>
      </c>
      <c r="B3284" s="14">
        <f>A3284*Assumptions!$B$12</f>
        <v>32.76</v>
      </c>
      <c r="C3284" s="15">
        <f>IF(A3284&lt;=Assumptions!$B$13,IF(OR(A3284=0,A3284=Assumptions!$B$13),0.5,1),0)*Assumptions!$B$12</f>
        <v>0</v>
      </c>
      <c r="D3284" s="12">
        <f>D3283*(1-Assumptions!$B$12*(Assumptions!$B$5+Assumptions!$B$6))</f>
        <v>0.37420651699358592</v>
      </c>
      <c r="E3284" s="12">
        <f>E3283+Assumptions!$B$12*(D3283*Assumptions!$B$5-E3283*Assumptions!$B$7)</f>
        <v>0.17991773049092891</v>
      </c>
      <c r="F3284" s="12">
        <f t="shared" si="153"/>
        <v>0.44587575251548511</v>
      </c>
      <c r="G3284" s="12">
        <f>EXP(-Assumptions!$B$8*B3284)</f>
        <v>0.1943683905943277</v>
      </c>
      <c r="H3284" s="12">
        <f t="shared" si="154"/>
        <v>7.273391845795224E-2</v>
      </c>
      <c r="I3284" s="12">
        <f t="shared" si="155"/>
        <v>3.497031971490585E-2</v>
      </c>
      <c r="J3284" s="12">
        <f>G3284*(D3284*Assumptions!$B$6+E3284*Assumptions!$B$7)</f>
        <v>2.4758551703248153E-3</v>
      </c>
    </row>
    <row r="3285" spans="1:10" x14ac:dyDescent="0.2">
      <c r="A3285" s="2">
        <v>3277</v>
      </c>
      <c r="B3285" s="14">
        <f>A3285*Assumptions!$B$12</f>
        <v>32.770000000000003</v>
      </c>
      <c r="C3285" s="15">
        <f>IF(A3285&lt;=Assumptions!$B$13,IF(OR(A3285=0,A3285=Assumptions!$B$13),0.5,1),0)*Assumptions!$B$12</f>
        <v>0</v>
      </c>
      <c r="D3285" s="12">
        <f>D3284*(1-Assumptions!$B$12*(Assumptions!$B$5+Assumptions!$B$6))</f>
        <v>0.37409425503848787</v>
      </c>
      <c r="E3285" s="12">
        <f>E3284+Assumptions!$B$12*(D3284*Assumptions!$B$5-E3284*Assumptions!$B$7)</f>
        <v>0.17990261292908216</v>
      </c>
      <c r="F3285" s="12">
        <f t="shared" si="153"/>
        <v>0.44600313203243003</v>
      </c>
      <c r="G3285" s="12">
        <f>EXP(-Assumptions!$B$8*B3285)</f>
        <v>0.19427123069103047</v>
      </c>
      <c r="H3285" s="12">
        <f t="shared" si="154"/>
        <v>7.2675751320771267E-2</v>
      </c>
      <c r="I3285" s="12">
        <f t="shared" si="155"/>
        <v>3.4949902018264881E-2</v>
      </c>
      <c r="J3285" s="12">
        <f>G3285*(D3285*Assumptions!$B$6+E3285*Assumptions!$B$7)</f>
        <v>2.4742526141209569E-3</v>
      </c>
    </row>
    <row r="3286" spans="1:10" x14ac:dyDescent="0.2">
      <c r="A3286" s="2">
        <v>3278</v>
      </c>
      <c r="B3286" s="14">
        <f>A3286*Assumptions!$B$12</f>
        <v>32.78</v>
      </c>
      <c r="C3286" s="15">
        <f>IF(A3286&lt;=Assumptions!$B$13,IF(OR(A3286=0,A3286=Assumptions!$B$13),0.5,1),0)*Assumptions!$B$12</f>
        <v>0</v>
      </c>
      <c r="D3286" s="12">
        <f>D3285*(1-Assumptions!$B$12*(Assumptions!$B$5+Assumptions!$B$6))</f>
        <v>0.37398202676197634</v>
      </c>
      <c r="E3286" s="12">
        <f>E3285+Assumptions!$B$12*(D3285*Assumptions!$B$5-E3285*Assumptions!$B$7)</f>
        <v>0.17988748047362532</v>
      </c>
      <c r="F3286" s="12">
        <f t="shared" si="153"/>
        <v>0.44613049276439831</v>
      </c>
      <c r="G3286" s="12">
        <f>EXP(-Assumptions!$B$8*B3286)</f>
        <v>0.19417411935554199</v>
      </c>
      <c r="H3286" s="12">
        <f t="shared" si="154"/>
        <v>7.2617630701307487E-2</v>
      </c>
      <c r="I3286" s="12">
        <f t="shared" si="155"/>
        <v>3.4929493104053452E-2</v>
      </c>
      <c r="J3286" s="12">
        <f>G3286*(D3286*Assumptions!$B$6+E3286*Assumptions!$B$7)</f>
        <v>2.4726509622157475E-3</v>
      </c>
    </row>
    <row r="3287" spans="1:10" x14ac:dyDescent="0.2">
      <c r="A3287" s="2">
        <v>3279</v>
      </c>
      <c r="B3287" s="14">
        <f>A3287*Assumptions!$B$12</f>
        <v>32.79</v>
      </c>
      <c r="C3287" s="15">
        <f>IF(A3287&lt;=Assumptions!$B$13,IF(OR(A3287=0,A3287=Assumptions!$B$13),0.5,1),0)*Assumptions!$B$12</f>
        <v>0</v>
      </c>
      <c r="D3287" s="12">
        <f>D3286*(1-Assumptions!$B$12*(Assumptions!$B$5+Assumptions!$B$6))</f>
        <v>0.37386983215394776</v>
      </c>
      <c r="E3287" s="12">
        <f>E3286+Assumptions!$B$12*(D3286*Assumptions!$B$5-E3286*Assumptions!$B$7)</f>
        <v>0.1798723331387409</v>
      </c>
      <c r="F3287" s="12">
        <f t="shared" si="153"/>
        <v>0.44625783470731134</v>
      </c>
      <c r="G3287" s="12">
        <f>EXP(-Assumptions!$B$8*B3287)</f>
        <v>0.1940770565635844</v>
      </c>
      <c r="H3287" s="12">
        <f t="shared" si="154"/>
        <v>7.2559556562359517E-2</v>
      </c>
      <c r="I3287" s="12">
        <f t="shared" si="155"/>
        <v>3.4909092972791315E-2</v>
      </c>
      <c r="J3287" s="12">
        <f>G3287*(D3287*Assumptions!$B$6+E3287*Assumptions!$B$7)</f>
        <v>2.4710502142631613E-3</v>
      </c>
    </row>
    <row r="3288" spans="1:10" x14ac:dyDescent="0.2">
      <c r="A3288" s="2">
        <v>3280</v>
      </c>
      <c r="B3288" s="14">
        <f>A3288*Assumptions!$B$12</f>
        <v>32.799999999999997</v>
      </c>
      <c r="C3288" s="15">
        <f>IF(A3288&lt;=Assumptions!$B$13,IF(OR(A3288=0,A3288=Assumptions!$B$13),0.5,1),0)*Assumptions!$B$12</f>
        <v>0</v>
      </c>
      <c r="D3288" s="12">
        <f>D3287*(1-Assumptions!$B$12*(Assumptions!$B$5+Assumptions!$B$6))</f>
        <v>0.37375767120430159</v>
      </c>
      <c r="E3288" s="12">
        <f>E3287+Assumptions!$B$12*(D3287*Assumptions!$B$5-E3287*Assumptions!$B$7)</f>
        <v>0.17985717093860232</v>
      </c>
      <c r="F3288" s="12">
        <f t="shared" si="153"/>
        <v>0.44638515785709609</v>
      </c>
      <c r="G3288" s="12">
        <f>EXP(-Assumptions!$B$8*B3288)</f>
        <v>0.19398004229089191</v>
      </c>
      <c r="H3288" s="12">
        <f t="shared" si="154"/>
        <v>7.2501528866755691E-2</v>
      </c>
      <c r="I3288" s="12">
        <f t="shared" si="155"/>
        <v>3.4888701624990255E-2</v>
      </c>
      <c r="J3288" s="12">
        <f>G3288*(D3288*Assumptions!$B$6+E3288*Assumptions!$B$7)</f>
        <v>2.4694503699170698E-3</v>
      </c>
    </row>
    <row r="3289" spans="1:10" x14ac:dyDescent="0.2">
      <c r="A3289" s="2">
        <v>3281</v>
      </c>
      <c r="B3289" s="14">
        <f>A3289*Assumptions!$B$12</f>
        <v>32.81</v>
      </c>
      <c r="C3289" s="15">
        <f>IF(A3289&lt;=Assumptions!$B$13,IF(OR(A3289=0,A3289=Assumptions!$B$13),0.5,1),0)*Assumptions!$B$12</f>
        <v>0</v>
      </c>
      <c r="D3289" s="12">
        <f>D3288*(1-Assumptions!$B$12*(Assumptions!$B$5+Assumptions!$B$6))</f>
        <v>0.3736455439029403</v>
      </c>
      <c r="E3289" s="12">
        <f>E3288+Assumptions!$B$12*(D3288*Assumptions!$B$5-E3288*Assumptions!$B$7)</f>
        <v>0.17984199388737387</v>
      </c>
      <c r="F3289" s="12">
        <f t="shared" si="153"/>
        <v>0.44651246220968588</v>
      </c>
      <c r="G3289" s="12">
        <f>EXP(-Assumptions!$B$8*B3289)</f>
        <v>0.19388307651321093</v>
      </c>
      <c r="H3289" s="12">
        <f t="shared" si="154"/>
        <v>7.2443547577354092E-2</v>
      </c>
      <c r="I3289" s="12">
        <f t="shared" si="155"/>
        <v>3.4868319061154125E-2</v>
      </c>
      <c r="J3289" s="12">
        <f>G3289*(D3289*Assumptions!$B$6+E3289*Assumptions!$B$7)</f>
        <v>2.4678514288312471E-3</v>
      </c>
    </row>
    <row r="3290" spans="1:10" x14ac:dyDescent="0.2">
      <c r="A3290" s="2">
        <v>3282</v>
      </c>
      <c r="B3290" s="14">
        <f>A3290*Assumptions!$B$12</f>
        <v>32.82</v>
      </c>
      <c r="C3290" s="15">
        <f>IF(A3290&lt;=Assumptions!$B$13,IF(OR(A3290=0,A3290=Assumptions!$B$13),0.5,1),0)*Assumptions!$B$12</f>
        <v>0</v>
      </c>
      <c r="D3290" s="12">
        <f>D3289*(1-Assumptions!$B$12*(Assumptions!$B$5+Assumptions!$B$6))</f>
        <v>0.37353345023976942</v>
      </c>
      <c r="E3290" s="12">
        <f>E3289+Assumptions!$B$12*(D3289*Assumptions!$B$5-E3289*Assumptions!$B$7)</f>
        <v>0.17982680199921078</v>
      </c>
      <c r="F3290" s="12">
        <f t="shared" si="153"/>
        <v>0.44663974776101989</v>
      </c>
      <c r="G3290" s="12">
        <f>EXP(-Assumptions!$B$8*B3290)</f>
        <v>0.19378615920630021</v>
      </c>
      <c r="H3290" s="12">
        <f t="shared" si="154"/>
        <v>7.2385612657042575E-2</v>
      </c>
      <c r="I3290" s="12">
        <f t="shared" si="155"/>
        <v>3.4847945281778883E-2</v>
      </c>
      <c r="J3290" s="12">
        <f>G3290*(D3290*Assumptions!$B$6+E3290*Assumptions!$B$7)</f>
        <v>2.4662533906593702E-3</v>
      </c>
    </row>
    <row r="3291" spans="1:10" x14ac:dyDescent="0.2">
      <c r="A3291" s="2">
        <v>3283</v>
      </c>
      <c r="B3291" s="14">
        <f>A3291*Assumptions!$B$12</f>
        <v>32.83</v>
      </c>
      <c r="C3291" s="15">
        <f>IF(A3291&lt;=Assumptions!$B$13,IF(OR(A3291=0,A3291=Assumptions!$B$13),0.5,1),0)*Assumptions!$B$12</f>
        <v>0</v>
      </c>
      <c r="D3291" s="12">
        <f>D3290*(1-Assumptions!$B$12*(Assumptions!$B$5+Assumptions!$B$6))</f>
        <v>0.3734213902046975</v>
      </c>
      <c r="E3291" s="12">
        <f>E3290+Assumptions!$B$12*(D3290*Assumptions!$B$5-E3290*Assumptions!$B$7)</f>
        <v>0.17981159528825913</v>
      </c>
      <c r="F3291" s="12">
        <f t="shared" si="153"/>
        <v>0.44676701450704343</v>
      </c>
      <c r="G3291" s="12">
        <f>EXP(-Assumptions!$B$8*B3291)</f>
        <v>0.19368929034593027</v>
      </c>
      <c r="H3291" s="12">
        <f t="shared" si="154"/>
        <v>7.232772406873858E-2</v>
      </c>
      <c r="I3291" s="12">
        <f t="shared" si="155"/>
        <v>3.4827580287352528E-2</v>
      </c>
      <c r="J3291" s="12">
        <f>G3291*(D3291*Assumptions!$B$6+E3291*Assumptions!$B$7)</f>
        <v>2.4646562550550122E-3</v>
      </c>
    </row>
    <row r="3292" spans="1:10" x14ac:dyDescent="0.2">
      <c r="A3292" s="2">
        <v>3284</v>
      </c>
      <c r="B3292" s="14">
        <f>A3292*Assumptions!$B$12</f>
        <v>32.840000000000003</v>
      </c>
      <c r="C3292" s="15">
        <f>IF(A3292&lt;=Assumptions!$B$13,IF(OR(A3292=0,A3292=Assumptions!$B$13),0.5,1),0)*Assumptions!$B$12</f>
        <v>0</v>
      </c>
      <c r="D3292" s="12">
        <f>D3291*(1-Assumptions!$B$12*(Assumptions!$B$5+Assumptions!$B$6))</f>
        <v>0.37330936378763613</v>
      </c>
      <c r="E3292" s="12">
        <f>E3291+Assumptions!$B$12*(D3291*Assumptions!$B$5-E3291*Assumptions!$B$7)</f>
        <v>0.17979637376865593</v>
      </c>
      <c r="F3292" s="12">
        <f t="shared" si="153"/>
        <v>0.44689426244370795</v>
      </c>
      <c r="G3292" s="12">
        <f>EXP(-Assumptions!$B$8*B3292)</f>
        <v>0.19359246990788384</v>
      </c>
      <c r="H3292" s="12">
        <f t="shared" si="154"/>
        <v>7.2269881775389205E-2</v>
      </c>
      <c r="I3292" s="12">
        <f t="shared" si="155"/>
        <v>3.480722407835516E-2</v>
      </c>
      <c r="J3292" s="12">
        <f>G3292*(D3292*Assumptions!$B$6+E3292*Assumptions!$B$7)</f>
        <v>2.4630600216716501E-3</v>
      </c>
    </row>
    <row r="3293" spans="1:10" x14ac:dyDescent="0.2">
      <c r="A3293" s="2">
        <v>3285</v>
      </c>
      <c r="B3293" s="14">
        <f>A3293*Assumptions!$B$12</f>
        <v>32.85</v>
      </c>
      <c r="C3293" s="15">
        <f>IF(A3293&lt;=Assumptions!$B$13,IF(OR(A3293=0,A3293=Assumptions!$B$13),0.5,1),0)*Assumptions!$B$12</f>
        <v>0</v>
      </c>
      <c r="D3293" s="12">
        <f>D3292*(1-Assumptions!$B$12*(Assumptions!$B$5+Assumptions!$B$6))</f>
        <v>0.37319737097849986</v>
      </c>
      <c r="E3293" s="12">
        <f>E3292+Assumptions!$B$12*(D3292*Assumptions!$B$5-E3292*Assumptions!$B$7)</f>
        <v>0.17978113745452912</v>
      </c>
      <c r="F3293" s="12">
        <f t="shared" si="153"/>
        <v>0.44702149156697096</v>
      </c>
      <c r="G3293" s="12">
        <f>EXP(-Assumptions!$B$8*B3293)</f>
        <v>0.19349569786795603</v>
      </c>
      <c r="H3293" s="12">
        <f t="shared" si="154"/>
        <v>7.2212085739971316E-2</v>
      </c>
      <c r="I3293" s="12">
        <f t="shared" si="155"/>
        <v>3.4786876655259043E-2</v>
      </c>
      <c r="J3293" s="12">
        <f>G3293*(D3293*Assumptions!$B$6+E3293*Assumptions!$B$7)</f>
        <v>2.4614646901626649E-3</v>
      </c>
    </row>
    <row r="3294" spans="1:10" x14ac:dyDescent="0.2">
      <c r="A3294" s="2">
        <v>3286</v>
      </c>
      <c r="B3294" s="14">
        <f>A3294*Assumptions!$B$12</f>
        <v>32.86</v>
      </c>
      <c r="C3294" s="15">
        <f>IF(A3294&lt;=Assumptions!$B$13,IF(OR(A3294=0,A3294=Assumptions!$B$13),0.5,1),0)*Assumptions!$B$12</f>
        <v>0</v>
      </c>
      <c r="D3294" s="12">
        <f>D3293*(1-Assumptions!$B$12*(Assumptions!$B$5+Assumptions!$B$6))</f>
        <v>0.37308541176720633</v>
      </c>
      <c r="E3294" s="12">
        <f>E3293+Assumptions!$B$12*(D3293*Assumptions!$B$5-E3293*Assumptions!$B$7)</f>
        <v>0.17976588635999755</v>
      </c>
      <c r="F3294" s="12">
        <f t="shared" si="153"/>
        <v>0.44714870187279609</v>
      </c>
      <c r="G3294" s="12">
        <f>EXP(-Assumptions!$B$8*B3294)</f>
        <v>0.19339897420195362</v>
      </c>
      <c r="H3294" s="12">
        <f t="shared" si="154"/>
        <v>7.2154335925491184E-2</v>
      </c>
      <c r="I3294" s="12">
        <f t="shared" si="155"/>
        <v>3.4766538018528491E-2</v>
      </c>
      <c r="J3294" s="12">
        <f>G3294*(D3294*Assumptions!$B$6+E3294*Assumptions!$B$7)</f>
        <v>2.4598702601813364E-3</v>
      </c>
    </row>
    <row r="3295" spans="1:10" x14ac:dyDescent="0.2">
      <c r="A3295" s="2">
        <v>3287</v>
      </c>
      <c r="B3295" s="14">
        <f>A3295*Assumptions!$B$12</f>
        <v>32.869999999999997</v>
      </c>
      <c r="C3295" s="15">
        <f>IF(A3295&lt;=Assumptions!$B$13,IF(OR(A3295=0,A3295=Assumptions!$B$13),0.5,1),0)*Assumptions!$B$12</f>
        <v>0</v>
      </c>
      <c r="D3295" s="12">
        <f>D3294*(1-Assumptions!$B$12*(Assumptions!$B$5+Assumptions!$B$6))</f>
        <v>0.3729734861436762</v>
      </c>
      <c r="E3295" s="12">
        <f>E3294+Assumptions!$B$12*(D3294*Assumptions!$B$5-E3294*Assumptions!$B$7)</f>
        <v>0.17975062049917098</v>
      </c>
      <c r="F3295" s="12">
        <f t="shared" si="153"/>
        <v>0.44727589335715279</v>
      </c>
      <c r="G3295" s="12">
        <f>EXP(-Assumptions!$B$8*B3295)</f>
        <v>0.19330229888569581</v>
      </c>
      <c r="H3295" s="12">
        <f t="shared" si="154"/>
        <v>7.2096632294984822E-2</v>
      </c>
      <c r="I3295" s="12">
        <f t="shared" si="155"/>
        <v>3.4746208168620028E-2</v>
      </c>
      <c r="J3295" s="12">
        <f>G3295*(D3295*Assumptions!$B$6+E3295*Assumptions!$B$7)</f>
        <v>2.4582767313808497E-3</v>
      </c>
    </row>
    <row r="3296" spans="1:10" x14ac:dyDescent="0.2">
      <c r="A3296" s="2">
        <v>3288</v>
      </c>
      <c r="B3296" s="14">
        <f>A3296*Assumptions!$B$12</f>
        <v>32.880000000000003</v>
      </c>
      <c r="C3296" s="15">
        <f>IF(A3296&lt;=Assumptions!$B$13,IF(OR(A3296=0,A3296=Assumptions!$B$13),0.5,1),0)*Assumptions!$B$12</f>
        <v>0</v>
      </c>
      <c r="D3296" s="12">
        <f>D3295*(1-Assumptions!$B$12*(Assumptions!$B$5+Assumptions!$B$6))</f>
        <v>0.37286159409783309</v>
      </c>
      <c r="E3296" s="12">
        <f>E3295+Assumptions!$B$12*(D3295*Assumptions!$B$5-E3295*Assumptions!$B$7)</f>
        <v>0.17973533988615012</v>
      </c>
      <c r="F3296" s="12">
        <f t="shared" si="153"/>
        <v>0.44740306601601687</v>
      </c>
      <c r="G3296" s="12">
        <f>EXP(-Assumptions!$B$8*B3296)</f>
        <v>0.19320567189501364</v>
      </c>
      <c r="H3296" s="12">
        <f t="shared" si="154"/>
        <v>7.2038974811517692E-2</v>
      </c>
      <c r="I3296" s="12">
        <f t="shared" si="155"/>
        <v>3.4725887105982275E-2</v>
      </c>
      <c r="J3296" s="12">
        <f>G3296*(D3296*Assumptions!$B$6+E3296*Assumptions!$B$7)</f>
        <v>2.4566841034142908E-3</v>
      </c>
    </row>
    <row r="3297" spans="1:10" x14ac:dyDescent="0.2">
      <c r="A3297" s="2">
        <v>3289</v>
      </c>
      <c r="B3297" s="14">
        <f>A3297*Assumptions!$B$12</f>
        <v>32.89</v>
      </c>
      <c r="C3297" s="15">
        <f>IF(A3297&lt;=Assumptions!$B$13,IF(OR(A3297=0,A3297=Assumptions!$B$13),0.5,1),0)*Assumptions!$B$12</f>
        <v>0</v>
      </c>
      <c r="D3297" s="12">
        <f>D3296*(1-Assumptions!$B$12*(Assumptions!$B$5+Assumptions!$B$6))</f>
        <v>0.37274973561960373</v>
      </c>
      <c r="E3297" s="12">
        <f>E3296+Assumptions!$B$12*(D3296*Assumptions!$B$5-E3296*Assumptions!$B$7)</f>
        <v>0.1797200445350266</v>
      </c>
      <c r="F3297" s="12">
        <f t="shared" si="153"/>
        <v>0.44753021984536973</v>
      </c>
      <c r="G3297" s="12">
        <f>EXP(-Assumptions!$B$8*B3297)</f>
        <v>0.19310909320575054</v>
      </c>
      <c r="H3297" s="12">
        <f t="shared" si="154"/>
        <v>7.1981363438184925E-2</v>
      </c>
      <c r="I3297" s="12">
        <f t="shared" si="155"/>
        <v>3.4705574831056088E-2</v>
      </c>
      <c r="J3297" s="12">
        <f>G3297*(D3297*Assumptions!$B$6+E3297*Assumptions!$B$7)</f>
        <v>2.4550923759346539E-3</v>
      </c>
    </row>
    <row r="3298" spans="1:10" x14ac:dyDescent="0.2">
      <c r="A3298" s="2">
        <v>3290</v>
      </c>
      <c r="B3298" s="14">
        <f>A3298*Assumptions!$B$12</f>
        <v>32.9</v>
      </c>
      <c r="C3298" s="15">
        <f>IF(A3298&lt;=Assumptions!$B$13,IF(OR(A3298=0,A3298=Assumptions!$B$13),0.5,1),0)*Assumptions!$B$12</f>
        <v>0</v>
      </c>
      <c r="D3298" s="12">
        <f>D3297*(1-Assumptions!$B$12*(Assumptions!$B$5+Assumptions!$B$6))</f>
        <v>0.37263791069891788</v>
      </c>
      <c r="E3298" s="12">
        <f>E3297+Assumptions!$B$12*(D3297*Assumptions!$B$5-E3297*Assumptions!$B$7)</f>
        <v>0.179704734459883</v>
      </c>
      <c r="F3298" s="12">
        <f t="shared" si="153"/>
        <v>0.44765735484119906</v>
      </c>
      <c r="G3298" s="12">
        <f>EXP(-Assumptions!$B$8*B3298)</f>
        <v>0.19301256279376172</v>
      </c>
      <c r="H3298" s="12">
        <f t="shared" si="154"/>
        <v>7.1923798138111061E-2</v>
      </c>
      <c r="I3298" s="12">
        <f t="shared" si="155"/>
        <v>3.4685271344274446E-2</v>
      </c>
      <c r="J3298" s="12">
        <f>G3298*(D3298*Assumptions!$B$6+E3298*Assumptions!$B$7)</f>
        <v>2.4535015485948326E-3</v>
      </c>
    </row>
    <row r="3299" spans="1:10" x14ac:dyDescent="0.2">
      <c r="A3299" s="2">
        <v>3291</v>
      </c>
      <c r="B3299" s="14">
        <f>A3299*Assumptions!$B$12</f>
        <v>32.910000000000004</v>
      </c>
      <c r="C3299" s="15">
        <f>IF(A3299&lt;=Assumptions!$B$13,IF(OR(A3299=0,A3299=Assumptions!$B$13),0.5,1),0)*Assumptions!$B$12</f>
        <v>0</v>
      </c>
      <c r="D3299" s="12">
        <f>D3298*(1-Assumptions!$B$12*(Assumptions!$B$5+Assumptions!$B$6))</f>
        <v>0.37252611932570823</v>
      </c>
      <c r="E3299" s="12">
        <f>E3298+Assumptions!$B$12*(D3298*Assumptions!$B$5-E3298*Assumptions!$B$7)</f>
        <v>0.17968940967479283</v>
      </c>
      <c r="F3299" s="12">
        <f t="shared" si="153"/>
        <v>0.44778447099949892</v>
      </c>
      <c r="G3299" s="12">
        <f>EXP(-Assumptions!$B$8*B3299)</f>
        <v>0.19291608063491456</v>
      </c>
      <c r="H3299" s="12">
        <f t="shared" si="154"/>
        <v>7.1866278874450129E-2</v>
      </c>
      <c r="I3299" s="12">
        <f t="shared" si="155"/>
        <v>3.466497664606253E-2</v>
      </c>
      <c r="J3299" s="12">
        <f>G3299*(D3299*Assumptions!$B$6+E3299*Assumptions!$B$7)</f>
        <v>2.451911621047628E-3</v>
      </c>
    </row>
    <row r="3300" spans="1:10" x14ac:dyDescent="0.2">
      <c r="A3300" s="2">
        <v>3292</v>
      </c>
      <c r="B3300" s="14">
        <f>A3300*Assumptions!$B$12</f>
        <v>32.92</v>
      </c>
      <c r="C3300" s="15">
        <f>IF(A3300&lt;=Assumptions!$B$13,IF(OR(A3300=0,A3300=Assumptions!$B$13),0.5,1),0)*Assumptions!$B$12</f>
        <v>0</v>
      </c>
      <c r="D3300" s="12">
        <f>D3299*(1-Assumptions!$B$12*(Assumptions!$B$5+Assumptions!$B$6))</f>
        <v>0.37241436148991053</v>
      </c>
      <c r="E3300" s="12">
        <f>E3299+Assumptions!$B$12*(D3299*Assumptions!$B$5-E3299*Assumptions!$B$7)</f>
        <v>0.17967407019382056</v>
      </c>
      <c r="F3300" s="12">
        <f t="shared" si="153"/>
        <v>0.44791156831626899</v>
      </c>
      <c r="G3300" s="12">
        <f>EXP(-Assumptions!$B$8*B3300)</f>
        <v>0.19281964670508861</v>
      </c>
      <c r="H3300" s="12">
        <f t="shared" si="154"/>
        <v>7.1808805610385704E-2</v>
      </c>
      <c r="I3300" s="12">
        <f t="shared" si="155"/>
        <v>3.464469073683777E-2</v>
      </c>
      <c r="J3300" s="12">
        <f>G3300*(D3300*Assumptions!$B$6+E3300*Assumptions!$B$7)</f>
        <v>2.4503225929457455E-3</v>
      </c>
    </row>
    <row r="3301" spans="1:10" x14ac:dyDescent="0.2">
      <c r="A3301" s="2">
        <v>3293</v>
      </c>
      <c r="B3301" s="14">
        <f>A3301*Assumptions!$B$12</f>
        <v>32.93</v>
      </c>
      <c r="C3301" s="15">
        <f>IF(A3301&lt;=Assumptions!$B$13,IF(OR(A3301=0,A3301=Assumptions!$B$13),0.5,1),0)*Assumptions!$B$12</f>
        <v>0</v>
      </c>
      <c r="D3301" s="12">
        <f>D3300*(1-Assumptions!$B$12*(Assumptions!$B$5+Assumptions!$B$6))</f>
        <v>0.37230263718146356</v>
      </c>
      <c r="E3301" s="12">
        <f>E3300+Assumptions!$B$12*(D3300*Assumptions!$B$5-E3300*Assumptions!$B$7)</f>
        <v>0.17965871603102163</v>
      </c>
      <c r="F3301" s="12">
        <f t="shared" si="153"/>
        <v>0.44803864678751487</v>
      </c>
      <c r="G3301" s="12">
        <f>EXP(-Assumptions!$B$8*B3301)</f>
        <v>0.19272326098017534</v>
      </c>
      <c r="H3301" s="12">
        <f t="shared" si="154"/>
        <v>7.1751378309130726E-2</v>
      </c>
      <c r="I3301" s="12">
        <f t="shared" si="155"/>
        <v>3.462441361700979E-2</v>
      </c>
      <c r="J3301" s="12">
        <f>G3301*(D3301*Assumptions!$B$6+E3301*Assumptions!$B$7)</f>
        <v>2.448734463941797E-3</v>
      </c>
    </row>
    <row r="3302" spans="1:10" x14ac:dyDescent="0.2">
      <c r="A3302" s="2">
        <v>3294</v>
      </c>
      <c r="B3302" s="14">
        <f>A3302*Assumptions!$B$12</f>
        <v>32.94</v>
      </c>
      <c r="C3302" s="15">
        <f>IF(A3302&lt;=Assumptions!$B$13,IF(OR(A3302=0,A3302=Assumptions!$B$13),0.5,1),0)*Assumptions!$B$12</f>
        <v>0</v>
      </c>
      <c r="D3302" s="12">
        <f>D3301*(1-Assumptions!$B$12*(Assumptions!$B$5+Assumptions!$B$6))</f>
        <v>0.37219094639030914</v>
      </c>
      <c r="E3302" s="12">
        <f>E3301+Assumptions!$B$12*(D3301*Assumptions!$B$5-E3301*Assumptions!$B$7)</f>
        <v>0.17964334720044242</v>
      </c>
      <c r="F3302" s="12">
        <f t="shared" si="153"/>
        <v>0.44816570640924847</v>
      </c>
      <c r="G3302" s="12">
        <f>EXP(-Assumptions!$B$8*B3302)</f>
        <v>0.19262692343607832</v>
      </c>
      <c r="H3302" s="12">
        <f t="shared" si="154"/>
        <v>7.1693996933927612E-2</v>
      </c>
      <c r="I3302" s="12">
        <f t="shared" si="155"/>
        <v>3.4604145286980456E-2</v>
      </c>
      <c r="J3302" s="12">
        <f>G3302*(D3302*Assumptions!$B$6+E3302*Assumptions!$B$7)</f>
        <v>2.447147233688299E-3</v>
      </c>
    </row>
    <row r="3303" spans="1:10" x14ac:dyDescent="0.2">
      <c r="A3303" s="2">
        <v>3295</v>
      </c>
      <c r="B3303" s="14">
        <f>A3303*Assumptions!$B$12</f>
        <v>32.950000000000003</v>
      </c>
      <c r="C3303" s="15">
        <f>IF(A3303&lt;=Assumptions!$B$13,IF(OR(A3303=0,A3303=Assumptions!$B$13),0.5,1),0)*Assumptions!$B$12</f>
        <v>0</v>
      </c>
      <c r="D3303" s="12">
        <f>D3302*(1-Assumptions!$B$12*(Assumptions!$B$5+Assumptions!$B$6))</f>
        <v>0.37207928910639204</v>
      </c>
      <c r="E3303" s="12">
        <f>E3302+Assumptions!$B$12*(D3302*Assumptions!$B$5-E3302*Assumptions!$B$7)</f>
        <v>0.17962796371612028</v>
      </c>
      <c r="F3303" s="12">
        <f t="shared" si="153"/>
        <v>0.44829274717748774</v>
      </c>
      <c r="G3303" s="12">
        <f>EXP(-Assumptions!$B$8*B3303)</f>
        <v>0.19253063404871312</v>
      </c>
      <c r="H3303" s="12">
        <f t="shared" si="154"/>
        <v>7.1636661448048103E-2</v>
      </c>
      <c r="I3303" s="12">
        <f t="shared" si="155"/>
        <v>3.4583885747143869E-2</v>
      </c>
      <c r="J3303" s="12">
        <f>G3303*(D3303*Assumptions!$B$6+E3303*Assumptions!$B$7)</f>
        <v>2.4455609018376747E-3</v>
      </c>
    </row>
    <row r="3304" spans="1:10" x14ac:dyDescent="0.2">
      <c r="A3304" s="2">
        <v>3296</v>
      </c>
      <c r="B3304" s="14">
        <f>A3304*Assumptions!$B$12</f>
        <v>32.96</v>
      </c>
      <c r="C3304" s="15">
        <f>IF(A3304&lt;=Assumptions!$B$13,IF(OR(A3304=0,A3304=Assumptions!$B$13),0.5,1),0)*Assumptions!$B$12</f>
        <v>0</v>
      </c>
      <c r="D3304" s="12">
        <f>D3303*(1-Assumptions!$B$12*(Assumptions!$B$5+Assumptions!$B$6))</f>
        <v>0.37196766531966013</v>
      </c>
      <c r="E3304" s="12">
        <f>E3303+Assumptions!$B$12*(D3303*Assumptions!$B$5-E3303*Assumptions!$B$7)</f>
        <v>0.1796125655920835</v>
      </c>
      <c r="F3304" s="12">
        <f t="shared" si="153"/>
        <v>0.44841976908825631</v>
      </c>
      <c r="G3304" s="12">
        <f>EXP(-Assumptions!$B$8*B3304)</f>
        <v>0.19243439279400748</v>
      </c>
      <c r="H3304" s="12">
        <f t="shared" si="154"/>
        <v>7.1579371814793388E-2</v>
      </c>
      <c r="I3304" s="12">
        <f t="shared" si="155"/>
        <v>3.4563634997886429E-2</v>
      </c>
      <c r="J3304" s="12">
        <f>G3304*(D3304*Assumptions!$B$6+E3304*Assumptions!$B$7)</f>
        <v>2.4439754680422553E-3</v>
      </c>
    </row>
    <row r="3305" spans="1:10" x14ac:dyDescent="0.2">
      <c r="A3305" s="2">
        <v>3297</v>
      </c>
      <c r="B3305" s="14">
        <f>A3305*Assumptions!$B$12</f>
        <v>32.97</v>
      </c>
      <c r="C3305" s="15">
        <f>IF(A3305&lt;=Assumptions!$B$13,IF(OR(A3305=0,A3305=Assumptions!$B$13),0.5,1),0)*Assumptions!$B$12</f>
        <v>0</v>
      </c>
      <c r="D3305" s="12">
        <f>D3304*(1-Assumptions!$B$12*(Assumptions!$B$5+Assumptions!$B$6))</f>
        <v>0.37185607502006424</v>
      </c>
      <c r="E3305" s="12">
        <f>E3304+Assumptions!$B$12*(D3304*Assumptions!$B$5-E3304*Assumptions!$B$7)</f>
        <v>0.17959715284235139</v>
      </c>
      <c r="F3305" s="12">
        <f t="shared" si="153"/>
        <v>0.44854677213758437</v>
      </c>
      <c r="G3305" s="12">
        <f>EXP(-Assumptions!$B$8*B3305)</f>
        <v>0.19233819964790103</v>
      </c>
      <c r="H3305" s="12">
        <f t="shared" si="154"/>
        <v>7.1522127997493981E-2</v>
      </c>
      <c r="I3305" s="12">
        <f t="shared" si="155"/>
        <v>3.4543393039586777E-2</v>
      </c>
      <c r="J3305" s="12">
        <f>G3305*(D3305*Assumptions!$B$6+E3305*Assumptions!$B$7)</f>
        <v>2.4423909319542785E-3</v>
      </c>
    </row>
    <row r="3306" spans="1:10" x14ac:dyDescent="0.2">
      <c r="A3306" s="2">
        <v>3298</v>
      </c>
      <c r="B3306" s="14">
        <f>A3306*Assumptions!$B$12</f>
        <v>32.980000000000004</v>
      </c>
      <c r="C3306" s="15">
        <f>IF(A3306&lt;=Assumptions!$B$13,IF(OR(A3306=0,A3306=Assumptions!$B$13),0.5,1),0)*Assumptions!$B$12</f>
        <v>0</v>
      </c>
      <c r="D3306" s="12">
        <f>D3305*(1-Assumptions!$B$12*(Assumptions!$B$5+Assumptions!$B$6))</f>
        <v>0.37174451819755822</v>
      </c>
      <c r="E3306" s="12">
        <f>E3305+Assumptions!$B$12*(D3305*Assumptions!$B$5-E3305*Assumptions!$B$7)</f>
        <v>0.17958172548093423</v>
      </c>
      <c r="F3306" s="12">
        <f t="shared" si="153"/>
        <v>0.44867375632150752</v>
      </c>
      <c r="G3306" s="12">
        <f>EXP(-Assumptions!$B$8*B3306)</f>
        <v>0.19224205458634544</v>
      </c>
      <c r="H3306" s="12">
        <f t="shared" si="154"/>
        <v>7.1464929959509677E-2</v>
      </c>
      <c r="I3306" s="12">
        <f t="shared" si="155"/>
        <v>3.4523159872615859E-2</v>
      </c>
      <c r="J3306" s="12">
        <f>G3306*(D3306*Assumptions!$B$6+E3306*Assumptions!$B$7)</f>
        <v>2.4408072932258894E-3</v>
      </c>
    </row>
    <row r="3307" spans="1:10" x14ac:dyDescent="0.2">
      <c r="A3307" s="2">
        <v>3299</v>
      </c>
      <c r="B3307" s="14">
        <f>A3307*Assumptions!$B$12</f>
        <v>32.99</v>
      </c>
      <c r="C3307" s="15">
        <f>IF(A3307&lt;=Assumptions!$B$13,IF(OR(A3307=0,A3307=Assumptions!$B$13),0.5,1),0)*Assumptions!$B$12</f>
        <v>0</v>
      </c>
      <c r="D3307" s="12">
        <f>D3306*(1-Assumptions!$B$12*(Assumptions!$B$5+Assumptions!$B$6))</f>
        <v>0.37163299484209894</v>
      </c>
      <c r="E3307" s="12">
        <f>E3306+Assumptions!$B$12*(D3306*Assumptions!$B$5-E3306*Assumptions!$B$7)</f>
        <v>0.17956628352183329</v>
      </c>
      <c r="F3307" s="12">
        <f t="shared" si="153"/>
        <v>0.44880072163606782</v>
      </c>
      <c r="G3307" s="12">
        <f>EXP(-Assumptions!$B$8*B3307)</f>
        <v>0.19214595758530456</v>
      </c>
      <c r="H3307" s="12">
        <f t="shared" si="154"/>
        <v>7.1407777664229649E-2</v>
      </c>
      <c r="I3307" s="12">
        <f t="shared" si="155"/>
        <v>3.4502935497336955E-2</v>
      </c>
      <c r="J3307" s="12">
        <f>G3307*(D3307*Assumptions!$B$6+E3307*Assumptions!$B$7)</f>
        <v>2.4392245515091446E-3</v>
      </c>
    </row>
    <row r="3308" spans="1:10" x14ac:dyDescent="0.2">
      <c r="A3308" s="2">
        <v>3300</v>
      </c>
      <c r="B3308" s="14">
        <f>A3308*Assumptions!$B$12</f>
        <v>33</v>
      </c>
      <c r="C3308" s="15">
        <f>IF(A3308&lt;=Assumptions!$B$13,IF(OR(A3308=0,A3308=Assumptions!$B$13),0.5,1),0)*Assumptions!$B$12</f>
        <v>0</v>
      </c>
      <c r="D3308" s="12">
        <f>D3307*(1-Assumptions!$B$12*(Assumptions!$B$5+Assumptions!$B$6))</f>
        <v>0.37152150494364633</v>
      </c>
      <c r="E3308" s="12">
        <f>E3307+Assumptions!$B$12*(D3307*Assumptions!$B$5-E3307*Assumptions!$B$7)</f>
        <v>0.17955082697904079</v>
      </c>
      <c r="F3308" s="12">
        <f t="shared" si="153"/>
        <v>0.44892766807731288</v>
      </c>
      <c r="G3308" s="12">
        <f>EXP(-Assumptions!$B$8*B3308)</f>
        <v>0.19204990862075408</v>
      </c>
      <c r="H3308" s="12">
        <f t="shared" si="154"/>
        <v>7.1350671075072314E-2</v>
      </c>
      <c r="I3308" s="12">
        <f t="shared" si="155"/>
        <v>3.4482719914105613E-2</v>
      </c>
      <c r="J3308" s="12">
        <f>G3308*(D3308*Assumptions!$B$6+E3308*Assumptions!$B$7)</f>
        <v>2.4376427064560034E-3</v>
      </c>
    </row>
    <row r="3309" spans="1:10" x14ac:dyDescent="0.2">
      <c r="A3309" s="2">
        <v>3301</v>
      </c>
      <c r="B3309" s="14">
        <f>A3309*Assumptions!$B$12</f>
        <v>33.01</v>
      </c>
      <c r="C3309" s="15">
        <f>IF(A3309&lt;=Assumptions!$B$13,IF(OR(A3309=0,A3309=Assumptions!$B$13),0.5,1),0)*Assumptions!$B$12</f>
        <v>0</v>
      </c>
      <c r="D3309" s="12">
        <f>D3308*(1-Assumptions!$B$12*(Assumptions!$B$5+Assumptions!$B$6))</f>
        <v>0.37141004849216325</v>
      </c>
      <c r="E3309" s="12">
        <f>E3308+Assumptions!$B$12*(D3308*Assumptions!$B$5-E3308*Assumptions!$B$7)</f>
        <v>0.17953535586653999</v>
      </c>
      <c r="F3309" s="12">
        <f t="shared" si="153"/>
        <v>0.44905459564129679</v>
      </c>
      <c r="G3309" s="12">
        <f>EXP(-Assumptions!$B$8*B3309)</f>
        <v>0.19195390766868176</v>
      </c>
      <c r="H3309" s="12">
        <f t="shared" si="154"/>
        <v>7.1293610155485312E-2</v>
      </c>
      <c r="I3309" s="12">
        <f t="shared" si="155"/>
        <v>3.4462513123269735E-2</v>
      </c>
      <c r="J3309" s="12">
        <f>G3309*(D3309*Assumptions!$B$6+E3309*Assumptions!$B$7)</f>
        <v>2.4360617577183401E-3</v>
      </c>
    </row>
    <row r="3310" spans="1:10" x14ac:dyDescent="0.2">
      <c r="A3310" s="2">
        <v>3302</v>
      </c>
      <c r="B3310" s="14">
        <f>A3310*Assumptions!$B$12</f>
        <v>33.020000000000003</v>
      </c>
      <c r="C3310" s="15">
        <f>IF(A3310&lt;=Assumptions!$B$13,IF(OR(A3310=0,A3310=Assumptions!$B$13),0.5,1),0)*Assumptions!$B$12</f>
        <v>0</v>
      </c>
      <c r="D3310" s="12">
        <f>D3309*(1-Assumptions!$B$12*(Assumptions!$B$5+Assumptions!$B$6))</f>
        <v>0.37129862547761561</v>
      </c>
      <c r="E3310" s="12">
        <f>E3309+Assumptions!$B$12*(D3309*Assumptions!$B$5-E3309*Assumptions!$B$7)</f>
        <v>0.17951987019830515</v>
      </c>
      <c r="F3310" s="12">
        <f t="shared" si="153"/>
        <v>0.44918150432407922</v>
      </c>
      <c r="G3310" s="12">
        <f>EXP(-Assumptions!$B$8*B3310)</f>
        <v>0.19185795470508732</v>
      </c>
      <c r="H3310" s="12">
        <f t="shared" si="154"/>
        <v>7.1236594868945555E-2</v>
      </c>
      <c r="I3310" s="12">
        <f t="shared" si="155"/>
        <v>3.4442315125169584E-2</v>
      </c>
      <c r="J3310" s="12">
        <f>G3310*(D3310*Assumptions!$B$6+E3310*Assumptions!$B$7)</f>
        <v>2.4344817049479347E-3</v>
      </c>
    </row>
    <row r="3311" spans="1:10" x14ac:dyDescent="0.2">
      <c r="A3311" s="2">
        <v>3303</v>
      </c>
      <c r="B3311" s="14">
        <f>A3311*Assumptions!$B$12</f>
        <v>33.03</v>
      </c>
      <c r="C3311" s="15">
        <f>IF(A3311&lt;=Assumptions!$B$13,IF(OR(A3311=0,A3311=Assumptions!$B$13),0.5,1),0)*Assumptions!$B$12</f>
        <v>0</v>
      </c>
      <c r="D3311" s="12">
        <f>D3310*(1-Assumptions!$B$12*(Assumptions!$B$5+Assumptions!$B$6))</f>
        <v>0.37118723588997232</v>
      </c>
      <c r="E3311" s="12">
        <f>E3310+Assumptions!$B$12*(D3310*Assumptions!$B$5-E3310*Assumptions!$B$7)</f>
        <v>0.17950436998830152</v>
      </c>
      <c r="F3311" s="12">
        <f t="shared" si="153"/>
        <v>0.44930839412172607</v>
      </c>
      <c r="G3311" s="12">
        <f>EXP(-Assumptions!$B$8*B3311)</f>
        <v>0.19176204970598257</v>
      </c>
      <c r="H3311" s="12">
        <f t="shared" si="154"/>
        <v>7.1179625178959149E-2</v>
      </c>
      <c r="I3311" s="12">
        <f t="shared" si="155"/>
        <v>3.4422125920137762E-2</v>
      </c>
      <c r="J3311" s="12">
        <f>G3311*(D3311*Assumptions!$B$6+E3311*Assumptions!$B$7)</f>
        <v>2.4329025477964799E-3</v>
      </c>
    </row>
    <row r="3312" spans="1:10" x14ac:dyDescent="0.2">
      <c r="A3312" s="2">
        <v>3304</v>
      </c>
      <c r="B3312" s="14">
        <f>A3312*Assumptions!$B$12</f>
        <v>33.04</v>
      </c>
      <c r="C3312" s="15">
        <f>IF(A3312&lt;=Assumptions!$B$13,IF(OR(A3312=0,A3312=Assumptions!$B$13),0.5,1),0)*Assumptions!$B$12</f>
        <v>0</v>
      </c>
      <c r="D3312" s="12">
        <f>D3311*(1-Assumptions!$B$12*(Assumptions!$B$5+Assumptions!$B$6))</f>
        <v>0.37107587971920536</v>
      </c>
      <c r="E3312" s="12">
        <f>E3311+Assumptions!$B$12*(D3311*Assumptions!$B$5-E3311*Assumptions!$B$7)</f>
        <v>0.17948885525048536</v>
      </c>
      <c r="F3312" s="12">
        <f t="shared" si="153"/>
        <v>0.44943526503030934</v>
      </c>
      <c r="G3312" s="12">
        <f>EXP(-Assumptions!$B$8*B3312)</f>
        <v>0.19166619264739126</v>
      </c>
      <c r="H3312" s="12">
        <f t="shared" si="154"/>
        <v>7.1122701049061404E-2</v>
      </c>
      <c r="I3312" s="12">
        <f t="shared" si="155"/>
        <v>3.4401945508499253E-2</v>
      </c>
      <c r="J3312" s="12">
        <f>G3312*(D3312*Assumptions!$B$6+E3312*Assumptions!$B$7)</f>
        <v>2.4313242859155767E-3</v>
      </c>
    </row>
    <row r="3313" spans="1:10" x14ac:dyDescent="0.2">
      <c r="A3313" s="2">
        <v>3305</v>
      </c>
      <c r="B3313" s="14">
        <f>A3313*Assumptions!$B$12</f>
        <v>33.049999999999997</v>
      </c>
      <c r="C3313" s="15">
        <f>IF(A3313&lt;=Assumptions!$B$13,IF(OR(A3313=0,A3313=Assumptions!$B$13),0.5,1),0)*Assumptions!$B$12</f>
        <v>0</v>
      </c>
      <c r="D3313" s="12">
        <f>D3312*(1-Assumptions!$B$12*(Assumptions!$B$5+Assumptions!$B$6))</f>
        <v>0.37096455695528963</v>
      </c>
      <c r="E3313" s="12">
        <f>E3312+Assumptions!$B$12*(D3312*Assumptions!$B$5-E3312*Assumptions!$B$7)</f>
        <v>0.17947332599880395</v>
      </c>
      <c r="F3313" s="12">
        <f t="shared" si="153"/>
        <v>0.44956211704590643</v>
      </c>
      <c r="G3313" s="12">
        <f>EXP(-Assumptions!$B$8*B3313)</f>
        <v>0.19157038350534916</v>
      </c>
      <c r="H3313" s="12">
        <f t="shared" si="154"/>
        <v>7.106582244281677E-2</v>
      </c>
      <c r="I3313" s="12">
        <f t="shared" si="155"/>
        <v>3.4381773890571427E-2</v>
      </c>
      <c r="J3313" s="12">
        <f>G3313*(D3313*Assumptions!$B$6+E3313*Assumptions!$B$7)</f>
        <v>2.4297469189567393E-3</v>
      </c>
    </row>
    <row r="3314" spans="1:10" x14ac:dyDescent="0.2">
      <c r="A3314" s="2">
        <v>3306</v>
      </c>
      <c r="B3314" s="14">
        <f>A3314*Assumptions!$B$12</f>
        <v>33.06</v>
      </c>
      <c r="C3314" s="15">
        <f>IF(A3314&lt;=Assumptions!$B$13,IF(OR(A3314=0,A3314=Assumptions!$B$13),0.5,1),0)*Assumptions!$B$12</f>
        <v>0</v>
      </c>
      <c r="D3314" s="12">
        <f>D3313*(1-Assumptions!$B$12*(Assumptions!$B$5+Assumptions!$B$6))</f>
        <v>0.37085326758820303</v>
      </c>
      <c r="E3314" s="12">
        <f>E3313+Assumptions!$B$12*(D3313*Assumptions!$B$5-E3313*Assumptions!$B$7)</f>
        <v>0.17945778224719561</v>
      </c>
      <c r="F3314" s="12">
        <f t="shared" si="153"/>
        <v>0.44968895016460136</v>
      </c>
      <c r="G3314" s="12">
        <f>EXP(-Assumptions!$B$8*B3314)</f>
        <v>0.19147462225590378</v>
      </c>
      <c r="H3314" s="12">
        <f t="shared" si="154"/>
        <v>7.1008989323818786E-2</v>
      </c>
      <c r="I3314" s="12">
        <f t="shared" si="155"/>
        <v>3.4361611066664015E-2</v>
      </c>
      <c r="J3314" s="12">
        <f>G3314*(D3314*Assumptions!$B$6+E3314*Assumptions!$B$7)</f>
        <v>2.4281704465713883E-3</v>
      </c>
    </row>
    <row r="3315" spans="1:10" x14ac:dyDescent="0.2">
      <c r="A3315" s="2">
        <v>3307</v>
      </c>
      <c r="B3315" s="14">
        <f>A3315*Assumptions!$B$12</f>
        <v>33.07</v>
      </c>
      <c r="C3315" s="15">
        <f>IF(A3315&lt;=Assumptions!$B$13,IF(OR(A3315=0,A3315=Assumptions!$B$13),0.5,1),0)*Assumptions!$B$12</f>
        <v>0</v>
      </c>
      <c r="D3315" s="12">
        <f>D3314*(1-Assumptions!$B$12*(Assumptions!$B$5+Assumptions!$B$6))</f>
        <v>0.37074201160792658</v>
      </c>
      <c r="E3315" s="12">
        <f>E3314+Assumptions!$B$12*(D3314*Assumptions!$B$5-E3314*Assumptions!$B$7)</f>
        <v>0.17944222400958965</v>
      </c>
      <c r="F3315" s="12">
        <f t="shared" si="153"/>
        <v>0.44981576438248383</v>
      </c>
      <c r="G3315" s="12">
        <f>EXP(-Assumptions!$B$8*B3315)</f>
        <v>0.19137890887511508</v>
      </c>
      <c r="H3315" s="12">
        <f t="shared" si="154"/>
        <v>7.0952201655690231E-2</v>
      </c>
      <c r="I3315" s="12">
        <f t="shared" si="155"/>
        <v>3.4341457037079241E-2</v>
      </c>
      <c r="J3315" s="12">
        <f>G3315*(D3315*Assumptions!$B$6+E3315*Assumptions!$B$7)</f>
        <v>2.4265948684108647E-3</v>
      </c>
    </row>
    <row r="3316" spans="1:10" x14ac:dyDescent="0.2">
      <c r="A3316" s="2">
        <v>3308</v>
      </c>
      <c r="B3316" s="14">
        <f>A3316*Assumptions!$B$12</f>
        <v>33.08</v>
      </c>
      <c r="C3316" s="15">
        <f>IF(A3316&lt;=Assumptions!$B$13,IF(OR(A3316=0,A3316=Assumptions!$B$13),0.5,1),0)*Assumptions!$B$12</f>
        <v>0</v>
      </c>
      <c r="D3316" s="12">
        <f>D3315*(1-Assumptions!$B$12*(Assumptions!$B$5+Assumptions!$B$6))</f>
        <v>0.37063078900444424</v>
      </c>
      <c r="E3316" s="12">
        <f>E3315+Assumptions!$B$12*(D3315*Assumptions!$B$5-E3315*Assumptions!$B$7)</f>
        <v>0.17942665129990643</v>
      </c>
      <c r="F3316" s="12">
        <f t="shared" si="153"/>
        <v>0.44994255969564934</v>
      </c>
      <c r="G3316" s="12">
        <f>EXP(-Assumptions!$B$8*B3316)</f>
        <v>0.19128324333905461</v>
      </c>
      <c r="H3316" s="12">
        <f t="shared" si="154"/>
        <v>7.0895459402082917E-2</v>
      </c>
      <c r="I3316" s="12">
        <f t="shared" si="155"/>
        <v>3.4321311802111697E-2</v>
      </c>
      <c r="J3316" s="12">
        <f>G3316*(D3316*Assumptions!$B$6+E3316*Assumptions!$B$7)</f>
        <v>2.4250201841264142E-3</v>
      </c>
    </row>
    <row r="3317" spans="1:10" x14ac:dyDescent="0.2">
      <c r="A3317" s="2">
        <v>3309</v>
      </c>
      <c r="B3317" s="14">
        <f>A3317*Assumptions!$B$12</f>
        <v>33.090000000000003</v>
      </c>
      <c r="C3317" s="15">
        <f>IF(A3317&lt;=Assumptions!$B$13,IF(OR(A3317=0,A3317=Assumptions!$B$13),0.5,1),0)*Assumptions!$B$12</f>
        <v>0</v>
      </c>
      <c r="D3317" s="12">
        <f>D3316*(1-Assumptions!$B$12*(Assumptions!$B$5+Assumptions!$B$6))</f>
        <v>0.3705195997677429</v>
      </c>
      <c r="E3317" s="12">
        <f>E3316+Assumptions!$B$12*(D3316*Assumptions!$B$5-E3316*Assumptions!$B$7)</f>
        <v>0.17941106413205737</v>
      </c>
      <c r="F3317" s="12">
        <f t="shared" si="153"/>
        <v>0.45006933610019978</v>
      </c>
      <c r="G3317" s="12">
        <f>EXP(-Assumptions!$B$8*B3317)</f>
        <v>0.19118762562380587</v>
      </c>
      <c r="H3317" s="12">
        <f t="shared" si="154"/>
        <v>7.0838762526677618E-2</v>
      </c>
      <c r="I3317" s="12">
        <f t="shared" si="155"/>
        <v>3.4301175362048408E-2</v>
      </c>
      <c r="J3317" s="12">
        <f>G3317*(D3317*Assumptions!$B$6+E3317*Assumptions!$B$7)</f>
        <v>2.4234463933691967E-3</v>
      </c>
    </row>
    <row r="3318" spans="1:10" x14ac:dyDescent="0.2">
      <c r="A3318" s="2">
        <v>3310</v>
      </c>
      <c r="B3318" s="14">
        <f>A3318*Assumptions!$B$12</f>
        <v>33.1</v>
      </c>
      <c r="C3318" s="15">
        <f>IF(A3318&lt;=Assumptions!$B$13,IF(OR(A3318=0,A3318=Assumptions!$B$13),0.5,1),0)*Assumptions!$B$12</f>
        <v>0</v>
      </c>
      <c r="D3318" s="12">
        <f>D3317*(1-Assumptions!$B$12*(Assumptions!$B$5+Assumptions!$B$6))</f>
        <v>0.37040844388781258</v>
      </c>
      <c r="E3318" s="12">
        <f>E3317+Assumptions!$B$12*(D3317*Assumptions!$B$5-E3317*Assumptions!$B$7)</f>
        <v>0.1793954625199449</v>
      </c>
      <c r="F3318" s="12">
        <f t="shared" si="153"/>
        <v>0.45019609359224255</v>
      </c>
      <c r="G3318" s="12">
        <f>EXP(-Assumptions!$B$8*B3318)</f>
        <v>0.19109205570546459</v>
      </c>
      <c r="H3318" s="12">
        <f t="shared" si="154"/>
        <v>7.0782110993184336E-2</v>
      </c>
      <c r="I3318" s="12">
        <f t="shared" si="155"/>
        <v>3.4281047717168896E-2</v>
      </c>
      <c r="J3318" s="12">
        <f>G3318*(D3318*Assumptions!$B$6+E3318*Assumptions!$B$7)</f>
        <v>2.4218734957902883E-3</v>
      </c>
    </row>
    <row r="3319" spans="1:10" x14ac:dyDescent="0.2">
      <c r="A3319" s="2">
        <v>3311</v>
      </c>
      <c r="B3319" s="14">
        <f>A3319*Assumptions!$B$12</f>
        <v>33.11</v>
      </c>
      <c r="C3319" s="15">
        <f>IF(A3319&lt;=Assumptions!$B$13,IF(OR(A3319=0,A3319=Assumptions!$B$13),0.5,1),0)*Assumptions!$B$12</f>
        <v>0</v>
      </c>
      <c r="D3319" s="12">
        <f>D3318*(1-Assumptions!$B$12*(Assumptions!$B$5+Assumptions!$B$6))</f>
        <v>0.37029732135464627</v>
      </c>
      <c r="E3319" s="12">
        <f>E3318+Assumptions!$B$12*(D3318*Assumptions!$B$5-E3318*Assumptions!$B$7)</f>
        <v>0.1793798464774625</v>
      </c>
      <c r="F3319" s="12">
        <f t="shared" si="153"/>
        <v>0.45032283216789115</v>
      </c>
      <c r="G3319" s="12">
        <f>EXP(-Assumptions!$B$8*B3319)</f>
        <v>0.19099653356013829</v>
      </c>
      <c r="H3319" s="12">
        <f t="shared" si="154"/>
        <v>7.0725504765342007E-2</v>
      </c>
      <c r="I3319" s="12">
        <f t="shared" si="155"/>
        <v>3.4260928867745122E-2</v>
      </c>
      <c r="J3319" s="12">
        <f>G3319*(D3319*Assumptions!$B$6+E3319*Assumptions!$B$7)</f>
        <v>2.4203014910406761E-3</v>
      </c>
    </row>
    <row r="3320" spans="1:10" x14ac:dyDescent="0.2">
      <c r="A3320" s="2">
        <v>3312</v>
      </c>
      <c r="B3320" s="14">
        <f>A3320*Assumptions!$B$12</f>
        <v>33.119999999999997</v>
      </c>
      <c r="C3320" s="15">
        <f>IF(A3320&lt;=Assumptions!$B$13,IF(OR(A3320=0,A3320=Assumptions!$B$13),0.5,1),0)*Assumptions!$B$12</f>
        <v>0</v>
      </c>
      <c r="D3320" s="12">
        <f>D3319*(1-Assumptions!$B$12*(Assumptions!$B$5+Assumptions!$B$6))</f>
        <v>0.37018623215823987</v>
      </c>
      <c r="E3320" s="12">
        <f>E3319+Assumptions!$B$12*(D3319*Assumptions!$B$5-E3319*Assumptions!$B$7)</f>
        <v>0.1793642160184947</v>
      </c>
      <c r="F3320" s="12">
        <f t="shared" si="153"/>
        <v>0.4504495518232654</v>
      </c>
      <c r="G3320" s="12">
        <f>EXP(-Assumptions!$B$8*B3320)</f>
        <v>0.19090105916394634</v>
      </c>
      <c r="H3320" s="12">
        <f t="shared" si="154"/>
        <v>7.066894380691853E-2</v>
      </c>
      <c r="I3320" s="12">
        <f t="shared" si="155"/>
        <v>3.4240818814041507E-2</v>
      </c>
      <c r="J3320" s="12">
        <f>G3320*(D3320*Assumptions!$B$6+E3320*Assumptions!$B$7)</f>
        <v>2.4187303787712605E-3</v>
      </c>
    </row>
    <row r="3321" spans="1:10" x14ac:dyDescent="0.2">
      <c r="A3321" s="2">
        <v>3313</v>
      </c>
      <c r="B3321" s="14">
        <f>A3321*Assumptions!$B$12</f>
        <v>33.130000000000003</v>
      </c>
      <c r="C3321" s="15">
        <f>IF(A3321&lt;=Assumptions!$B$13,IF(OR(A3321=0,A3321=Assumptions!$B$13),0.5,1),0)*Assumptions!$B$12</f>
        <v>0</v>
      </c>
      <c r="D3321" s="12">
        <f>D3320*(1-Assumptions!$B$12*(Assumptions!$B$5+Assumptions!$B$6))</f>
        <v>0.37007517628859243</v>
      </c>
      <c r="E3321" s="12">
        <f>E3320+Assumptions!$B$12*(D3320*Assumptions!$B$5-E3320*Assumptions!$B$7)</f>
        <v>0.1793485711569171</v>
      </c>
      <c r="F3321" s="12">
        <f t="shared" si="153"/>
        <v>0.45057625255449046</v>
      </c>
      <c r="G3321" s="12">
        <f>EXP(-Assumptions!$B$8*B3321)</f>
        <v>0.19080563249302007</v>
      </c>
      <c r="H3321" s="12">
        <f t="shared" si="154"/>
        <v>7.0612428081710782E-2</v>
      </c>
      <c r="I3321" s="12">
        <f t="shared" si="155"/>
        <v>3.4220717556314985E-2</v>
      </c>
      <c r="J3321" s="12">
        <f>G3321*(D3321*Assumptions!$B$6+E3321*Assumptions!$B$7)</f>
        <v>2.4171601586328575E-3</v>
      </c>
    </row>
    <row r="3322" spans="1:10" x14ac:dyDescent="0.2">
      <c r="A3322" s="2">
        <v>3314</v>
      </c>
      <c r="B3322" s="14">
        <f>A3322*Assumptions!$B$12</f>
        <v>33.14</v>
      </c>
      <c r="C3322" s="15">
        <f>IF(A3322&lt;=Assumptions!$B$13,IF(OR(A3322=0,A3322=Assumptions!$B$13),0.5,1),0)*Assumptions!$B$12</f>
        <v>0</v>
      </c>
      <c r="D3322" s="12">
        <f>D3321*(1-Assumptions!$B$12*(Assumptions!$B$5+Assumptions!$B$6))</f>
        <v>0.36996415373570585</v>
      </c>
      <c r="E3322" s="12">
        <f>E3321+Assumptions!$B$12*(D3321*Assumptions!$B$5-E3321*Assumptions!$B$7)</f>
        <v>0.17933291190659637</v>
      </c>
      <c r="F3322" s="12">
        <f t="shared" si="153"/>
        <v>0.4507029343576977</v>
      </c>
      <c r="G3322" s="12">
        <f>EXP(-Assumptions!$B$8*B3322)</f>
        <v>0.19071025352350304</v>
      </c>
      <c r="H3322" s="12">
        <f t="shared" si="154"/>
        <v>7.0555957553544713E-2</v>
      </c>
      <c r="I3322" s="12">
        <f t="shared" si="155"/>
        <v>3.4200625094815029E-2</v>
      </c>
      <c r="J3322" s="12">
        <f>G3322*(D3322*Assumptions!$B$6+E3322*Assumptions!$B$7)</f>
        <v>2.4155908302761989E-3</v>
      </c>
    </row>
    <row r="3323" spans="1:10" x14ac:dyDescent="0.2">
      <c r="A3323" s="2">
        <v>3315</v>
      </c>
      <c r="B3323" s="14">
        <f>A3323*Assumptions!$B$12</f>
        <v>33.15</v>
      </c>
      <c r="C3323" s="15">
        <f>IF(A3323&lt;=Assumptions!$B$13,IF(OR(A3323=0,A3323=Assumptions!$B$13),0.5,1),0)*Assumptions!$B$12</f>
        <v>0</v>
      </c>
      <c r="D3323" s="12">
        <f>D3322*(1-Assumptions!$B$12*(Assumptions!$B$5+Assumptions!$B$6))</f>
        <v>0.36985316448958516</v>
      </c>
      <c r="E3323" s="12">
        <f>E3322+Assumptions!$B$12*(D3322*Assumptions!$B$5-E3322*Assumptions!$B$7)</f>
        <v>0.17931723828139021</v>
      </c>
      <c r="F3323" s="12">
        <f t="shared" si="153"/>
        <v>0.4508295972290246</v>
      </c>
      <c r="G3323" s="12">
        <f>EXP(-Assumptions!$B$8*B3323)</f>
        <v>0.19061492223155038</v>
      </c>
      <c r="H3323" s="12">
        <f t="shared" si="154"/>
        <v>7.0499532186275082E-2</v>
      </c>
      <c r="I3323" s="12">
        <f t="shared" si="155"/>
        <v>3.4180541429783586E-2</v>
      </c>
      <c r="J3323" s="12">
        <f>G3323*(D3323*Assumptions!$B$6+E3323*Assumptions!$B$7)</f>
        <v>2.4140223933519301E-3</v>
      </c>
    </row>
    <row r="3324" spans="1:10" x14ac:dyDescent="0.2">
      <c r="A3324" s="2">
        <v>3316</v>
      </c>
      <c r="B3324" s="14">
        <f>A3324*Assumptions!$B$12</f>
        <v>33.160000000000004</v>
      </c>
      <c r="C3324" s="15">
        <f>IF(A3324&lt;=Assumptions!$B$13,IF(OR(A3324=0,A3324=Assumptions!$B$13),0.5,1),0)*Assumptions!$B$12</f>
        <v>0</v>
      </c>
      <c r="D3324" s="12">
        <f>D3323*(1-Assumptions!$B$12*(Assumptions!$B$5+Assumptions!$B$6))</f>
        <v>0.36974220854023832</v>
      </c>
      <c r="E3324" s="12">
        <f>E3323+Assumptions!$B$12*(D3323*Assumptions!$B$5-E3323*Assumptions!$B$7)</f>
        <v>0.17930155029514744</v>
      </c>
      <c r="F3324" s="12">
        <f t="shared" si="153"/>
        <v>0.45095624116461425</v>
      </c>
      <c r="G3324" s="12">
        <f>EXP(-Assumptions!$B$8*B3324)</f>
        <v>0.19051963859332915</v>
      </c>
      <c r="H3324" s="12">
        <f t="shared" si="154"/>
        <v>7.0443151943785545E-2</v>
      </c>
      <c r="I3324" s="12">
        <f t="shared" si="155"/>
        <v>3.4160466561455119E-2</v>
      </c>
      <c r="J3324" s="12">
        <f>G3324*(D3324*Assumptions!$B$6+E3324*Assumptions!$B$7)</f>
        <v>2.4124548475106117E-3</v>
      </c>
    </row>
    <row r="3325" spans="1:10" x14ac:dyDescent="0.2">
      <c r="A3325" s="2">
        <v>3317</v>
      </c>
      <c r="B3325" s="14">
        <f>A3325*Assumptions!$B$12</f>
        <v>33.17</v>
      </c>
      <c r="C3325" s="15">
        <f>IF(A3325&lt;=Assumptions!$B$13,IF(OR(A3325=0,A3325=Assumptions!$B$13),0.5,1),0)*Assumptions!$B$12</f>
        <v>0</v>
      </c>
      <c r="D3325" s="12">
        <f>D3324*(1-Assumptions!$B$12*(Assumptions!$B$5+Assumptions!$B$6))</f>
        <v>0.36963128587767624</v>
      </c>
      <c r="E3325" s="12">
        <f>E3324+Assumptions!$B$12*(D3324*Assumptions!$B$5-E3324*Assumptions!$B$7)</f>
        <v>0.17928584796170791</v>
      </c>
      <c r="F3325" s="12">
        <f t="shared" si="153"/>
        <v>0.45108286616061588</v>
      </c>
      <c r="G3325" s="12">
        <f>EXP(-Assumptions!$B$8*B3325)</f>
        <v>0.19042440258501869</v>
      </c>
      <c r="H3325" s="12">
        <f t="shared" si="154"/>
        <v>7.038681678998876E-2</v>
      </c>
      <c r="I3325" s="12">
        <f t="shared" si="155"/>
        <v>3.4140400490056719E-2</v>
      </c>
      <c r="J3325" s="12">
        <f>G3325*(D3325*Assumptions!$B$6+E3325*Assumptions!$B$7)</f>
        <v>2.4108881924027234E-3</v>
      </c>
    </row>
    <row r="3326" spans="1:10" x14ac:dyDescent="0.2">
      <c r="A3326" s="2">
        <v>3318</v>
      </c>
      <c r="B3326" s="14">
        <f>A3326*Assumptions!$B$12</f>
        <v>33.18</v>
      </c>
      <c r="C3326" s="15">
        <f>IF(A3326&lt;=Assumptions!$B$13,IF(OR(A3326=0,A3326=Assumptions!$B$13),0.5,1),0)*Assumptions!$B$12</f>
        <v>0</v>
      </c>
      <c r="D3326" s="12">
        <f>D3325*(1-Assumptions!$B$12*(Assumptions!$B$5+Assumptions!$B$6))</f>
        <v>0.36952039649191293</v>
      </c>
      <c r="E3326" s="12">
        <f>E3325+Assumptions!$B$12*(D3325*Assumptions!$B$5-E3325*Assumptions!$B$7)</f>
        <v>0.17927013129490257</v>
      </c>
      <c r="F3326" s="12">
        <f t="shared" si="153"/>
        <v>0.45120947221318453</v>
      </c>
      <c r="G3326" s="12">
        <f>EXP(-Assumptions!$B$8*B3326)</f>
        <v>0.19032921418280985</v>
      </c>
      <c r="H3326" s="12">
        <f t="shared" si="154"/>
        <v>7.0330526688826112E-2</v>
      </c>
      <c r="I3326" s="12">
        <f t="shared" si="155"/>
        <v>3.4120343215807952E-2</v>
      </c>
      <c r="J3326" s="12">
        <f>G3326*(D3326*Assumptions!$B$6+E3326*Assumptions!$B$7)</f>
        <v>2.4093224276786587E-3</v>
      </c>
    </row>
    <row r="3327" spans="1:10" x14ac:dyDescent="0.2">
      <c r="A3327" s="2">
        <v>3319</v>
      </c>
      <c r="B3327" s="14">
        <f>A3327*Assumptions!$B$12</f>
        <v>33.19</v>
      </c>
      <c r="C3327" s="15">
        <f>IF(A3327&lt;=Assumptions!$B$13,IF(OR(A3327=0,A3327=Assumptions!$B$13),0.5,1),0)*Assumptions!$B$12</f>
        <v>0</v>
      </c>
      <c r="D3327" s="12">
        <f>D3326*(1-Assumptions!$B$12*(Assumptions!$B$5+Assumptions!$B$6))</f>
        <v>0.36940954037296536</v>
      </c>
      <c r="E3327" s="12">
        <f>E3326+Assumptions!$B$12*(D3326*Assumptions!$B$5-E3326*Assumptions!$B$7)</f>
        <v>0.1792544003085535</v>
      </c>
      <c r="F3327" s="12">
        <f t="shared" si="153"/>
        <v>0.45133605931848114</v>
      </c>
      <c r="G3327" s="12">
        <f>EXP(-Assumptions!$B$8*B3327)</f>
        <v>0.19023407336290554</v>
      </c>
      <c r="H3327" s="12">
        <f t="shared" si="154"/>
        <v>7.0274281604267907E-2</v>
      </c>
      <c r="I3327" s="12">
        <f t="shared" si="155"/>
        <v>3.4100294738921004E-2</v>
      </c>
      <c r="J3327" s="12">
        <f>G3327*(D3327*Assumptions!$B$6+E3327*Assumptions!$B$7)</f>
        <v>2.4077575529887294E-3</v>
      </c>
    </row>
    <row r="3328" spans="1:10" x14ac:dyDescent="0.2">
      <c r="A3328" s="2">
        <v>3320</v>
      </c>
      <c r="B3328" s="14">
        <f>A3328*Assumptions!$B$12</f>
        <v>33.200000000000003</v>
      </c>
      <c r="C3328" s="15">
        <f>IF(A3328&lt;=Assumptions!$B$13,IF(OR(A3328=0,A3328=Assumptions!$B$13),0.5,1),0)*Assumptions!$B$12</f>
        <v>0</v>
      </c>
      <c r="D3328" s="12">
        <f>D3327*(1-Assumptions!$B$12*(Assumptions!$B$5+Assumptions!$B$6))</f>
        <v>0.36929871751085347</v>
      </c>
      <c r="E3328" s="12">
        <f>E3327+Assumptions!$B$12*(D3327*Assumptions!$B$5-E3327*Assumptions!$B$7)</f>
        <v>0.17923865501647382</v>
      </c>
      <c r="F3328" s="12">
        <f t="shared" si="153"/>
        <v>0.45146262747267263</v>
      </c>
      <c r="G3328" s="12">
        <f>EXP(-Assumptions!$B$8*B3328)</f>
        <v>0.1901389801015205</v>
      </c>
      <c r="H3328" s="12">
        <f t="shared" si="154"/>
        <v>7.0218081500313209E-2</v>
      </c>
      <c r="I3328" s="12">
        <f t="shared" si="155"/>
        <v>3.4080255059600613E-2</v>
      </c>
      <c r="J3328" s="12">
        <f>G3328*(D3328*Assumptions!$B$6+E3328*Assumptions!$B$7)</f>
        <v>2.4061935679831632E-3</v>
      </c>
    </row>
    <row r="3329" spans="1:10" x14ac:dyDescent="0.2">
      <c r="A3329" s="2">
        <v>3321</v>
      </c>
      <c r="B3329" s="14">
        <f>A3329*Assumptions!$B$12</f>
        <v>33.21</v>
      </c>
      <c r="C3329" s="15">
        <f>IF(A3329&lt;=Assumptions!$B$13,IF(OR(A3329=0,A3329=Assumptions!$B$13),0.5,1),0)*Assumptions!$B$12</f>
        <v>0</v>
      </c>
      <c r="D3329" s="12">
        <f>D3328*(1-Assumptions!$B$12*(Assumptions!$B$5+Assumptions!$B$6))</f>
        <v>0.36918792789560023</v>
      </c>
      <c r="E3329" s="12">
        <f>E3328+Assumptions!$B$12*(D3328*Assumptions!$B$5-E3328*Assumptions!$B$7)</f>
        <v>0.17922289543246775</v>
      </c>
      <c r="F3329" s="12">
        <f t="shared" si="153"/>
        <v>0.45158917667193199</v>
      </c>
      <c r="G3329" s="12">
        <f>EXP(-Assumptions!$B$8*B3329)</f>
        <v>0.19004393437488154</v>
      </c>
      <c r="H3329" s="12">
        <f t="shared" si="154"/>
        <v>7.0161926340989944E-2</v>
      </c>
      <c r="I3329" s="12">
        <f t="shared" si="155"/>
        <v>3.4060224178044156E-2</v>
      </c>
      <c r="J3329" s="12">
        <f>G3329*(D3329*Assumptions!$B$6+E3329*Assumptions!$B$7)</f>
        <v>2.4046304723121074E-3</v>
      </c>
    </row>
    <row r="3330" spans="1:10" x14ac:dyDescent="0.2">
      <c r="A3330" s="2">
        <v>3322</v>
      </c>
      <c r="B3330" s="14">
        <f>A3330*Assumptions!$B$12</f>
        <v>33.22</v>
      </c>
      <c r="C3330" s="15">
        <f>IF(A3330&lt;=Assumptions!$B$13,IF(OR(A3330=0,A3330=Assumptions!$B$13),0.5,1),0)*Assumptions!$B$12</f>
        <v>0</v>
      </c>
      <c r="D3330" s="12">
        <f>D3329*(1-Assumptions!$B$12*(Assumptions!$B$5+Assumptions!$B$6))</f>
        <v>0.36907717151723157</v>
      </c>
      <c r="E3330" s="12">
        <f>E3329+Assumptions!$B$12*(D3329*Assumptions!$B$5-E3329*Assumptions!$B$7)</f>
        <v>0.17920712157033064</v>
      </c>
      <c r="F3330" s="12">
        <f t="shared" si="153"/>
        <v>0.45171570691243773</v>
      </c>
      <c r="G3330" s="12">
        <f>EXP(-Assumptions!$B$8*B3330)</f>
        <v>0.18994893615922714</v>
      </c>
      <c r="H3330" s="12">
        <f t="shared" si="154"/>
        <v>7.0105816090354753E-2</v>
      </c>
      <c r="I3330" s="12">
        <f t="shared" si="155"/>
        <v>3.4040202094441592E-2</v>
      </c>
      <c r="J3330" s="12">
        <f>G3330*(D3330*Assumptions!$B$6+E3330*Assumptions!$B$7)</f>
        <v>2.4030682656256274E-3</v>
      </c>
    </row>
    <row r="3331" spans="1:10" x14ac:dyDescent="0.2">
      <c r="A3331" s="2">
        <v>3323</v>
      </c>
      <c r="B3331" s="14">
        <f>A3331*Assumptions!$B$12</f>
        <v>33.230000000000004</v>
      </c>
      <c r="C3331" s="15">
        <f>IF(A3331&lt;=Assumptions!$B$13,IF(OR(A3331=0,A3331=Assumptions!$B$13),0.5,1),0)*Assumptions!$B$12</f>
        <v>0</v>
      </c>
      <c r="D3331" s="12">
        <f>D3330*(1-Assumptions!$B$12*(Assumptions!$B$5+Assumptions!$B$6))</f>
        <v>0.36896644836577641</v>
      </c>
      <c r="E3331" s="12">
        <f>E3330+Assumptions!$B$12*(D3330*Assumptions!$B$5-E3330*Assumptions!$B$7)</f>
        <v>0.17919133344384891</v>
      </c>
      <c r="F3331" s="12">
        <f t="shared" si="153"/>
        <v>0.45184221819037468</v>
      </c>
      <c r="G3331" s="12">
        <f>EXP(-Assumptions!$B$8*B3331)</f>
        <v>0.18985398543080775</v>
      </c>
      <c r="H3331" s="12">
        <f t="shared" si="154"/>
        <v>7.0049750712493003E-2</v>
      </c>
      <c r="I3331" s="12">
        <f t="shared" si="155"/>
        <v>3.4020188808975504E-2</v>
      </c>
      <c r="J3331" s="12">
        <f>G3331*(D3331*Assumptions!$B$6+E3331*Assumptions!$B$7)</f>
        <v>2.4015069475737051E-3</v>
      </c>
    </row>
    <row r="3332" spans="1:10" x14ac:dyDescent="0.2">
      <c r="A3332" s="2">
        <v>3324</v>
      </c>
      <c r="B3332" s="14">
        <f>A3332*Assumptions!$B$12</f>
        <v>33.24</v>
      </c>
      <c r="C3332" s="15">
        <f>IF(A3332&lt;=Assumptions!$B$13,IF(OR(A3332=0,A3332=Assumptions!$B$13),0.5,1),0)*Assumptions!$B$12</f>
        <v>0</v>
      </c>
      <c r="D3332" s="12">
        <f>D3331*(1-Assumptions!$B$12*(Assumptions!$B$5+Assumptions!$B$6))</f>
        <v>0.36885575843126667</v>
      </c>
      <c r="E3332" s="12">
        <f>E3331+Assumptions!$B$12*(D3331*Assumptions!$B$5-E3331*Assumptions!$B$7)</f>
        <v>0.17917553106680015</v>
      </c>
      <c r="F3332" s="12">
        <f t="shared" si="153"/>
        <v>0.45196871050193321</v>
      </c>
      <c r="G3332" s="12">
        <f>EXP(-Assumptions!$B$8*B3332)</f>
        <v>0.18975908216588572</v>
      </c>
      <c r="H3332" s="12">
        <f t="shared" si="154"/>
        <v>6.9993730171518831E-2</v>
      </c>
      <c r="I3332" s="12">
        <f t="shared" si="155"/>
        <v>3.4000184321821135E-2</v>
      </c>
      <c r="J3332" s="12">
        <f>G3332*(D3332*Assumptions!$B$6+E3332*Assumptions!$B$7)</f>
        <v>2.399946517806245E-3</v>
      </c>
    </row>
    <row r="3333" spans="1:10" x14ac:dyDescent="0.2">
      <c r="A3333" s="2">
        <v>3325</v>
      </c>
      <c r="B3333" s="14">
        <f>A3333*Assumptions!$B$12</f>
        <v>33.25</v>
      </c>
      <c r="C3333" s="15">
        <f>IF(A3333&lt;=Assumptions!$B$13,IF(OR(A3333=0,A3333=Assumptions!$B$13),0.5,1),0)*Assumptions!$B$12</f>
        <v>0</v>
      </c>
      <c r="D3333" s="12">
        <f>D3332*(1-Assumptions!$B$12*(Assumptions!$B$5+Assumptions!$B$6))</f>
        <v>0.36874510170373731</v>
      </c>
      <c r="E3333" s="12">
        <f>E3332+Assumptions!$B$12*(D3332*Assumptions!$B$5-E3332*Assumptions!$B$7)</f>
        <v>0.17915971445295301</v>
      </c>
      <c r="F3333" s="12">
        <f t="shared" si="153"/>
        <v>0.45209518384330971</v>
      </c>
      <c r="G3333" s="12">
        <f>EXP(-Assumptions!$B$8*B3333)</f>
        <v>0.18966422634073524</v>
      </c>
      <c r="H3333" s="12">
        <f t="shared" si="154"/>
        <v>6.9937754431575072E-2</v>
      </c>
      <c r="I3333" s="12">
        <f t="shared" si="155"/>
        <v>3.398018863314637E-2</v>
      </c>
      <c r="J3333" s="12">
        <f>G3333*(D3333*Assumptions!$B$6+E3333*Assumptions!$B$7)</f>
        <v>2.398386975973069E-3</v>
      </c>
    </row>
    <row r="3334" spans="1:10" x14ac:dyDescent="0.2">
      <c r="A3334" s="2">
        <v>3326</v>
      </c>
      <c r="B3334" s="14">
        <f>A3334*Assumptions!$B$12</f>
        <v>33.26</v>
      </c>
      <c r="C3334" s="15">
        <f>IF(A3334&lt;=Assumptions!$B$13,IF(OR(A3334=0,A3334=Assumptions!$B$13),0.5,1),0)*Assumptions!$B$12</f>
        <v>0</v>
      </c>
      <c r="D3334" s="12">
        <f>D3333*(1-Assumptions!$B$12*(Assumptions!$B$5+Assumptions!$B$6))</f>
        <v>0.3686344781732262</v>
      </c>
      <c r="E3334" s="12">
        <f>E3333+Assumptions!$B$12*(D3333*Assumptions!$B$5-E3333*Assumptions!$B$7)</f>
        <v>0.17914388361606728</v>
      </c>
      <c r="F3334" s="12">
        <f t="shared" si="153"/>
        <v>0.45222163821070649</v>
      </c>
      <c r="G3334" s="12">
        <f>EXP(-Assumptions!$B$8*B3334)</f>
        <v>0.18956941793164234</v>
      </c>
      <c r="H3334" s="12">
        <f t="shared" si="154"/>
        <v>6.9881823456833206E-2</v>
      </c>
      <c r="I3334" s="12">
        <f t="shared" si="155"/>
        <v>3.3960201743111755E-2</v>
      </c>
      <c r="J3334" s="12">
        <f>G3334*(D3334*Assumptions!$B$6+E3334*Assumptions!$B$7)</f>
        <v>2.3968283217239198E-3</v>
      </c>
    </row>
    <row r="3335" spans="1:10" x14ac:dyDescent="0.2">
      <c r="A3335" s="2">
        <v>3327</v>
      </c>
      <c r="B3335" s="14">
        <f>A3335*Assumptions!$B$12</f>
        <v>33.270000000000003</v>
      </c>
      <c r="C3335" s="15">
        <f>IF(A3335&lt;=Assumptions!$B$13,IF(OR(A3335=0,A3335=Assumptions!$B$13),0.5,1),0)*Assumptions!$B$12</f>
        <v>0</v>
      </c>
      <c r="D3335" s="12">
        <f>D3334*(1-Assumptions!$B$12*(Assumptions!$B$5+Assumptions!$B$6))</f>
        <v>0.36852388782977424</v>
      </c>
      <c r="E3335" s="12">
        <f>E3334+Assumptions!$B$12*(D3334*Assumptions!$B$5-E3334*Assumptions!$B$7)</f>
        <v>0.1791280385698939</v>
      </c>
      <c r="F3335" s="12">
        <f t="shared" si="153"/>
        <v>0.4523480736003318</v>
      </c>
      <c r="G3335" s="12">
        <f>EXP(-Assumptions!$B$8*B3335)</f>
        <v>0.18947465691490487</v>
      </c>
      <c r="H3335" s="12">
        <f t="shared" si="154"/>
        <v>6.9825937211493355E-2</v>
      </c>
      <c r="I3335" s="12">
        <f t="shared" si="155"/>
        <v>3.3940223651870494E-2</v>
      </c>
      <c r="J3335" s="12">
        <f>G3335*(D3335*Assumptions!$B$6+E3335*Assumptions!$B$7)</f>
        <v>2.3952705547084581E-3</v>
      </c>
    </row>
    <row r="3336" spans="1:10" x14ac:dyDescent="0.2">
      <c r="A3336" s="2">
        <v>3328</v>
      </c>
      <c r="B3336" s="14">
        <f>A3336*Assumptions!$B$12</f>
        <v>33.28</v>
      </c>
      <c r="C3336" s="15">
        <f>IF(A3336&lt;=Assumptions!$B$13,IF(OR(A3336=0,A3336=Assumptions!$B$13),0.5,1),0)*Assumptions!$B$12</f>
        <v>0</v>
      </c>
      <c r="D3336" s="12">
        <f>D3335*(1-Assumptions!$B$12*(Assumptions!$B$5+Assumptions!$B$6))</f>
        <v>0.3684133306634253</v>
      </c>
      <c r="E3336" s="12">
        <f>E3335+Assumptions!$B$12*(D3335*Assumptions!$B$5-E3335*Assumptions!$B$7)</f>
        <v>0.17911217932817491</v>
      </c>
      <c r="F3336" s="12">
        <f t="shared" ref="F3336:F3399" si="156">1-D3336-E3336</f>
        <v>0.45247449000839979</v>
      </c>
      <c r="G3336" s="12">
        <f>EXP(-Assumptions!$B$8*B3336)</f>
        <v>0.18937994326683263</v>
      </c>
      <c r="H3336" s="12">
        <f t="shared" ref="H3336:H3399" si="157">G3336*D3336</f>
        <v>6.9770095659784329E-2</v>
      </c>
      <c r="I3336" s="12">
        <f t="shared" ref="I3336:I3399" si="158">G3336*E3336</f>
        <v>3.3920254359568518E-2</v>
      </c>
      <c r="J3336" s="12">
        <f>G3336*(D3336*Assumptions!$B$6+E3336*Assumptions!$B$7)</f>
        <v>2.3937136745762694E-3</v>
      </c>
    </row>
    <row r="3337" spans="1:10" x14ac:dyDescent="0.2">
      <c r="A3337" s="2">
        <v>3329</v>
      </c>
      <c r="B3337" s="14">
        <f>A3337*Assumptions!$B$12</f>
        <v>33.29</v>
      </c>
      <c r="C3337" s="15">
        <f>IF(A3337&lt;=Assumptions!$B$13,IF(OR(A3337=0,A3337=Assumptions!$B$13),0.5,1),0)*Assumptions!$B$12</f>
        <v>0</v>
      </c>
      <c r="D3337" s="12">
        <f>D3336*(1-Assumptions!$B$12*(Assumptions!$B$5+Assumptions!$B$6))</f>
        <v>0.36830280666422627</v>
      </c>
      <c r="E3337" s="12">
        <f>E3336+Assumptions!$B$12*(D3336*Assumptions!$B$5-E3336*Assumptions!$B$7)</f>
        <v>0.17909630590464351</v>
      </c>
      <c r="F3337" s="12">
        <f t="shared" si="156"/>
        <v>0.45260088743113025</v>
      </c>
      <c r="G3337" s="12">
        <f>EXP(-Assumptions!$B$8*B3337)</f>
        <v>0.18928527696374722</v>
      </c>
      <c r="H3337" s="12">
        <f t="shared" si="157"/>
        <v>6.9714298765963509E-2</v>
      </c>
      <c r="I3337" s="12">
        <f t="shared" si="158"/>
        <v>3.3900293866344446E-2</v>
      </c>
      <c r="J3337" s="12">
        <f>G3337*(D3337*Assumptions!$B$6+E3337*Assumptions!$B$7)</f>
        <v>2.3921576809768572E-3</v>
      </c>
    </row>
    <row r="3338" spans="1:10" x14ac:dyDescent="0.2">
      <c r="A3338" s="2">
        <v>3330</v>
      </c>
      <c r="B3338" s="14">
        <f>A3338*Assumptions!$B$12</f>
        <v>33.299999999999997</v>
      </c>
      <c r="C3338" s="15">
        <f>IF(A3338&lt;=Assumptions!$B$13,IF(OR(A3338=0,A3338=Assumptions!$B$13),0.5,1),0)*Assumptions!$B$12</f>
        <v>0</v>
      </c>
      <c r="D3338" s="12">
        <f>D3337*(1-Assumptions!$B$12*(Assumptions!$B$5+Assumptions!$B$6))</f>
        <v>0.368192315822227</v>
      </c>
      <c r="E3338" s="12">
        <f>E3337+Assumptions!$B$12*(D3337*Assumptions!$B$5-E3337*Assumptions!$B$7)</f>
        <v>0.17908041831302404</v>
      </c>
      <c r="F3338" s="12">
        <f t="shared" si="156"/>
        <v>0.45272726586474898</v>
      </c>
      <c r="G3338" s="12">
        <f>EXP(-Assumptions!$B$8*B3338)</f>
        <v>0.18919065798198204</v>
      </c>
      <c r="H3338" s="12">
        <f t="shared" si="157"/>
        <v>6.9658546494316867E-2</v>
      </c>
      <c r="I3338" s="12">
        <f t="shared" si="158"/>
        <v>3.3880342172329603E-2</v>
      </c>
      <c r="J3338" s="12">
        <f>G3338*(D3338*Assumptions!$B$6+E3338*Assumptions!$B$7)</f>
        <v>2.3906025735596489E-3</v>
      </c>
    </row>
    <row r="3339" spans="1:10" x14ac:dyDescent="0.2">
      <c r="A3339" s="2">
        <v>3331</v>
      </c>
      <c r="B3339" s="14">
        <f>A3339*Assumptions!$B$12</f>
        <v>33.31</v>
      </c>
      <c r="C3339" s="15">
        <f>IF(A3339&lt;=Assumptions!$B$13,IF(OR(A3339=0,A3339=Assumptions!$B$13),0.5,1),0)*Assumptions!$B$12</f>
        <v>0</v>
      </c>
      <c r="D3339" s="12">
        <f>D3338*(1-Assumptions!$B$12*(Assumptions!$B$5+Assumptions!$B$6))</f>
        <v>0.36808185812748034</v>
      </c>
      <c r="E3339" s="12">
        <f>E3338+Assumptions!$B$12*(D3338*Assumptions!$B$5-E3338*Assumptions!$B$7)</f>
        <v>0.17906451656703198</v>
      </c>
      <c r="F3339" s="12">
        <f t="shared" si="156"/>
        <v>0.45285362530548773</v>
      </c>
      <c r="G3339" s="12">
        <f>EXP(-Assumptions!$B$8*B3339)</f>
        <v>0.18909608629788227</v>
      </c>
      <c r="H3339" s="12">
        <f t="shared" si="157"/>
        <v>6.9602838809158879E-2</v>
      </c>
      <c r="I3339" s="12">
        <f t="shared" si="158"/>
        <v>3.386039927764805E-2</v>
      </c>
      <c r="J3339" s="12">
        <f>G3339*(D3339*Assumptions!$B$6+E3339*Assumptions!$B$7)</f>
        <v>2.3890483519739911E-3</v>
      </c>
    </row>
    <row r="3340" spans="1:10" x14ac:dyDescent="0.2">
      <c r="A3340" s="2">
        <v>3332</v>
      </c>
      <c r="B3340" s="14">
        <f>A3340*Assumptions!$B$12</f>
        <v>33.32</v>
      </c>
      <c r="C3340" s="15">
        <f>IF(A3340&lt;=Assumptions!$B$13,IF(OR(A3340=0,A3340=Assumptions!$B$13),0.5,1),0)*Assumptions!$B$12</f>
        <v>0</v>
      </c>
      <c r="D3340" s="12">
        <f>D3339*(1-Assumptions!$B$12*(Assumptions!$B$5+Assumptions!$B$6))</f>
        <v>0.36797143357004214</v>
      </c>
      <c r="E3340" s="12">
        <f>E3339+Assumptions!$B$12*(D3339*Assumptions!$B$5-E3339*Assumptions!$B$7)</f>
        <v>0.17904860068037395</v>
      </c>
      <c r="F3340" s="12">
        <f t="shared" si="156"/>
        <v>0.45297996574958388</v>
      </c>
      <c r="G3340" s="12">
        <f>EXP(-Assumptions!$B$8*B3340)</f>
        <v>0.18900156188780512</v>
      </c>
      <c r="H3340" s="12">
        <f t="shared" si="157"/>
        <v>6.9547175674832692E-2</v>
      </c>
      <c r="I3340" s="12">
        <f t="shared" si="158"/>
        <v>3.3840465182416603E-2</v>
      </c>
      <c r="J3340" s="12">
        <f>G3340*(D3340*Assumptions!$B$6+E3340*Assumptions!$B$7)</f>
        <v>2.387495015869157E-3</v>
      </c>
    </row>
    <row r="3341" spans="1:10" x14ac:dyDescent="0.2">
      <c r="A3341" s="2">
        <v>3333</v>
      </c>
      <c r="B3341" s="14">
        <f>A3341*Assumptions!$B$12</f>
        <v>33.33</v>
      </c>
      <c r="C3341" s="15">
        <f>IF(A3341&lt;=Assumptions!$B$13,IF(OR(A3341=0,A3341=Assumptions!$B$13),0.5,1),0)*Assumptions!$B$12</f>
        <v>0</v>
      </c>
      <c r="D3341" s="12">
        <f>D3340*(1-Assumptions!$B$12*(Assumptions!$B$5+Assumptions!$B$6))</f>
        <v>0.36786104213997112</v>
      </c>
      <c r="E3341" s="12">
        <f>E3340+Assumptions!$B$12*(D3340*Assumptions!$B$5-E3340*Assumptions!$B$7)</f>
        <v>0.17903267066674777</v>
      </c>
      <c r="F3341" s="12">
        <f t="shared" si="156"/>
        <v>0.45310628719328117</v>
      </c>
      <c r="G3341" s="12">
        <f>EXP(-Assumptions!$B$8*B3341)</f>
        <v>0.18890708472811943</v>
      </c>
      <c r="H3341" s="12">
        <f t="shared" si="157"/>
        <v>6.9491557055709835E-2</v>
      </c>
      <c r="I3341" s="12">
        <f t="shared" si="158"/>
        <v>3.382053988674482E-2</v>
      </c>
      <c r="J3341" s="12">
        <f>G3341*(D3341*Assumptions!$B$6+E3341*Assumptions!$B$7)</f>
        <v>2.3859425648943395E-3</v>
      </c>
    </row>
    <row r="3342" spans="1:10" x14ac:dyDescent="0.2">
      <c r="A3342" s="2">
        <v>3334</v>
      </c>
      <c r="B3342" s="14">
        <f>A3342*Assumptions!$B$12</f>
        <v>33.340000000000003</v>
      </c>
      <c r="C3342" s="15">
        <f>IF(A3342&lt;=Assumptions!$B$13,IF(OR(A3342=0,A3342=Assumptions!$B$13),0.5,1),0)*Assumptions!$B$12</f>
        <v>0</v>
      </c>
      <c r="D3342" s="12">
        <f>D3341*(1-Assumptions!$B$12*(Assumptions!$B$5+Assumptions!$B$6))</f>
        <v>0.36775068382732912</v>
      </c>
      <c r="E3342" s="12">
        <f>E3341+Assumptions!$B$12*(D3341*Assumptions!$B$5-E3341*Assumptions!$B$7)</f>
        <v>0.17901672653984238</v>
      </c>
      <c r="F3342" s="12">
        <f t="shared" si="156"/>
        <v>0.45323258963282853</v>
      </c>
      <c r="G3342" s="12">
        <f>EXP(-Assumptions!$B$8*B3342)</f>
        <v>0.18881265479520584</v>
      </c>
      <c r="H3342" s="12">
        <f t="shared" si="157"/>
        <v>6.9435982916190381E-2</v>
      </c>
      <c r="I3342" s="12">
        <f t="shared" si="158"/>
        <v>3.3800623390735023E-2</v>
      </c>
      <c r="J3342" s="12">
        <f>G3342*(D3342*Assumptions!$B$6+E3342*Assumptions!$B$7)</f>
        <v>2.3843909986986551E-3</v>
      </c>
    </row>
    <row r="3343" spans="1:10" x14ac:dyDescent="0.2">
      <c r="A3343" s="2">
        <v>3335</v>
      </c>
      <c r="B3343" s="14">
        <f>A3343*Assumptions!$B$12</f>
        <v>33.35</v>
      </c>
      <c r="C3343" s="15">
        <f>IF(A3343&lt;=Assumptions!$B$13,IF(OR(A3343=0,A3343=Assumptions!$B$13),0.5,1),0)*Assumptions!$B$12</f>
        <v>0</v>
      </c>
      <c r="D3343" s="12">
        <f>D3342*(1-Assumptions!$B$12*(Assumptions!$B$5+Assumptions!$B$6))</f>
        <v>0.36764035862218092</v>
      </c>
      <c r="E3343" s="12">
        <f>E3342+Assumptions!$B$12*(D3342*Assumptions!$B$5-E3342*Assumptions!$B$7)</f>
        <v>0.17900076831333792</v>
      </c>
      <c r="F3343" s="12">
        <f t="shared" si="156"/>
        <v>0.45335887306448119</v>
      </c>
      <c r="G3343" s="12">
        <f>EXP(-Assumptions!$B$8*B3343)</f>
        <v>0.18871827206545699</v>
      </c>
      <c r="H3343" s="12">
        <f t="shared" si="157"/>
        <v>6.9380453220702923E-2</v>
      </c>
      <c r="I3343" s="12">
        <f t="shared" si="158"/>
        <v>3.3780715694482336E-2</v>
      </c>
      <c r="J3343" s="12">
        <f>G3343*(D3343*Assumptions!$B$6+E3343*Assumptions!$B$7)</f>
        <v>2.382840316931146E-3</v>
      </c>
    </row>
    <row r="3344" spans="1:10" x14ac:dyDescent="0.2">
      <c r="A3344" s="2">
        <v>3336</v>
      </c>
      <c r="B3344" s="14">
        <f>A3344*Assumptions!$B$12</f>
        <v>33.36</v>
      </c>
      <c r="C3344" s="15">
        <f>IF(A3344&lt;=Assumptions!$B$13,IF(OR(A3344=0,A3344=Assumptions!$B$13),0.5,1),0)*Assumptions!$B$12</f>
        <v>0</v>
      </c>
      <c r="D3344" s="12">
        <f>D3343*(1-Assumptions!$B$12*(Assumptions!$B$5+Assumptions!$B$6))</f>
        <v>0.3675300665145943</v>
      </c>
      <c r="E3344" s="12">
        <f>E3343+Assumptions!$B$12*(D3343*Assumptions!$B$5-E3343*Assumptions!$B$7)</f>
        <v>0.17898479600090569</v>
      </c>
      <c r="F3344" s="12">
        <f t="shared" si="156"/>
        <v>0.45348513748450003</v>
      </c>
      <c r="G3344" s="12">
        <f>EXP(-Assumptions!$B$8*B3344)</f>
        <v>0.18862393651527715</v>
      </c>
      <c r="H3344" s="12">
        <f t="shared" si="157"/>
        <v>6.9324967933704421E-2</v>
      </c>
      <c r="I3344" s="12">
        <f t="shared" si="158"/>
        <v>3.3760816798074668E-2</v>
      </c>
      <c r="J3344" s="12">
        <f>G3344*(D3344*Assumptions!$B$6+E3344*Assumptions!$B$7)</f>
        <v>2.3812905192407774E-3</v>
      </c>
    </row>
    <row r="3345" spans="1:10" x14ac:dyDescent="0.2">
      <c r="A3345" s="2">
        <v>3337</v>
      </c>
      <c r="B3345" s="14">
        <f>A3345*Assumptions!$B$12</f>
        <v>33.369999999999997</v>
      </c>
      <c r="C3345" s="15">
        <f>IF(A3345&lt;=Assumptions!$B$13,IF(OR(A3345=0,A3345=Assumptions!$B$13),0.5,1),0)*Assumptions!$B$12</f>
        <v>0</v>
      </c>
      <c r="D3345" s="12">
        <f>D3344*(1-Assumptions!$B$12*(Assumptions!$B$5+Assumptions!$B$6))</f>
        <v>0.36741980749463993</v>
      </c>
      <c r="E3345" s="12">
        <f>E3344+Assumptions!$B$12*(D3344*Assumptions!$B$5-E3344*Assumptions!$B$7)</f>
        <v>0.17896880961620815</v>
      </c>
      <c r="F3345" s="12">
        <f t="shared" si="156"/>
        <v>0.45361138288915187</v>
      </c>
      <c r="G3345" s="12">
        <f>EXP(-Assumptions!$B$8*B3345)</f>
        <v>0.18852964812108244</v>
      </c>
      <c r="H3345" s="12">
        <f t="shared" si="157"/>
        <v>6.926952701968031E-2</v>
      </c>
      <c r="I3345" s="12">
        <f t="shared" si="158"/>
        <v>3.3740926701592719E-2</v>
      </c>
      <c r="J3345" s="12">
        <f>G3345*(D3345*Assumptions!$B$6+E3345*Assumptions!$B$7)</f>
        <v>2.3797416052764391E-3</v>
      </c>
    </row>
    <row r="3346" spans="1:10" x14ac:dyDescent="0.2">
      <c r="A3346" s="2">
        <v>3338</v>
      </c>
      <c r="B3346" s="14">
        <f>A3346*Assumptions!$B$12</f>
        <v>33.380000000000003</v>
      </c>
      <c r="C3346" s="15">
        <f>IF(A3346&lt;=Assumptions!$B$13,IF(OR(A3346=0,A3346=Assumptions!$B$13),0.5,1),0)*Assumptions!$B$12</f>
        <v>0</v>
      </c>
      <c r="D3346" s="12">
        <f>D3345*(1-Assumptions!$B$12*(Assumptions!$B$5+Assumptions!$B$6))</f>
        <v>0.36730958155239157</v>
      </c>
      <c r="E3346" s="12">
        <f>E3345+Assumptions!$B$12*(D3345*Assumptions!$B$5-E3345*Assumptions!$B$7)</f>
        <v>0.17895280917289896</v>
      </c>
      <c r="F3346" s="12">
        <f t="shared" si="156"/>
        <v>0.45373760927470946</v>
      </c>
      <c r="G3346" s="12">
        <f>EXP(-Assumptions!$B$8*B3346)</f>
        <v>0.18843540685930063</v>
      </c>
      <c r="H3346" s="12">
        <f t="shared" si="157"/>
        <v>6.9214130443144367E-2</v>
      </c>
      <c r="I3346" s="12">
        <f t="shared" si="158"/>
        <v>3.3721045405109999E-2</v>
      </c>
      <c r="J3346" s="12">
        <f>G3346*(D3346*Assumptions!$B$6+E3346*Assumptions!$B$7)</f>
        <v>2.3781935746869437E-3</v>
      </c>
    </row>
    <row r="3347" spans="1:10" x14ac:dyDescent="0.2">
      <c r="A3347" s="2">
        <v>3339</v>
      </c>
      <c r="B3347" s="14">
        <f>A3347*Assumptions!$B$12</f>
        <v>33.39</v>
      </c>
      <c r="C3347" s="15">
        <f>IF(A3347&lt;=Assumptions!$B$13,IF(OR(A3347=0,A3347=Assumptions!$B$13),0.5,1),0)*Assumptions!$B$12</f>
        <v>0</v>
      </c>
      <c r="D3347" s="12">
        <f>D3346*(1-Assumptions!$B$12*(Assumptions!$B$5+Assumptions!$B$6))</f>
        <v>0.36719938867792584</v>
      </c>
      <c r="E3347" s="12">
        <f>E3346+Assumptions!$B$12*(D3346*Assumptions!$B$5-E3346*Assumptions!$B$7)</f>
        <v>0.17893679468462298</v>
      </c>
      <c r="F3347" s="12">
        <f t="shared" si="156"/>
        <v>0.45386381663745112</v>
      </c>
      <c r="G3347" s="12">
        <f>EXP(-Assumptions!$B$8*B3347)</f>
        <v>0.18834121270637161</v>
      </c>
      <c r="H3347" s="12">
        <f t="shared" si="157"/>
        <v>6.9158778168638857E-2</v>
      </c>
      <c r="I3347" s="12">
        <f t="shared" si="158"/>
        <v>3.3701172908692921E-2</v>
      </c>
      <c r="J3347" s="12">
        <f>G3347*(D3347*Assumptions!$B$6+E3347*Assumptions!$B$7)</f>
        <v>2.3766464271210348E-3</v>
      </c>
    </row>
    <row r="3348" spans="1:10" x14ac:dyDescent="0.2">
      <c r="A3348" s="2">
        <v>3340</v>
      </c>
      <c r="B3348" s="14">
        <f>A3348*Assumptions!$B$12</f>
        <v>33.4</v>
      </c>
      <c r="C3348" s="15">
        <f>IF(A3348&lt;=Assumptions!$B$13,IF(OR(A3348=0,A3348=Assumptions!$B$13),0.5,1),0)*Assumptions!$B$12</f>
        <v>0</v>
      </c>
      <c r="D3348" s="12">
        <f>D3347*(1-Assumptions!$B$12*(Assumptions!$B$5+Assumptions!$B$6))</f>
        <v>0.3670892288613225</v>
      </c>
      <c r="E3348" s="12">
        <f>E3347+Assumptions!$B$12*(D3347*Assumptions!$B$5-E3347*Assumptions!$B$7)</f>
        <v>0.17892076616501626</v>
      </c>
      <c r="F3348" s="12">
        <f t="shared" si="156"/>
        <v>0.45399000497366115</v>
      </c>
      <c r="G3348" s="12">
        <f>EXP(-Assumptions!$B$8*B3348)</f>
        <v>0.1882470656387468</v>
      </c>
      <c r="H3348" s="12">
        <f t="shared" si="157"/>
        <v>6.9103470160734329E-2</v>
      </c>
      <c r="I3348" s="12">
        <f t="shared" si="158"/>
        <v>3.368130921240068E-2</v>
      </c>
      <c r="J3348" s="12">
        <f>G3348*(D3348*Assumptions!$B$6+E3348*Assumptions!$B$7)</f>
        <v>2.3751001622273776E-3</v>
      </c>
    </row>
    <row r="3349" spans="1:10" x14ac:dyDescent="0.2">
      <c r="A3349" s="2">
        <v>3341</v>
      </c>
      <c r="B3349" s="14">
        <f>A3349*Assumptions!$B$12</f>
        <v>33.410000000000004</v>
      </c>
      <c r="C3349" s="15">
        <f>IF(A3349&lt;=Assumptions!$B$13,IF(OR(A3349=0,A3349=Assumptions!$B$13),0.5,1),0)*Assumptions!$B$12</f>
        <v>0</v>
      </c>
      <c r="D3349" s="12">
        <f>D3348*(1-Assumptions!$B$12*(Assumptions!$B$5+Assumptions!$B$6))</f>
        <v>0.3669791020926641</v>
      </c>
      <c r="E3349" s="12">
        <f>E3348+Assumptions!$B$12*(D3348*Assumptions!$B$5-E3348*Assumptions!$B$7)</f>
        <v>0.17890472362770601</v>
      </c>
      <c r="F3349" s="12">
        <f t="shared" si="156"/>
        <v>0.45411617427962991</v>
      </c>
      <c r="G3349" s="12">
        <f>EXP(-Assumptions!$B$8*B3349)</f>
        <v>0.18815296563288922</v>
      </c>
      <c r="H3349" s="12">
        <f t="shared" si="157"/>
        <v>6.9048206384029573E-2</v>
      </c>
      <c r="I3349" s="12">
        <f t="shared" si="158"/>
        <v>3.3661454316285311E-2</v>
      </c>
      <c r="J3349" s="12">
        <f>G3349*(D3349*Assumptions!$B$6+E3349*Assumptions!$B$7)</f>
        <v>2.3735547796545613E-3</v>
      </c>
    </row>
    <row r="3350" spans="1:10" x14ac:dyDescent="0.2">
      <c r="A3350" s="2">
        <v>3342</v>
      </c>
      <c r="B3350" s="14">
        <f>A3350*Assumptions!$B$12</f>
        <v>33.42</v>
      </c>
      <c r="C3350" s="15">
        <f>IF(A3350&lt;=Assumptions!$B$13,IF(OR(A3350=0,A3350=Assumptions!$B$13),0.5,1),0)*Assumptions!$B$12</f>
        <v>0</v>
      </c>
      <c r="D3350" s="12">
        <f>D3349*(1-Assumptions!$B$12*(Assumptions!$B$5+Assumptions!$B$6))</f>
        <v>0.36686900836203629</v>
      </c>
      <c r="E3350" s="12">
        <f>E3349+Assumptions!$B$12*(D3349*Assumptions!$B$5-E3349*Assumptions!$B$7)</f>
        <v>0.17888866708631068</v>
      </c>
      <c r="F3350" s="12">
        <f t="shared" si="156"/>
        <v>0.45424232455165303</v>
      </c>
      <c r="G3350" s="12">
        <f>EXP(-Assumptions!$B$8*B3350)</f>
        <v>0.18805891266527414</v>
      </c>
      <c r="H3350" s="12">
        <f t="shared" si="157"/>
        <v>6.8992986803151912E-2</v>
      </c>
      <c r="I3350" s="12">
        <f t="shared" si="158"/>
        <v>3.3641608220391798E-2</v>
      </c>
      <c r="J3350" s="12">
        <f>G3350*(D3350*Assumptions!$B$6+E3350*Assumptions!$B$7)</f>
        <v>2.3720102790511094E-3</v>
      </c>
    </row>
    <row r="3351" spans="1:10" x14ac:dyDescent="0.2">
      <c r="A3351" s="2">
        <v>3343</v>
      </c>
      <c r="B3351" s="14">
        <f>A3351*Assumptions!$B$12</f>
        <v>33.43</v>
      </c>
      <c r="C3351" s="15">
        <f>IF(A3351&lt;=Assumptions!$B$13,IF(OR(A3351=0,A3351=Assumptions!$B$13),0.5,1),0)*Assumptions!$B$12</f>
        <v>0</v>
      </c>
      <c r="D3351" s="12">
        <f>D3350*(1-Assumptions!$B$12*(Assumptions!$B$5+Assumptions!$B$6))</f>
        <v>0.36675894765952771</v>
      </c>
      <c r="E3351" s="12">
        <f>E3350+Assumptions!$B$12*(D3350*Assumptions!$B$5-E3350*Assumptions!$B$7)</f>
        <v>0.17887259655443993</v>
      </c>
      <c r="F3351" s="12">
        <f t="shared" si="156"/>
        <v>0.45436845578603241</v>
      </c>
      <c r="G3351" s="12">
        <f>EXP(-Assumptions!$B$8*B3351)</f>
        <v>0.18796490671238822</v>
      </c>
      <c r="H3351" s="12">
        <f t="shared" si="157"/>
        <v>6.89378113827568E-2</v>
      </c>
      <c r="I3351" s="12">
        <f t="shared" si="158"/>
        <v>3.3621770924757953E-2</v>
      </c>
      <c r="J3351" s="12">
        <f>G3351*(D3351*Assumptions!$B$6+E3351*Assumptions!$B$7)</f>
        <v>2.3704666600654662E-3</v>
      </c>
    </row>
    <row r="3352" spans="1:10" x14ac:dyDescent="0.2">
      <c r="A3352" s="2">
        <v>3344</v>
      </c>
      <c r="B3352" s="14">
        <f>A3352*Assumptions!$B$12</f>
        <v>33.44</v>
      </c>
      <c r="C3352" s="15">
        <f>IF(A3352&lt;=Assumptions!$B$13,IF(OR(A3352=0,A3352=Assumptions!$B$13),0.5,1),0)*Assumptions!$B$12</f>
        <v>0</v>
      </c>
      <c r="D3352" s="12">
        <f>D3351*(1-Assumptions!$B$12*(Assumptions!$B$5+Assumptions!$B$6))</f>
        <v>0.36664891997522986</v>
      </c>
      <c r="E3352" s="12">
        <f>E3351+Assumptions!$B$12*(D3351*Assumptions!$B$5-E3351*Assumptions!$B$7)</f>
        <v>0.17885651204569461</v>
      </c>
      <c r="F3352" s="12">
        <f t="shared" si="156"/>
        <v>0.4544945679790755</v>
      </c>
      <c r="G3352" s="12">
        <f>EXP(-Assumptions!$B$8*B3352)</f>
        <v>0.18787094775072993</v>
      </c>
      <c r="H3352" s="12">
        <f t="shared" si="157"/>
        <v>6.8882680087527973E-2</v>
      </c>
      <c r="I3352" s="12">
        <f t="shared" si="158"/>
        <v>3.3601942429414493E-2</v>
      </c>
      <c r="J3352" s="12">
        <f>G3352*(D3352*Assumptions!$B$6+E3352*Assumptions!$B$7)</f>
        <v>2.368923922346004E-3</v>
      </c>
    </row>
    <row r="3353" spans="1:10" x14ac:dyDescent="0.2">
      <c r="A3353" s="2">
        <v>3345</v>
      </c>
      <c r="B3353" s="14">
        <f>A3353*Assumptions!$B$12</f>
        <v>33.450000000000003</v>
      </c>
      <c r="C3353" s="15">
        <f>IF(A3353&lt;=Assumptions!$B$13,IF(OR(A3353=0,A3353=Assumptions!$B$13),0.5,1),0)*Assumptions!$B$12</f>
        <v>0</v>
      </c>
      <c r="D3353" s="12">
        <f>D3352*(1-Assumptions!$B$12*(Assumptions!$B$5+Assumptions!$B$6))</f>
        <v>0.36653892529923732</v>
      </c>
      <c r="E3353" s="12">
        <f>E3352+Assumptions!$B$12*(D3352*Assumptions!$B$5-E3352*Assumptions!$B$7)</f>
        <v>0.17884041357366681</v>
      </c>
      <c r="F3353" s="12">
        <f t="shared" si="156"/>
        <v>0.45462066112709593</v>
      </c>
      <c r="G3353" s="12">
        <f>EXP(-Assumptions!$B$8*B3353)</f>
        <v>0.18777703575680946</v>
      </c>
      <c r="H3353" s="12">
        <f t="shared" si="157"/>
        <v>6.8827592882177394E-2</v>
      </c>
      <c r="I3353" s="12">
        <f t="shared" si="158"/>
        <v>3.3582122734385024E-2</v>
      </c>
      <c r="J3353" s="12">
        <f>G3353*(D3353*Assumptions!$B$6+E3353*Assumptions!$B$7)</f>
        <v>2.3673820655410252E-3</v>
      </c>
    </row>
    <row r="3354" spans="1:10" x14ac:dyDescent="0.2">
      <c r="A3354" s="2">
        <v>3346</v>
      </c>
      <c r="B3354" s="14">
        <f>A3354*Assumptions!$B$12</f>
        <v>33.46</v>
      </c>
      <c r="C3354" s="15">
        <f>IF(A3354&lt;=Assumptions!$B$13,IF(OR(A3354=0,A3354=Assumptions!$B$13),0.5,1),0)*Assumptions!$B$12</f>
        <v>0</v>
      </c>
      <c r="D3354" s="12">
        <f>D3353*(1-Assumptions!$B$12*(Assumptions!$B$5+Assumptions!$B$6))</f>
        <v>0.36642896362164756</v>
      </c>
      <c r="E3354" s="12">
        <f>E3353+Assumptions!$B$12*(D3353*Assumptions!$B$5-E3353*Assumptions!$B$7)</f>
        <v>0.17882430115193981</v>
      </c>
      <c r="F3354" s="12">
        <f t="shared" si="156"/>
        <v>0.45474673522641262</v>
      </c>
      <c r="G3354" s="12">
        <f>EXP(-Assumptions!$B$8*B3354)</f>
        <v>0.18768317070714904</v>
      </c>
      <c r="H3354" s="12">
        <f t="shared" si="157"/>
        <v>6.8772549731445393E-2</v>
      </c>
      <c r="I3354" s="12">
        <f t="shared" si="158"/>
        <v>3.3562311839686151E-2</v>
      </c>
      <c r="J3354" s="12">
        <f>G3354*(D3354*Assumptions!$B$6+E3354*Assumptions!$B$7)</f>
        <v>2.3658410892987611E-3</v>
      </c>
    </row>
    <row r="3355" spans="1:10" x14ac:dyDescent="0.2">
      <c r="A3355" s="2">
        <v>3347</v>
      </c>
      <c r="B3355" s="14">
        <f>A3355*Assumptions!$B$12</f>
        <v>33.47</v>
      </c>
      <c r="C3355" s="15">
        <f>IF(A3355&lt;=Assumptions!$B$13,IF(OR(A3355=0,A3355=Assumptions!$B$13),0.5,1),0)*Assumptions!$B$12</f>
        <v>0</v>
      </c>
      <c r="D3355" s="12">
        <f>D3354*(1-Assumptions!$B$12*(Assumptions!$B$5+Assumptions!$B$6))</f>
        <v>0.36631903493256107</v>
      </c>
      <c r="E3355" s="12">
        <f>E3354+Assumptions!$B$12*(D3354*Assumptions!$B$5-E3354*Assumptions!$B$7)</f>
        <v>0.17880817479408817</v>
      </c>
      <c r="F3355" s="12">
        <f t="shared" si="156"/>
        <v>0.4548727902733507</v>
      </c>
      <c r="G3355" s="12">
        <f>EXP(-Assumptions!$B$8*B3355)</f>
        <v>0.18758935257828224</v>
      </c>
      <c r="H3355" s="12">
        <f t="shared" si="157"/>
        <v>6.8717550600100291E-2</v>
      </c>
      <c r="I3355" s="12">
        <f t="shared" si="158"/>
        <v>3.3542509745327326E-2</v>
      </c>
      <c r="J3355" s="12">
        <f>G3355*(D3355*Assumptions!$B$6+E3355*Assumptions!$B$7)</f>
        <v>2.3643009932673691E-3</v>
      </c>
    </row>
    <row r="3356" spans="1:10" x14ac:dyDescent="0.2">
      <c r="A3356" s="2">
        <v>3348</v>
      </c>
      <c r="B3356" s="14">
        <f>A3356*Assumptions!$B$12</f>
        <v>33.480000000000004</v>
      </c>
      <c r="C3356" s="15">
        <f>IF(A3356&lt;=Assumptions!$B$13,IF(OR(A3356=0,A3356=Assumptions!$B$13),0.5,1),0)*Assumptions!$B$12</f>
        <v>0</v>
      </c>
      <c r="D3356" s="12">
        <f>D3355*(1-Assumptions!$B$12*(Assumptions!$B$5+Assumptions!$B$6))</f>
        <v>0.36620913922208131</v>
      </c>
      <c r="E3356" s="12">
        <f>E3355+Assumptions!$B$12*(D3355*Assumptions!$B$5-E3355*Assumptions!$B$7)</f>
        <v>0.17879203451367764</v>
      </c>
      <c r="F3356" s="12">
        <f t="shared" si="156"/>
        <v>0.45499882626424104</v>
      </c>
      <c r="G3356" s="12">
        <f>EXP(-Assumptions!$B$8*B3356)</f>
        <v>0.18749558134675448</v>
      </c>
      <c r="H3356" s="12">
        <f t="shared" si="157"/>
        <v>6.8662595452938679E-2</v>
      </c>
      <c r="I3356" s="12">
        <f t="shared" si="158"/>
        <v>3.3522716451310983E-2</v>
      </c>
      <c r="J3356" s="12">
        <f>G3356*(D3356*Assumptions!$B$6+E3356*Assumptions!$B$7)</f>
        <v>2.3627617770949363E-3</v>
      </c>
    </row>
    <row r="3357" spans="1:10" x14ac:dyDescent="0.2">
      <c r="A3357" s="2">
        <v>3349</v>
      </c>
      <c r="B3357" s="14">
        <f>A3357*Assumptions!$B$12</f>
        <v>33.49</v>
      </c>
      <c r="C3357" s="15">
        <f>IF(A3357&lt;=Assumptions!$B$13,IF(OR(A3357=0,A3357=Assumptions!$B$13),0.5,1),0)*Assumptions!$B$12</f>
        <v>0</v>
      </c>
      <c r="D3357" s="12">
        <f>D3356*(1-Assumptions!$B$12*(Assumptions!$B$5+Assumptions!$B$6))</f>
        <v>0.36609927648031471</v>
      </c>
      <c r="E3357" s="12">
        <f>E3356+Assumptions!$B$12*(D3356*Assumptions!$B$5-E3356*Assumptions!$B$7)</f>
        <v>0.17877588032426522</v>
      </c>
      <c r="F3357" s="12">
        <f t="shared" si="156"/>
        <v>0.45512484319542007</v>
      </c>
      <c r="G3357" s="12">
        <f>EXP(-Assumptions!$B$8*B3357)</f>
        <v>0.18740185698912315</v>
      </c>
      <c r="H3357" s="12">
        <f t="shared" si="157"/>
        <v>6.8607684254785389E-2</v>
      </c>
      <c r="I3357" s="12">
        <f t="shared" si="158"/>
        <v>3.3502931957632549E-2</v>
      </c>
      <c r="J3357" s="12">
        <f>G3357*(D3357*Assumptions!$B$6+E3357*Assumptions!$B$7)</f>
        <v>2.3612234404294815E-3</v>
      </c>
    </row>
    <row r="3358" spans="1:10" x14ac:dyDescent="0.2">
      <c r="A3358" s="2">
        <v>3350</v>
      </c>
      <c r="B3358" s="14">
        <f>A3358*Assumptions!$B$12</f>
        <v>33.5</v>
      </c>
      <c r="C3358" s="15">
        <f>IF(A3358&lt;=Assumptions!$B$13,IF(OR(A3358=0,A3358=Assumptions!$B$13),0.5,1),0)*Assumptions!$B$12</f>
        <v>0</v>
      </c>
      <c r="D3358" s="12">
        <f>D3357*(1-Assumptions!$B$12*(Assumptions!$B$5+Assumptions!$B$6))</f>
        <v>0.3659894466973706</v>
      </c>
      <c r="E3358" s="12">
        <f>E3357+Assumptions!$B$12*(D3357*Assumptions!$B$5-E3357*Assumptions!$B$7)</f>
        <v>0.17875971223939915</v>
      </c>
      <c r="F3358" s="12">
        <f t="shared" si="156"/>
        <v>0.45525084106323033</v>
      </c>
      <c r="G3358" s="12">
        <f>EXP(-Assumptions!$B$8*B3358)</f>
        <v>0.18730817948195702</v>
      </c>
      <c r="H3358" s="12">
        <f t="shared" si="157"/>
        <v>6.855281697049323E-2</v>
      </c>
      <c r="I3358" s="12">
        <f t="shared" si="158"/>
        <v>3.3483156264280368E-2</v>
      </c>
      <c r="J3358" s="12">
        <f>G3358*(D3358*Assumptions!$B$6+E3358*Assumptions!$B$7)</f>
        <v>2.3596859829189509E-3</v>
      </c>
    </row>
    <row r="3359" spans="1:10" x14ac:dyDescent="0.2">
      <c r="A3359" s="2">
        <v>3351</v>
      </c>
      <c r="B3359" s="14">
        <f>A3359*Assumptions!$B$12</f>
        <v>33.51</v>
      </c>
      <c r="C3359" s="15">
        <f>IF(A3359&lt;=Assumptions!$B$13,IF(OR(A3359=0,A3359=Assumptions!$B$13),0.5,1),0)*Assumptions!$B$12</f>
        <v>0</v>
      </c>
      <c r="D3359" s="12">
        <f>D3358*(1-Assumptions!$B$12*(Assumptions!$B$5+Assumptions!$B$6))</f>
        <v>0.36587964986336141</v>
      </c>
      <c r="E3359" s="12">
        <f>E3358+Assumptions!$B$12*(D3358*Assumptions!$B$5-E3358*Assumptions!$B$7)</f>
        <v>0.17874353027261894</v>
      </c>
      <c r="F3359" s="12">
        <f t="shared" si="156"/>
        <v>0.45537681986401968</v>
      </c>
      <c r="G3359" s="12">
        <f>EXP(-Assumptions!$B$8*B3359)</f>
        <v>0.18721454880183672</v>
      </c>
      <c r="H3359" s="12">
        <f t="shared" si="157"/>
        <v>6.849799356494321E-2</v>
      </c>
      <c r="I3359" s="12">
        <f t="shared" si="158"/>
        <v>3.3463389371235795E-2</v>
      </c>
      <c r="J3359" s="12">
        <f>G3359*(D3359*Assumptions!$B$6+E3359*Assumptions!$B$7)</f>
        <v>2.3581494042112217E-3</v>
      </c>
    </row>
    <row r="3360" spans="1:10" x14ac:dyDescent="0.2">
      <c r="A3360" s="2">
        <v>3352</v>
      </c>
      <c r="B3360" s="14">
        <f>A3360*Assumptions!$B$12</f>
        <v>33.520000000000003</v>
      </c>
      <c r="C3360" s="15">
        <f>IF(A3360&lt;=Assumptions!$B$13,IF(OR(A3360=0,A3360=Assumptions!$B$13),0.5,1),0)*Assumptions!$B$12</f>
        <v>0</v>
      </c>
      <c r="D3360" s="12">
        <f>D3359*(1-Assumptions!$B$12*(Assumptions!$B$5+Assumptions!$B$6))</f>
        <v>0.36576988596840243</v>
      </c>
      <c r="E3360" s="12">
        <f>E3359+Assumptions!$B$12*(D3359*Assumptions!$B$5-E3359*Assumptions!$B$7)</f>
        <v>0.17872733443745531</v>
      </c>
      <c r="F3360" s="12">
        <f t="shared" si="156"/>
        <v>0.45550277959414226</v>
      </c>
      <c r="G3360" s="12">
        <f>EXP(-Assumptions!$B$8*B3360)</f>
        <v>0.18712096492535454</v>
      </c>
      <c r="H3360" s="12">
        <f t="shared" si="157"/>
        <v>6.8443214003044359E-2</v>
      </c>
      <c r="I3360" s="12">
        <f t="shared" si="158"/>
        <v>3.3443631278473183E-2</v>
      </c>
      <c r="J3360" s="12">
        <f>G3360*(D3360*Assumptions!$B$6+E3360*Assumptions!$B$7)</f>
        <v>2.3566137039541029E-3</v>
      </c>
    </row>
    <row r="3361" spans="1:10" x14ac:dyDescent="0.2">
      <c r="A3361" s="2">
        <v>3353</v>
      </c>
      <c r="B3361" s="14">
        <f>A3361*Assumptions!$B$12</f>
        <v>33.53</v>
      </c>
      <c r="C3361" s="15">
        <f>IF(A3361&lt;=Assumptions!$B$13,IF(OR(A3361=0,A3361=Assumptions!$B$13),0.5,1),0)*Assumptions!$B$12</f>
        <v>0</v>
      </c>
      <c r="D3361" s="12">
        <f>D3360*(1-Assumptions!$B$12*(Assumptions!$B$5+Assumptions!$B$6))</f>
        <v>0.3656601550026119</v>
      </c>
      <c r="E3361" s="12">
        <f>E3360+Assumptions!$B$12*(D3360*Assumptions!$B$5-E3360*Assumptions!$B$7)</f>
        <v>0.17871112474743026</v>
      </c>
      <c r="F3361" s="12">
        <f t="shared" si="156"/>
        <v>0.45562872024995782</v>
      </c>
      <c r="G3361" s="12">
        <f>EXP(-Assumptions!$B$8*B3361)</f>
        <v>0.18702742782911463</v>
      </c>
      <c r="H3361" s="12">
        <f t="shared" si="157"/>
        <v>6.8388478249733861E-2</v>
      </c>
      <c r="I3361" s="12">
        <f t="shared" si="158"/>
        <v>3.3423881985959913E-2</v>
      </c>
      <c r="J3361" s="12">
        <f>G3361*(D3361*Assumptions!$B$6+E3361*Assumptions!$B$7)</f>
        <v>2.3550788817953347E-3</v>
      </c>
    </row>
    <row r="3362" spans="1:10" x14ac:dyDescent="0.2">
      <c r="A3362" s="2">
        <v>3354</v>
      </c>
      <c r="B3362" s="14">
        <f>A3362*Assumptions!$B$12</f>
        <v>33.54</v>
      </c>
      <c r="C3362" s="15">
        <f>IF(A3362&lt;=Assumptions!$B$13,IF(OR(A3362=0,A3362=Assumptions!$B$13),0.5,1),0)*Assumptions!$B$12</f>
        <v>0</v>
      </c>
      <c r="D3362" s="12">
        <f>D3361*(1-Assumptions!$B$12*(Assumptions!$B$5+Assumptions!$B$6))</f>
        <v>0.3655504569561111</v>
      </c>
      <c r="E3362" s="12">
        <f>E3361+Assumptions!$B$12*(D3361*Assumptions!$B$5-E3361*Assumptions!$B$7)</f>
        <v>0.17869490121605705</v>
      </c>
      <c r="F3362" s="12">
        <f t="shared" si="156"/>
        <v>0.45575464182783187</v>
      </c>
      <c r="G3362" s="12">
        <f>EXP(-Assumptions!$B$8*B3362)</f>
        <v>0.18693393748973264</v>
      </c>
      <c r="H3362" s="12">
        <f t="shared" si="157"/>
        <v>6.8333786269976868E-2</v>
      </c>
      <c r="I3362" s="12">
        <f t="shared" si="158"/>
        <v>3.3404141493656357E-2</v>
      </c>
      <c r="J3362" s="12">
        <f>G3362*(D3362*Assumptions!$B$6+E3362*Assumptions!$B$7)</f>
        <v>2.3535449373825864E-3</v>
      </c>
    </row>
    <row r="3363" spans="1:10" x14ac:dyDescent="0.2">
      <c r="A3363" s="2">
        <v>3355</v>
      </c>
      <c r="B3363" s="14">
        <f>A3363*Assumptions!$B$12</f>
        <v>33.549999999999997</v>
      </c>
      <c r="C3363" s="15">
        <f>IF(A3363&lt;=Assumptions!$B$13,IF(OR(A3363=0,A3363=Assumptions!$B$13),0.5,1),0)*Assumptions!$B$12</f>
        <v>0</v>
      </c>
      <c r="D3363" s="12">
        <f>D3362*(1-Assumptions!$B$12*(Assumptions!$B$5+Assumptions!$B$6))</f>
        <v>0.36544079181902428</v>
      </c>
      <c r="E3363" s="12">
        <f>E3362+Assumptions!$B$12*(D3362*Assumptions!$B$5-E3362*Assumptions!$B$7)</f>
        <v>0.17867866385684025</v>
      </c>
      <c r="F3363" s="12">
        <f t="shared" si="156"/>
        <v>0.45588054432413538</v>
      </c>
      <c r="G3363" s="12">
        <f>EXP(-Assumptions!$B$8*B3363)</f>
        <v>0.186840493883836</v>
      </c>
      <c r="H3363" s="12">
        <f t="shared" si="157"/>
        <v>6.8279138028766589E-2</v>
      </c>
      <c r="I3363" s="12">
        <f t="shared" si="158"/>
        <v>3.3384409801515948E-2</v>
      </c>
      <c r="J3363" s="12">
        <f>G3363*(D3363*Assumptions!$B$6+E3363*Assumptions!$B$7)</f>
        <v>2.3520118703634634E-3</v>
      </c>
    </row>
    <row r="3364" spans="1:10" x14ac:dyDescent="0.2">
      <c r="A3364" s="2">
        <v>3356</v>
      </c>
      <c r="B3364" s="14">
        <f>A3364*Assumptions!$B$12</f>
        <v>33.56</v>
      </c>
      <c r="C3364" s="15">
        <f>IF(A3364&lt;=Assumptions!$B$13,IF(OR(A3364=0,A3364=Assumptions!$B$13),0.5,1),0)*Assumptions!$B$12</f>
        <v>0</v>
      </c>
      <c r="D3364" s="12">
        <f>D3363*(1-Assumptions!$B$12*(Assumptions!$B$5+Assumptions!$B$6))</f>
        <v>0.3653311595814786</v>
      </c>
      <c r="E3364" s="12">
        <f>E3363+Assumptions!$B$12*(D3363*Assumptions!$B$5-E3363*Assumptions!$B$7)</f>
        <v>0.17866241268327565</v>
      </c>
      <c r="F3364" s="12">
        <f t="shared" si="156"/>
        <v>0.4560064277352458</v>
      </c>
      <c r="G3364" s="12">
        <f>EXP(-Assumptions!$B$8*B3364)</f>
        <v>0.18674709698806377</v>
      </c>
      <c r="H3364" s="12">
        <f t="shared" si="157"/>
        <v>6.8224533491124187E-2</v>
      </c>
      <c r="I3364" s="12">
        <f t="shared" si="158"/>
        <v>3.3364686909485151E-2</v>
      </c>
      <c r="J3364" s="12">
        <f>G3364*(D3364*Assumptions!$B$6+E3364*Assumptions!$B$7)</f>
        <v>2.3504796803854996E-3</v>
      </c>
    </row>
    <row r="3365" spans="1:10" x14ac:dyDescent="0.2">
      <c r="A3365" s="2">
        <v>3357</v>
      </c>
      <c r="B3365" s="14">
        <f>A3365*Assumptions!$B$12</f>
        <v>33.57</v>
      </c>
      <c r="C3365" s="15">
        <f>IF(A3365&lt;=Assumptions!$B$13,IF(OR(A3365=0,A3365=Assumptions!$B$13),0.5,1),0)*Assumptions!$B$12</f>
        <v>0</v>
      </c>
      <c r="D3365" s="12">
        <f>D3364*(1-Assumptions!$B$12*(Assumptions!$B$5+Assumptions!$B$6))</f>
        <v>0.36522156023360419</v>
      </c>
      <c r="E3365" s="12">
        <f>E3364+Assumptions!$B$12*(D3364*Assumptions!$B$5-E3364*Assumptions!$B$7)</f>
        <v>0.17864614770885032</v>
      </c>
      <c r="F3365" s="12">
        <f t="shared" si="156"/>
        <v>0.45613229205754546</v>
      </c>
      <c r="G3365" s="12">
        <f>EXP(-Assumptions!$B$8*B3365)</f>
        <v>0.18665374677906679</v>
      </c>
      <c r="H3365" s="12">
        <f t="shared" si="157"/>
        <v>6.8169972622098854E-2</v>
      </c>
      <c r="I3365" s="12">
        <f t="shared" si="158"/>
        <v>3.334497281750351E-2</v>
      </c>
      <c r="J3365" s="12">
        <f>G3365*(D3365*Assumptions!$B$6+E3365*Assumptions!$B$7)</f>
        <v>2.3489483670961642E-3</v>
      </c>
    </row>
    <row r="3366" spans="1:10" x14ac:dyDescent="0.2">
      <c r="A3366" s="2">
        <v>3358</v>
      </c>
      <c r="B3366" s="14">
        <f>A3366*Assumptions!$B$12</f>
        <v>33.58</v>
      </c>
      <c r="C3366" s="15">
        <f>IF(A3366&lt;=Assumptions!$B$13,IF(OR(A3366=0,A3366=Assumptions!$B$13),0.5,1),0)*Assumptions!$B$12</f>
        <v>0</v>
      </c>
      <c r="D3366" s="12">
        <f>D3365*(1-Assumptions!$B$12*(Assumptions!$B$5+Assumptions!$B$6))</f>
        <v>0.3651119937655341</v>
      </c>
      <c r="E3366" s="12">
        <f>E3365+Assumptions!$B$12*(D3365*Assumptions!$B$5-E3365*Assumptions!$B$7)</f>
        <v>0.17862986894704261</v>
      </c>
      <c r="F3366" s="12">
        <f t="shared" si="156"/>
        <v>0.45625813728742337</v>
      </c>
      <c r="G3366" s="12">
        <f>EXP(-Assumptions!$B$8*B3366)</f>
        <v>0.18656044323350748</v>
      </c>
      <c r="H3366" s="12">
        <f t="shared" si="157"/>
        <v>6.8115455386767665E-2</v>
      </c>
      <c r="I3366" s="12">
        <f t="shared" si="158"/>
        <v>3.3325267525503625E-2</v>
      </c>
      <c r="J3366" s="12">
        <f>G3366*(D3366*Assumptions!$B$6+E3366*Assumptions!$B$7)</f>
        <v>2.3474179301428582E-3</v>
      </c>
    </row>
    <row r="3367" spans="1:10" x14ac:dyDescent="0.2">
      <c r="A3367" s="2">
        <v>3359</v>
      </c>
      <c r="B3367" s="14">
        <f>A3367*Assumptions!$B$12</f>
        <v>33.590000000000003</v>
      </c>
      <c r="C3367" s="15">
        <f>IF(A3367&lt;=Assumptions!$B$13,IF(OR(A3367=0,A3367=Assumptions!$B$13),0.5,1),0)*Assumptions!$B$12</f>
        <v>0</v>
      </c>
      <c r="D3367" s="12">
        <f>D3366*(1-Assumptions!$B$12*(Assumptions!$B$5+Assumptions!$B$6))</f>
        <v>0.36500246016740445</v>
      </c>
      <c r="E3367" s="12">
        <f>E3366+Assumptions!$B$12*(D3366*Assumptions!$B$5-E3366*Assumptions!$B$7)</f>
        <v>0.17861357641132219</v>
      </c>
      <c r="F3367" s="12">
        <f t="shared" si="156"/>
        <v>0.45638396342127335</v>
      </c>
      <c r="G3367" s="12">
        <f>EXP(-Assumptions!$B$8*B3367)</f>
        <v>0.18646718632805992</v>
      </c>
      <c r="H3367" s="12">
        <f t="shared" si="157"/>
        <v>6.8060981750235672E-2</v>
      </c>
      <c r="I3367" s="12">
        <f t="shared" si="158"/>
        <v>3.3305571033411183E-2</v>
      </c>
      <c r="J3367" s="12">
        <f>G3367*(D3367*Assumptions!$B$6+E3367*Assumptions!$B$7)</f>
        <v>2.3458883691729162E-3</v>
      </c>
    </row>
    <row r="3368" spans="1:10" x14ac:dyDescent="0.2">
      <c r="A3368" s="2">
        <v>3360</v>
      </c>
      <c r="B3368" s="14">
        <f>A3368*Assumptions!$B$12</f>
        <v>33.6</v>
      </c>
      <c r="C3368" s="15">
        <f>IF(A3368&lt;=Assumptions!$B$13,IF(OR(A3368=0,A3368=Assumptions!$B$13),0.5,1),0)*Assumptions!$B$12</f>
        <v>0</v>
      </c>
      <c r="D3368" s="12">
        <f>D3367*(1-Assumptions!$B$12*(Assumptions!$B$5+Assumptions!$B$6))</f>
        <v>0.36489295942935424</v>
      </c>
      <c r="E3368" s="12">
        <f>E3367+Assumptions!$B$12*(D3367*Assumptions!$B$5-E3367*Assumptions!$B$7)</f>
        <v>0.17859727011515</v>
      </c>
      <c r="F3368" s="12">
        <f t="shared" si="156"/>
        <v>0.45650977045549579</v>
      </c>
      <c r="G3368" s="12">
        <f>EXP(-Assumptions!$B$8*B3368)</f>
        <v>0.18637397603940994</v>
      </c>
      <c r="H3368" s="12">
        <f t="shared" si="157"/>
        <v>6.8006551677635849E-2</v>
      </c>
      <c r="I3368" s="12">
        <f t="shared" si="158"/>
        <v>3.3285883341144989E-2</v>
      </c>
      <c r="J3368" s="12">
        <f>G3368*(D3368*Assumptions!$B$6+E3368*Assumptions!$B$7)</f>
        <v>2.3443596838336081E-3</v>
      </c>
    </row>
    <row r="3369" spans="1:10" x14ac:dyDescent="0.2">
      <c r="A3369" s="2">
        <v>3361</v>
      </c>
      <c r="B3369" s="14">
        <f>A3369*Assumptions!$B$12</f>
        <v>33.61</v>
      </c>
      <c r="C3369" s="15">
        <f>IF(A3369&lt;=Assumptions!$B$13,IF(OR(A3369=0,A3369=Assumptions!$B$13),0.5,1),0)*Assumptions!$B$12</f>
        <v>0</v>
      </c>
      <c r="D3369" s="12">
        <f>D3368*(1-Assumptions!$B$12*(Assumptions!$B$5+Assumptions!$B$6))</f>
        <v>0.36478349154152545</v>
      </c>
      <c r="E3369" s="12">
        <f>E3368+Assumptions!$B$12*(D3368*Assumptions!$B$5-E3368*Assumptions!$B$7)</f>
        <v>0.1785809500719783</v>
      </c>
      <c r="F3369" s="12">
        <f t="shared" si="156"/>
        <v>0.45663555838649628</v>
      </c>
      <c r="G3369" s="12">
        <f>EXP(-Assumptions!$B$8*B3369)</f>
        <v>0.18628081234425495</v>
      </c>
      <c r="H3369" s="12">
        <f t="shared" si="157"/>
        <v>6.7952165134129008E-2</v>
      </c>
      <c r="I3369" s="12">
        <f t="shared" si="158"/>
        <v>3.326620444861695E-2</v>
      </c>
      <c r="J3369" s="12">
        <f>G3369*(D3369*Assumptions!$B$6+E3369*Assumptions!$B$7)</f>
        <v>2.3428318737721376E-3</v>
      </c>
    </row>
    <row r="3370" spans="1:10" x14ac:dyDescent="0.2">
      <c r="A3370" s="2">
        <v>3362</v>
      </c>
      <c r="B3370" s="14">
        <f>A3370*Assumptions!$B$12</f>
        <v>33.619999999999997</v>
      </c>
      <c r="C3370" s="15">
        <f>IF(A3370&lt;=Assumptions!$B$13,IF(OR(A3370=0,A3370=Assumptions!$B$13),0.5,1),0)*Assumptions!$B$12</f>
        <v>0</v>
      </c>
      <c r="D3370" s="12">
        <f>D3369*(1-Assumptions!$B$12*(Assumptions!$B$5+Assumptions!$B$6))</f>
        <v>0.36467405649406298</v>
      </c>
      <c r="E3370" s="12">
        <f>E3369+Assumptions!$B$12*(D3369*Assumptions!$B$5-E3369*Assumptions!$B$7)</f>
        <v>0.17856461629525061</v>
      </c>
      <c r="F3370" s="12">
        <f t="shared" si="156"/>
        <v>0.45676132721068646</v>
      </c>
      <c r="G3370" s="12">
        <f>EXP(-Assumptions!$B$8*B3370)</f>
        <v>0.18618769521930401</v>
      </c>
      <c r="H3370" s="12">
        <f t="shared" si="157"/>
        <v>6.7897822084903844E-2</v>
      </c>
      <c r="I3370" s="12">
        <f t="shared" si="158"/>
        <v>3.3246534355732084E-2</v>
      </c>
      <c r="J3370" s="12">
        <f>G3370*(D3370*Assumptions!$B$6+E3370*Assumptions!$B$7)</f>
        <v>2.341304938635643E-3</v>
      </c>
    </row>
    <row r="3371" spans="1:10" x14ac:dyDescent="0.2">
      <c r="A3371" s="2">
        <v>3363</v>
      </c>
      <c r="B3371" s="14">
        <f>A3371*Assumptions!$B$12</f>
        <v>33.630000000000003</v>
      </c>
      <c r="C3371" s="15">
        <f>IF(A3371&lt;=Assumptions!$B$13,IF(OR(A3371=0,A3371=Assumptions!$B$13),0.5,1),0)*Assumptions!$B$12</f>
        <v>0</v>
      </c>
      <c r="D3371" s="12">
        <f>D3370*(1-Assumptions!$B$12*(Assumptions!$B$5+Assumptions!$B$6))</f>
        <v>0.36456465427711476</v>
      </c>
      <c r="E3371" s="12">
        <f>E3370+Assumptions!$B$12*(D3370*Assumptions!$B$5-E3370*Assumptions!$B$7)</f>
        <v>0.1785482687984018</v>
      </c>
      <c r="F3371" s="12">
        <f t="shared" si="156"/>
        <v>0.45688707692448338</v>
      </c>
      <c r="G3371" s="12">
        <f>EXP(-Assumptions!$B$8*B3371)</f>
        <v>0.18609462464127779</v>
      </c>
      <c r="H3371" s="12">
        <f t="shared" si="157"/>
        <v>6.7843522495176875E-2</v>
      </c>
      <c r="I3371" s="12">
        <f t="shared" si="158"/>
        <v>3.3226873062388557E-2</v>
      </c>
      <c r="J3371" s="12">
        <f>G3371*(D3371*Assumptions!$B$6+E3371*Assumptions!$B$7)</f>
        <v>2.3397788780711967E-3</v>
      </c>
    </row>
    <row r="3372" spans="1:10" x14ac:dyDescent="0.2">
      <c r="A3372" s="2">
        <v>3364</v>
      </c>
      <c r="B3372" s="14">
        <f>A3372*Assumptions!$B$12</f>
        <v>33.64</v>
      </c>
      <c r="C3372" s="15">
        <f>IF(A3372&lt;=Assumptions!$B$13,IF(OR(A3372=0,A3372=Assumptions!$B$13),0.5,1),0)*Assumptions!$B$12</f>
        <v>0</v>
      </c>
      <c r="D3372" s="12">
        <f>D3371*(1-Assumptions!$B$12*(Assumptions!$B$5+Assumptions!$B$6))</f>
        <v>0.36445528488083162</v>
      </c>
      <c r="E3372" s="12">
        <f>E3371+Assumptions!$B$12*(D3371*Assumptions!$B$5-E3371*Assumptions!$B$7)</f>
        <v>0.17853190759485801</v>
      </c>
      <c r="F3372" s="12">
        <f t="shared" si="156"/>
        <v>0.45701280752431039</v>
      </c>
      <c r="G3372" s="12">
        <f>EXP(-Assumptions!$B$8*B3372)</f>
        <v>0.18600160058690876</v>
      </c>
      <c r="H3372" s="12">
        <f t="shared" si="157"/>
        <v>6.7789266330192485E-2</v>
      </c>
      <c r="I3372" s="12">
        <f t="shared" si="158"/>
        <v>3.3207220568477684E-2</v>
      </c>
      <c r="J3372" s="12">
        <f>G3372*(D3372*Assumptions!$B$6+E3372*Assumptions!$B$7)</f>
        <v>2.3382536917258092E-3</v>
      </c>
    </row>
    <row r="3373" spans="1:10" x14ac:dyDescent="0.2">
      <c r="A3373" s="2">
        <v>3365</v>
      </c>
      <c r="B3373" s="14">
        <f>A3373*Assumptions!$B$12</f>
        <v>33.65</v>
      </c>
      <c r="C3373" s="15">
        <f>IF(A3373&lt;=Assumptions!$B$13,IF(OR(A3373=0,A3373=Assumptions!$B$13),0.5,1),0)*Assumptions!$B$12</f>
        <v>0</v>
      </c>
      <c r="D3373" s="12">
        <f>D3372*(1-Assumptions!$B$12*(Assumptions!$B$5+Assumptions!$B$6))</f>
        <v>0.36434594829536737</v>
      </c>
      <c r="E3373" s="12">
        <f>E3372+Assumptions!$B$12*(D3372*Assumptions!$B$5-E3372*Assumptions!$B$7)</f>
        <v>0.17851553269803674</v>
      </c>
      <c r="F3373" s="12">
        <f t="shared" si="156"/>
        <v>0.45713851900659586</v>
      </c>
      <c r="G3373" s="12">
        <f>EXP(-Assumptions!$B$8*B3373)</f>
        <v>0.18590862303294084</v>
      </c>
      <c r="H3373" s="12">
        <f t="shared" si="157"/>
        <v>6.7735053555222802E-2</v>
      </c>
      <c r="I3373" s="12">
        <f t="shared" si="158"/>
        <v>3.3187576873883941E-2</v>
      </c>
      <c r="J3373" s="12">
        <f>G3373*(D3373*Assumptions!$B$6+E3373*Assumptions!$B$7)</f>
        <v>2.3367293792464251E-3</v>
      </c>
    </row>
    <row r="3374" spans="1:10" x14ac:dyDescent="0.2">
      <c r="A3374" s="2">
        <v>3366</v>
      </c>
      <c r="B3374" s="14">
        <f>A3374*Assumptions!$B$12</f>
        <v>33.660000000000004</v>
      </c>
      <c r="C3374" s="15">
        <f>IF(A3374&lt;=Assumptions!$B$13,IF(OR(A3374=0,A3374=Assumptions!$B$13),0.5,1),0)*Assumptions!$B$12</f>
        <v>0</v>
      </c>
      <c r="D3374" s="12">
        <f>D3373*(1-Assumptions!$B$12*(Assumptions!$B$5+Assumptions!$B$6))</f>
        <v>0.36423664451087878</v>
      </c>
      <c r="E3374" s="12">
        <f>E3373+Assumptions!$B$12*(D3373*Assumptions!$B$5-E3373*Assumptions!$B$7)</f>
        <v>0.17849914412134679</v>
      </c>
      <c r="F3374" s="12">
        <f t="shared" si="156"/>
        <v>0.4572642113677744</v>
      </c>
      <c r="G3374" s="12">
        <f>EXP(-Assumptions!$B$8*B3374)</f>
        <v>0.1858156919561296</v>
      </c>
      <c r="H3374" s="12">
        <f t="shared" si="157"/>
        <v>6.7680884135567734E-2</v>
      </c>
      <c r="I3374" s="12">
        <f t="shared" si="158"/>
        <v>3.3167941978484959E-2</v>
      </c>
      <c r="J3374" s="12">
        <f>G3374*(D3374*Assumptions!$B$6+E3374*Assumptions!$B$7)</f>
        <v>2.335205940279925E-3</v>
      </c>
    </row>
    <row r="3375" spans="1:10" x14ac:dyDescent="0.2">
      <c r="A3375" s="2">
        <v>3367</v>
      </c>
      <c r="B3375" s="14">
        <f>A3375*Assumptions!$B$12</f>
        <v>33.67</v>
      </c>
      <c r="C3375" s="15">
        <f>IF(A3375&lt;=Assumptions!$B$13,IF(OR(A3375=0,A3375=Assumptions!$B$13),0.5,1),0)*Assumptions!$B$12</f>
        <v>0</v>
      </c>
      <c r="D3375" s="12">
        <f>D3374*(1-Assumptions!$B$12*(Assumptions!$B$5+Assumptions!$B$6))</f>
        <v>0.36412737351752555</v>
      </c>
      <c r="E3375" s="12">
        <f>E3374+Assumptions!$B$12*(D3374*Assumptions!$B$5-E3374*Assumptions!$B$7)</f>
        <v>0.1784827418781883</v>
      </c>
      <c r="F3375" s="12">
        <f t="shared" si="156"/>
        <v>0.45738988460428615</v>
      </c>
      <c r="G3375" s="12">
        <f>EXP(-Assumptions!$B$8*B3375)</f>
        <v>0.18572280733324237</v>
      </c>
      <c r="H3375" s="12">
        <f t="shared" si="157"/>
        <v>6.7626758036554976E-2</v>
      </c>
      <c r="I3375" s="12">
        <f t="shared" si="158"/>
        <v>3.3148315882151592E-2</v>
      </c>
      <c r="J3375" s="12">
        <f>G3375*(D3375*Assumptions!$B$6+E3375*Assumptions!$B$7)</f>
        <v>2.3336833744731296E-3</v>
      </c>
    </row>
    <row r="3376" spans="1:10" x14ac:dyDescent="0.2">
      <c r="A3376" s="2">
        <v>3368</v>
      </c>
      <c r="B3376" s="14">
        <f>A3376*Assumptions!$B$12</f>
        <v>33.68</v>
      </c>
      <c r="C3376" s="15">
        <f>IF(A3376&lt;=Assumptions!$B$13,IF(OR(A3376=0,A3376=Assumptions!$B$13),0.5,1),0)*Assumptions!$B$12</f>
        <v>0</v>
      </c>
      <c r="D3376" s="12">
        <f>D3375*(1-Assumptions!$B$12*(Assumptions!$B$5+Assumptions!$B$6))</f>
        <v>0.36401813530547034</v>
      </c>
      <c r="E3376" s="12">
        <f>E3375+Assumptions!$B$12*(D3375*Assumptions!$B$5-E3375*Assumptions!$B$7)</f>
        <v>0.17846632598195272</v>
      </c>
      <c r="F3376" s="12">
        <f t="shared" si="156"/>
        <v>0.45751553871257694</v>
      </c>
      <c r="G3376" s="12">
        <f>EXP(-Assumptions!$B$8*B3376)</f>
        <v>0.18562996914105792</v>
      </c>
      <c r="H3376" s="12">
        <f t="shared" si="157"/>
        <v>6.7572675223539908E-2</v>
      </c>
      <c r="I3376" s="12">
        <f t="shared" si="158"/>
        <v>3.3128698584747866E-2</v>
      </c>
      <c r="J3376" s="12">
        <f>G3376*(D3376*Assumptions!$B$6+E3376*Assumptions!$B$7)</f>
        <v>2.3321616814727924E-3</v>
      </c>
    </row>
    <row r="3377" spans="1:10" x14ac:dyDescent="0.2">
      <c r="A3377" s="2">
        <v>3369</v>
      </c>
      <c r="B3377" s="14">
        <f>A3377*Assumptions!$B$12</f>
        <v>33.69</v>
      </c>
      <c r="C3377" s="15">
        <f>IF(A3377&lt;=Assumptions!$B$13,IF(OR(A3377=0,A3377=Assumptions!$B$13),0.5,1),0)*Assumptions!$B$12</f>
        <v>0</v>
      </c>
      <c r="D3377" s="12">
        <f>D3376*(1-Assumptions!$B$12*(Assumptions!$B$5+Assumptions!$B$6))</f>
        <v>0.36390892986487872</v>
      </c>
      <c r="E3377" s="12">
        <f>E3376+Assumptions!$B$12*(D3376*Assumptions!$B$5-E3376*Assumptions!$B$7)</f>
        <v>0.17844989644602283</v>
      </c>
      <c r="F3377" s="12">
        <f t="shared" si="156"/>
        <v>0.4576411736890984</v>
      </c>
      <c r="G3377" s="12">
        <f>EXP(-Assumptions!$B$8*B3377)</f>
        <v>0.18553717735636679</v>
      </c>
      <c r="H3377" s="12">
        <f t="shared" si="157"/>
        <v>6.7518635661905649E-2</v>
      </c>
      <c r="I3377" s="12">
        <f t="shared" si="158"/>
        <v>3.3109090086131027E-2</v>
      </c>
      <c r="J3377" s="12">
        <f>G3377*(D3377*Assumptions!$B$6+E3377*Assumptions!$B$7)</f>
        <v>2.3306408609256079E-3</v>
      </c>
    </row>
    <row r="3378" spans="1:10" x14ac:dyDescent="0.2">
      <c r="A3378" s="2">
        <v>3370</v>
      </c>
      <c r="B3378" s="14">
        <f>A3378*Assumptions!$B$12</f>
        <v>33.700000000000003</v>
      </c>
      <c r="C3378" s="15">
        <f>IF(A3378&lt;=Assumptions!$B$13,IF(OR(A3378=0,A3378=Assumptions!$B$13),0.5,1),0)*Assumptions!$B$12</f>
        <v>0</v>
      </c>
      <c r="D3378" s="12">
        <f>D3377*(1-Assumptions!$B$12*(Assumptions!$B$5+Assumptions!$B$6))</f>
        <v>0.36379975718591928</v>
      </c>
      <c r="E3378" s="12">
        <f>E3377+Assumptions!$B$12*(D3377*Assumptions!$B$5-E3377*Assumptions!$B$7)</f>
        <v>0.1784334532837728</v>
      </c>
      <c r="F3378" s="12">
        <f t="shared" si="156"/>
        <v>0.45776678953030792</v>
      </c>
      <c r="G3378" s="12">
        <f>EXP(-Assumptions!$B$8*B3378)</f>
        <v>0.18544443195597082</v>
      </c>
      <c r="H3378" s="12">
        <f t="shared" si="157"/>
        <v>6.7464639317062911E-2</v>
      </c>
      <c r="I3378" s="12">
        <f t="shared" si="158"/>
        <v>3.3089490386151506E-2</v>
      </c>
      <c r="J3378" s="12">
        <f>G3378*(D3378*Assumptions!$B$6+E3378*Assumptions!$B$7)</f>
        <v>2.3291209124782042E-3</v>
      </c>
    </row>
    <row r="3379" spans="1:10" x14ac:dyDescent="0.2">
      <c r="A3379" s="2">
        <v>3371</v>
      </c>
      <c r="B3379" s="14">
        <f>A3379*Assumptions!$B$12</f>
        <v>33.71</v>
      </c>
      <c r="C3379" s="15">
        <f>IF(A3379&lt;=Assumptions!$B$13,IF(OR(A3379=0,A3379=Assumptions!$B$13),0.5,1),0)*Assumptions!$B$12</f>
        <v>0</v>
      </c>
      <c r="D3379" s="12">
        <f>D3378*(1-Assumptions!$B$12*(Assumptions!$B$5+Assumptions!$B$6))</f>
        <v>0.3636906172587635</v>
      </c>
      <c r="E3379" s="12">
        <f>E3378+Assumptions!$B$12*(D3378*Assumptions!$B$5-E3378*Assumptions!$B$7)</f>
        <v>0.1784169965085681</v>
      </c>
      <c r="F3379" s="12">
        <f t="shared" si="156"/>
        <v>0.45789238623266837</v>
      </c>
      <c r="G3379" s="12">
        <f>EXP(-Assumptions!$B$8*B3379)</f>
        <v>0.18535173291668391</v>
      </c>
      <c r="H3379" s="12">
        <f t="shared" si="157"/>
        <v>6.7410686154450242E-2</v>
      </c>
      <c r="I3379" s="12">
        <f t="shared" si="158"/>
        <v>3.306989948465304E-2</v>
      </c>
      <c r="J3379" s="12">
        <f>G3379*(D3379*Assumptions!$B$6+E3379*Assumptions!$B$7)</f>
        <v>2.3276018357771548E-3</v>
      </c>
    </row>
    <row r="3380" spans="1:10" x14ac:dyDescent="0.2">
      <c r="A3380" s="2">
        <v>3372</v>
      </c>
      <c r="B3380" s="14">
        <f>A3380*Assumptions!$B$12</f>
        <v>33.72</v>
      </c>
      <c r="C3380" s="15">
        <f>IF(A3380&lt;=Assumptions!$B$13,IF(OR(A3380=0,A3380=Assumptions!$B$13),0.5,1),0)*Assumptions!$B$12</f>
        <v>0</v>
      </c>
      <c r="D3380" s="12">
        <f>D3379*(1-Assumptions!$B$12*(Assumptions!$B$5+Assumptions!$B$6))</f>
        <v>0.36358151007358591</v>
      </c>
      <c r="E3380" s="12">
        <f>E3379+Assumptions!$B$12*(D3379*Assumptions!$B$5-E3379*Assumptions!$B$7)</f>
        <v>0.17840052613376556</v>
      </c>
      <c r="F3380" s="12">
        <f t="shared" si="156"/>
        <v>0.45801796379264847</v>
      </c>
      <c r="G3380" s="12">
        <f>EXP(-Assumptions!$B$8*B3380)</f>
        <v>0.18525908021533122</v>
      </c>
      <c r="H3380" s="12">
        <f t="shared" si="157"/>
        <v>6.7356776139533711E-2</v>
      </c>
      <c r="I3380" s="12">
        <f t="shared" si="158"/>
        <v>3.3050317381472565E-2</v>
      </c>
      <c r="J3380" s="12">
        <f>G3380*(D3380*Assumptions!$B$6+E3380*Assumptions!$B$7)</f>
        <v>2.3260836304689657E-3</v>
      </c>
    </row>
    <row r="3381" spans="1:10" x14ac:dyDescent="0.2">
      <c r="A3381" s="2">
        <v>3373</v>
      </c>
      <c r="B3381" s="14">
        <f>A3381*Assumptions!$B$12</f>
        <v>33.730000000000004</v>
      </c>
      <c r="C3381" s="15">
        <f>IF(A3381&lt;=Assumptions!$B$13,IF(OR(A3381=0,A3381=Assumptions!$B$13),0.5,1),0)*Assumptions!$B$12</f>
        <v>0</v>
      </c>
      <c r="D3381" s="12">
        <f>D3380*(1-Assumptions!$B$12*(Assumptions!$B$5+Assumptions!$B$6))</f>
        <v>0.36347243562056386</v>
      </c>
      <c r="E3381" s="12">
        <f>E3380+Assumptions!$B$12*(D3380*Assumptions!$B$5-E3380*Assumptions!$B$7)</f>
        <v>0.17838404217271339</v>
      </c>
      <c r="F3381" s="12">
        <f t="shared" si="156"/>
        <v>0.45814352220672272</v>
      </c>
      <c r="G3381" s="12">
        <f>EXP(-Assumptions!$B$8*B3381)</f>
        <v>0.18516647382874943</v>
      </c>
      <c r="H3381" s="12">
        <f t="shared" si="157"/>
        <v>6.7302909237806949E-2</v>
      </c>
      <c r="I3381" s="12">
        <f t="shared" si="158"/>
        <v>3.3030744076440272E-2</v>
      </c>
      <c r="J3381" s="12">
        <f>G3381*(D3381*Assumptions!$B$6+E3381*Assumptions!$B$7)</f>
        <v>2.3245662962000828E-3</v>
      </c>
    </row>
    <row r="3382" spans="1:10" x14ac:dyDescent="0.2">
      <c r="A3382" s="2">
        <v>3374</v>
      </c>
      <c r="B3382" s="14">
        <f>A3382*Assumptions!$B$12</f>
        <v>33.74</v>
      </c>
      <c r="C3382" s="15">
        <f>IF(A3382&lt;=Assumptions!$B$13,IF(OR(A3382=0,A3382=Assumptions!$B$13),0.5,1),0)*Assumptions!$B$12</f>
        <v>0</v>
      </c>
      <c r="D3382" s="12">
        <f>D3381*(1-Assumptions!$B$12*(Assumptions!$B$5+Assumptions!$B$6))</f>
        <v>0.36336339388987771</v>
      </c>
      <c r="E3382" s="12">
        <f>E3381+Assumptions!$B$12*(D3381*Assumptions!$B$5-E3381*Assumptions!$B$7)</f>
        <v>0.17836754463875115</v>
      </c>
      <c r="F3382" s="12">
        <f t="shared" si="156"/>
        <v>0.45826906147137114</v>
      </c>
      <c r="G3382" s="12">
        <f>EXP(-Assumptions!$B$8*B3382)</f>
        <v>0.18507391373378715</v>
      </c>
      <c r="H3382" s="12">
        <f t="shared" si="157"/>
        <v>6.724908541479134E-2</v>
      </c>
      <c r="I3382" s="12">
        <f t="shared" si="158"/>
        <v>3.3011179569379656E-2</v>
      </c>
      <c r="J3382" s="12">
        <f>G3382*(D3382*Assumptions!$B$6+E3382*Assumptions!$B$7)</f>
        <v>2.3230498326168966E-3</v>
      </c>
    </row>
    <row r="3383" spans="1:10" x14ac:dyDescent="0.2">
      <c r="A3383" s="2">
        <v>3375</v>
      </c>
      <c r="B3383" s="14">
        <f>A3383*Assumptions!$B$12</f>
        <v>33.75</v>
      </c>
      <c r="C3383" s="15">
        <f>IF(A3383&lt;=Assumptions!$B$13,IF(OR(A3383=0,A3383=Assumptions!$B$13),0.5,1),0)*Assumptions!$B$12</f>
        <v>0</v>
      </c>
      <c r="D3383" s="12">
        <f>D3382*(1-Assumptions!$B$12*(Assumptions!$B$5+Assumptions!$B$6))</f>
        <v>0.36325438487171074</v>
      </c>
      <c r="E3383" s="12">
        <f>E3382+Assumptions!$B$12*(D3382*Assumptions!$B$5-E3382*Assumptions!$B$7)</f>
        <v>0.17835103354520976</v>
      </c>
      <c r="F3383" s="12">
        <f t="shared" si="156"/>
        <v>0.45839458158307955</v>
      </c>
      <c r="G3383" s="12">
        <f>EXP(-Assumptions!$B$8*B3383)</f>
        <v>0.18498139990730428</v>
      </c>
      <c r="H3383" s="12">
        <f t="shared" si="157"/>
        <v>6.7195304636035749E-2</v>
      </c>
      <c r="I3383" s="12">
        <f t="shared" si="158"/>
        <v>3.299162386010749E-2</v>
      </c>
      <c r="J3383" s="12">
        <f>G3383*(D3383*Assumptions!$B$6+E3383*Assumptions!$B$7)</f>
        <v>2.3215342393657318E-3</v>
      </c>
    </row>
    <row r="3384" spans="1:10" x14ac:dyDescent="0.2">
      <c r="A3384" s="2">
        <v>3376</v>
      </c>
      <c r="B3384" s="14">
        <f>A3384*Assumptions!$B$12</f>
        <v>33.76</v>
      </c>
      <c r="C3384" s="15">
        <f>IF(A3384&lt;=Assumptions!$B$13,IF(OR(A3384=0,A3384=Assumptions!$B$13),0.5,1),0)*Assumptions!$B$12</f>
        <v>0</v>
      </c>
      <c r="D3384" s="12">
        <f>D3383*(1-Assumptions!$B$12*(Assumptions!$B$5+Assumptions!$B$6))</f>
        <v>0.36314540855624922</v>
      </c>
      <c r="E3384" s="12">
        <f>E3383+Assumptions!$B$12*(D3383*Assumptions!$B$5-E3383*Assumptions!$B$7)</f>
        <v>0.1783345089054115</v>
      </c>
      <c r="F3384" s="12">
        <f t="shared" si="156"/>
        <v>0.45852008253833931</v>
      </c>
      <c r="G3384" s="12">
        <f>EXP(-Assumptions!$B$8*B3384)</f>
        <v>0.18488893232617234</v>
      </c>
      <c r="H3384" s="12">
        <f t="shared" si="157"/>
        <v>6.7141566867116573E-2</v>
      </c>
      <c r="I3384" s="12">
        <f t="shared" si="158"/>
        <v>3.2972076948433807E-2</v>
      </c>
      <c r="J3384" s="12">
        <f>G3384*(D3384*Assumptions!$B$6+E3384*Assumptions!$B$7)</f>
        <v>2.3200195160928564E-3</v>
      </c>
    </row>
    <row r="3385" spans="1:10" x14ac:dyDescent="0.2">
      <c r="A3385" s="2">
        <v>3377</v>
      </c>
      <c r="B3385" s="14">
        <f>A3385*Assumptions!$B$12</f>
        <v>33.770000000000003</v>
      </c>
      <c r="C3385" s="15">
        <f>IF(A3385&lt;=Assumptions!$B$13,IF(OR(A3385=0,A3385=Assumptions!$B$13),0.5,1),0)*Assumptions!$B$12</f>
        <v>0</v>
      </c>
      <c r="D3385" s="12">
        <f>D3384*(1-Assumptions!$B$12*(Assumptions!$B$5+Assumptions!$B$6))</f>
        <v>0.36303646493368236</v>
      </c>
      <c r="E3385" s="12">
        <f>E3384+Assumptions!$B$12*(D3384*Assumptions!$B$5-E3384*Assumptions!$B$7)</f>
        <v>0.17831797073267006</v>
      </c>
      <c r="F3385" s="12">
        <f t="shared" si="156"/>
        <v>0.45864556433364756</v>
      </c>
      <c r="G3385" s="12">
        <f>EXP(-Assumptions!$B$8*B3385)</f>
        <v>0.18479651096727434</v>
      </c>
      <c r="H3385" s="12">
        <f t="shared" si="157"/>
        <v>6.7087872073637742E-2</v>
      </c>
      <c r="I3385" s="12">
        <f t="shared" si="158"/>
        <v>3.2952538834161965E-2</v>
      </c>
      <c r="J3385" s="12">
        <f>G3385*(D3385*Assumptions!$B$6+E3385*Assumptions!$B$7)</f>
        <v>2.3185056624444762E-3</v>
      </c>
    </row>
    <row r="3386" spans="1:10" x14ac:dyDescent="0.2">
      <c r="A3386" s="2">
        <v>3378</v>
      </c>
      <c r="B3386" s="14">
        <f>A3386*Assumptions!$B$12</f>
        <v>33.78</v>
      </c>
      <c r="C3386" s="15">
        <f>IF(A3386&lt;=Assumptions!$B$13,IF(OR(A3386=0,A3386=Assumptions!$B$13),0.5,1),0)*Assumptions!$B$12</f>
        <v>0</v>
      </c>
      <c r="D3386" s="12">
        <f>D3385*(1-Assumptions!$B$12*(Assumptions!$B$5+Assumptions!$B$6))</f>
        <v>0.36292755399420229</v>
      </c>
      <c r="E3386" s="12">
        <f>E3385+Assumptions!$B$12*(D3385*Assumptions!$B$5-E3385*Assumptions!$B$7)</f>
        <v>0.17830141904029045</v>
      </c>
      <c r="F3386" s="12">
        <f t="shared" si="156"/>
        <v>0.45877102696550726</v>
      </c>
      <c r="G3386" s="12">
        <f>EXP(-Assumptions!$B$8*B3386)</f>
        <v>0.18470413580750519</v>
      </c>
      <c r="H3386" s="12">
        <f t="shared" si="157"/>
        <v>6.7034220221230817E-2</v>
      </c>
      <c r="I3386" s="12">
        <f t="shared" si="158"/>
        <v>3.2933009517088697E-2</v>
      </c>
      <c r="J3386" s="12">
        <f>G3386*(D3386*Assumptions!$B$6+E3386*Assumptions!$B$7)</f>
        <v>2.3169926780667433E-3</v>
      </c>
    </row>
    <row r="3387" spans="1:10" x14ac:dyDescent="0.2">
      <c r="A3387" s="2">
        <v>3379</v>
      </c>
      <c r="B3387" s="14">
        <f>A3387*Assumptions!$B$12</f>
        <v>33.79</v>
      </c>
      <c r="C3387" s="15">
        <f>IF(A3387&lt;=Assumptions!$B$13,IF(OR(A3387=0,A3387=Assumptions!$B$13),0.5,1),0)*Assumptions!$B$12</f>
        <v>0</v>
      </c>
      <c r="D3387" s="12">
        <f>D3386*(1-Assumptions!$B$12*(Assumptions!$B$5+Assumptions!$B$6))</f>
        <v>0.36281867572800403</v>
      </c>
      <c r="E3387" s="12">
        <f>E3386+Assumptions!$B$12*(D3386*Assumptions!$B$5-E3386*Assumptions!$B$7)</f>
        <v>0.17828485384156914</v>
      </c>
      <c r="F3387" s="12">
        <f t="shared" si="156"/>
        <v>0.45889647043042681</v>
      </c>
      <c r="G3387" s="12">
        <f>EXP(-Assumptions!$B$8*B3387)</f>
        <v>0.1846118068237709</v>
      </c>
      <c r="H3387" s="12">
        <f t="shared" si="157"/>
        <v>6.6980611275554658E-2</v>
      </c>
      <c r="I3387" s="12">
        <f t="shared" si="158"/>
        <v>3.2913488997003991E-2</v>
      </c>
      <c r="J3387" s="12">
        <f>G3387*(D3387*Assumptions!$B$6+E3387*Assumptions!$B$7)</f>
        <v>2.3154805626057467E-3</v>
      </c>
    </row>
    <row r="3388" spans="1:10" x14ac:dyDescent="0.2">
      <c r="A3388" s="2">
        <v>3380</v>
      </c>
      <c r="B3388" s="14">
        <f>A3388*Assumptions!$B$12</f>
        <v>33.799999999999997</v>
      </c>
      <c r="C3388" s="15">
        <f>IF(A3388&lt;=Assumptions!$B$13,IF(OR(A3388=0,A3388=Assumptions!$B$13),0.5,1),0)*Assumptions!$B$12</f>
        <v>0</v>
      </c>
      <c r="D3388" s="12">
        <f>D3387*(1-Assumptions!$B$12*(Assumptions!$B$5+Assumptions!$B$6))</f>
        <v>0.36270983012528563</v>
      </c>
      <c r="E3388" s="12">
        <f>E3387+Assumptions!$B$12*(D3387*Assumptions!$B$5-E3387*Assumptions!$B$7)</f>
        <v>0.17826827514979396</v>
      </c>
      <c r="F3388" s="12">
        <f t="shared" si="156"/>
        <v>0.4590218947249205</v>
      </c>
      <c r="G3388" s="12">
        <f>EXP(-Assumptions!$B$8*B3388)</f>
        <v>0.18451952399298926</v>
      </c>
      <c r="H3388" s="12">
        <f t="shared" si="157"/>
        <v>6.6927045202295699E-2</v>
      </c>
      <c r="I3388" s="12">
        <f t="shared" si="158"/>
        <v>3.289397727369122E-2</v>
      </c>
      <c r="J3388" s="12">
        <f>G3388*(D3388*Assumptions!$B$6+E3388*Assumptions!$B$7)</f>
        <v>2.3139693157075178E-3</v>
      </c>
    </row>
    <row r="3389" spans="1:10" x14ac:dyDescent="0.2">
      <c r="A3389" s="2">
        <v>3381</v>
      </c>
      <c r="B3389" s="14">
        <f>A3389*Assumptions!$B$12</f>
        <v>33.81</v>
      </c>
      <c r="C3389" s="15">
        <f>IF(A3389&lt;=Assumptions!$B$13,IF(OR(A3389=0,A3389=Assumptions!$B$13),0.5,1),0)*Assumptions!$B$12</f>
        <v>0</v>
      </c>
      <c r="D3389" s="12">
        <f>D3388*(1-Assumptions!$B$12*(Assumptions!$B$5+Assumptions!$B$6))</f>
        <v>0.36260101717624804</v>
      </c>
      <c r="E3389" s="12">
        <f>E3388+Assumptions!$B$12*(D3388*Assumptions!$B$5-E3388*Assumptions!$B$7)</f>
        <v>0.17825168297824412</v>
      </c>
      <c r="F3389" s="12">
        <f t="shared" si="156"/>
        <v>0.45914729984550784</v>
      </c>
      <c r="G3389" s="12">
        <f>EXP(-Assumptions!$B$8*B3389)</f>
        <v>0.18442728729208957</v>
      </c>
      <c r="H3389" s="12">
        <f t="shared" si="157"/>
        <v>6.6873521967167796E-2</v>
      </c>
      <c r="I3389" s="12">
        <f t="shared" si="158"/>
        <v>3.2874474346927099E-2</v>
      </c>
      <c r="J3389" s="12">
        <f>G3389*(D3389*Assumptions!$B$6+E3389*Assumptions!$B$7)</f>
        <v>2.3124589370180329E-3</v>
      </c>
    </row>
    <row r="3390" spans="1:10" x14ac:dyDescent="0.2">
      <c r="A3390" s="2">
        <v>3382</v>
      </c>
      <c r="B3390" s="14">
        <f>A3390*Assumptions!$B$12</f>
        <v>33.82</v>
      </c>
      <c r="C3390" s="15">
        <f>IF(A3390&lt;=Assumptions!$B$13,IF(OR(A3390=0,A3390=Assumptions!$B$13),0.5,1),0)*Assumptions!$B$12</f>
        <v>0</v>
      </c>
      <c r="D3390" s="12">
        <f>D3389*(1-Assumptions!$B$12*(Assumptions!$B$5+Assumptions!$B$6))</f>
        <v>0.36249223687109516</v>
      </c>
      <c r="E3390" s="12">
        <f>E3389+Assumptions!$B$12*(D3389*Assumptions!$B$5-E3389*Assumptions!$B$7)</f>
        <v>0.17823507734019026</v>
      </c>
      <c r="F3390" s="12">
        <f t="shared" si="156"/>
        <v>0.4592726857887145</v>
      </c>
      <c r="G3390" s="12">
        <f>EXP(-Assumptions!$B$8*B3390)</f>
        <v>0.18433509669801271</v>
      </c>
      <c r="H3390" s="12">
        <f t="shared" si="157"/>
        <v>6.6820041535912256E-2</v>
      </c>
      <c r="I3390" s="12">
        <f t="shared" si="158"/>
        <v>3.2854980216481741E-2</v>
      </c>
      <c r="J3390" s="12">
        <f>G3390*(D3390*Assumptions!$B$6+E3390*Assumptions!$B$7)</f>
        <v>2.3109494261832099E-3</v>
      </c>
    </row>
    <row r="3391" spans="1:10" x14ac:dyDescent="0.2">
      <c r="A3391" s="2">
        <v>3383</v>
      </c>
      <c r="B3391" s="14">
        <f>A3391*Assumptions!$B$12</f>
        <v>33.83</v>
      </c>
      <c r="C3391" s="15">
        <f>IF(A3391&lt;=Assumptions!$B$13,IF(OR(A3391=0,A3391=Assumptions!$B$13),0.5,1),0)*Assumptions!$B$12</f>
        <v>0</v>
      </c>
      <c r="D3391" s="12">
        <f>D3390*(1-Assumptions!$B$12*(Assumptions!$B$5+Assumptions!$B$6))</f>
        <v>0.36238348920003383</v>
      </c>
      <c r="E3391" s="12">
        <f>E3390+Assumptions!$B$12*(D3390*Assumptions!$B$5-E3390*Assumptions!$B$7)</f>
        <v>0.17821845824889437</v>
      </c>
      <c r="F3391" s="12">
        <f t="shared" si="156"/>
        <v>0.4593980525510718</v>
      </c>
      <c r="G3391" s="12">
        <f>EXP(-Assumptions!$B$8*B3391)</f>
        <v>0.18424295218771095</v>
      </c>
      <c r="H3391" s="12">
        <f t="shared" si="157"/>
        <v>6.6766603874297697E-2</v>
      </c>
      <c r="I3391" s="12">
        <f t="shared" si="158"/>
        <v>3.2835494882118607E-2</v>
      </c>
      <c r="J3391" s="12">
        <f>G3391*(D3391*Assumptions!$B$6+E3391*Assumptions!$B$7)</f>
        <v>2.3094407828489071E-3</v>
      </c>
    </row>
    <row r="3392" spans="1:10" x14ac:dyDescent="0.2">
      <c r="A3392" s="2">
        <v>3384</v>
      </c>
      <c r="B3392" s="14">
        <f>A3392*Assumptions!$B$12</f>
        <v>33.840000000000003</v>
      </c>
      <c r="C3392" s="15">
        <f>IF(A3392&lt;=Assumptions!$B$13,IF(OR(A3392=0,A3392=Assumptions!$B$13),0.5,1),0)*Assumptions!$B$12</f>
        <v>0</v>
      </c>
      <c r="D3392" s="12">
        <f>D3391*(1-Assumptions!$B$12*(Assumptions!$B$5+Assumptions!$B$6))</f>
        <v>0.3622747741532738</v>
      </c>
      <c r="E3392" s="12">
        <f>E3391+Assumptions!$B$12*(D3391*Assumptions!$B$5-E3391*Assumptions!$B$7)</f>
        <v>0.17820182571760992</v>
      </c>
      <c r="F3392" s="12">
        <f t="shared" si="156"/>
        <v>0.4595234001291163</v>
      </c>
      <c r="G3392" s="12">
        <f>EXP(-Assumptions!$B$8*B3392)</f>
        <v>0.18415085373814818</v>
      </c>
      <c r="H3392" s="12">
        <f t="shared" si="157"/>
        <v>6.671320894812019E-2</v>
      </c>
      <c r="I3392" s="12">
        <f t="shared" si="158"/>
        <v>3.2816018343594558E-2</v>
      </c>
      <c r="J3392" s="12">
        <f>G3392*(D3392*Assumptions!$B$6+E3392*Assumptions!$B$7)</f>
        <v>2.3079330066609299E-3</v>
      </c>
    </row>
    <row r="3393" spans="1:10" x14ac:dyDescent="0.2">
      <c r="A3393" s="2">
        <v>3385</v>
      </c>
      <c r="B3393" s="14">
        <f>A3393*Assumptions!$B$12</f>
        <v>33.85</v>
      </c>
      <c r="C3393" s="15">
        <f>IF(A3393&lt;=Assumptions!$B$13,IF(OR(A3393=0,A3393=Assumptions!$B$13),0.5,1),0)*Assumptions!$B$12</f>
        <v>0</v>
      </c>
      <c r="D3393" s="12">
        <f>D3392*(1-Assumptions!$B$12*(Assumptions!$B$5+Assumptions!$B$6))</f>
        <v>0.36216609172102782</v>
      </c>
      <c r="E3393" s="12">
        <f>E3392+Assumptions!$B$12*(D3392*Assumptions!$B$5-E3392*Assumptions!$B$7)</f>
        <v>0.17818517975958179</v>
      </c>
      <c r="F3393" s="12">
        <f t="shared" si="156"/>
        <v>0.45964872851939031</v>
      </c>
      <c r="G3393" s="12">
        <f>EXP(-Assumptions!$B$8*B3393)</f>
        <v>0.18405880132629984</v>
      </c>
      <c r="H3393" s="12">
        <f t="shared" si="157"/>
        <v>6.665985672320314E-2</v>
      </c>
      <c r="I3393" s="12">
        <f t="shared" si="158"/>
        <v>3.2796550600659891E-2</v>
      </c>
      <c r="J3393" s="12">
        <f>G3393*(D3393*Assumptions!$B$6+E3393*Assumptions!$B$7)</f>
        <v>2.3064260972650258E-3</v>
      </c>
    </row>
    <row r="3394" spans="1:10" x14ac:dyDescent="0.2">
      <c r="A3394" s="2">
        <v>3386</v>
      </c>
      <c r="B3394" s="14">
        <f>A3394*Assumptions!$B$12</f>
        <v>33.86</v>
      </c>
      <c r="C3394" s="15">
        <f>IF(A3394&lt;=Assumptions!$B$13,IF(OR(A3394=0,A3394=Assumptions!$B$13),0.5,1),0)*Assumptions!$B$12</f>
        <v>0</v>
      </c>
      <c r="D3394" s="12">
        <f>D3393*(1-Assumptions!$B$12*(Assumptions!$B$5+Assumptions!$B$6))</f>
        <v>0.36205744189351152</v>
      </c>
      <c r="E3394" s="12">
        <f>E3393+Assumptions!$B$12*(D3393*Assumptions!$B$5-E3393*Assumptions!$B$7)</f>
        <v>0.1781685203880462</v>
      </c>
      <c r="F3394" s="12">
        <f t="shared" si="156"/>
        <v>0.45977403771844227</v>
      </c>
      <c r="G3394" s="12">
        <f>EXP(-Assumptions!$B$8*B3394)</f>
        <v>0.18396679492915277</v>
      </c>
      <c r="H3394" s="12">
        <f t="shared" si="157"/>
        <v>6.6606547165397281E-2</v>
      </c>
      <c r="I3394" s="12">
        <f t="shared" si="158"/>
        <v>3.2777091653058268E-2</v>
      </c>
      <c r="J3394" s="12">
        <f>G3394*(D3394*Assumptions!$B$6+E3394*Assumptions!$B$7)</f>
        <v>2.3049200543068865E-3</v>
      </c>
    </row>
    <row r="3395" spans="1:10" x14ac:dyDescent="0.2">
      <c r="A3395" s="2">
        <v>3387</v>
      </c>
      <c r="B3395" s="14">
        <f>A3395*Assumptions!$B$12</f>
        <v>33.869999999999997</v>
      </c>
      <c r="C3395" s="15">
        <f>IF(A3395&lt;=Assumptions!$B$13,IF(OR(A3395=0,A3395=Assumptions!$B$13),0.5,1),0)*Assumptions!$B$12</f>
        <v>0</v>
      </c>
      <c r="D3395" s="12">
        <f>D3394*(1-Assumptions!$B$12*(Assumptions!$B$5+Assumptions!$B$6))</f>
        <v>0.36194882466094347</v>
      </c>
      <c r="E3395" s="12">
        <f>E3394+Assumptions!$B$12*(D3394*Assumptions!$B$5-E3394*Assumptions!$B$7)</f>
        <v>0.17815184761623087</v>
      </c>
      <c r="F3395" s="12">
        <f t="shared" si="156"/>
        <v>0.45989932772282566</v>
      </c>
      <c r="G3395" s="12">
        <f>EXP(-Assumptions!$B$8*B3395)</f>
        <v>0.18387483452370543</v>
      </c>
      <c r="H3395" s="12">
        <f t="shared" si="157"/>
        <v>6.6553280240580645E-2</v>
      </c>
      <c r="I3395" s="12">
        <f t="shared" si="158"/>
        <v>3.2757641500526839E-2</v>
      </c>
      <c r="J3395" s="12">
        <f>G3395*(D3395*Assumptions!$B$6+E3395*Assumptions!$B$7)</f>
        <v>2.3034148774321484E-3</v>
      </c>
    </row>
    <row r="3396" spans="1:10" x14ac:dyDescent="0.2">
      <c r="A3396" s="2">
        <v>3388</v>
      </c>
      <c r="B3396" s="14">
        <f>A3396*Assumptions!$B$12</f>
        <v>33.880000000000003</v>
      </c>
      <c r="C3396" s="15">
        <f>IF(A3396&lt;=Assumptions!$B$13,IF(OR(A3396=0,A3396=Assumptions!$B$13),0.5,1),0)*Assumptions!$B$12</f>
        <v>0</v>
      </c>
      <c r="D3396" s="12">
        <f>D3395*(1-Assumptions!$B$12*(Assumptions!$B$5+Assumptions!$B$6))</f>
        <v>0.3618402400135452</v>
      </c>
      <c r="E3396" s="12">
        <f>E3395+Assumptions!$B$12*(D3395*Assumptions!$B$5-E3395*Assumptions!$B$7)</f>
        <v>0.17813516145735495</v>
      </c>
      <c r="F3396" s="12">
        <f t="shared" si="156"/>
        <v>0.46002459852909983</v>
      </c>
      <c r="G3396" s="12">
        <f>EXP(-Assumptions!$B$8*B3396)</f>
        <v>0.18378292008696759</v>
      </c>
      <c r="H3396" s="12">
        <f t="shared" si="157"/>
        <v>6.6500055914658546E-2</v>
      </c>
      <c r="I3396" s="12">
        <f t="shared" si="158"/>
        <v>3.2738200142796131E-2</v>
      </c>
      <c r="J3396" s="12">
        <f>G3396*(D3396*Assumptions!$B$6+E3396*Assumptions!$B$7)</f>
        <v>2.3019105662863922E-3</v>
      </c>
    </row>
    <row r="3397" spans="1:10" x14ac:dyDescent="0.2">
      <c r="A3397" s="2">
        <v>3389</v>
      </c>
      <c r="B3397" s="14">
        <f>A3397*Assumptions!$B$12</f>
        <v>33.89</v>
      </c>
      <c r="C3397" s="15">
        <f>IF(A3397&lt;=Assumptions!$B$13,IF(OR(A3397=0,A3397=Assumptions!$B$13),0.5,1),0)*Assumptions!$B$12</f>
        <v>0</v>
      </c>
      <c r="D3397" s="12">
        <f>D3396*(1-Assumptions!$B$12*(Assumptions!$B$5+Assumptions!$B$6))</f>
        <v>0.36173168794154115</v>
      </c>
      <c r="E3397" s="12">
        <f>E3396+Assumptions!$B$12*(D3396*Assumptions!$B$5-E3396*Assumptions!$B$7)</f>
        <v>0.17811846192462899</v>
      </c>
      <c r="F3397" s="12">
        <f t="shared" si="156"/>
        <v>0.46014985013382992</v>
      </c>
      <c r="G3397" s="12">
        <f>EXP(-Assumptions!$B$8*B3397)</f>
        <v>0.1836910515959608</v>
      </c>
      <c r="H3397" s="12">
        <f t="shared" si="157"/>
        <v>6.6446874153563623E-2</v>
      </c>
      <c r="I3397" s="12">
        <f t="shared" si="158"/>
        <v>3.2718767579590205E-2</v>
      </c>
      <c r="J3397" s="12">
        <f>G3397*(D3397*Assumptions!$B$6+E3397*Assumptions!$B$7)</f>
        <v>2.3004071205151464E-3</v>
      </c>
    </row>
    <row r="3398" spans="1:10" x14ac:dyDescent="0.2">
      <c r="A3398" s="2">
        <v>3390</v>
      </c>
      <c r="B3398" s="14">
        <f>A3398*Assumptions!$B$12</f>
        <v>33.9</v>
      </c>
      <c r="C3398" s="15">
        <f>IF(A3398&lt;=Assumptions!$B$13,IF(OR(A3398=0,A3398=Assumptions!$B$13),0.5,1),0)*Assumptions!$B$12</f>
        <v>0</v>
      </c>
      <c r="D3398" s="12">
        <f>D3397*(1-Assumptions!$B$12*(Assumptions!$B$5+Assumptions!$B$6))</f>
        <v>0.36162316843515868</v>
      </c>
      <c r="E3398" s="12">
        <f>E3397+Assumptions!$B$12*(D3397*Assumptions!$B$5-E3397*Assumptions!$B$7)</f>
        <v>0.17810174903125497</v>
      </c>
      <c r="F3398" s="12">
        <f t="shared" si="156"/>
        <v>0.46027508253358629</v>
      </c>
      <c r="G3398" s="12">
        <f>EXP(-Assumptions!$B$8*B3398)</f>
        <v>0.18359922902771786</v>
      </c>
      <c r="H3398" s="12">
        <f t="shared" si="157"/>
        <v>6.639373492325569E-2</v>
      </c>
      <c r="I3398" s="12">
        <f t="shared" si="158"/>
        <v>3.2699343810626509E-2</v>
      </c>
      <c r="J3398" s="12">
        <f>G3398*(D3398*Assumptions!$B$6+E3398*Assumptions!$B$7)</f>
        <v>2.2989045397638825E-3</v>
      </c>
    </row>
    <row r="3399" spans="1:10" x14ac:dyDescent="0.2">
      <c r="A3399" s="2">
        <v>3391</v>
      </c>
      <c r="B3399" s="14">
        <f>A3399*Assumptions!$B$12</f>
        <v>33.910000000000004</v>
      </c>
      <c r="C3399" s="15">
        <f>IF(A3399&lt;=Assumptions!$B$13,IF(OR(A3399=0,A3399=Assumptions!$B$13),0.5,1),0)*Assumptions!$B$12</f>
        <v>0</v>
      </c>
      <c r="D3399" s="12">
        <f>D3398*(1-Assumptions!$B$12*(Assumptions!$B$5+Assumptions!$B$6))</f>
        <v>0.36151468148462812</v>
      </c>
      <c r="E3399" s="12">
        <f>E3398+Assumptions!$B$12*(D3398*Assumptions!$B$5-E3398*Assumptions!$B$7)</f>
        <v>0.17808502279042637</v>
      </c>
      <c r="F3399" s="12">
        <f t="shared" si="156"/>
        <v>0.46040029572494545</v>
      </c>
      <c r="G3399" s="12">
        <f>EXP(-Assumptions!$B$8*B3399)</f>
        <v>0.18350745235928309</v>
      </c>
      <c r="H3399" s="12">
        <f t="shared" si="157"/>
        <v>6.6340638189721801E-2</v>
      </c>
      <c r="I3399" s="12">
        <f t="shared" si="158"/>
        <v>3.2679928835616011E-2</v>
      </c>
      <c r="J3399" s="12">
        <f>G3399*(D3399*Assumptions!$B$6+E3399*Assumptions!$B$7)</f>
        <v>2.2974028236780186E-3</v>
      </c>
    </row>
    <row r="3400" spans="1:10" x14ac:dyDescent="0.2">
      <c r="A3400" s="2">
        <v>3392</v>
      </c>
      <c r="B3400" s="14">
        <f>A3400*Assumptions!$B$12</f>
        <v>33.92</v>
      </c>
      <c r="C3400" s="15">
        <f>IF(A3400&lt;=Assumptions!$B$13,IF(OR(A3400=0,A3400=Assumptions!$B$13),0.5,1),0)*Assumptions!$B$12</f>
        <v>0</v>
      </c>
      <c r="D3400" s="12">
        <f>D3399*(1-Assumptions!$B$12*(Assumptions!$B$5+Assumptions!$B$6))</f>
        <v>0.36140622708018272</v>
      </c>
      <c r="E3400" s="12">
        <f>E3399+Assumptions!$B$12*(D3399*Assumptions!$B$5-E3399*Assumptions!$B$7)</f>
        <v>0.17806828321532808</v>
      </c>
      <c r="F3400" s="12">
        <f t="shared" ref="F3400:F3463" si="159">1-D3400-E3400</f>
        <v>0.46052548970448914</v>
      </c>
      <c r="G3400" s="12">
        <f>EXP(-Assumptions!$B$8*B3400)</f>
        <v>0.18341572156771241</v>
      </c>
      <c r="H3400" s="12">
        <f t="shared" ref="H3400:H3463" si="160">G3400*D3400</f>
        <v>6.6287583918976239E-2</v>
      </c>
      <c r="I3400" s="12">
        <f t="shared" ref="I3400:I3463" si="161">G3400*E3400</f>
        <v>3.2660522654263176E-2</v>
      </c>
      <c r="J3400" s="12">
        <f>G3400*(D3400*Assumptions!$B$6+E3400*Assumptions!$B$7)</f>
        <v>2.2959019719029209E-3</v>
      </c>
    </row>
    <row r="3401" spans="1:10" x14ac:dyDescent="0.2">
      <c r="A3401" s="2">
        <v>3393</v>
      </c>
      <c r="B3401" s="14">
        <f>A3401*Assumptions!$B$12</f>
        <v>33.93</v>
      </c>
      <c r="C3401" s="15">
        <f>IF(A3401&lt;=Assumptions!$B$13,IF(OR(A3401=0,A3401=Assumptions!$B$13),0.5,1),0)*Assumptions!$B$12</f>
        <v>0</v>
      </c>
      <c r="D3401" s="12">
        <f>D3400*(1-Assumptions!$B$12*(Assumptions!$B$5+Assumptions!$B$6))</f>
        <v>0.36129780521205868</v>
      </c>
      <c r="E3401" s="12">
        <f>E3400+Assumptions!$B$12*(D3400*Assumptions!$B$5-E3400*Assumptions!$B$7)</f>
        <v>0.17805153031913645</v>
      </c>
      <c r="F3401" s="12">
        <f t="shared" si="159"/>
        <v>0.46065066446880487</v>
      </c>
      <c r="G3401" s="12">
        <f>EXP(-Assumptions!$B$8*B3401)</f>
        <v>0.18332403663007307</v>
      </c>
      <c r="H3401" s="12">
        <f t="shared" si="160"/>
        <v>6.6234572077060447E-2</v>
      </c>
      <c r="I3401" s="12">
        <f t="shared" si="161"/>
        <v>3.264112526626594E-2</v>
      </c>
      <c r="J3401" s="12">
        <f>G3401*(D3401*Assumptions!$B$6+E3401*Assumptions!$B$7)</f>
        <v>2.2944019840839013E-3</v>
      </c>
    </row>
    <row r="3402" spans="1:10" x14ac:dyDescent="0.2">
      <c r="A3402" s="2">
        <v>3394</v>
      </c>
      <c r="B3402" s="14">
        <f>A3402*Assumptions!$B$12</f>
        <v>33.94</v>
      </c>
      <c r="C3402" s="15">
        <f>IF(A3402&lt;=Assumptions!$B$13,IF(OR(A3402=0,A3402=Assumptions!$B$13),0.5,1),0)*Assumptions!$B$12</f>
        <v>0</v>
      </c>
      <c r="D3402" s="12">
        <f>D3401*(1-Assumptions!$B$12*(Assumptions!$B$5+Assumptions!$B$6))</f>
        <v>0.36118941587049508</v>
      </c>
      <c r="E3402" s="12">
        <f>E3401+Assumptions!$B$12*(D3401*Assumptions!$B$5-E3401*Assumptions!$B$7)</f>
        <v>0.17803476411501928</v>
      </c>
      <c r="F3402" s="12">
        <f t="shared" si="159"/>
        <v>0.46077582001448558</v>
      </c>
      <c r="G3402" s="12">
        <f>EXP(-Assumptions!$B$8*B3402)</f>
        <v>0.18323239752344386</v>
      </c>
      <c r="H3402" s="12">
        <f t="shared" si="160"/>
        <v>6.6181602630043038E-2</v>
      </c>
      <c r="I3402" s="12">
        <f t="shared" si="161"/>
        <v>3.2621736671315772E-2</v>
      </c>
      <c r="J3402" s="12">
        <f>G3402*(D3402*Assumptions!$B$6+E3402*Assumptions!$B$7)</f>
        <v>2.2929028598662189E-3</v>
      </c>
    </row>
    <row r="3403" spans="1:10" x14ac:dyDescent="0.2">
      <c r="A3403" s="2">
        <v>3395</v>
      </c>
      <c r="B3403" s="14">
        <f>A3403*Assumptions!$B$12</f>
        <v>33.950000000000003</v>
      </c>
      <c r="C3403" s="15">
        <f>IF(A3403&lt;=Assumptions!$B$13,IF(OR(A3403=0,A3403=Assumptions!$B$13),0.5,1),0)*Assumptions!$B$12</f>
        <v>0</v>
      </c>
      <c r="D3403" s="12">
        <f>D3402*(1-Assumptions!$B$12*(Assumptions!$B$5+Assumptions!$B$6))</f>
        <v>0.36108105904573395</v>
      </c>
      <c r="E3403" s="12">
        <f>E3402+Assumptions!$B$12*(D3402*Assumptions!$B$5-E3402*Assumptions!$B$7)</f>
        <v>0.17801798461613588</v>
      </c>
      <c r="F3403" s="12">
        <f t="shared" si="159"/>
        <v>0.46090095633813016</v>
      </c>
      <c r="G3403" s="12">
        <f>EXP(-Assumptions!$B$8*B3403)</f>
        <v>0.18314080422491494</v>
      </c>
      <c r="H3403" s="12">
        <f t="shared" si="160"/>
        <v>6.6128675544019716E-2</v>
      </c>
      <c r="I3403" s="12">
        <f t="shared" si="161"/>
        <v>3.2602356869097661E-2</v>
      </c>
      <c r="J3403" s="12">
        <f>G3403*(D3403*Assumptions!$B$6+E3403*Assumptions!$B$7)</f>
        <v>2.2914045988950802E-3</v>
      </c>
    </row>
    <row r="3404" spans="1:10" x14ac:dyDescent="0.2">
      <c r="A3404" s="2">
        <v>3396</v>
      </c>
      <c r="B3404" s="14">
        <f>A3404*Assumptions!$B$12</f>
        <v>33.96</v>
      </c>
      <c r="C3404" s="15">
        <f>IF(A3404&lt;=Assumptions!$B$13,IF(OR(A3404=0,A3404=Assumptions!$B$13),0.5,1),0)*Assumptions!$B$12</f>
        <v>0</v>
      </c>
      <c r="D3404" s="12">
        <f>D3403*(1-Assumptions!$B$12*(Assumptions!$B$5+Assumptions!$B$6))</f>
        <v>0.36097273472802027</v>
      </c>
      <c r="E3404" s="12">
        <f>E3403+Assumptions!$B$12*(D3403*Assumptions!$B$5-E3403*Assumptions!$B$7)</f>
        <v>0.17800119183563695</v>
      </c>
      <c r="F3404" s="12">
        <f t="shared" si="159"/>
        <v>0.46102607343634278</v>
      </c>
      <c r="G3404" s="12">
        <f>EXP(-Assumptions!$B$8*B3404)</f>
        <v>0.18304925671158806</v>
      </c>
      <c r="H3404" s="12">
        <f t="shared" si="160"/>
        <v>6.6075790785113359E-2</v>
      </c>
      <c r="I3404" s="12">
        <f t="shared" si="161"/>
        <v>3.2582985859290141E-2</v>
      </c>
      <c r="J3404" s="12">
        <f>G3404*(D3404*Assumptions!$B$6+E3404*Assumptions!$B$7)</f>
        <v>2.2899072008156409E-3</v>
      </c>
    </row>
    <row r="3405" spans="1:10" x14ac:dyDescent="0.2">
      <c r="A3405" s="2">
        <v>3397</v>
      </c>
      <c r="B3405" s="14">
        <f>A3405*Assumptions!$B$12</f>
        <v>33.97</v>
      </c>
      <c r="C3405" s="15">
        <f>IF(A3405&lt;=Assumptions!$B$13,IF(OR(A3405=0,A3405=Assumptions!$B$13),0.5,1),0)*Assumptions!$B$12</f>
        <v>0</v>
      </c>
      <c r="D3405" s="12">
        <f>D3404*(1-Assumptions!$B$12*(Assumptions!$B$5+Assumptions!$B$6))</f>
        <v>0.36086444290760189</v>
      </c>
      <c r="E3405" s="12">
        <f>E3404+Assumptions!$B$12*(D3404*Assumptions!$B$5-E3404*Assumptions!$B$7)</f>
        <v>0.17798438578666473</v>
      </c>
      <c r="F3405" s="12">
        <f t="shared" si="159"/>
        <v>0.46115117130573335</v>
      </c>
      <c r="G3405" s="12">
        <f>EXP(-Assumptions!$B$8*B3405)</f>
        <v>0.18295775496057631</v>
      </c>
      <c r="H3405" s="12">
        <f t="shared" si="160"/>
        <v>6.6022948319473904E-2</v>
      </c>
      <c r="I3405" s="12">
        <f t="shared" si="161"/>
        <v>3.2563623641565287E-2</v>
      </c>
      <c r="J3405" s="12">
        <f>G3405*(D3405*Assumptions!$B$6+E3405*Assumptions!$B$7)</f>
        <v>2.2884106652730032E-3</v>
      </c>
    </row>
    <row r="3406" spans="1:10" x14ac:dyDescent="0.2">
      <c r="A3406" s="2">
        <v>3398</v>
      </c>
      <c r="B3406" s="14">
        <f>A3406*Assumptions!$B$12</f>
        <v>33.980000000000004</v>
      </c>
      <c r="C3406" s="15">
        <f>IF(A3406&lt;=Assumptions!$B$13,IF(OR(A3406=0,A3406=Assumptions!$B$13),0.5,1),0)*Assumptions!$B$12</f>
        <v>0</v>
      </c>
      <c r="D3406" s="12">
        <f>D3405*(1-Assumptions!$B$12*(Assumptions!$B$5+Assumptions!$B$6))</f>
        <v>0.36075618357472961</v>
      </c>
      <c r="E3406" s="12">
        <f>E3405+Assumptions!$B$12*(D3405*Assumptions!$B$5-E3405*Assumptions!$B$7)</f>
        <v>0.17796756648235293</v>
      </c>
      <c r="F3406" s="12">
        <f t="shared" si="159"/>
        <v>0.46127624994291749</v>
      </c>
      <c r="G3406" s="12">
        <f>EXP(-Assumptions!$B$8*B3406)</f>
        <v>0.18286629894900422</v>
      </c>
      <c r="H3406" s="12">
        <f t="shared" si="160"/>
        <v>6.5970148113278351E-2</v>
      </c>
      <c r="I3406" s="12">
        <f t="shared" si="161"/>
        <v>3.2544270215588735E-2</v>
      </c>
      <c r="J3406" s="12">
        <f>G3406*(D3406*Assumptions!$B$6+E3406*Assumptions!$B$7)</f>
        <v>2.28691499191222E-3</v>
      </c>
    </row>
    <row r="3407" spans="1:10" x14ac:dyDescent="0.2">
      <c r="A3407" s="2">
        <v>3399</v>
      </c>
      <c r="B3407" s="14">
        <f>A3407*Assumptions!$B$12</f>
        <v>33.99</v>
      </c>
      <c r="C3407" s="15">
        <f>IF(A3407&lt;=Assumptions!$B$13,IF(OR(A3407=0,A3407=Assumptions!$B$13),0.5,1),0)*Assumptions!$B$12</f>
        <v>0</v>
      </c>
      <c r="D3407" s="12">
        <f>D3406*(1-Assumptions!$B$12*(Assumptions!$B$5+Assumptions!$B$6))</f>
        <v>0.36064795671965721</v>
      </c>
      <c r="E3407" s="12">
        <f>E3406+Assumptions!$B$12*(D3406*Assumptions!$B$5-E3406*Assumptions!$B$7)</f>
        <v>0.17795073393582669</v>
      </c>
      <c r="F3407" s="12">
        <f t="shared" si="159"/>
        <v>0.46140130934451606</v>
      </c>
      <c r="G3407" s="12">
        <f>EXP(-Assumptions!$B$8*B3407)</f>
        <v>0.18277488865400787</v>
      </c>
      <c r="H3407" s="12">
        <f t="shared" si="160"/>
        <v>6.5917390132730791E-2</v>
      </c>
      <c r="I3407" s="12">
        <f t="shared" si="161"/>
        <v>3.2524925581019701E-2</v>
      </c>
      <c r="J3407" s="12">
        <f>G3407*(D3407*Assumptions!$B$6+E3407*Assumptions!$B$7)</f>
        <v>2.2854201803782933E-3</v>
      </c>
    </row>
    <row r="3408" spans="1:10" x14ac:dyDescent="0.2">
      <c r="A3408" s="2">
        <v>3400</v>
      </c>
      <c r="B3408" s="14">
        <f>A3408*Assumptions!$B$12</f>
        <v>34</v>
      </c>
      <c r="C3408" s="15">
        <f>IF(A3408&lt;=Assumptions!$B$13,IF(OR(A3408=0,A3408=Assumptions!$B$13),0.5,1),0)*Assumptions!$B$12</f>
        <v>0</v>
      </c>
      <c r="D3408" s="12">
        <f>D3407*(1-Assumptions!$B$12*(Assumptions!$B$5+Assumptions!$B$6))</f>
        <v>0.36053976233264134</v>
      </c>
      <c r="E3408" s="12">
        <f>E3407+Assumptions!$B$12*(D3407*Assumptions!$B$5-E3407*Assumptions!$B$7)</f>
        <v>0.17793388816020272</v>
      </c>
      <c r="F3408" s="12">
        <f t="shared" si="159"/>
        <v>0.46152634950715588</v>
      </c>
      <c r="G3408" s="12">
        <f>EXP(-Assumptions!$B$8*B3408)</f>
        <v>0.18268352405273461</v>
      </c>
      <c r="H3408" s="12">
        <f t="shared" si="160"/>
        <v>6.5864674344062304E-2</v>
      </c>
      <c r="I3408" s="12">
        <f t="shared" si="161"/>
        <v>3.2505589737510984E-2</v>
      </c>
      <c r="J3408" s="12">
        <f>G3408*(D3408*Assumptions!$B$6+E3408*Assumptions!$B$7)</f>
        <v>2.2839262303161723E-3</v>
      </c>
    </row>
    <row r="3409" spans="1:10" x14ac:dyDescent="0.2">
      <c r="A3409" s="2">
        <v>3401</v>
      </c>
      <c r="B3409" s="14">
        <f>A3409*Assumptions!$B$12</f>
        <v>34.01</v>
      </c>
      <c r="C3409" s="15">
        <f>IF(A3409&lt;=Assumptions!$B$13,IF(OR(A3409=0,A3409=Assumptions!$B$13),0.5,1),0)*Assumptions!$B$12</f>
        <v>0</v>
      </c>
      <c r="D3409" s="12">
        <f>D3408*(1-Assumptions!$B$12*(Assumptions!$B$5+Assumptions!$B$6))</f>
        <v>0.36043160040394157</v>
      </c>
      <c r="E3409" s="12">
        <f>E3408+Assumptions!$B$12*(D3408*Assumptions!$B$5-E3408*Assumptions!$B$7)</f>
        <v>0.17791702916858915</v>
      </c>
      <c r="F3409" s="12">
        <f t="shared" si="159"/>
        <v>0.46165137042746923</v>
      </c>
      <c r="G3409" s="12">
        <f>EXP(-Assumptions!$B$8*B3409)</f>
        <v>0.18259220512234337</v>
      </c>
      <c r="H3409" s="12">
        <f t="shared" si="160"/>
        <v>6.5812000713530994E-2</v>
      </c>
      <c r="I3409" s="12">
        <f t="shared" si="161"/>
        <v>3.2486262684708979E-2</v>
      </c>
      <c r="J3409" s="12">
        <f>G3409*(D3409*Assumptions!$B$6+E3409*Assumptions!$B$7)</f>
        <v>2.2824331413707588E-3</v>
      </c>
    </row>
    <row r="3410" spans="1:10" x14ac:dyDescent="0.2">
      <c r="A3410" s="2">
        <v>3402</v>
      </c>
      <c r="B3410" s="14">
        <f>A3410*Assumptions!$B$12</f>
        <v>34.020000000000003</v>
      </c>
      <c r="C3410" s="15">
        <f>IF(A3410&lt;=Assumptions!$B$13,IF(OR(A3410=0,A3410=Assumptions!$B$13),0.5,1),0)*Assumptions!$B$12</f>
        <v>0</v>
      </c>
      <c r="D3410" s="12">
        <f>D3409*(1-Assumptions!$B$12*(Assumptions!$B$5+Assumptions!$B$6))</f>
        <v>0.36032347092382039</v>
      </c>
      <c r="E3410" s="12">
        <f>E3409+Assumptions!$B$12*(D3409*Assumptions!$B$5-E3409*Assumptions!$B$7)</f>
        <v>0.17790015697408565</v>
      </c>
      <c r="F3410" s="12">
        <f t="shared" si="159"/>
        <v>0.46177637210209399</v>
      </c>
      <c r="G3410" s="12">
        <f>EXP(-Assumptions!$B$8*B3410)</f>
        <v>0.18250093184000424</v>
      </c>
      <c r="H3410" s="12">
        <f t="shared" si="160"/>
        <v>6.5759369207421897E-2</v>
      </c>
      <c r="I3410" s="12">
        <f t="shared" si="161"/>
        <v>3.246694442225366E-2</v>
      </c>
      <c r="J3410" s="12">
        <f>G3410*(D3410*Assumptions!$B$6+E3410*Assumptions!$B$7)</f>
        <v>2.2809409131869019E-3</v>
      </c>
    </row>
    <row r="3411" spans="1:10" x14ac:dyDescent="0.2">
      <c r="A3411" s="2">
        <v>3403</v>
      </c>
      <c r="B3411" s="14">
        <f>A3411*Assumptions!$B$12</f>
        <v>34.03</v>
      </c>
      <c r="C3411" s="15">
        <f>IF(A3411&lt;=Assumptions!$B$13,IF(OR(A3411=0,A3411=Assumptions!$B$13),0.5,1),0)*Assumptions!$B$12</f>
        <v>0</v>
      </c>
      <c r="D3411" s="12">
        <f>D3410*(1-Assumptions!$B$12*(Assumptions!$B$5+Assumptions!$B$6))</f>
        <v>0.36021537388254327</v>
      </c>
      <c r="E3411" s="12">
        <f>E3410+Assumptions!$B$12*(D3410*Assumptions!$B$5-E3410*Assumptions!$B$7)</f>
        <v>0.17788327158978337</v>
      </c>
      <c r="F3411" s="12">
        <f t="shared" si="159"/>
        <v>0.46190135452767334</v>
      </c>
      <c r="G3411" s="12">
        <f>EXP(-Assumptions!$B$8*B3411)</f>
        <v>0.18240970418289912</v>
      </c>
      <c r="H3411" s="12">
        <f t="shared" si="160"/>
        <v>6.5706779792047129E-2</v>
      </c>
      <c r="I3411" s="12">
        <f t="shared" si="161"/>
        <v>3.2447634949778689E-2</v>
      </c>
      <c r="J3411" s="12">
        <f>G3411*(D3411*Assumptions!$B$6+E3411*Assumptions!$B$7)</f>
        <v>2.2794495454094054E-3</v>
      </c>
    </row>
    <row r="3412" spans="1:10" x14ac:dyDescent="0.2">
      <c r="A3412" s="2">
        <v>3404</v>
      </c>
      <c r="B3412" s="14">
        <f>A3412*Assumptions!$B$12</f>
        <v>34.04</v>
      </c>
      <c r="C3412" s="15">
        <f>IF(A3412&lt;=Assumptions!$B$13,IF(OR(A3412=0,A3412=Assumptions!$B$13),0.5,1),0)*Assumptions!$B$12</f>
        <v>0</v>
      </c>
      <c r="D3412" s="12">
        <f>D3411*(1-Assumptions!$B$12*(Assumptions!$B$5+Assumptions!$B$6))</f>
        <v>0.36010730927037854</v>
      </c>
      <c r="E3412" s="12">
        <f>E3411+Assumptions!$B$12*(D3411*Assumptions!$B$5-E3411*Assumptions!$B$7)</f>
        <v>0.17786637302876498</v>
      </c>
      <c r="F3412" s="12">
        <f t="shared" si="159"/>
        <v>0.46202631770085645</v>
      </c>
      <c r="G3412" s="12">
        <f>EXP(-Assumptions!$B$8*B3412)</f>
        <v>0.182318522128221</v>
      </c>
      <c r="H3412" s="12">
        <f t="shared" si="160"/>
        <v>6.565423243374563E-2</v>
      </c>
      <c r="I3412" s="12">
        <f t="shared" si="161"/>
        <v>3.2428334266911302E-2</v>
      </c>
      <c r="J3412" s="12">
        <f>G3412*(D3412*Assumptions!$B$6+E3412*Assumptions!$B$7)</f>
        <v>2.2779590376830212E-3</v>
      </c>
    </row>
    <row r="3413" spans="1:10" x14ac:dyDescent="0.2">
      <c r="A3413" s="2">
        <v>3405</v>
      </c>
      <c r="B3413" s="14">
        <f>A3413*Assumptions!$B$12</f>
        <v>34.049999999999997</v>
      </c>
      <c r="C3413" s="15">
        <f>IF(A3413&lt;=Assumptions!$B$13,IF(OR(A3413=0,A3413=Assumptions!$B$13),0.5,1),0)*Assumptions!$B$12</f>
        <v>0</v>
      </c>
      <c r="D3413" s="12">
        <f>D3412*(1-Assumptions!$B$12*(Assumptions!$B$5+Assumptions!$B$6))</f>
        <v>0.35999927707759743</v>
      </c>
      <c r="E3413" s="12">
        <f>E3412+Assumptions!$B$12*(D3412*Assumptions!$B$5-E3412*Assumptions!$B$7)</f>
        <v>0.17784946130410467</v>
      </c>
      <c r="F3413" s="12">
        <f t="shared" si="159"/>
        <v>0.46215126161829784</v>
      </c>
      <c r="G3413" s="12">
        <f>EXP(-Assumptions!$B$8*B3413)</f>
        <v>0.18222738565317434</v>
      </c>
      <c r="H3413" s="12">
        <f t="shared" si="160"/>
        <v>6.5601727098883317E-2</v>
      </c>
      <c r="I3413" s="12">
        <f t="shared" si="161"/>
        <v>3.2409042373272391E-2</v>
      </c>
      <c r="J3413" s="12">
        <f>G3413*(D3413*Assumptions!$B$6+E3413*Assumptions!$B$7)</f>
        <v>2.2764693896524524E-3</v>
      </c>
    </row>
    <row r="3414" spans="1:10" x14ac:dyDescent="0.2">
      <c r="A3414" s="2">
        <v>3406</v>
      </c>
      <c r="B3414" s="14">
        <f>A3414*Assumptions!$B$12</f>
        <v>34.06</v>
      </c>
      <c r="C3414" s="15">
        <f>IF(A3414&lt;=Assumptions!$B$13,IF(OR(A3414=0,A3414=Assumptions!$B$13),0.5,1),0)*Assumptions!$B$12</f>
        <v>0</v>
      </c>
      <c r="D3414" s="12">
        <f>D3413*(1-Assumptions!$B$12*(Assumptions!$B$5+Assumptions!$B$6))</f>
        <v>0.35989127729447418</v>
      </c>
      <c r="E3414" s="12">
        <f>E3413+Assumptions!$B$12*(D3413*Assumptions!$B$5-E3413*Assumptions!$B$7)</f>
        <v>0.17783253642886815</v>
      </c>
      <c r="F3414" s="12">
        <f t="shared" si="159"/>
        <v>0.46227618627665762</v>
      </c>
      <c r="G3414" s="12">
        <f>EXP(-Assumptions!$B$8*B3414)</f>
        <v>0.18213629473497495</v>
      </c>
      <c r="H3414" s="12">
        <f t="shared" si="160"/>
        <v>6.5549263753852949E-2</v>
      </c>
      <c r="I3414" s="12">
        <f t="shared" si="161"/>
        <v>3.2389759268476495E-2</v>
      </c>
      <c r="J3414" s="12">
        <f>G3414*(D3414*Assumptions!$B$6+E3414*Assumptions!$B$7)</f>
        <v>2.2749806009623543E-3</v>
      </c>
    </row>
    <row r="3415" spans="1:10" x14ac:dyDescent="0.2">
      <c r="A3415" s="2">
        <v>3407</v>
      </c>
      <c r="B3415" s="14">
        <f>A3415*Assumptions!$B$12</f>
        <v>34.07</v>
      </c>
      <c r="C3415" s="15">
        <f>IF(A3415&lt;=Assumptions!$B$13,IF(OR(A3415=0,A3415=Assumptions!$B$13),0.5,1),0)*Assumptions!$B$12</f>
        <v>0</v>
      </c>
      <c r="D3415" s="12">
        <f>D3414*(1-Assumptions!$B$12*(Assumptions!$B$5+Assumptions!$B$6))</f>
        <v>0.35978330991128582</v>
      </c>
      <c r="E3415" s="12">
        <f>E3414+Assumptions!$B$12*(D3414*Assumptions!$B$5-E3414*Assumptions!$B$7)</f>
        <v>0.17781559841611261</v>
      </c>
      <c r="F3415" s="12">
        <f t="shared" si="159"/>
        <v>0.46240109167260157</v>
      </c>
      <c r="G3415" s="12">
        <f>EXP(-Assumptions!$B$8*B3415)</f>
        <v>0.18204524935085034</v>
      </c>
      <c r="H3415" s="12">
        <f t="shared" si="160"/>
        <v>6.549684236507429E-2</v>
      </c>
      <c r="I3415" s="12">
        <f t="shared" si="161"/>
        <v>3.2370484952131892E-2</v>
      </c>
      <c r="J3415" s="12">
        <f>G3415*(D3415*Assumptions!$B$6+E3415*Assumptions!$B$7)</f>
        <v>2.2734926712573377E-3</v>
      </c>
    </row>
    <row r="3416" spans="1:10" x14ac:dyDescent="0.2">
      <c r="A3416" s="2">
        <v>3408</v>
      </c>
      <c r="B3416" s="14">
        <f>A3416*Assumptions!$B$12</f>
        <v>34.08</v>
      </c>
      <c r="C3416" s="15">
        <f>IF(A3416&lt;=Assumptions!$B$13,IF(OR(A3416=0,A3416=Assumptions!$B$13),0.5,1),0)*Assumptions!$B$12</f>
        <v>0</v>
      </c>
      <c r="D3416" s="12">
        <f>D3415*(1-Assumptions!$B$12*(Assumptions!$B$5+Assumptions!$B$6))</f>
        <v>0.35967537491831247</v>
      </c>
      <c r="E3416" s="12">
        <f>E3415+Assumptions!$B$12*(D3415*Assumptions!$B$5-E3415*Assumptions!$B$7)</f>
        <v>0.17779864727888681</v>
      </c>
      <c r="F3416" s="12">
        <f t="shared" si="159"/>
        <v>0.46252597780280069</v>
      </c>
      <c r="G3416" s="12">
        <f>EXP(-Assumptions!$B$8*B3416)</f>
        <v>0.18195424947803895</v>
      </c>
      <c r="H3416" s="12">
        <f t="shared" si="160"/>
        <v>6.5444462898993819E-2</v>
      </c>
      <c r="I3416" s="12">
        <f t="shared" si="161"/>
        <v>3.2351219423840422E-2</v>
      </c>
      <c r="J3416" s="12">
        <f>G3416*(D3416*Assumptions!$B$6+E3416*Assumptions!$B$7)</f>
        <v>2.2720056001819594E-3</v>
      </c>
    </row>
    <row r="3417" spans="1:10" x14ac:dyDescent="0.2">
      <c r="A3417" s="2">
        <v>3409</v>
      </c>
      <c r="B3417" s="14">
        <f>A3417*Assumptions!$B$12</f>
        <v>34.090000000000003</v>
      </c>
      <c r="C3417" s="15">
        <f>IF(A3417&lt;=Assumptions!$B$13,IF(OR(A3417=0,A3417=Assumptions!$B$13),0.5,1),0)*Assumptions!$B$12</f>
        <v>0</v>
      </c>
      <c r="D3417" s="12">
        <f>D3416*(1-Assumptions!$B$12*(Assumptions!$B$5+Assumptions!$B$6))</f>
        <v>0.35956747230583697</v>
      </c>
      <c r="E3417" s="12">
        <f>E3416+Assumptions!$B$12*(D3416*Assumptions!$B$5-E3416*Assumptions!$B$7)</f>
        <v>0.17778168303023104</v>
      </c>
      <c r="F3417" s="12">
        <f t="shared" si="159"/>
        <v>0.46265084466393203</v>
      </c>
      <c r="G3417" s="12">
        <f>EXP(-Assumptions!$B$8*B3417)</f>
        <v>0.18186329509379082</v>
      </c>
      <c r="H3417" s="12">
        <f t="shared" si="160"/>
        <v>6.5392125322084882E-2</v>
      </c>
      <c r="I3417" s="12">
        <f t="shared" si="161"/>
        <v>3.2331962683197692E-2</v>
      </c>
      <c r="J3417" s="12">
        <f>G3417*(D3417*Assumptions!$B$6+E3417*Assumptions!$B$7)</f>
        <v>2.2705193873807333E-3</v>
      </c>
    </row>
    <row r="3418" spans="1:10" x14ac:dyDescent="0.2">
      <c r="A3418" s="2">
        <v>3410</v>
      </c>
      <c r="B3418" s="14">
        <f>A3418*Assumptions!$B$12</f>
        <v>34.1</v>
      </c>
      <c r="C3418" s="15">
        <f>IF(A3418&lt;=Assumptions!$B$13,IF(OR(A3418=0,A3418=Assumptions!$B$13),0.5,1),0)*Assumptions!$B$12</f>
        <v>0</v>
      </c>
      <c r="D3418" s="12">
        <f>D3417*(1-Assumptions!$B$12*(Assumptions!$B$5+Assumptions!$B$6))</f>
        <v>0.35945960206414523</v>
      </c>
      <c r="E3418" s="12">
        <f>E3417+Assumptions!$B$12*(D3417*Assumptions!$B$5-E3417*Assumptions!$B$7)</f>
        <v>0.17776470568317709</v>
      </c>
      <c r="F3418" s="12">
        <f t="shared" si="159"/>
        <v>0.46277569225267773</v>
      </c>
      <c r="G3418" s="12">
        <f>EXP(-Assumptions!$B$8*B3418)</f>
        <v>0.18177238617536751</v>
      </c>
      <c r="H3418" s="12">
        <f t="shared" si="160"/>
        <v>6.5339829600847735E-2</v>
      </c>
      <c r="I3418" s="12">
        <f t="shared" si="161"/>
        <v>3.231271472979301E-2</v>
      </c>
      <c r="J3418" s="12">
        <f>G3418*(D3418*Assumptions!$B$6+E3418*Assumptions!$B$7)</f>
        <v>2.2690340324981284E-3</v>
      </c>
    </row>
    <row r="3419" spans="1:10" x14ac:dyDescent="0.2">
      <c r="A3419" s="2">
        <v>3411</v>
      </c>
      <c r="B3419" s="14">
        <f>A3419*Assumptions!$B$12</f>
        <v>34.11</v>
      </c>
      <c r="C3419" s="15">
        <f>IF(A3419&lt;=Assumptions!$B$13,IF(OR(A3419=0,A3419=Assumptions!$B$13),0.5,1),0)*Assumptions!$B$12</f>
        <v>0</v>
      </c>
      <c r="D3419" s="12">
        <f>D3418*(1-Assumptions!$B$12*(Assumptions!$B$5+Assumptions!$B$6))</f>
        <v>0.35935176418352599</v>
      </c>
      <c r="E3419" s="12">
        <f>E3418+Assumptions!$B$12*(D3418*Assumptions!$B$5-E3418*Assumptions!$B$7)</f>
        <v>0.17774771525074834</v>
      </c>
      <c r="F3419" s="12">
        <f t="shared" si="159"/>
        <v>0.46290052056572567</v>
      </c>
      <c r="G3419" s="12">
        <f>EXP(-Assumptions!$B$8*B3419)</f>
        <v>0.18168152270004165</v>
      </c>
      <c r="H3419" s="12">
        <f t="shared" si="160"/>
        <v>6.5287575701809292E-2</v>
      </c>
      <c r="I3419" s="12">
        <f t="shared" si="161"/>
        <v>3.229347556320937E-2</v>
      </c>
      <c r="J3419" s="12">
        <f>G3419*(D3419*Assumptions!$B$6+E3419*Assumptions!$B$7)</f>
        <v>2.2675495351785618E-3</v>
      </c>
    </row>
    <row r="3420" spans="1:10" x14ac:dyDescent="0.2">
      <c r="A3420" s="2">
        <v>3412</v>
      </c>
      <c r="B3420" s="14">
        <f>A3420*Assumptions!$B$12</f>
        <v>34.119999999999997</v>
      </c>
      <c r="C3420" s="15">
        <f>IF(A3420&lt;=Assumptions!$B$13,IF(OR(A3420=0,A3420=Assumptions!$B$13),0.5,1),0)*Assumptions!$B$12</f>
        <v>0</v>
      </c>
      <c r="D3420" s="12">
        <f>D3419*(1-Assumptions!$B$12*(Assumptions!$B$5+Assumptions!$B$6))</f>
        <v>0.35924395865427095</v>
      </c>
      <c r="E3420" s="12">
        <f>E3419+Assumptions!$B$12*(D3419*Assumptions!$B$5-E3419*Assumptions!$B$7)</f>
        <v>0.17773071174595967</v>
      </c>
      <c r="F3420" s="12">
        <f t="shared" si="159"/>
        <v>0.46302532959976939</v>
      </c>
      <c r="G3420" s="12">
        <f>EXP(-Assumptions!$B$8*B3420)</f>
        <v>0.18159070464509741</v>
      </c>
      <c r="H3420" s="12">
        <f t="shared" si="160"/>
        <v>6.5235363591523307E-2</v>
      </c>
      <c r="I3420" s="12">
        <f t="shared" si="161"/>
        <v>3.2274245183023506E-2</v>
      </c>
      <c r="J3420" s="12">
        <f>G3420*(D3420*Assumptions!$B$6+E3420*Assumptions!$B$7)</f>
        <v>2.2660658950664084E-3</v>
      </c>
    </row>
    <row r="3421" spans="1:10" x14ac:dyDescent="0.2">
      <c r="A3421" s="2">
        <v>3413</v>
      </c>
      <c r="B3421" s="14">
        <f>A3421*Assumptions!$B$12</f>
        <v>34.130000000000003</v>
      </c>
      <c r="C3421" s="15">
        <f>IF(A3421&lt;=Assumptions!$B$13,IF(OR(A3421=0,A3421=Assumptions!$B$13),0.5,1),0)*Assumptions!$B$12</f>
        <v>0</v>
      </c>
      <c r="D3421" s="12">
        <f>D3420*(1-Assumptions!$B$12*(Assumptions!$B$5+Assumptions!$B$6))</f>
        <v>0.3591361854666747</v>
      </c>
      <c r="E3421" s="12">
        <f>E3420+Assumptions!$B$12*(D3420*Assumptions!$B$5-E3420*Assumptions!$B$7)</f>
        <v>0.17771369518181754</v>
      </c>
      <c r="F3421" s="12">
        <f t="shared" si="159"/>
        <v>0.46315011935150774</v>
      </c>
      <c r="G3421" s="12">
        <f>EXP(-Assumptions!$B$8*B3421)</f>
        <v>0.18149993198783027</v>
      </c>
      <c r="H3421" s="12">
        <f t="shared" si="160"/>
        <v>6.518319323657025E-2</v>
      </c>
      <c r="I3421" s="12">
        <f t="shared" si="161"/>
        <v>3.225502358880588E-2</v>
      </c>
      <c r="J3421" s="12">
        <f>G3421*(D3421*Assumptions!$B$6+E3421*Assumptions!$B$7)</f>
        <v>2.2645831118059965E-3</v>
      </c>
    </row>
    <row r="3422" spans="1:10" x14ac:dyDescent="0.2">
      <c r="A3422" s="2">
        <v>3414</v>
      </c>
      <c r="B3422" s="14">
        <f>A3422*Assumptions!$B$12</f>
        <v>34.14</v>
      </c>
      <c r="C3422" s="15">
        <f>IF(A3422&lt;=Assumptions!$B$13,IF(OR(A3422=0,A3422=Assumptions!$B$13),0.5,1),0)*Assumptions!$B$12</f>
        <v>0</v>
      </c>
      <c r="D3422" s="12">
        <f>D3421*(1-Assumptions!$B$12*(Assumptions!$B$5+Assumptions!$B$6))</f>
        <v>0.35902844461103472</v>
      </c>
      <c r="E3422" s="12">
        <f>E3421+Assumptions!$B$12*(D3421*Assumptions!$B$5-E3421*Assumptions!$B$7)</f>
        <v>0.17769666557131997</v>
      </c>
      <c r="F3422" s="12">
        <f t="shared" si="159"/>
        <v>0.46327488981764525</v>
      </c>
      <c r="G3422" s="12">
        <f>EXP(-Assumptions!$B$8*B3422)</f>
        <v>0.18140920470554706</v>
      </c>
      <c r="H3422" s="12">
        <f t="shared" si="160"/>
        <v>6.5131064603557359E-2</v>
      </c>
      <c r="I3422" s="12">
        <f t="shared" si="161"/>
        <v>3.2235810780120722E-2</v>
      </c>
      <c r="J3422" s="12">
        <f>G3422*(D3422*Assumptions!$B$6+E3422*Assumptions!$B$7)</f>
        <v>2.2631011850416096E-3</v>
      </c>
    </row>
    <row r="3423" spans="1:10" x14ac:dyDescent="0.2">
      <c r="A3423" s="2">
        <v>3415</v>
      </c>
      <c r="B3423" s="14">
        <f>A3423*Assumptions!$B$12</f>
        <v>34.15</v>
      </c>
      <c r="C3423" s="15">
        <f>IF(A3423&lt;=Assumptions!$B$13,IF(OR(A3423=0,A3423=Assumptions!$B$13),0.5,1),0)*Assumptions!$B$12</f>
        <v>0</v>
      </c>
      <c r="D3423" s="12">
        <f>D3422*(1-Assumptions!$B$12*(Assumptions!$B$5+Assumptions!$B$6))</f>
        <v>0.3589207360776514</v>
      </c>
      <c r="E3423" s="12">
        <f>E3422+Assumptions!$B$12*(D3422*Assumptions!$B$5-E3422*Assumptions!$B$7)</f>
        <v>0.17767962292745651</v>
      </c>
      <c r="F3423" s="12">
        <f t="shared" si="159"/>
        <v>0.46339964099489206</v>
      </c>
      <c r="G3423" s="12">
        <f>EXP(-Assumptions!$B$8*B3423)</f>
        <v>0.18131852277556601</v>
      </c>
      <c r="H3423" s="12">
        <f t="shared" si="160"/>
        <v>6.5078977659118548E-2</v>
      </c>
      <c r="I3423" s="12">
        <f t="shared" si="161"/>
        <v>3.2216606756526003E-2</v>
      </c>
      <c r="J3423" s="12">
        <f>G3423*(D3423*Assumptions!$B$6+E3423*Assumptions!$B$7)</f>
        <v>2.2616201144174857E-3</v>
      </c>
    </row>
    <row r="3424" spans="1:10" x14ac:dyDescent="0.2">
      <c r="A3424" s="2">
        <v>3416</v>
      </c>
      <c r="B3424" s="14">
        <f>A3424*Assumptions!$B$12</f>
        <v>34.160000000000004</v>
      </c>
      <c r="C3424" s="15">
        <f>IF(A3424&lt;=Assumptions!$B$13,IF(OR(A3424=0,A3424=Assumptions!$B$13),0.5,1),0)*Assumptions!$B$12</f>
        <v>0</v>
      </c>
      <c r="D3424" s="12">
        <f>D3423*(1-Assumptions!$B$12*(Assumptions!$B$5+Assumptions!$B$6))</f>
        <v>0.3588130598568281</v>
      </c>
      <c r="E3424" s="12">
        <f>E3423+Assumptions!$B$12*(D3423*Assumptions!$B$5-E3423*Assumptions!$B$7)</f>
        <v>0.17766256726320831</v>
      </c>
      <c r="F3424" s="12">
        <f t="shared" si="159"/>
        <v>0.46352437287996362</v>
      </c>
      <c r="G3424" s="12">
        <f>EXP(-Assumptions!$B$8*B3424)</f>
        <v>0.18122788617521654</v>
      </c>
      <c r="H3424" s="12">
        <f t="shared" si="160"/>
        <v>6.50269323699144E-2</v>
      </c>
      <c r="I3424" s="12">
        <f t="shared" si="161"/>
        <v>3.2197411517573465E-2</v>
      </c>
      <c r="J3424" s="12">
        <f>G3424*(D3424*Assumptions!$B$6+E3424*Assumptions!$B$7)</f>
        <v>2.2601398995778172E-3</v>
      </c>
    </row>
    <row r="3425" spans="1:10" x14ac:dyDescent="0.2">
      <c r="A3425" s="2">
        <v>3417</v>
      </c>
      <c r="B3425" s="14">
        <f>A3425*Assumptions!$B$12</f>
        <v>34.17</v>
      </c>
      <c r="C3425" s="15">
        <f>IF(A3425&lt;=Assumptions!$B$13,IF(OR(A3425=0,A3425=Assumptions!$B$13),0.5,1),0)*Assumptions!$B$12</f>
        <v>0</v>
      </c>
      <c r="D3425" s="12">
        <f>D3424*(1-Assumptions!$B$12*(Assumptions!$B$5+Assumptions!$B$6))</f>
        <v>0.35870541593887106</v>
      </c>
      <c r="E3425" s="12">
        <f>E3424+Assumptions!$B$12*(D3424*Assumptions!$B$5-E3424*Assumptions!$B$7)</f>
        <v>0.17764549859154807</v>
      </c>
      <c r="F3425" s="12">
        <f t="shared" si="159"/>
        <v>0.46364908546958084</v>
      </c>
      <c r="G3425" s="12">
        <f>EXP(-Assumptions!$B$8*B3425)</f>
        <v>0.18113729488183961</v>
      </c>
      <c r="H3425" s="12">
        <f t="shared" si="160"/>
        <v>6.4974928702632218E-2</v>
      </c>
      <c r="I3425" s="12">
        <f t="shared" si="161"/>
        <v>3.2178225062808666E-2</v>
      </c>
      <c r="J3425" s="12">
        <f>G3425*(D3425*Assumptions!$B$6+E3425*Assumptions!$B$7)</f>
        <v>2.2586605401667551E-3</v>
      </c>
    </row>
    <row r="3426" spans="1:10" x14ac:dyDescent="0.2">
      <c r="A3426" s="2">
        <v>3418</v>
      </c>
      <c r="B3426" s="14">
        <f>A3426*Assumptions!$B$12</f>
        <v>34.18</v>
      </c>
      <c r="C3426" s="15">
        <f>IF(A3426&lt;=Assumptions!$B$13,IF(OR(A3426=0,A3426=Assumptions!$B$13),0.5,1),0)*Assumptions!$B$12</f>
        <v>0</v>
      </c>
      <c r="D3426" s="12">
        <f>D3425*(1-Assumptions!$B$12*(Assumptions!$B$5+Assumptions!$B$6))</f>
        <v>0.35859780431408944</v>
      </c>
      <c r="E3426" s="12">
        <f>E3425+Assumptions!$B$12*(D3425*Assumptions!$B$5-E3425*Assumptions!$B$7)</f>
        <v>0.17762841692544007</v>
      </c>
      <c r="F3426" s="12">
        <f t="shared" si="159"/>
        <v>0.46377377876047055</v>
      </c>
      <c r="G3426" s="12">
        <f>EXP(-Assumptions!$B$8*B3426)</f>
        <v>0.18104674887278735</v>
      </c>
      <c r="H3426" s="12">
        <f t="shared" si="160"/>
        <v>6.4922966623985889E-2</v>
      </c>
      <c r="I3426" s="12">
        <f t="shared" si="161"/>
        <v>3.2159047391770917E-2</v>
      </c>
      <c r="J3426" s="12">
        <f>G3426*(D3426*Assumptions!$B$6+E3426*Assumptions!$B$7)</f>
        <v>2.2571820358284049E-3</v>
      </c>
    </row>
    <row r="3427" spans="1:10" x14ac:dyDescent="0.2">
      <c r="A3427" s="2">
        <v>3419</v>
      </c>
      <c r="B3427" s="14">
        <f>A3427*Assumptions!$B$12</f>
        <v>34.19</v>
      </c>
      <c r="C3427" s="15">
        <f>IF(A3427&lt;=Assumptions!$B$13,IF(OR(A3427=0,A3427=Assumptions!$B$13),0.5,1),0)*Assumptions!$B$12</f>
        <v>0</v>
      </c>
      <c r="D3427" s="12">
        <f>D3426*(1-Assumptions!$B$12*(Assumptions!$B$5+Assumptions!$B$6))</f>
        <v>0.3584902249727952</v>
      </c>
      <c r="E3427" s="12">
        <f>E3426+Assumptions!$B$12*(D3426*Assumptions!$B$5-E3426*Assumptions!$B$7)</f>
        <v>0.17761132227784016</v>
      </c>
      <c r="F3427" s="12">
        <f t="shared" si="159"/>
        <v>0.46389845274936459</v>
      </c>
      <c r="G3427" s="12">
        <f>EXP(-Assumptions!$B$8*B3427)</f>
        <v>0.18095624812542321</v>
      </c>
      <c r="H3427" s="12">
        <f t="shared" si="160"/>
        <v>6.4871046100715923E-2</v>
      </c>
      <c r="I3427" s="12">
        <f t="shared" si="161"/>
        <v>3.2139878503993351E-2</v>
      </c>
      <c r="J3427" s="12">
        <f>G3427*(D3427*Assumptions!$B$6+E3427*Assumptions!$B$7)</f>
        <v>2.2557043862068268E-3</v>
      </c>
    </row>
    <row r="3428" spans="1:10" x14ac:dyDescent="0.2">
      <c r="A3428" s="2">
        <v>3420</v>
      </c>
      <c r="B3428" s="14">
        <f>A3428*Assumptions!$B$12</f>
        <v>34.200000000000003</v>
      </c>
      <c r="C3428" s="15">
        <f>IF(A3428&lt;=Assumptions!$B$13,IF(OR(A3428=0,A3428=Assumptions!$B$13),0.5,1),0)*Assumptions!$B$12</f>
        <v>0</v>
      </c>
      <c r="D3428" s="12">
        <f>D3427*(1-Assumptions!$B$12*(Assumptions!$B$5+Assumptions!$B$6))</f>
        <v>0.35838267790530337</v>
      </c>
      <c r="E3428" s="12">
        <f>E3427+Assumptions!$B$12*(D3427*Assumptions!$B$5-E3427*Assumptions!$B$7)</f>
        <v>0.17759421466169578</v>
      </c>
      <c r="F3428" s="12">
        <f t="shared" si="159"/>
        <v>0.46402310743300079</v>
      </c>
      <c r="G3428" s="12">
        <f>EXP(-Assumptions!$B$8*B3428)</f>
        <v>0.18086579261712205</v>
      </c>
      <c r="H3428" s="12">
        <f t="shared" si="160"/>
        <v>6.4819167099589445E-2</v>
      </c>
      <c r="I3428" s="12">
        <f t="shared" si="161"/>
        <v>3.2120718399002927E-2</v>
      </c>
      <c r="J3428" s="12">
        <f>G3428*(D3428*Assumptions!$B$6+E3428*Assumptions!$B$7)</f>
        <v>2.2542275909460409E-3</v>
      </c>
    </row>
    <row r="3429" spans="1:10" x14ac:dyDescent="0.2">
      <c r="A3429" s="2">
        <v>3421</v>
      </c>
      <c r="B3429" s="14">
        <f>A3429*Assumptions!$B$12</f>
        <v>34.21</v>
      </c>
      <c r="C3429" s="15">
        <f>IF(A3429&lt;=Assumptions!$B$13,IF(OR(A3429=0,A3429=Assumptions!$B$13),0.5,1),0)*Assumptions!$B$12</f>
        <v>0</v>
      </c>
      <c r="D3429" s="12">
        <f>D3428*(1-Assumptions!$B$12*(Assumptions!$B$5+Assumptions!$B$6))</f>
        <v>0.3582751631019318</v>
      </c>
      <c r="E3429" s="12">
        <f>E3428+Assumptions!$B$12*(D3428*Assumptions!$B$5-E3428*Assumptions!$B$7)</f>
        <v>0.17757709408994599</v>
      </c>
      <c r="F3429" s="12">
        <f t="shared" si="159"/>
        <v>0.46414774280812215</v>
      </c>
      <c r="G3429" s="12">
        <f>EXP(-Assumptions!$B$8*B3429)</f>
        <v>0.18077538232527002</v>
      </c>
      <c r="H3429" s="12">
        <f t="shared" si="160"/>
        <v>6.4767329587400196E-2</v>
      </c>
      <c r="I3429" s="12">
        <f t="shared" si="161"/>
        <v>3.2101567076320434E-2</v>
      </c>
      <c r="J3429" s="12">
        <f>G3429*(D3429*Assumptions!$B$6+E3429*Assumptions!$B$7)</f>
        <v>2.2527516496900239E-3</v>
      </c>
    </row>
    <row r="3430" spans="1:10" x14ac:dyDescent="0.2">
      <c r="A3430" s="2">
        <v>3422</v>
      </c>
      <c r="B3430" s="14">
        <f>A3430*Assumptions!$B$12</f>
        <v>34.22</v>
      </c>
      <c r="C3430" s="15">
        <f>IF(A3430&lt;=Assumptions!$B$13,IF(OR(A3430=0,A3430=Assumptions!$B$13),0.5,1),0)*Assumptions!$B$12</f>
        <v>0</v>
      </c>
      <c r="D3430" s="12">
        <f>D3429*(1-Assumptions!$B$12*(Assumptions!$B$5+Assumptions!$B$6))</f>
        <v>0.35816768055300124</v>
      </c>
      <c r="E3430" s="12">
        <f>E3429+Assumptions!$B$12*(D3429*Assumptions!$B$5-E3429*Assumptions!$B$7)</f>
        <v>0.1775599605755214</v>
      </c>
      <c r="F3430" s="12">
        <f t="shared" si="159"/>
        <v>0.46427235887147744</v>
      </c>
      <c r="G3430" s="12">
        <f>EXP(-Assumptions!$B$8*B3430)</f>
        <v>0.18068501722726449</v>
      </c>
      <c r="H3430" s="12">
        <f t="shared" si="160"/>
        <v>6.47155335309684E-2</v>
      </c>
      <c r="I3430" s="12">
        <f t="shared" si="161"/>
        <v>3.2082424535460487E-2</v>
      </c>
      <c r="J3430" s="12">
        <f>G3430*(D3430*Assumptions!$B$6+E3430*Assumptions!$B$7)</f>
        <v>2.2512765620827085E-3</v>
      </c>
    </row>
    <row r="3431" spans="1:10" x14ac:dyDescent="0.2">
      <c r="A3431" s="2">
        <v>3423</v>
      </c>
      <c r="B3431" s="14">
        <f>A3431*Assumptions!$B$12</f>
        <v>34.230000000000004</v>
      </c>
      <c r="C3431" s="15">
        <f>IF(A3431&lt;=Assumptions!$B$13,IF(OR(A3431=0,A3431=Assumptions!$B$13),0.5,1),0)*Assumptions!$B$12</f>
        <v>0</v>
      </c>
      <c r="D3431" s="12">
        <f>D3430*(1-Assumptions!$B$12*(Assumptions!$B$5+Assumptions!$B$6))</f>
        <v>0.35806023024883538</v>
      </c>
      <c r="E3431" s="12">
        <f>E3430+Assumptions!$B$12*(D3430*Assumptions!$B$5-E3430*Assumptions!$B$7)</f>
        <v>0.17754281413134423</v>
      </c>
      <c r="F3431" s="12">
        <f t="shared" si="159"/>
        <v>0.46439695561982042</v>
      </c>
      <c r="G3431" s="12">
        <f>EXP(-Assumptions!$B$8*B3431)</f>
        <v>0.1805946973005142</v>
      </c>
      <c r="H3431" s="12">
        <f t="shared" si="160"/>
        <v>6.4663778897140839E-2</v>
      </c>
      <c r="I3431" s="12">
        <f t="shared" si="161"/>
        <v>3.2063290775931563E-2</v>
      </c>
      <c r="J3431" s="12">
        <f>G3431*(D3431*Assumptions!$B$6+E3431*Assumptions!$B$7)</f>
        <v>2.2498023277679868E-3</v>
      </c>
    </row>
    <row r="3432" spans="1:10" x14ac:dyDescent="0.2">
      <c r="A3432" s="2">
        <v>3424</v>
      </c>
      <c r="B3432" s="14">
        <f>A3432*Assumptions!$B$12</f>
        <v>34.24</v>
      </c>
      <c r="C3432" s="15">
        <f>IF(A3432&lt;=Assumptions!$B$13,IF(OR(A3432=0,A3432=Assumptions!$B$13),0.5,1),0)*Assumptions!$B$12</f>
        <v>0</v>
      </c>
      <c r="D3432" s="12">
        <f>D3431*(1-Assumptions!$B$12*(Assumptions!$B$5+Assumptions!$B$6))</f>
        <v>0.35795281217976072</v>
      </c>
      <c r="E3432" s="12">
        <f>E3431+Assumptions!$B$12*(D3431*Assumptions!$B$5-E3431*Assumptions!$B$7)</f>
        <v>0.17752565477032833</v>
      </c>
      <c r="F3432" s="12">
        <f t="shared" si="159"/>
        <v>0.46452153304991095</v>
      </c>
      <c r="G3432" s="12">
        <f>EXP(-Assumptions!$B$8*B3432)</f>
        <v>0.18050442252243917</v>
      </c>
      <c r="H3432" s="12">
        <f t="shared" si="160"/>
        <v>6.4612065652790845E-2</v>
      </c>
      <c r="I3432" s="12">
        <f t="shared" si="161"/>
        <v>3.2044165797236013E-2</v>
      </c>
      <c r="J3432" s="12">
        <f>G3432*(D3432*Assumptions!$B$6+E3432*Assumptions!$B$7)</f>
        <v>2.2483289463897092E-3</v>
      </c>
    </row>
    <row r="3433" spans="1:10" x14ac:dyDescent="0.2">
      <c r="A3433" s="2">
        <v>3425</v>
      </c>
      <c r="B3433" s="14">
        <f>A3433*Assumptions!$B$12</f>
        <v>34.25</v>
      </c>
      <c r="C3433" s="15">
        <f>IF(A3433&lt;=Assumptions!$B$13,IF(OR(A3433=0,A3433=Assumptions!$B$13),0.5,1),0)*Assumptions!$B$12</f>
        <v>0</v>
      </c>
      <c r="D3433" s="12">
        <f>D3432*(1-Assumptions!$B$12*(Assumptions!$B$5+Assumptions!$B$6))</f>
        <v>0.35784542633610678</v>
      </c>
      <c r="E3433" s="12">
        <f>E3432+Assumptions!$B$12*(D3432*Assumptions!$B$5-E3432*Assumptions!$B$7)</f>
        <v>0.17750848250537912</v>
      </c>
      <c r="F3433" s="12">
        <f t="shared" si="159"/>
        <v>0.46464609115851407</v>
      </c>
      <c r="G3433" s="12">
        <f>EXP(-Assumptions!$B$8*B3433)</f>
        <v>0.18041419287047075</v>
      </c>
      <c r="H3433" s="12">
        <f t="shared" si="160"/>
        <v>6.4560393764818202E-2</v>
      </c>
      <c r="I3433" s="12">
        <f t="shared" si="161"/>
        <v>3.2025049598870051E-2</v>
      </c>
      <c r="J3433" s="12">
        <f>G3433*(D3433*Assumptions!$B$6+E3433*Assumptions!$B$7)</f>
        <v>2.2468564175916845E-3</v>
      </c>
    </row>
    <row r="3434" spans="1:10" x14ac:dyDescent="0.2">
      <c r="A3434" s="2">
        <v>3426</v>
      </c>
      <c r="B3434" s="14">
        <f>A3434*Assumptions!$B$12</f>
        <v>34.26</v>
      </c>
      <c r="C3434" s="15">
        <f>IF(A3434&lt;=Assumptions!$B$13,IF(OR(A3434=0,A3434=Assumptions!$B$13),0.5,1),0)*Assumptions!$B$12</f>
        <v>0</v>
      </c>
      <c r="D3434" s="12">
        <f>D3433*(1-Assumptions!$B$12*(Assumptions!$B$5+Assumptions!$B$6))</f>
        <v>0.35773807270820596</v>
      </c>
      <c r="E3434" s="12">
        <f>E3433+Assumptions!$B$12*(D3433*Assumptions!$B$5-E3433*Assumptions!$B$7)</f>
        <v>0.17749129734939365</v>
      </c>
      <c r="F3434" s="12">
        <f t="shared" si="159"/>
        <v>0.46477062994240037</v>
      </c>
      <c r="G3434" s="12">
        <f>EXP(-Assumptions!$B$8*B3434)</f>
        <v>0.18032400832205148</v>
      </c>
      <c r="H3434" s="12">
        <f t="shared" si="160"/>
        <v>6.4508763200149186E-2</v>
      </c>
      <c r="I3434" s="12">
        <f t="shared" si="161"/>
        <v>3.2005942180323772E-2</v>
      </c>
      <c r="J3434" s="12">
        <f>G3434*(D3434*Assumptions!$B$6+E3434*Assumptions!$B$7)</f>
        <v>2.2453847410176804E-3</v>
      </c>
    </row>
    <row r="3435" spans="1:10" x14ac:dyDescent="0.2">
      <c r="A3435" s="2">
        <v>3427</v>
      </c>
      <c r="B3435" s="14">
        <f>A3435*Assumptions!$B$12</f>
        <v>34.270000000000003</v>
      </c>
      <c r="C3435" s="15">
        <f>IF(A3435&lt;=Assumptions!$B$13,IF(OR(A3435=0,A3435=Assumptions!$B$13),0.5,1),0)*Assumptions!$B$12</f>
        <v>0</v>
      </c>
      <c r="D3435" s="12">
        <f>D3434*(1-Assumptions!$B$12*(Assumptions!$B$5+Assumptions!$B$6))</f>
        <v>0.35763075128639349</v>
      </c>
      <c r="E3435" s="12">
        <f>E3434+Assumptions!$B$12*(D3434*Assumptions!$B$5-E3434*Assumptions!$B$7)</f>
        <v>0.17747409931526059</v>
      </c>
      <c r="F3435" s="12">
        <f t="shared" si="159"/>
        <v>0.46489514939834597</v>
      </c>
      <c r="G3435" s="12">
        <f>EXP(-Assumptions!$B$8*B3435)</f>
        <v>0.18023386885463516</v>
      </c>
      <c r="H3435" s="12">
        <f t="shared" si="160"/>
        <v>6.4457173925736494E-2</v>
      </c>
      <c r="I3435" s="12">
        <f t="shared" si="161"/>
        <v>3.1986843541081174E-2</v>
      </c>
      <c r="J3435" s="12">
        <f>G3435*(D3435*Assumptions!$B$6+E3435*Assumptions!$B$7)</f>
        <v>2.2439139163114236E-3</v>
      </c>
    </row>
    <row r="3436" spans="1:10" x14ac:dyDescent="0.2">
      <c r="A3436" s="2">
        <v>3428</v>
      </c>
      <c r="B3436" s="14">
        <f>A3436*Assumptions!$B$12</f>
        <v>34.28</v>
      </c>
      <c r="C3436" s="15">
        <f>IF(A3436&lt;=Assumptions!$B$13,IF(OR(A3436=0,A3436=Assumptions!$B$13),0.5,1),0)*Assumptions!$B$12</f>
        <v>0</v>
      </c>
      <c r="D3436" s="12">
        <f>D3435*(1-Assumptions!$B$12*(Assumptions!$B$5+Assumptions!$B$6))</f>
        <v>0.3575234620610076</v>
      </c>
      <c r="E3436" s="12">
        <f>E3435+Assumptions!$B$12*(D3435*Assumptions!$B$5-E3435*Assumptions!$B$7)</f>
        <v>0.17745688841586024</v>
      </c>
      <c r="F3436" s="12">
        <f t="shared" si="159"/>
        <v>0.46501964952313213</v>
      </c>
      <c r="G3436" s="12">
        <f>EXP(-Assumptions!$B$8*B3436)</f>
        <v>0.18014377444568708</v>
      </c>
      <c r="H3436" s="12">
        <f t="shared" si="160"/>
        <v>6.4405625908559319E-2</v>
      </c>
      <c r="I3436" s="12">
        <f t="shared" si="161"/>
        <v>3.1967753680620187E-2</v>
      </c>
      <c r="J3436" s="12">
        <f>G3436*(D3436*Assumptions!$B$6+E3436*Assumptions!$B$7)</f>
        <v>2.2424439431166024E-3</v>
      </c>
    </row>
    <row r="3437" spans="1:10" x14ac:dyDescent="0.2">
      <c r="A3437" s="2">
        <v>3429</v>
      </c>
      <c r="B3437" s="14">
        <f>A3437*Assumptions!$B$12</f>
        <v>34.29</v>
      </c>
      <c r="C3437" s="15">
        <f>IF(A3437&lt;=Assumptions!$B$13,IF(OR(A3437=0,A3437=Assumptions!$B$13),0.5,1),0)*Assumptions!$B$12</f>
        <v>0</v>
      </c>
      <c r="D3437" s="12">
        <f>D3436*(1-Assumptions!$B$12*(Assumptions!$B$5+Assumptions!$B$6))</f>
        <v>0.3574162050223893</v>
      </c>
      <c r="E3437" s="12">
        <f>E3436+Assumptions!$B$12*(D3436*Assumptions!$B$5-E3436*Assumptions!$B$7)</f>
        <v>0.17743966466406452</v>
      </c>
      <c r="F3437" s="12">
        <f t="shared" si="159"/>
        <v>0.46514413031354623</v>
      </c>
      <c r="G3437" s="12">
        <f>EXP(-Assumptions!$B$8*B3437)</f>
        <v>0.18005372507268352</v>
      </c>
      <c r="H3437" s="12">
        <f t="shared" si="160"/>
        <v>6.4354119115623165E-2</v>
      </c>
      <c r="I3437" s="12">
        <f t="shared" si="161"/>
        <v>3.1948672598412629E-2</v>
      </c>
      <c r="J3437" s="12">
        <f>G3437*(D3437*Assumptions!$B$6+E3437*Assumptions!$B$7)</f>
        <v>2.2409748210768634E-3</v>
      </c>
    </row>
    <row r="3438" spans="1:10" x14ac:dyDescent="0.2">
      <c r="A3438" s="2">
        <v>3430</v>
      </c>
      <c r="B3438" s="14">
        <f>A3438*Assumptions!$B$12</f>
        <v>34.300000000000004</v>
      </c>
      <c r="C3438" s="15">
        <f>IF(A3438&lt;=Assumptions!$B$13,IF(OR(A3438=0,A3438=Assumptions!$B$13),0.5,1),0)*Assumptions!$B$12</f>
        <v>0</v>
      </c>
      <c r="D3438" s="12">
        <f>D3437*(1-Assumptions!$B$12*(Assumptions!$B$5+Assumptions!$B$6))</f>
        <v>0.35730898016088258</v>
      </c>
      <c r="E3438" s="12">
        <f>E3437+Assumptions!$B$12*(D3437*Assumptions!$B$5-E3437*Assumptions!$B$7)</f>
        <v>0.17742242807273698</v>
      </c>
      <c r="F3438" s="12">
        <f t="shared" si="159"/>
        <v>0.46526859176638036</v>
      </c>
      <c r="G3438" s="12">
        <f>EXP(-Assumptions!$B$8*B3438)</f>
        <v>0.17996372071311212</v>
      </c>
      <c r="H3438" s="12">
        <f t="shared" si="160"/>
        <v>6.4302653513959987E-2</v>
      </c>
      <c r="I3438" s="12">
        <f t="shared" si="161"/>
        <v>3.1929600293924262E-2</v>
      </c>
      <c r="J3438" s="12">
        <f>G3438*(D3438*Assumptions!$B$6+E3438*Assumptions!$B$7)</f>
        <v>2.2395065498358128E-3</v>
      </c>
    </row>
    <row r="3439" spans="1:10" x14ac:dyDescent="0.2">
      <c r="A3439" s="2">
        <v>3431</v>
      </c>
      <c r="B3439" s="14">
        <f>A3439*Assumptions!$B$12</f>
        <v>34.31</v>
      </c>
      <c r="C3439" s="15">
        <f>IF(A3439&lt;=Assumptions!$B$13,IF(OR(A3439=0,A3439=Assumptions!$B$13),0.5,1),0)*Assumptions!$B$12</f>
        <v>0</v>
      </c>
      <c r="D3439" s="12">
        <f>D3438*(1-Assumptions!$B$12*(Assumptions!$B$5+Assumptions!$B$6))</f>
        <v>0.35720178746683434</v>
      </c>
      <c r="E3439" s="12">
        <f>E3438+Assumptions!$B$12*(D3438*Assumptions!$B$5-E3438*Assumptions!$B$7)</f>
        <v>0.17740517865473279</v>
      </c>
      <c r="F3439" s="12">
        <f t="shared" si="159"/>
        <v>0.46539303387843289</v>
      </c>
      <c r="G3439" s="12">
        <f>EXP(-Assumptions!$B$8*B3439)</f>
        <v>0.17987376134447189</v>
      </c>
      <c r="H3439" s="12">
        <f t="shared" si="160"/>
        <v>6.4251229070628135E-2</v>
      </c>
      <c r="I3439" s="12">
        <f t="shared" si="161"/>
        <v>3.1910536766614803E-2</v>
      </c>
      <c r="J3439" s="12">
        <f>G3439*(D3439*Assumptions!$B$6+E3439*Assumptions!$B$7)</f>
        <v>2.2380391290370218E-3</v>
      </c>
    </row>
    <row r="3440" spans="1:10" x14ac:dyDescent="0.2">
      <c r="A3440" s="2">
        <v>3432</v>
      </c>
      <c r="B3440" s="14">
        <f>A3440*Assumptions!$B$12</f>
        <v>34.32</v>
      </c>
      <c r="C3440" s="15">
        <f>IF(A3440&lt;=Assumptions!$B$13,IF(OR(A3440=0,A3440=Assumptions!$B$13),0.5,1),0)*Assumptions!$B$12</f>
        <v>0</v>
      </c>
      <c r="D3440" s="12">
        <f>D3439*(1-Assumptions!$B$12*(Assumptions!$B$5+Assumptions!$B$6))</f>
        <v>0.35709462693059429</v>
      </c>
      <c r="E3440" s="12">
        <f>E3439+Assumptions!$B$12*(D3439*Assumptions!$B$5-E3439*Assumptions!$B$7)</f>
        <v>0.17738791642289881</v>
      </c>
      <c r="F3440" s="12">
        <f t="shared" si="159"/>
        <v>0.46551745664650684</v>
      </c>
      <c r="G3440" s="12">
        <f>EXP(-Assumptions!$B$8*B3440)</f>
        <v>0.17978384694427293</v>
      </c>
      <c r="H3440" s="12">
        <f t="shared" si="160"/>
        <v>6.4199845752712204E-2</v>
      </c>
      <c r="I3440" s="12">
        <f t="shared" si="161"/>
        <v>3.1891482015937916E-2</v>
      </c>
      <c r="J3440" s="12">
        <f>G3440*(D3440*Assumptions!$B$6+E3440*Assumptions!$B$7)</f>
        <v>2.2365725583240181E-3</v>
      </c>
    </row>
    <row r="3441" spans="1:10" x14ac:dyDescent="0.2">
      <c r="A3441" s="2">
        <v>3433</v>
      </c>
      <c r="B3441" s="14">
        <f>A3441*Assumptions!$B$12</f>
        <v>34.33</v>
      </c>
      <c r="C3441" s="15">
        <f>IF(A3441&lt;=Assumptions!$B$13,IF(OR(A3441=0,A3441=Assumptions!$B$13),0.5,1),0)*Assumptions!$B$12</f>
        <v>0</v>
      </c>
      <c r="D3441" s="12">
        <f>D3440*(1-Assumptions!$B$12*(Assumptions!$B$5+Assumptions!$B$6))</f>
        <v>0.3569874985425151</v>
      </c>
      <c r="E3441" s="12">
        <f>E3440+Assumptions!$B$12*(D3440*Assumptions!$B$5-E3440*Assumptions!$B$7)</f>
        <v>0.17737064139007347</v>
      </c>
      <c r="F3441" s="12">
        <f t="shared" si="159"/>
        <v>0.46564186006741143</v>
      </c>
      <c r="G3441" s="12">
        <f>EXP(-Assumptions!$B$8*B3441)</f>
        <v>0.17969397749003668</v>
      </c>
      <c r="H3441" s="12">
        <f t="shared" si="160"/>
        <v>6.4148503527323208E-2</v>
      </c>
      <c r="I3441" s="12">
        <f t="shared" si="161"/>
        <v>3.1872436041341233E-2</v>
      </c>
      <c r="J3441" s="12">
        <f>G3441*(D3441*Assumptions!$B$6+E3441*Assumptions!$B$7)</f>
        <v>2.2351068373402936E-3</v>
      </c>
    </row>
    <row r="3442" spans="1:10" x14ac:dyDescent="0.2">
      <c r="A3442" s="2">
        <v>3434</v>
      </c>
      <c r="B3442" s="14">
        <f>A3442*Assumptions!$B$12</f>
        <v>34.340000000000003</v>
      </c>
      <c r="C3442" s="15">
        <f>IF(A3442&lt;=Assumptions!$B$13,IF(OR(A3442=0,A3442=Assumptions!$B$13),0.5,1),0)*Assumptions!$B$12</f>
        <v>0</v>
      </c>
      <c r="D3442" s="12">
        <f>D3441*(1-Assumptions!$B$12*(Assumptions!$B$5+Assumptions!$B$6))</f>
        <v>0.35688040229295237</v>
      </c>
      <c r="E3442" s="12">
        <f>E3441+Assumptions!$B$12*(D3441*Assumptions!$B$5-E3441*Assumptions!$B$7)</f>
        <v>0.17735335356908694</v>
      </c>
      <c r="F3442" s="12">
        <f t="shared" si="159"/>
        <v>0.46576624413796069</v>
      </c>
      <c r="G3442" s="12">
        <f>EXP(-Assumptions!$B$8*B3442)</f>
        <v>0.17960415295929563</v>
      </c>
      <c r="H3442" s="12">
        <f t="shared" si="160"/>
        <v>6.4097202361598382E-2</v>
      </c>
      <c r="I3442" s="12">
        <f t="shared" si="161"/>
        <v>3.1853398842266331E-2</v>
      </c>
      <c r="J3442" s="12">
        <f>G3442*(D3442*Assumptions!$B$6+E3442*Assumptions!$B$7)</f>
        <v>2.2336419657293005E-3</v>
      </c>
    </row>
    <row r="3443" spans="1:10" x14ac:dyDescent="0.2">
      <c r="A3443" s="2">
        <v>3435</v>
      </c>
      <c r="B3443" s="14">
        <f>A3443*Assumptions!$B$12</f>
        <v>34.35</v>
      </c>
      <c r="C3443" s="15">
        <f>IF(A3443&lt;=Assumptions!$B$13,IF(OR(A3443=0,A3443=Assumptions!$B$13),0.5,1),0)*Assumptions!$B$12</f>
        <v>0</v>
      </c>
      <c r="D3443" s="12">
        <f>D3442*(1-Assumptions!$B$12*(Assumptions!$B$5+Assumptions!$B$6))</f>
        <v>0.35677333817226448</v>
      </c>
      <c r="E3443" s="12">
        <f>E3442+Assumptions!$B$12*(D3442*Assumptions!$B$5-E3442*Assumptions!$B$7)</f>
        <v>0.17733605297276098</v>
      </c>
      <c r="F3443" s="12">
        <f t="shared" si="159"/>
        <v>0.46589060885497457</v>
      </c>
      <c r="G3443" s="12">
        <f>EXP(-Assumptions!$B$8*B3443)</f>
        <v>0.17951437332959383</v>
      </c>
      <c r="H3443" s="12">
        <f t="shared" si="160"/>
        <v>6.404594222270131E-2</v>
      </c>
      <c r="I3443" s="12">
        <f t="shared" si="161"/>
        <v>3.1834370418148843E-2</v>
      </c>
      <c r="J3443" s="12">
        <f>G3443*(D3443*Assumptions!$B$6+E3443*Assumptions!$B$7)</f>
        <v>2.2321779431344552E-3</v>
      </c>
    </row>
    <row r="3444" spans="1:10" x14ac:dyDescent="0.2">
      <c r="A3444" s="2">
        <v>3436</v>
      </c>
      <c r="B3444" s="14">
        <f>A3444*Assumptions!$B$12</f>
        <v>34.36</v>
      </c>
      <c r="C3444" s="15">
        <f>IF(A3444&lt;=Assumptions!$B$13,IF(OR(A3444=0,A3444=Assumptions!$B$13),0.5,1),0)*Assumptions!$B$12</f>
        <v>0</v>
      </c>
      <c r="D3444" s="12">
        <f>D3443*(1-Assumptions!$B$12*(Assumptions!$B$5+Assumptions!$B$6))</f>
        <v>0.3566663061708128</v>
      </c>
      <c r="E3444" s="12">
        <f>E3443+Assumptions!$B$12*(D3443*Assumptions!$B$5-E3443*Assumptions!$B$7)</f>
        <v>0.17731873961390904</v>
      </c>
      <c r="F3444" s="12">
        <f t="shared" si="159"/>
        <v>0.46601495421527811</v>
      </c>
      <c r="G3444" s="12">
        <f>EXP(-Assumptions!$B$8*B3444)</f>
        <v>0.17942463857848634</v>
      </c>
      <c r="H3444" s="12">
        <f t="shared" si="160"/>
        <v>6.3994723077821836E-2</v>
      </c>
      <c r="I3444" s="12">
        <f t="shared" si="161"/>
        <v>3.1815350768418356E-2</v>
      </c>
      <c r="J3444" s="12">
        <f>G3444*(D3444*Assumptions!$B$6+E3444*Assumptions!$B$7)</f>
        <v>2.2307147691991362E-3</v>
      </c>
    </row>
    <row r="3445" spans="1:10" x14ac:dyDescent="0.2">
      <c r="A3445" s="2">
        <v>3437</v>
      </c>
      <c r="B3445" s="14">
        <f>A3445*Assumptions!$B$12</f>
        <v>34.369999999999997</v>
      </c>
      <c r="C3445" s="15">
        <f>IF(A3445&lt;=Assumptions!$B$13,IF(OR(A3445=0,A3445=Assumptions!$B$13),0.5,1),0)*Assumptions!$B$12</f>
        <v>0</v>
      </c>
      <c r="D3445" s="12">
        <f>D3444*(1-Assumptions!$B$12*(Assumptions!$B$5+Assumptions!$B$6))</f>
        <v>0.35655930627896154</v>
      </c>
      <c r="E3445" s="12">
        <f>E3444+Assumptions!$B$12*(D3444*Assumptions!$B$5-E3444*Assumptions!$B$7)</f>
        <v>0.17730141350533624</v>
      </c>
      <c r="F3445" s="12">
        <f t="shared" si="159"/>
        <v>0.46613928021570217</v>
      </c>
      <c r="G3445" s="12">
        <f>EXP(-Assumptions!$B$8*B3445)</f>
        <v>0.17933494868353939</v>
      </c>
      <c r="H3445" s="12">
        <f t="shared" si="160"/>
        <v>6.3943544894175974E-2</v>
      </c>
      <c r="I3445" s="12">
        <f t="shared" si="161"/>
        <v>3.1796339892498471E-2</v>
      </c>
      <c r="J3445" s="12">
        <f>G3445*(D3445*Assumptions!$B$6+E3445*Assumptions!$B$7)</f>
        <v>2.2292524435666835E-3</v>
      </c>
    </row>
    <row r="3446" spans="1:10" x14ac:dyDescent="0.2">
      <c r="A3446" s="2">
        <v>3438</v>
      </c>
      <c r="B3446" s="14">
        <f>A3446*Assumptions!$B$12</f>
        <v>34.380000000000003</v>
      </c>
      <c r="C3446" s="15">
        <f>IF(A3446&lt;=Assumptions!$B$13,IF(OR(A3446=0,A3446=Assumptions!$B$13),0.5,1),0)*Assumptions!$B$12</f>
        <v>0</v>
      </c>
      <c r="D3446" s="12">
        <f>D3445*(1-Assumptions!$B$12*(Assumptions!$B$5+Assumptions!$B$6))</f>
        <v>0.35645233848707786</v>
      </c>
      <c r="E3446" s="12">
        <f>E3445+Assumptions!$B$12*(D3445*Assumptions!$B$5-E3445*Assumptions!$B$7)</f>
        <v>0.17728407465983936</v>
      </c>
      <c r="F3446" s="12">
        <f t="shared" si="159"/>
        <v>0.46626358685308272</v>
      </c>
      <c r="G3446" s="12">
        <f>EXP(-Assumptions!$B$8*B3446)</f>
        <v>0.17924530362233043</v>
      </c>
      <c r="H3446" s="12">
        <f t="shared" si="160"/>
        <v>6.3892407639005971E-2</v>
      </c>
      <c r="I3446" s="12">
        <f t="shared" si="161"/>
        <v>3.1777337789806806E-2</v>
      </c>
      <c r="J3446" s="12">
        <f>G3446*(D3446*Assumptions!$B$6+E3446*Assumptions!$B$7)</f>
        <v>2.2277909658803999E-3</v>
      </c>
    </row>
    <row r="3447" spans="1:10" x14ac:dyDescent="0.2">
      <c r="A3447" s="2">
        <v>3439</v>
      </c>
      <c r="B3447" s="14">
        <f>A3447*Assumptions!$B$12</f>
        <v>34.39</v>
      </c>
      <c r="C3447" s="15">
        <f>IF(A3447&lt;=Assumptions!$B$13,IF(OR(A3447=0,A3447=Assumptions!$B$13),0.5,1),0)*Assumptions!$B$12</f>
        <v>0</v>
      </c>
      <c r="D3447" s="12">
        <f>D3446*(1-Assumptions!$B$12*(Assumptions!$B$5+Assumptions!$B$6))</f>
        <v>0.35634540278553173</v>
      </c>
      <c r="E3447" s="12">
        <f>E3446+Assumptions!$B$12*(D3446*Assumptions!$B$5-E3446*Assumptions!$B$7)</f>
        <v>0.17726672309020686</v>
      </c>
      <c r="F3447" s="12">
        <f t="shared" si="159"/>
        <v>0.46638787412426141</v>
      </c>
      <c r="G3447" s="12">
        <f>EXP(-Assumptions!$B$8*B3447)</f>
        <v>0.17915570337244846</v>
      </c>
      <c r="H3447" s="12">
        <f t="shared" si="160"/>
        <v>6.3841311279580398E-2</v>
      </c>
      <c r="I3447" s="12">
        <f t="shared" si="161"/>
        <v>3.1758344459755061E-2</v>
      </c>
      <c r="J3447" s="12">
        <f>G3447*(D3447*Assumptions!$B$6+E3447*Assumptions!$B$7)</f>
        <v>2.2263303357835571E-3</v>
      </c>
    </row>
    <row r="3448" spans="1:10" x14ac:dyDescent="0.2">
      <c r="A3448" s="2">
        <v>3440</v>
      </c>
      <c r="B3448" s="14">
        <f>A3448*Assumptions!$B$12</f>
        <v>34.4</v>
      </c>
      <c r="C3448" s="15">
        <f>IF(A3448&lt;=Assumptions!$B$13,IF(OR(A3448=0,A3448=Assumptions!$B$13),0.5,1),0)*Assumptions!$B$12</f>
        <v>0</v>
      </c>
      <c r="D3448" s="12">
        <f>D3447*(1-Assumptions!$B$12*(Assumptions!$B$5+Assumptions!$B$6))</f>
        <v>0.35623849916469608</v>
      </c>
      <c r="E3448" s="12">
        <f>E3447+Assumptions!$B$12*(D3447*Assumptions!$B$5-E3447*Assumptions!$B$7)</f>
        <v>0.17724935880921885</v>
      </c>
      <c r="F3448" s="12">
        <f t="shared" si="159"/>
        <v>0.46651214202608504</v>
      </c>
      <c r="G3448" s="12">
        <f>EXP(-Assumptions!$B$8*B3448)</f>
        <v>0.17906614791149322</v>
      </c>
      <c r="H3448" s="12">
        <f t="shared" si="160"/>
        <v>6.3790255783193819E-2</v>
      </c>
      <c r="I3448" s="12">
        <f t="shared" si="161"/>
        <v>3.173935990174892E-2</v>
      </c>
      <c r="J3448" s="12">
        <f>G3448*(D3448*Assumptions!$B$6+E3448*Assumptions!$B$7)</f>
        <v>2.2248705529193842E-3</v>
      </c>
    </row>
    <row r="3449" spans="1:10" x14ac:dyDescent="0.2">
      <c r="A3449" s="2">
        <v>3441</v>
      </c>
      <c r="B3449" s="14">
        <f>A3449*Assumptions!$B$12</f>
        <v>34.410000000000004</v>
      </c>
      <c r="C3449" s="15">
        <f>IF(A3449&lt;=Assumptions!$B$13,IF(OR(A3449=0,A3449=Assumptions!$B$13),0.5,1),0)*Assumptions!$B$12</f>
        <v>0</v>
      </c>
      <c r="D3449" s="12">
        <f>D3448*(1-Assumptions!$B$12*(Assumptions!$B$5+Assumptions!$B$6))</f>
        <v>0.35613162761494666</v>
      </c>
      <c r="E3449" s="12">
        <f>E3448+Assumptions!$B$12*(D3448*Assumptions!$B$5-E3448*Assumptions!$B$7)</f>
        <v>0.17723198182964719</v>
      </c>
      <c r="F3449" s="12">
        <f t="shared" si="159"/>
        <v>0.46663639055540618</v>
      </c>
      <c r="G3449" s="12">
        <f>EXP(-Assumptions!$B$8*B3449)</f>
        <v>0.17897663721707582</v>
      </c>
      <c r="H3449" s="12">
        <f t="shared" si="160"/>
        <v>6.3739241117167056E-2</v>
      </c>
      <c r="I3449" s="12">
        <f t="shared" si="161"/>
        <v>3.1720384115188141E-2</v>
      </c>
      <c r="J3449" s="12">
        <f>G3449*(D3449*Assumptions!$B$6+E3449*Assumptions!$B$7)</f>
        <v>2.2234116169310772E-3</v>
      </c>
    </row>
    <row r="3450" spans="1:10" x14ac:dyDescent="0.2">
      <c r="A3450" s="2">
        <v>3442</v>
      </c>
      <c r="B3450" s="14">
        <f>A3450*Assumptions!$B$12</f>
        <v>34.42</v>
      </c>
      <c r="C3450" s="15">
        <f>IF(A3450&lt;=Assumptions!$B$13,IF(OR(A3450=0,A3450=Assumptions!$B$13),0.5,1),0)*Assumptions!$B$12</f>
        <v>0</v>
      </c>
      <c r="D3450" s="12">
        <f>D3449*(1-Assumptions!$B$12*(Assumptions!$B$5+Assumptions!$B$6))</f>
        <v>0.35602478812666216</v>
      </c>
      <c r="E3450" s="12">
        <f>E3449+Assumptions!$B$12*(D3449*Assumptions!$B$5-E3449*Assumptions!$B$7)</f>
        <v>0.17721459216425536</v>
      </c>
      <c r="F3450" s="12">
        <f t="shared" si="159"/>
        <v>0.46676061970908245</v>
      </c>
      <c r="G3450" s="12">
        <f>EXP(-Assumptions!$B$8*B3450)</f>
        <v>0.17888717126681877</v>
      </c>
      <c r="H3450" s="12">
        <f t="shared" si="160"/>
        <v>6.3688267248847075E-2</v>
      </c>
      <c r="I3450" s="12">
        <f t="shared" si="161"/>
        <v>3.170141709946659E-2</v>
      </c>
      <c r="J3450" s="12">
        <f>G3450*(D3450*Assumptions!$B$6+E3450*Assumptions!$B$7)</f>
        <v>2.2219535274618E-3</v>
      </c>
    </row>
    <row r="3451" spans="1:10" x14ac:dyDescent="0.2">
      <c r="A3451" s="2">
        <v>3443</v>
      </c>
      <c r="B3451" s="14">
        <f>A3451*Assumptions!$B$12</f>
        <v>34.43</v>
      </c>
      <c r="C3451" s="15">
        <f>IF(A3451&lt;=Assumptions!$B$13,IF(OR(A3451=0,A3451=Assumptions!$B$13),0.5,1),0)*Assumptions!$B$12</f>
        <v>0</v>
      </c>
      <c r="D3451" s="12">
        <f>D3450*(1-Assumptions!$B$12*(Assumptions!$B$5+Assumptions!$B$6))</f>
        <v>0.35591798069022418</v>
      </c>
      <c r="E3451" s="12">
        <f>E3450+Assumptions!$B$12*(D3450*Assumptions!$B$5-E3450*Assumptions!$B$7)</f>
        <v>0.17719718982579857</v>
      </c>
      <c r="F3451" s="12">
        <f t="shared" si="159"/>
        <v>0.46688482948397725</v>
      </c>
      <c r="G3451" s="12">
        <f>EXP(-Assumptions!$B$8*B3451)</f>
        <v>0.17879775003835544</v>
      </c>
      <c r="H3451" s="12">
        <f t="shared" si="160"/>
        <v>6.3637334145606919E-2</v>
      </c>
      <c r="I3451" s="12">
        <f t="shared" si="161"/>
        <v>3.1682458853972154E-2</v>
      </c>
      <c r="J3451" s="12">
        <f>G3451*(D3451*Assumptions!$B$6+E3451*Assumptions!$B$7)</f>
        <v>2.220496284154677E-3</v>
      </c>
    </row>
    <row r="3452" spans="1:10" x14ac:dyDescent="0.2">
      <c r="A3452" s="2">
        <v>3444</v>
      </c>
      <c r="B3452" s="14">
        <f>A3452*Assumptions!$B$12</f>
        <v>34.44</v>
      </c>
      <c r="C3452" s="15">
        <f>IF(A3452&lt;=Assumptions!$B$13,IF(OR(A3452=0,A3452=Assumptions!$B$13),0.5,1),0)*Assumptions!$B$12</f>
        <v>0</v>
      </c>
      <c r="D3452" s="12">
        <f>D3451*(1-Assumptions!$B$12*(Assumptions!$B$5+Assumptions!$B$6))</f>
        <v>0.35581120529601712</v>
      </c>
      <c r="E3452" s="12">
        <f>E3451+Assumptions!$B$12*(D3451*Assumptions!$B$5-E3451*Assumptions!$B$7)</f>
        <v>0.17717977482702371</v>
      </c>
      <c r="F3452" s="12">
        <f t="shared" si="159"/>
        <v>0.46700901987695909</v>
      </c>
      <c r="G3452" s="12">
        <f>EXP(-Assumptions!$B$8*B3452)</f>
        <v>0.17870837350933053</v>
      </c>
      <c r="H3452" s="12">
        <f t="shared" si="160"/>
        <v>6.3586441774845709E-2</v>
      </c>
      <c r="I3452" s="12">
        <f t="shared" si="161"/>
        <v>3.1663509378086832E-2</v>
      </c>
      <c r="J3452" s="12">
        <f>G3452*(D3452*Assumptions!$B$6+E3452*Assumptions!$B$7)</f>
        <v>2.2190398866527988E-3</v>
      </c>
    </row>
    <row r="3453" spans="1:10" x14ac:dyDescent="0.2">
      <c r="A3453" s="2">
        <v>3445</v>
      </c>
      <c r="B3453" s="14">
        <f>A3453*Assumptions!$B$12</f>
        <v>34.450000000000003</v>
      </c>
      <c r="C3453" s="15">
        <f>IF(A3453&lt;=Assumptions!$B$13,IF(OR(A3453=0,A3453=Assumptions!$B$13),0.5,1),0)*Assumptions!$B$12</f>
        <v>0</v>
      </c>
      <c r="D3453" s="12">
        <f>D3452*(1-Assumptions!$B$12*(Assumptions!$B$5+Assumptions!$B$6))</f>
        <v>0.35570446193442834</v>
      </c>
      <c r="E3453" s="12">
        <f>E3452+Assumptions!$B$12*(D3452*Assumptions!$B$5-E3452*Assumptions!$B$7)</f>
        <v>0.17716234718066939</v>
      </c>
      <c r="F3453" s="12">
        <f t="shared" si="159"/>
        <v>0.46713319088490235</v>
      </c>
      <c r="G3453" s="12">
        <f>EXP(-Assumptions!$B$8*B3453)</f>
        <v>0.17861904165739989</v>
      </c>
      <c r="H3453" s="12">
        <f t="shared" si="160"/>
        <v>6.3535590103988668E-2</v>
      </c>
      <c r="I3453" s="12">
        <f t="shared" si="161"/>
        <v>3.1644568671186729E-2</v>
      </c>
      <c r="J3453" s="12">
        <f>G3453*(D3453*Assumptions!$B$6+E3453*Assumptions!$B$7)</f>
        <v>2.2175843345992232E-3</v>
      </c>
    </row>
    <row r="3454" spans="1:10" x14ac:dyDescent="0.2">
      <c r="A3454" s="2">
        <v>3446</v>
      </c>
      <c r="B3454" s="14">
        <f>A3454*Assumptions!$B$12</f>
        <v>34.46</v>
      </c>
      <c r="C3454" s="15">
        <f>IF(A3454&lt;=Assumptions!$B$13,IF(OR(A3454=0,A3454=Assumptions!$B$13),0.5,1),0)*Assumptions!$B$12</f>
        <v>0</v>
      </c>
      <c r="D3454" s="12">
        <f>D3453*(1-Assumptions!$B$12*(Assumptions!$B$5+Assumptions!$B$6))</f>
        <v>0.35559775059584803</v>
      </c>
      <c r="E3454" s="12">
        <f>E3453+Assumptions!$B$12*(D3453*Assumptions!$B$5-E3453*Assumptions!$B$7)</f>
        <v>0.17714490689946594</v>
      </c>
      <c r="F3454" s="12">
        <f t="shared" si="159"/>
        <v>0.46725734250468598</v>
      </c>
      <c r="G3454" s="12">
        <f>EXP(-Assumptions!$B$8*B3454)</f>
        <v>0.17852975446023064</v>
      </c>
      <c r="H3454" s="12">
        <f t="shared" si="160"/>
        <v>6.3484779100487082E-2</v>
      </c>
      <c r="I3454" s="12">
        <f t="shared" si="161"/>
        <v>3.1625636732642071E-2</v>
      </c>
      <c r="J3454" s="12">
        <f>G3454*(D3454*Assumptions!$B$6+E3454*Assumptions!$B$7)</f>
        <v>2.2161296276369744E-3</v>
      </c>
    </row>
    <row r="3455" spans="1:10" x14ac:dyDescent="0.2">
      <c r="A3455" s="2">
        <v>3447</v>
      </c>
      <c r="B3455" s="14">
        <f>A3455*Assumptions!$B$12</f>
        <v>34.47</v>
      </c>
      <c r="C3455" s="15">
        <f>IF(A3455&lt;=Assumptions!$B$13,IF(OR(A3455=0,A3455=Assumptions!$B$13),0.5,1),0)*Assumptions!$B$12</f>
        <v>0</v>
      </c>
      <c r="D3455" s="12">
        <f>D3454*(1-Assumptions!$B$12*(Assumptions!$B$5+Assumptions!$B$6))</f>
        <v>0.35549107127066931</v>
      </c>
      <c r="E3455" s="12">
        <f>E3454+Assumptions!$B$12*(D3454*Assumptions!$B$5-E3454*Assumptions!$B$7)</f>
        <v>0.17712745399613539</v>
      </c>
      <c r="F3455" s="12">
        <f t="shared" si="159"/>
        <v>0.46738147473319525</v>
      </c>
      <c r="G3455" s="12">
        <f>EXP(-Assumptions!$B$8*B3455)</f>
        <v>0.17844051189550095</v>
      </c>
      <c r="H3455" s="12">
        <f t="shared" si="160"/>
        <v>6.3434008731818245E-2</v>
      </c>
      <c r="I3455" s="12">
        <f t="shared" si="161"/>
        <v>3.1606713561817192E-2</v>
      </c>
      <c r="J3455" s="12">
        <f>G3455*(D3455*Assumptions!$B$6+E3455*Assumptions!$B$7)</f>
        <v>2.2146757654090423E-3</v>
      </c>
    </row>
    <row r="3456" spans="1:10" x14ac:dyDescent="0.2">
      <c r="A3456" s="2">
        <v>3448</v>
      </c>
      <c r="B3456" s="14">
        <f>A3456*Assumptions!$B$12</f>
        <v>34.480000000000004</v>
      </c>
      <c r="C3456" s="15">
        <f>IF(A3456&lt;=Assumptions!$B$13,IF(OR(A3456=0,A3456=Assumptions!$B$13),0.5,1),0)*Assumptions!$B$12</f>
        <v>0</v>
      </c>
      <c r="D3456" s="12">
        <f>D3455*(1-Assumptions!$B$12*(Assumptions!$B$5+Assumptions!$B$6))</f>
        <v>0.3553844239492881</v>
      </c>
      <c r="E3456" s="12">
        <f>E3455+Assumptions!$B$12*(D3455*Assumptions!$B$5-E3455*Assumptions!$B$7)</f>
        <v>0.17710998848339146</v>
      </c>
      <c r="F3456" s="12">
        <f t="shared" si="159"/>
        <v>0.46750558756732052</v>
      </c>
      <c r="G3456" s="12">
        <f>EXP(-Assumptions!$B$8*B3456)</f>
        <v>0.17835131394090012</v>
      </c>
      <c r="H3456" s="12">
        <f t="shared" si="160"/>
        <v>6.3383278965485429E-2</v>
      </c>
      <c r="I3456" s="12">
        <f t="shared" si="161"/>
        <v>3.1587799158070556E-2</v>
      </c>
      <c r="J3456" s="12">
        <f>G3456*(D3456*Assumptions!$B$6+E3456*Assumptions!$B$7)</f>
        <v>2.2132227475583823E-3</v>
      </c>
    </row>
    <row r="3457" spans="1:10" x14ac:dyDescent="0.2">
      <c r="A3457" s="2">
        <v>3449</v>
      </c>
      <c r="B3457" s="14">
        <f>A3457*Assumptions!$B$12</f>
        <v>34.49</v>
      </c>
      <c r="C3457" s="15">
        <f>IF(A3457&lt;=Assumptions!$B$13,IF(OR(A3457=0,A3457=Assumptions!$B$13),0.5,1),0)*Assumptions!$B$12</f>
        <v>0</v>
      </c>
      <c r="D3457" s="12">
        <f>D3456*(1-Assumptions!$B$12*(Assumptions!$B$5+Assumptions!$B$6))</f>
        <v>0.35527780862210334</v>
      </c>
      <c r="E3457" s="12">
        <f>E3456+Assumptions!$B$12*(D3456*Assumptions!$B$5-E3456*Assumptions!$B$7)</f>
        <v>0.17709251037393961</v>
      </c>
      <c r="F3457" s="12">
        <f t="shared" si="159"/>
        <v>0.46762968100395708</v>
      </c>
      <c r="G3457" s="12">
        <f>EXP(-Assumptions!$B$8*B3457)</f>
        <v>0.17826216057412872</v>
      </c>
      <c r="H3457" s="12">
        <f t="shared" si="160"/>
        <v>6.3332589769017955E-2</v>
      </c>
      <c r="I3457" s="12">
        <f t="shared" si="161"/>
        <v>3.156889352075478E-2</v>
      </c>
      <c r="J3457" s="12">
        <f>G3457*(D3457*Assumptions!$B$6+E3457*Assumptions!$B$7)</f>
        <v>2.2117705737279185E-3</v>
      </c>
    </row>
    <row r="3458" spans="1:10" x14ac:dyDescent="0.2">
      <c r="A3458" s="2">
        <v>3450</v>
      </c>
      <c r="B3458" s="14">
        <f>A3458*Assumptions!$B$12</f>
        <v>34.5</v>
      </c>
      <c r="C3458" s="15">
        <f>IF(A3458&lt;=Assumptions!$B$13,IF(OR(A3458=0,A3458=Assumptions!$B$13),0.5,1),0)*Assumptions!$B$12</f>
        <v>0</v>
      </c>
      <c r="D3458" s="12">
        <f>D3457*(1-Assumptions!$B$12*(Assumptions!$B$5+Assumptions!$B$6))</f>
        <v>0.35517122527951672</v>
      </c>
      <c r="E3458" s="12">
        <f>E3457+Assumptions!$B$12*(D3457*Assumptions!$B$5-E3457*Assumptions!$B$7)</f>
        <v>0.17707501968047706</v>
      </c>
      <c r="F3458" s="12">
        <f t="shared" si="159"/>
        <v>0.46775375504000621</v>
      </c>
      <c r="G3458" s="12">
        <f>EXP(-Assumptions!$B$8*B3458)</f>
        <v>0.17817305177289841</v>
      </c>
      <c r="H3458" s="12">
        <f t="shared" si="160"/>
        <v>6.3281941109971096E-2</v>
      </c>
      <c r="I3458" s="12">
        <f t="shared" si="161"/>
        <v>3.1549996649216643E-2</v>
      </c>
      <c r="J3458" s="12">
        <f>G3458*(D3458*Assumptions!$B$6+E3458*Assumptions!$B$7)</f>
        <v>2.2103192435605433E-3</v>
      </c>
    </row>
    <row r="3459" spans="1:10" x14ac:dyDescent="0.2">
      <c r="A3459" s="2">
        <v>3451</v>
      </c>
      <c r="B3459" s="14">
        <f>A3459*Assumptions!$B$12</f>
        <v>34.51</v>
      </c>
      <c r="C3459" s="15">
        <f>IF(A3459&lt;=Assumptions!$B$13,IF(OR(A3459=0,A3459=Assumptions!$B$13),0.5,1),0)*Assumptions!$B$12</f>
        <v>0</v>
      </c>
      <c r="D3459" s="12">
        <f>D3458*(1-Assumptions!$B$12*(Assumptions!$B$5+Assumptions!$B$6))</f>
        <v>0.35506467391193286</v>
      </c>
      <c r="E3459" s="12">
        <f>E3458+Assumptions!$B$12*(D3458*Assumptions!$B$5-E3458*Assumptions!$B$7)</f>
        <v>0.17705751641569273</v>
      </c>
      <c r="F3459" s="12">
        <f t="shared" si="159"/>
        <v>0.46787780967237441</v>
      </c>
      <c r="G3459" s="12">
        <f>EXP(-Assumptions!$B$8*B3459)</f>
        <v>0.17808398751493196</v>
      </c>
      <c r="H3459" s="12">
        <f t="shared" si="160"/>
        <v>6.3231332955926034E-2</v>
      </c>
      <c r="I3459" s="12">
        <f t="shared" si="161"/>
        <v>3.1531108542797087E-2</v>
      </c>
      <c r="J3459" s="12">
        <f>G3459*(D3459*Assumptions!$B$6+E3459*Assumptions!$B$7)</f>
        <v>2.2088687566991145E-3</v>
      </c>
    </row>
    <row r="3460" spans="1:10" x14ac:dyDescent="0.2">
      <c r="A3460" s="2">
        <v>3452</v>
      </c>
      <c r="B3460" s="14">
        <f>A3460*Assumptions!$B$12</f>
        <v>34.520000000000003</v>
      </c>
      <c r="C3460" s="15">
        <f>IF(A3460&lt;=Assumptions!$B$13,IF(OR(A3460=0,A3460=Assumptions!$B$13),0.5,1),0)*Assumptions!$B$12</f>
        <v>0</v>
      </c>
      <c r="D3460" s="12">
        <f>D3459*(1-Assumptions!$B$12*(Assumptions!$B$5+Assumptions!$B$6))</f>
        <v>0.35495815450975932</v>
      </c>
      <c r="E3460" s="12">
        <f>E3459+Assumptions!$B$12*(D3459*Assumptions!$B$5-E3459*Assumptions!$B$7)</f>
        <v>0.17704000059226727</v>
      </c>
      <c r="F3460" s="12">
        <f t="shared" si="159"/>
        <v>0.46800184489797342</v>
      </c>
      <c r="G3460" s="12">
        <f>EXP(-Assumptions!$B$8*B3460)</f>
        <v>0.17799496777796328</v>
      </c>
      <c r="H3460" s="12">
        <f t="shared" si="160"/>
        <v>6.3180765274489917E-2</v>
      </c>
      <c r="I3460" s="12">
        <f t="shared" si="161"/>
        <v>3.1512229200831215E-2</v>
      </c>
      <c r="J3460" s="12">
        <f>G3460*(D3460*Assumptions!$B$6+E3460*Assumptions!$B$7)</f>
        <v>2.2074191127864603E-3</v>
      </c>
    </row>
    <row r="3461" spans="1:10" x14ac:dyDescent="0.2">
      <c r="A3461" s="2">
        <v>3453</v>
      </c>
      <c r="B3461" s="14">
        <f>A3461*Assumptions!$B$12</f>
        <v>34.53</v>
      </c>
      <c r="C3461" s="15">
        <f>IF(A3461&lt;=Assumptions!$B$13,IF(OR(A3461=0,A3461=Assumptions!$B$13),0.5,1),0)*Assumptions!$B$12</f>
        <v>0</v>
      </c>
      <c r="D3461" s="12">
        <f>D3460*(1-Assumptions!$B$12*(Assumptions!$B$5+Assumptions!$B$6))</f>
        <v>0.35485166706340637</v>
      </c>
      <c r="E3461" s="12">
        <f>E3460+Assumptions!$B$12*(D3460*Assumptions!$B$5-E3460*Assumptions!$B$7)</f>
        <v>0.1770224722228731</v>
      </c>
      <c r="F3461" s="12">
        <f t="shared" si="159"/>
        <v>0.46812586071372059</v>
      </c>
      <c r="G3461" s="12">
        <f>EXP(-Assumptions!$B$8*B3461)</f>
        <v>0.17790599253973752</v>
      </c>
      <c r="H3461" s="12">
        <f t="shared" si="160"/>
        <v>6.3130238033295802E-2</v>
      </c>
      <c r="I3461" s="12">
        <f t="shared" si="161"/>
        <v>3.1493358622648356E-2</v>
      </c>
      <c r="J3461" s="12">
        <f>G3461*(D3461*Assumptions!$B$6+E3461*Assumptions!$B$7)</f>
        <v>2.2059703114653759E-3</v>
      </c>
    </row>
    <row r="3462" spans="1:10" x14ac:dyDescent="0.2">
      <c r="A3462" s="2">
        <v>3454</v>
      </c>
      <c r="B3462" s="14">
        <f>A3462*Assumptions!$B$12</f>
        <v>34.54</v>
      </c>
      <c r="C3462" s="15">
        <f>IF(A3462&lt;=Assumptions!$B$13,IF(OR(A3462=0,A3462=Assumptions!$B$13),0.5,1),0)*Assumptions!$B$12</f>
        <v>0</v>
      </c>
      <c r="D3462" s="12">
        <f>D3461*(1-Assumptions!$B$12*(Assumptions!$B$5+Assumptions!$B$6))</f>
        <v>0.35474521156328737</v>
      </c>
      <c r="E3462" s="12">
        <f>E3461+Assumptions!$B$12*(D3461*Assumptions!$B$5-E3461*Assumptions!$B$7)</f>
        <v>0.17700493132017434</v>
      </c>
      <c r="F3462" s="12">
        <f t="shared" si="159"/>
        <v>0.46824985711653822</v>
      </c>
      <c r="G3462" s="12">
        <f>EXP(-Assumptions!$B$8*B3462)</f>
        <v>0.17781706177801082</v>
      </c>
      <c r="H3462" s="12">
        <f t="shared" si="160"/>
        <v>6.3079751200002587E-2</v>
      </c>
      <c r="I3462" s="12">
        <f t="shared" si="161"/>
        <v>3.1474496807572E-2</v>
      </c>
      <c r="J3462" s="12">
        <f>G3462*(D3462*Assumptions!$B$6+E3462*Assumptions!$B$7)</f>
        <v>2.2045223523786263E-3</v>
      </c>
    </row>
    <row r="3463" spans="1:10" x14ac:dyDescent="0.2">
      <c r="A3463" s="2">
        <v>3455</v>
      </c>
      <c r="B3463" s="14">
        <f>A3463*Assumptions!$B$12</f>
        <v>34.550000000000004</v>
      </c>
      <c r="C3463" s="15">
        <f>IF(A3463&lt;=Assumptions!$B$13,IF(OR(A3463=0,A3463=Assumptions!$B$13),0.5,1),0)*Assumptions!$B$12</f>
        <v>0</v>
      </c>
      <c r="D3463" s="12">
        <f>D3462*(1-Assumptions!$B$12*(Assumptions!$B$5+Assumptions!$B$6))</f>
        <v>0.35463878799981841</v>
      </c>
      <c r="E3463" s="12">
        <f>E3462+Assumptions!$B$12*(D3462*Assumptions!$B$5-E3462*Assumptions!$B$7)</f>
        <v>0.17698737789682692</v>
      </c>
      <c r="F3463" s="12">
        <f t="shared" si="159"/>
        <v>0.46837383410335465</v>
      </c>
      <c r="G3463" s="12">
        <f>EXP(-Assumptions!$B$8*B3463)</f>
        <v>0.17772817547055045</v>
      </c>
      <c r="H3463" s="12">
        <f t="shared" si="160"/>
        <v>6.3029304742295067E-2</v>
      </c>
      <c r="I3463" s="12">
        <f t="shared" si="161"/>
        <v>3.1455643754919875E-2</v>
      </c>
      <c r="J3463" s="12">
        <f>G3463*(D3463*Assumptions!$B$6+E3463*Assumptions!$B$7)</f>
        <v>2.2030752351689447E-3</v>
      </c>
    </row>
    <row r="3464" spans="1:10" x14ac:dyDescent="0.2">
      <c r="A3464" s="2">
        <v>3456</v>
      </c>
      <c r="B3464" s="14">
        <f>A3464*Assumptions!$B$12</f>
        <v>34.56</v>
      </c>
      <c r="C3464" s="15">
        <f>IF(A3464&lt;=Assumptions!$B$13,IF(OR(A3464=0,A3464=Assumptions!$B$13),0.5,1),0)*Assumptions!$B$12</f>
        <v>0</v>
      </c>
      <c r="D3464" s="12">
        <f>D3463*(1-Assumptions!$B$12*(Assumptions!$B$5+Assumptions!$B$6))</f>
        <v>0.35453239636341849</v>
      </c>
      <c r="E3464" s="12">
        <f>E3463+Assumptions!$B$12*(D3463*Assumptions!$B$5-E3463*Assumptions!$B$7)</f>
        <v>0.17696981196547848</v>
      </c>
      <c r="F3464" s="12">
        <f t="shared" ref="F3464:F3527" si="162">1-D3464-E3464</f>
        <v>0.46849779167110306</v>
      </c>
      <c r="G3464" s="12">
        <f>EXP(-Assumptions!$B$8*B3464)</f>
        <v>0.17763933359513492</v>
      </c>
      <c r="H3464" s="12">
        <f t="shared" ref="H3464:H3527" si="163">G3464*D3464</f>
        <v>6.2978898627883903E-2</v>
      </c>
      <c r="I3464" s="12">
        <f t="shared" ref="I3464:I3527" si="164">G3464*E3464</f>
        <v>3.1436799464003934E-2</v>
      </c>
      <c r="J3464" s="12">
        <f>G3464*(D3464*Assumptions!$B$6+E3464*Assumptions!$B$7)</f>
        <v>2.2016289594790359E-3</v>
      </c>
    </row>
    <row r="3465" spans="1:10" x14ac:dyDescent="0.2">
      <c r="A3465" s="2">
        <v>3457</v>
      </c>
      <c r="B3465" s="14">
        <f>A3465*Assumptions!$B$12</f>
        <v>34.57</v>
      </c>
      <c r="C3465" s="15">
        <f>IF(A3465&lt;=Assumptions!$B$13,IF(OR(A3465=0,A3465=Assumptions!$B$13),0.5,1),0)*Assumptions!$B$12</f>
        <v>0</v>
      </c>
      <c r="D3465" s="12">
        <f>D3464*(1-Assumptions!$B$12*(Assumptions!$B$5+Assumptions!$B$6))</f>
        <v>0.3544260366445095</v>
      </c>
      <c r="E3465" s="12">
        <f>E3464+Assumptions!$B$12*(D3464*Assumptions!$B$5-E3464*Assumptions!$B$7)</f>
        <v>0.17695223353876843</v>
      </c>
      <c r="F3465" s="12">
        <f t="shared" si="162"/>
        <v>0.46862172981672201</v>
      </c>
      <c r="G3465" s="12">
        <f>EXP(-Assumptions!$B$8*B3465)</f>
        <v>0.17755053612955371</v>
      </c>
      <c r="H3465" s="12">
        <f t="shared" si="163"/>
        <v>6.2928532824505515E-2</v>
      </c>
      <c r="I3465" s="12">
        <f t="shared" si="164"/>
        <v>3.1417963934130329E-2</v>
      </c>
      <c r="J3465" s="12">
        <f>G3465*(D3465*Assumptions!$B$6+E3465*Assumptions!$B$7)</f>
        <v>2.2001835249515719E-3</v>
      </c>
    </row>
    <row r="3466" spans="1:10" x14ac:dyDescent="0.2">
      <c r="A3466" s="2">
        <v>3458</v>
      </c>
      <c r="B3466" s="14">
        <f>A3466*Assumptions!$B$12</f>
        <v>34.58</v>
      </c>
      <c r="C3466" s="15">
        <f>IF(A3466&lt;=Assumptions!$B$13,IF(OR(A3466=0,A3466=Assumptions!$B$13),0.5,1),0)*Assumptions!$B$12</f>
        <v>0</v>
      </c>
      <c r="D3466" s="12">
        <f>D3465*(1-Assumptions!$B$12*(Assumptions!$B$5+Assumptions!$B$6))</f>
        <v>0.35431970883351616</v>
      </c>
      <c r="E3466" s="12">
        <f>E3465+Assumptions!$B$12*(D3465*Assumptions!$B$5-E3465*Assumptions!$B$7)</f>
        <v>0.17693464262932795</v>
      </c>
      <c r="F3466" s="12">
        <f t="shared" si="162"/>
        <v>0.46874564853715589</v>
      </c>
      <c r="G3466" s="12">
        <f>EXP(-Assumptions!$B$8*B3466)</f>
        <v>0.17746178305160745</v>
      </c>
      <c r="H3466" s="12">
        <f t="shared" si="163"/>
        <v>6.2878207299922162E-2</v>
      </c>
      <c r="I3466" s="12">
        <f t="shared" si="164"/>
        <v>3.1399137164599494E-2</v>
      </c>
      <c r="J3466" s="12">
        <f>G3466*(D3466*Assumptions!$B$6+E3466*Assumptions!$B$7)</f>
        <v>2.1987389312291962E-3</v>
      </c>
    </row>
    <row r="3467" spans="1:10" x14ac:dyDescent="0.2">
      <c r="A3467" s="2">
        <v>3459</v>
      </c>
      <c r="B3467" s="14">
        <f>A3467*Assumptions!$B$12</f>
        <v>34.590000000000003</v>
      </c>
      <c r="C3467" s="15">
        <f>IF(A3467&lt;=Assumptions!$B$13,IF(OR(A3467=0,A3467=Assumptions!$B$13),0.5,1),0)*Assumptions!$B$12</f>
        <v>0</v>
      </c>
      <c r="D3467" s="12">
        <f>D3466*(1-Assumptions!$B$12*(Assumptions!$B$5+Assumptions!$B$6))</f>
        <v>0.35421341292086611</v>
      </c>
      <c r="E3467" s="12">
        <f>E3466+Assumptions!$B$12*(D3466*Assumptions!$B$5-E3466*Assumptions!$B$7)</f>
        <v>0.17691703924978</v>
      </c>
      <c r="F3467" s="12">
        <f t="shared" si="162"/>
        <v>0.46886954782935397</v>
      </c>
      <c r="G3467" s="12">
        <f>EXP(-Assumptions!$B$8*B3467)</f>
        <v>0.17737307433910782</v>
      </c>
      <c r="H3467" s="12">
        <f t="shared" si="163"/>
        <v>6.2827922021921875E-2</v>
      </c>
      <c r="I3467" s="12">
        <f t="shared" si="164"/>
        <v>3.1380319154706085E-2</v>
      </c>
      <c r="J3467" s="12">
        <f>G3467*(D3467*Assumptions!$B$6+E3467*Assumptions!$B$7)</f>
        <v>2.1972951779545232E-3</v>
      </c>
    </row>
    <row r="3468" spans="1:10" x14ac:dyDescent="0.2">
      <c r="A3468" s="2">
        <v>3460</v>
      </c>
      <c r="B3468" s="14">
        <f>A3468*Assumptions!$B$12</f>
        <v>34.6</v>
      </c>
      <c r="C3468" s="15">
        <f>IF(A3468&lt;=Assumptions!$B$13,IF(OR(A3468=0,A3468=Assumptions!$B$13),0.5,1),0)*Assumptions!$B$12</f>
        <v>0</v>
      </c>
      <c r="D3468" s="12">
        <f>D3467*(1-Assumptions!$B$12*(Assumptions!$B$5+Assumptions!$B$6))</f>
        <v>0.35410714889698985</v>
      </c>
      <c r="E3468" s="12">
        <f>E3467+Assumptions!$B$12*(D3467*Assumptions!$B$5-E3467*Assumptions!$B$7)</f>
        <v>0.17689942341273929</v>
      </c>
      <c r="F3468" s="12">
        <f t="shared" si="162"/>
        <v>0.46899342769027091</v>
      </c>
      <c r="G3468" s="12">
        <f>EXP(-Assumptions!$B$8*B3468)</f>
        <v>0.17728440996987777</v>
      </c>
      <c r="H3468" s="12">
        <f t="shared" si="163"/>
        <v>6.2777676958318498E-2</v>
      </c>
      <c r="I3468" s="12">
        <f t="shared" si="164"/>
        <v>3.1361509903739065E-2</v>
      </c>
      <c r="J3468" s="12">
        <f>G3468*(D3468*Assumptions!$B$6+E3468*Assumptions!$B$7)</f>
        <v>2.1958522647701384E-3</v>
      </c>
    </row>
    <row r="3469" spans="1:10" x14ac:dyDescent="0.2">
      <c r="A3469" s="2">
        <v>3461</v>
      </c>
      <c r="B3469" s="14">
        <f>A3469*Assumptions!$B$12</f>
        <v>34.61</v>
      </c>
      <c r="C3469" s="15">
        <f>IF(A3469&lt;=Assumptions!$B$13,IF(OR(A3469=0,A3469=Assumptions!$B$13),0.5,1),0)*Assumptions!$B$12</f>
        <v>0</v>
      </c>
      <c r="D3469" s="12">
        <f>D3468*(1-Assumptions!$B$12*(Assumptions!$B$5+Assumptions!$B$6))</f>
        <v>0.35400091675232076</v>
      </c>
      <c r="E3469" s="12">
        <f>E3468+Assumptions!$B$12*(D3468*Assumptions!$B$5-E3468*Assumptions!$B$7)</f>
        <v>0.17688179513081231</v>
      </c>
      <c r="F3469" s="12">
        <f t="shared" si="162"/>
        <v>0.46911728811686687</v>
      </c>
      <c r="G3469" s="12">
        <f>EXP(-Assumptions!$B$8*B3469)</f>
        <v>0.17719578992175111</v>
      </c>
      <c r="H3469" s="12">
        <f t="shared" si="163"/>
        <v>6.2727472076951535E-2</v>
      </c>
      <c r="I3469" s="12">
        <f t="shared" si="164"/>
        <v>3.1342709410981641E-2</v>
      </c>
      <c r="J3469" s="12">
        <f>G3469*(D3469*Assumptions!$B$6+E3469*Assumptions!$B$7)</f>
        <v>2.1944101913185972E-3</v>
      </c>
    </row>
    <row r="3470" spans="1:10" x14ac:dyDescent="0.2">
      <c r="A3470" s="2">
        <v>3462</v>
      </c>
      <c r="B3470" s="14">
        <f>A3470*Assumptions!$B$12</f>
        <v>34.619999999999997</v>
      </c>
      <c r="C3470" s="15">
        <f>IF(A3470&lt;=Assumptions!$B$13,IF(OR(A3470=0,A3470=Assumptions!$B$13),0.5,1),0)*Assumptions!$B$12</f>
        <v>0</v>
      </c>
      <c r="D3470" s="12">
        <f>D3469*(1-Assumptions!$B$12*(Assumptions!$B$5+Assumptions!$B$6))</f>
        <v>0.35389471647729509</v>
      </c>
      <c r="E3470" s="12">
        <f>E3469+Assumptions!$B$12*(D3469*Assumptions!$B$5-E3469*Assumptions!$B$7)</f>
        <v>0.17686415441659736</v>
      </c>
      <c r="F3470" s="12">
        <f t="shared" si="162"/>
        <v>0.46924112910610755</v>
      </c>
      <c r="G3470" s="12">
        <f>EXP(-Assumptions!$B$8*B3470)</f>
        <v>0.17710721417257291</v>
      </c>
      <c r="H3470" s="12">
        <f t="shared" si="163"/>
        <v>6.2677307345686273E-2</v>
      </c>
      <c r="I3470" s="12">
        <f t="shared" si="164"/>
        <v>3.132391767571132E-2</v>
      </c>
      <c r="J3470" s="12">
        <f>G3470*(D3470*Assumptions!$B$6+E3470*Assumptions!$B$7)</f>
        <v>2.1929689572424286E-3</v>
      </c>
    </row>
    <row r="3471" spans="1:10" x14ac:dyDescent="0.2">
      <c r="A3471" s="2">
        <v>3463</v>
      </c>
      <c r="B3471" s="14">
        <f>A3471*Assumptions!$B$12</f>
        <v>34.630000000000003</v>
      </c>
      <c r="C3471" s="15">
        <f>IF(A3471&lt;=Assumptions!$B$13,IF(OR(A3471=0,A3471=Assumptions!$B$13),0.5,1),0)*Assumptions!$B$12</f>
        <v>0</v>
      </c>
      <c r="D3471" s="12">
        <f>D3470*(1-Assumptions!$B$12*(Assumptions!$B$5+Assumptions!$B$6))</f>
        <v>0.35378854806235194</v>
      </c>
      <c r="E3471" s="12">
        <f>E3470+Assumptions!$B$12*(D3470*Assumptions!$B$5-E3470*Assumptions!$B$7)</f>
        <v>0.17684650128268453</v>
      </c>
      <c r="F3471" s="12">
        <f t="shared" si="162"/>
        <v>0.46936495065496353</v>
      </c>
      <c r="G3471" s="12">
        <f>EXP(-Assumptions!$B$8*B3471)</f>
        <v>0.17701868270019905</v>
      </c>
      <c r="H3471" s="12">
        <f t="shared" si="163"/>
        <v>6.2627182732413592E-2</v>
      </c>
      <c r="I3471" s="12">
        <f t="shared" si="164"/>
        <v>3.130513469719988E-2</v>
      </c>
      <c r="J3471" s="12">
        <f>G3471*(D3471*Assumptions!$B$6+E3471*Assumptions!$B$7)</f>
        <v>2.1915285621841299E-3</v>
      </c>
    </row>
    <row r="3472" spans="1:10" x14ac:dyDescent="0.2">
      <c r="A3472" s="2">
        <v>3464</v>
      </c>
      <c r="B3472" s="14">
        <f>A3472*Assumptions!$B$12</f>
        <v>34.64</v>
      </c>
      <c r="C3472" s="15">
        <f>IF(A3472&lt;=Assumptions!$B$13,IF(OR(A3472=0,A3472=Assumptions!$B$13),0.5,1),0)*Assumptions!$B$12</f>
        <v>0</v>
      </c>
      <c r="D3472" s="12">
        <f>D3471*(1-Assumptions!$B$12*(Assumptions!$B$5+Assumptions!$B$6))</f>
        <v>0.35368241149793322</v>
      </c>
      <c r="E3472" s="12">
        <f>E3471+Assumptions!$B$12*(D3471*Assumptions!$B$5-E3471*Assumptions!$B$7)</f>
        <v>0.17682883574165567</v>
      </c>
      <c r="F3472" s="12">
        <f t="shared" si="162"/>
        <v>0.46948875276041113</v>
      </c>
      <c r="G3472" s="12">
        <f>EXP(-Assumptions!$B$8*B3472)</f>
        <v>0.17693019548249689</v>
      </c>
      <c r="H3472" s="12">
        <f t="shared" si="163"/>
        <v>6.2577098205050224E-2</v>
      </c>
      <c r="I3472" s="12">
        <f t="shared" si="164"/>
        <v>3.1286360474713469E-2</v>
      </c>
      <c r="J3472" s="12">
        <f>G3472*(D3472*Assumptions!$B$6+E3472*Assumptions!$B$7)</f>
        <v>2.1900890057861759E-3</v>
      </c>
    </row>
    <row r="3473" spans="1:10" x14ac:dyDescent="0.2">
      <c r="A3473" s="2">
        <v>3465</v>
      </c>
      <c r="B3473" s="14">
        <f>A3473*Assumptions!$B$12</f>
        <v>34.65</v>
      </c>
      <c r="C3473" s="15">
        <f>IF(A3473&lt;=Assumptions!$B$13,IF(OR(A3473=0,A3473=Assumptions!$B$13),0.5,1),0)*Assumptions!$B$12</f>
        <v>0</v>
      </c>
      <c r="D3473" s="12">
        <f>D3472*(1-Assumptions!$B$12*(Assumptions!$B$5+Assumptions!$B$6))</f>
        <v>0.35357630677448387</v>
      </c>
      <c r="E3473" s="12">
        <f>E3472+Assumptions!$B$12*(D3472*Assumptions!$B$5-E3472*Assumptions!$B$7)</f>
        <v>0.17681115780608442</v>
      </c>
      <c r="F3473" s="12">
        <f t="shared" si="162"/>
        <v>0.46961253541943165</v>
      </c>
      <c r="G3473" s="12">
        <f>EXP(-Assumptions!$B$8*B3473)</f>
        <v>0.17684175249734455</v>
      </c>
      <c r="H3473" s="12">
        <f t="shared" si="163"/>
        <v>6.252705373153844E-2</v>
      </c>
      <c r="I3473" s="12">
        <f t="shared" si="164"/>
        <v>3.1267595007512507E-2</v>
      </c>
      <c r="J3473" s="12">
        <f>G3473*(D3473*Assumptions!$B$6+E3473*Assumptions!$B$7)</f>
        <v>2.1886502876910098E-3</v>
      </c>
    </row>
    <row r="3474" spans="1:10" x14ac:dyDescent="0.2">
      <c r="A3474" s="2">
        <v>3466</v>
      </c>
      <c r="B3474" s="14">
        <f>A3474*Assumptions!$B$12</f>
        <v>34.660000000000004</v>
      </c>
      <c r="C3474" s="15">
        <f>IF(A3474&lt;=Assumptions!$B$13,IF(OR(A3474=0,A3474=Assumptions!$B$13),0.5,1),0)*Assumptions!$B$12</f>
        <v>0</v>
      </c>
      <c r="D3474" s="12">
        <f>D3473*(1-Assumptions!$B$12*(Assumptions!$B$5+Assumptions!$B$6))</f>
        <v>0.35347023388245152</v>
      </c>
      <c r="E3474" s="12">
        <f>E3473+Assumptions!$B$12*(D3473*Assumptions!$B$5-E3473*Assumptions!$B$7)</f>
        <v>0.17679346748853628</v>
      </c>
      <c r="F3474" s="12">
        <f t="shared" si="162"/>
        <v>0.46973629862901212</v>
      </c>
      <c r="G3474" s="12">
        <f>EXP(-Assumptions!$B$8*B3474)</f>
        <v>0.17675335372263112</v>
      </c>
      <c r="H3474" s="12">
        <f t="shared" si="163"/>
        <v>6.2477049279846104E-2</v>
      </c>
      <c r="I3474" s="12">
        <f t="shared" si="164"/>
        <v>3.1248838294851738E-2</v>
      </c>
      <c r="J3474" s="12">
        <f>G3474*(D3474*Assumptions!$B$6+E3474*Assumptions!$B$7)</f>
        <v>2.1872124075410482E-3</v>
      </c>
    </row>
    <row r="3475" spans="1:10" x14ac:dyDescent="0.2">
      <c r="A3475" s="2">
        <v>3467</v>
      </c>
      <c r="B3475" s="14">
        <f>A3475*Assumptions!$B$12</f>
        <v>34.67</v>
      </c>
      <c r="C3475" s="15">
        <f>IF(A3475&lt;=Assumptions!$B$13,IF(OR(A3475=0,A3475=Assumptions!$B$13),0.5,1),0)*Assumptions!$B$12</f>
        <v>0</v>
      </c>
      <c r="D3475" s="12">
        <f>D3474*(1-Assumptions!$B$12*(Assumptions!$B$5+Assumptions!$B$6))</f>
        <v>0.35336419281228681</v>
      </c>
      <c r="E3475" s="12">
        <f>E3474+Assumptions!$B$12*(D3474*Assumptions!$B$5-E3474*Assumptions!$B$7)</f>
        <v>0.17677576480156851</v>
      </c>
      <c r="F3475" s="12">
        <f t="shared" si="162"/>
        <v>0.46986004238614465</v>
      </c>
      <c r="G3475" s="12">
        <f>EXP(-Assumptions!$B$8*B3475)</f>
        <v>0.17666499913625711</v>
      </c>
      <c r="H3475" s="12">
        <f t="shared" si="163"/>
        <v>6.2427084817966841E-2</v>
      </c>
      <c r="I3475" s="12">
        <f t="shared" si="164"/>
        <v>3.1230090335980291E-2</v>
      </c>
      <c r="J3475" s="12">
        <f>G3475*(D3475*Assumptions!$B$6+E3475*Assumptions!$B$7)</f>
        <v>2.1857753649786827E-3</v>
      </c>
    </row>
    <row r="3476" spans="1:10" x14ac:dyDescent="0.2">
      <c r="A3476" s="2">
        <v>3468</v>
      </c>
      <c r="B3476" s="14">
        <f>A3476*Assumptions!$B$12</f>
        <v>34.68</v>
      </c>
      <c r="C3476" s="15">
        <f>IF(A3476&lt;=Assumptions!$B$13,IF(OR(A3476=0,A3476=Assumptions!$B$13),0.5,1),0)*Assumptions!$B$12</f>
        <v>0</v>
      </c>
      <c r="D3476" s="12">
        <f>D3475*(1-Assumptions!$B$12*(Assumptions!$B$5+Assumptions!$B$6))</f>
        <v>0.35325818355444316</v>
      </c>
      <c r="E3476" s="12">
        <f>E3475+Assumptions!$B$12*(D3475*Assumptions!$B$5-E3475*Assumptions!$B$7)</f>
        <v>0.17675804975773018</v>
      </c>
      <c r="F3476" s="12">
        <f t="shared" si="162"/>
        <v>0.46998376668782665</v>
      </c>
      <c r="G3476" s="12">
        <f>EXP(-Assumptions!$B$8*B3476)</f>
        <v>0.17657668871613388</v>
      </c>
      <c r="H3476" s="12">
        <f t="shared" si="163"/>
        <v>6.2377160313919794E-2</v>
      </c>
      <c r="I3476" s="12">
        <f t="shared" si="164"/>
        <v>3.1211351130141628E-2</v>
      </c>
      <c r="J3476" s="12">
        <f>G3476*(D3476*Assumptions!$B$6+E3476*Assumptions!$B$7)</f>
        <v>2.1843391596462793E-3</v>
      </c>
    </row>
    <row r="3477" spans="1:10" x14ac:dyDescent="0.2">
      <c r="A3477" s="2">
        <v>3469</v>
      </c>
      <c r="B3477" s="14">
        <f>A3477*Assumptions!$B$12</f>
        <v>34.69</v>
      </c>
      <c r="C3477" s="15">
        <f>IF(A3477&lt;=Assumptions!$B$13,IF(OR(A3477=0,A3477=Assumptions!$B$13),0.5,1),0)*Assumptions!$B$12</f>
        <v>0</v>
      </c>
      <c r="D3477" s="12">
        <f>D3476*(1-Assumptions!$B$12*(Assumptions!$B$5+Assumptions!$B$6))</f>
        <v>0.35315220609937686</v>
      </c>
      <c r="E3477" s="12">
        <f>E3476+Assumptions!$B$12*(D3476*Assumptions!$B$5-E3476*Assumptions!$B$7)</f>
        <v>0.17674032236956222</v>
      </c>
      <c r="F3477" s="12">
        <f t="shared" si="162"/>
        <v>0.47010747153106097</v>
      </c>
      <c r="G3477" s="12">
        <f>EXP(-Assumptions!$B$8*B3477)</f>
        <v>0.17648842244018367</v>
      </c>
      <c r="H3477" s="12">
        <f t="shared" si="163"/>
        <v>6.2327275735749636E-2</v>
      </c>
      <c r="I3477" s="12">
        <f t="shared" si="164"/>
        <v>3.1192620676573541E-2</v>
      </c>
      <c r="J3477" s="12">
        <f>G3477*(D3477*Assumptions!$B$6+E3477*Assumptions!$B$7)</f>
        <v>2.1829037911861734E-3</v>
      </c>
    </row>
    <row r="3478" spans="1:10" x14ac:dyDescent="0.2">
      <c r="A3478" s="2">
        <v>3470</v>
      </c>
      <c r="B3478" s="14">
        <f>A3478*Assumptions!$B$12</f>
        <v>34.700000000000003</v>
      </c>
      <c r="C3478" s="15">
        <f>IF(A3478&lt;=Assumptions!$B$13,IF(OR(A3478=0,A3478=Assumptions!$B$13),0.5,1),0)*Assumptions!$B$12</f>
        <v>0</v>
      </c>
      <c r="D3478" s="12">
        <f>D3477*(1-Assumptions!$B$12*(Assumptions!$B$5+Assumptions!$B$6))</f>
        <v>0.35304626043754705</v>
      </c>
      <c r="E3478" s="12">
        <f>E3477+Assumptions!$B$12*(D3477*Assumptions!$B$5-E3477*Assumptions!$B$7)</f>
        <v>0.17672258264959731</v>
      </c>
      <c r="F3478" s="12">
        <f t="shared" si="162"/>
        <v>0.47023115691285566</v>
      </c>
      <c r="G3478" s="12">
        <f>EXP(-Assumptions!$B$8*B3478)</f>
        <v>0.17640020028633993</v>
      </c>
      <c r="H3478" s="12">
        <f t="shared" si="163"/>
        <v>6.2277431051526631E-2</v>
      </c>
      <c r="I3478" s="12">
        <f t="shared" si="164"/>
        <v>3.1173898974508226E-2</v>
      </c>
      <c r="J3478" s="12">
        <f>G3478*(D3478*Assumptions!$B$6+E3478*Assumptions!$B$7)</f>
        <v>2.1814692592406777E-3</v>
      </c>
    </row>
    <row r="3479" spans="1:10" x14ac:dyDescent="0.2">
      <c r="A3479" s="2">
        <v>3471</v>
      </c>
      <c r="B3479" s="14">
        <f>A3479*Assumptions!$B$12</f>
        <v>34.71</v>
      </c>
      <c r="C3479" s="15">
        <f>IF(A3479&lt;=Assumptions!$B$13,IF(OR(A3479=0,A3479=Assumptions!$B$13),0.5,1),0)*Assumptions!$B$12</f>
        <v>0</v>
      </c>
      <c r="D3479" s="12">
        <f>D3478*(1-Assumptions!$B$12*(Assumptions!$B$5+Assumptions!$B$6))</f>
        <v>0.35294034655941581</v>
      </c>
      <c r="E3479" s="12">
        <f>E3478+Assumptions!$B$12*(D3478*Assumptions!$B$5-E3478*Assumptions!$B$7)</f>
        <v>0.17670483061036002</v>
      </c>
      <c r="F3479" s="12">
        <f t="shared" si="162"/>
        <v>0.47035482283022412</v>
      </c>
      <c r="G3479" s="12">
        <f>EXP(-Assumptions!$B$8*B3479)</f>
        <v>0.1763120222325473</v>
      </c>
      <c r="H3479" s="12">
        <f t="shared" si="163"/>
        <v>6.2227626229346668E-2</v>
      </c>
      <c r="I3479" s="12">
        <f t="shared" si="164"/>
        <v>3.1155186023172299E-2</v>
      </c>
      <c r="J3479" s="12">
        <f>G3479*(D3479*Assumptions!$B$6+E3479*Assumptions!$B$7)</f>
        <v>2.1800355634520817E-3</v>
      </c>
    </row>
    <row r="3480" spans="1:10" x14ac:dyDescent="0.2">
      <c r="A3480" s="2">
        <v>3472</v>
      </c>
      <c r="B3480" s="14">
        <f>A3480*Assumptions!$B$12</f>
        <v>34.72</v>
      </c>
      <c r="C3480" s="15">
        <f>IF(A3480&lt;=Assumptions!$B$13,IF(OR(A3480=0,A3480=Assumptions!$B$13),0.5,1),0)*Assumptions!$B$12</f>
        <v>0</v>
      </c>
      <c r="D3480" s="12">
        <f>D3479*(1-Assumptions!$B$12*(Assumptions!$B$5+Assumptions!$B$6))</f>
        <v>0.35283446445544797</v>
      </c>
      <c r="E3480" s="12">
        <f>E3479+Assumptions!$B$12*(D3479*Assumptions!$B$5-E3479*Assumptions!$B$7)</f>
        <v>0.17668706626436673</v>
      </c>
      <c r="F3480" s="12">
        <f t="shared" si="162"/>
        <v>0.47047846928018533</v>
      </c>
      <c r="G3480" s="12">
        <f>EXP(-Assumptions!$B$8*B3480)</f>
        <v>0.17622388825676111</v>
      </c>
      <c r="H3480" s="12">
        <f t="shared" si="163"/>
        <v>6.217786123733101E-2</v>
      </c>
      <c r="I3480" s="12">
        <f t="shared" si="164"/>
        <v>3.1136481821786709E-2</v>
      </c>
      <c r="J3480" s="12">
        <f>G3480*(D3480*Assumptions!$B$6+E3480*Assumptions!$B$7)</f>
        <v>2.1786027034626457E-3</v>
      </c>
    </row>
    <row r="3481" spans="1:10" x14ac:dyDescent="0.2">
      <c r="A3481" s="2">
        <v>3473</v>
      </c>
      <c r="B3481" s="14">
        <f>A3481*Assumptions!$B$12</f>
        <v>34.730000000000004</v>
      </c>
      <c r="C3481" s="15">
        <f>IF(A3481&lt;=Assumptions!$B$13,IF(OR(A3481=0,A3481=Assumptions!$B$13),0.5,1),0)*Assumptions!$B$12</f>
        <v>0</v>
      </c>
      <c r="D3481" s="12">
        <f>D3480*(1-Assumptions!$B$12*(Assumptions!$B$5+Assumptions!$B$6))</f>
        <v>0.35272861411611134</v>
      </c>
      <c r="E3481" s="12">
        <f>E3480+Assumptions!$B$12*(D3480*Assumptions!$B$5-E3480*Assumptions!$B$7)</f>
        <v>0.17666928962412562</v>
      </c>
      <c r="F3481" s="12">
        <f t="shared" si="162"/>
        <v>0.47060209625976301</v>
      </c>
      <c r="G3481" s="12">
        <f>EXP(-Assumptions!$B$8*B3481)</f>
        <v>0.17613579833694784</v>
      </c>
      <c r="H3481" s="12">
        <f t="shared" si="163"/>
        <v>6.2128136043626478E-2</v>
      </c>
      <c r="I3481" s="12">
        <f t="shared" si="164"/>
        <v>3.1117786369566823E-2</v>
      </c>
      <c r="J3481" s="12">
        <f>G3481*(D3481*Assumptions!$B$6+E3481*Assumptions!$B$7)</f>
        <v>2.1771706789146059E-3</v>
      </c>
    </row>
    <row r="3482" spans="1:10" x14ac:dyDescent="0.2">
      <c r="A3482" s="2">
        <v>3474</v>
      </c>
      <c r="B3482" s="14">
        <f>A3482*Assumptions!$B$12</f>
        <v>34.74</v>
      </c>
      <c r="C3482" s="15">
        <f>IF(A3482&lt;=Assumptions!$B$13,IF(OR(A3482=0,A3482=Assumptions!$B$13),0.5,1),0)*Assumptions!$B$12</f>
        <v>0</v>
      </c>
      <c r="D3482" s="12">
        <f>D3481*(1-Assumptions!$B$12*(Assumptions!$B$5+Assumptions!$B$6))</f>
        <v>0.35262279553187653</v>
      </c>
      <c r="E3482" s="12">
        <f>E3481+Assumptions!$B$12*(D3481*Assumptions!$B$5-E3481*Assumptions!$B$7)</f>
        <v>0.17665150070213678</v>
      </c>
      <c r="F3482" s="12">
        <f t="shared" si="162"/>
        <v>0.47072570376598666</v>
      </c>
      <c r="G3482" s="12">
        <f>EXP(-Assumptions!$B$8*B3482)</f>
        <v>0.17604775245108517</v>
      </c>
      <c r="H3482" s="12">
        <f t="shared" si="163"/>
        <v>6.207845061640542E-2</v>
      </c>
      <c r="I3482" s="12">
        <f t="shared" si="164"/>
        <v>3.1099099665722475E-2</v>
      </c>
      <c r="J3482" s="12">
        <f>G3482*(D3482*Assumptions!$B$6+E3482*Assumptions!$B$7)</f>
        <v>2.1757394894501782E-3</v>
      </c>
    </row>
    <row r="3483" spans="1:10" x14ac:dyDescent="0.2">
      <c r="A3483" s="2">
        <v>3475</v>
      </c>
      <c r="B3483" s="14">
        <f>A3483*Assumptions!$B$12</f>
        <v>34.75</v>
      </c>
      <c r="C3483" s="15">
        <f>IF(A3483&lt;=Assumptions!$B$13,IF(OR(A3483=0,A3483=Assumptions!$B$13),0.5,1),0)*Assumptions!$B$12</f>
        <v>0</v>
      </c>
      <c r="D3483" s="12">
        <f>D3482*(1-Assumptions!$B$12*(Assumptions!$B$5+Assumptions!$B$6))</f>
        <v>0.352517008693217</v>
      </c>
      <c r="E3483" s="12">
        <f>E3482+Assumptions!$B$12*(D3482*Assumptions!$B$5-E3482*Assumptions!$B$7)</f>
        <v>0.17663369951089208</v>
      </c>
      <c r="F3483" s="12">
        <f t="shared" si="162"/>
        <v>0.47084929179589091</v>
      </c>
      <c r="G3483" s="12">
        <f>EXP(-Assumptions!$B$8*B3483)</f>
        <v>0.17595975057716148</v>
      </c>
      <c r="H3483" s="12">
        <f t="shared" si="163"/>
        <v>6.2028804923865533E-2</v>
      </c>
      <c r="I3483" s="12">
        <f t="shared" si="164"/>
        <v>3.1080421709457861E-2</v>
      </c>
      <c r="J3483" s="12">
        <f>G3483*(D3483*Assumptions!$B$6+E3483*Assumptions!$B$7)</f>
        <v>2.1743091347115485E-3</v>
      </c>
    </row>
    <row r="3484" spans="1:10" x14ac:dyDescent="0.2">
      <c r="A3484" s="2">
        <v>3476</v>
      </c>
      <c r="B3484" s="14">
        <f>A3484*Assumptions!$B$12</f>
        <v>34.76</v>
      </c>
      <c r="C3484" s="15">
        <f>IF(A3484&lt;=Assumptions!$B$13,IF(OR(A3484=0,A3484=Assumptions!$B$13),0.5,1),0)*Assumptions!$B$12</f>
        <v>0</v>
      </c>
      <c r="D3484" s="12">
        <f>D3483*(1-Assumptions!$B$12*(Assumptions!$B$5+Assumptions!$B$6))</f>
        <v>0.35241125359060904</v>
      </c>
      <c r="E3484" s="12">
        <f>E3483+Assumptions!$B$12*(D3483*Assumptions!$B$5-E3483*Assumptions!$B$7)</f>
        <v>0.17661588606287529</v>
      </c>
      <c r="F3484" s="12">
        <f t="shared" si="162"/>
        <v>0.47097286034651575</v>
      </c>
      <c r="G3484" s="12">
        <f>EXP(-Assumptions!$B$8*B3484)</f>
        <v>0.17587179269317638</v>
      </c>
      <c r="H3484" s="12">
        <f t="shared" si="163"/>
        <v>6.1979198934230005E-2</v>
      </c>
      <c r="I3484" s="12">
        <f t="shared" si="164"/>
        <v>3.1061752499971663E-2</v>
      </c>
      <c r="J3484" s="12">
        <f>G3484*(D3484*Assumptions!$B$6+E3484*Assumptions!$B$7)</f>
        <v>2.1728796143408832E-3</v>
      </c>
    </row>
    <row r="3485" spans="1:10" x14ac:dyDescent="0.2">
      <c r="A3485" s="2">
        <v>3477</v>
      </c>
      <c r="B3485" s="14">
        <f>A3485*Assumptions!$B$12</f>
        <v>34.770000000000003</v>
      </c>
      <c r="C3485" s="15">
        <f>IF(A3485&lt;=Assumptions!$B$13,IF(OR(A3485=0,A3485=Assumptions!$B$13),0.5,1),0)*Assumptions!$B$12</f>
        <v>0</v>
      </c>
      <c r="D3485" s="12">
        <f>D3484*(1-Assumptions!$B$12*(Assumptions!$B$5+Assumptions!$B$6))</f>
        <v>0.35230553021453187</v>
      </c>
      <c r="E3485" s="12">
        <f>E3484+Assumptions!$B$12*(D3484*Assumptions!$B$5-E3484*Assumptions!$B$7)</f>
        <v>0.17659806037056197</v>
      </c>
      <c r="F3485" s="12">
        <f t="shared" si="162"/>
        <v>0.4710964094149061</v>
      </c>
      <c r="G3485" s="12">
        <f>EXP(-Assumptions!$B$8*B3485)</f>
        <v>0.1757838787771403</v>
      </c>
      <c r="H3485" s="12">
        <f t="shared" si="163"/>
        <v>6.192963261574741E-2</v>
      </c>
      <c r="I3485" s="12">
        <f t="shared" si="164"/>
        <v>3.1043092036456971E-2</v>
      </c>
      <c r="J3485" s="12">
        <f>G3485*(D3485*Assumptions!$B$6+E3485*Assumptions!$B$7)</f>
        <v>2.1714509279803229E-3</v>
      </c>
    </row>
    <row r="3486" spans="1:10" x14ac:dyDescent="0.2">
      <c r="A3486" s="2">
        <v>3478</v>
      </c>
      <c r="B3486" s="14">
        <f>A3486*Assumptions!$B$12</f>
        <v>34.78</v>
      </c>
      <c r="C3486" s="15">
        <f>IF(A3486&lt;=Assumptions!$B$13,IF(OR(A3486=0,A3486=Assumptions!$B$13),0.5,1),0)*Assumptions!$B$12</f>
        <v>0</v>
      </c>
      <c r="D3486" s="12">
        <f>D3485*(1-Assumptions!$B$12*(Assumptions!$B$5+Assumptions!$B$6))</f>
        <v>0.35219983855546755</v>
      </c>
      <c r="E3486" s="12">
        <f>E3485+Assumptions!$B$12*(D3485*Assumptions!$B$5-E3485*Assumptions!$B$7)</f>
        <v>0.1765802224464196</v>
      </c>
      <c r="F3486" s="12">
        <f t="shared" si="162"/>
        <v>0.47121993899811287</v>
      </c>
      <c r="G3486" s="12">
        <f>EXP(-Assumptions!$B$8*B3486)</f>
        <v>0.17569600880707487</v>
      </c>
      <c r="H3486" s="12">
        <f t="shared" si="163"/>
        <v>6.1880105936691771E-2</v>
      </c>
      <c r="I3486" s="12">
        <f t="shared" si="164"/>
        <v>3.1024440318101379E-2</v>
      </c>
      <c r="J3486" s="12">
        <f>G3486*(D3486*Assumptions!$B$6+E3486*Assumptions!$B$7)</f>
        <v>2.1700230752719867E-3</v>
      </c>
    </row>
    <row r="3487" spans="1:10" x14ac:dyDescent="0.2">
      <c r="A3487" s="2">
        <v>3479</v>
      </c>
      <c r="B3487" s="14">
        <f>A3487*Assumptions!$B$12</f>
        <v>34.79</v>
      </c>
      <c r="C3487" s="15">
        <f>IF(A3487&lt;=Assumptions!$B$13,IF(OR(A3487=0,A3487=Assumptions!$B$13),0.5,1),0)*Assumptions!$B$12</f>
        <v>0</v>
      </c>
      <c r="D3487" s="12">
        <f>D3486*(1-Assumptions!$B$12*(Assumptions!$B$5+Assumptions!$B$6))</f>
        <v>0.35209417860390091</v>
      </c>
      <c r="E3487" s="12">
        <f>E3486+Assumptions!$B$12*(D3486*Assumptions!$B$5-E3486*Assumptions!$B$7)</f>
        <v>0.1765623723029075</v>
      </c>
      <c r="F3487" s="12">
        <f t="shared" si="162"/>
        <v>0.47134344909319159</v>
      </c>
      <c r="G3487" s="12">
        <f>EXP(-Assumptions!$B$8*B3487)</f>
        <v>0.17560818276101256</v>
      </c>
      <c r="H3487" s="12">
        <f t="shared" si="163"/>
        <v>6.1830618865362431E-2</v>
      </c>
      <c r="I3487" s="12">
        <f t="shared" si="164"/>
        <v>3.1005797344086924E-2</v>
      </c>
      <c r="J3487" s="12">
        <f>G3487*(D3487*Assumptions!$B$6+E3487*Assumptions!$B$7)</f>
        <v>2.1685960558579707E-3</v>
      </c>
    </row>
    <row r="3488" spans="1:10" x14ac:dyDescent="0.2">
      <c r="A3488" s="2">
        <v>3480</v>
      </c>
      <c r="B3488" s="14">
        <f>A3488*Assumptions!$B$12</f>
        <v>34.800000000000004</v>
      </c>
      <c r="C3488" s="15">
        <f>IF(A3488&lt;=Assumptions!$B$13,IF(OR(A3488=0,A3488=Assumptions!$B$13),0.5,1),0)*Assumptions!$B$12</f>
        <v>0</v>
      </c>
      <c r="D3488" s="12">
        <f>D3487*(1-Assumptions!$B$12*(Assumptions!$B$5+Assumptions!$B$6))</f>
        <v>0.35198855035031973</v>
      </c>
      <c r="E3488" s="12">
        <f>E3487+Assumptions!$B$12*(D3487*Assumptions!$B$5-E3487*Assumptions!$B$7)</f>
        <v>0.17654450995247684</v>
      </c>
      <c r="F3488" s="12">
        <f t="shared" si="162"/>
        <v>0.47146693969720344</v>
      </c>
      <c r="G3488" s="12">
        <f>EXP(-Assumptions!$B$8*B3488)</f>
        <v>0.17552040061699684</v>
      </c>
      <c r="H3488" s="12">
        <f t="shared" si="163"/>
        <v>6.1781171370084077E-2</v>
      </c>
      <c r="I3488" s="12">
        <f t="shared" si="164"/>
        <v>3.0987163113590118E-2</v>
      </c>
      <c r="J3488" s="12">
        <f>G3488*(D3488*Assumptions!$B$6+E3488*Assumptions!$B$7)</f>
        <v>2.1671698693803468E-3</v>
      </c>
    </row>
    <row r="3489" spans="1:10" x14ac:dyDescent="0.2">
      <c r="A3489" s="2">
        <v>3481</v>
      </c>
      <c r="B3489" s="14">
        <f>A3489*Assumptions!$B$12</f>
        <v>34.81</v>
      </c>
      <c r="C3489" s="15">
        <f>IF(A3489&lt;=Assumptions!$B$13,IF(OR(A3489=0,A3489=Assumptions!$B$13),0.5,1),0)*Assumptions!$B$12</f>
        <v>0</v>
      </c>
      <c r="D3489" s="12">
        <f>D3488*(1-Assumptions!$B$12*(Assumptions!$B$5+Assumptions!$B$6))</f>
        <v>0.35188295378521467</v>
      </c>
      <c r="E3489" s="12">
        <f>E3488+Assumptions!$B$12*(D3488*Assumptions!$B$5-E3488*Assumptions!$B$7)</f>
        <v>0.17652663540757066</v>
      </c>
      <c r="F3489" s="12">
        <f t="shared" si="162"/>
        <v>0.47159041080721475</v>
      </c>
      <c r="G3489" s="12">
        <f>EXP(-Assumptions!$B$8*B3489)</f>
        <v>0.17543266235308219</v>
      </c>
      <c r="H3489" s="12">
        <f t="shared" si="163"/>
        <v>6.1731763419206789E-2</v>
      </c>
      <c r="I3489" s="12">
        <f t="shared" si="164"/>
        <v>3.0968537625781986E-2</v>
      </c>
      <c r="J3489" s="12">
        <f>G3489*(D3489*Assumptions!$B$6+E3489*Assumptions!$B$7)</f>
        <v>2.1657445154811676E-3</v>
      </c>
    </row>
    <row r="3490" spans="1:10" x14ac:dyDescent="0.2">
      <c r="A3490" s="2">
        <v>3482</v>
      </c>
      <c r="B3490" s="14">
        <f>A3490*Assumptions!$B$12</f>
        <v>34.82</v>
      </c>
      <c r="C3490" s="15">
        <f>IF(A3490&lt;=Assumptions!$B$13,IF(OR(A3490=0,A3490=Assumptions!$B$13),0.5,1),0)*Assumptions!$B$12</f>
        <v>0</v>
      </c>
      <c r="D3490" s="12">
        <f>D3489*(1-Assumptions!$B$12*(Assumptions!$B$5+Assumptions!$B$6))</f>
        <v>0.35177738889907911</v>
      </c>
      <c r="E3490" s="12">
        <f>E3489+Assumptions!$B$12*(D3489*Assumptions!$B$5-E3489*Assumptions!$B$7)</f>
        <v>0.17650874868062391</v>
      </c>
      <c r="F3490" s="12">
        <f t="shared" si="162"/>
        <v>0.47171386242029689</v>
      </c>
      <c r="G3490" s="12">
        <f>EXP(-Assumptions!$B$8*B3490)</f>
        <v>0.17534496794733409</v>
      </c>
      <c r="H3490" s="12">
        <f t="shared" si="163"/>
        <v>6.1682394981105906E-2</v>
      </c>
      <c r="I3490" s="12">
        <f t="shared" si="164"/>
        <v>3.094992087982805E-2</v>
      </c>
      <c r="J3490" s="12">
        <f>G3490*(D3490*Assumptions!$B$6+E3490*Assumptions!$B$7)</f>
        <v>2.1643199938024614E-3</v>
      </c>
    </row>
    <row r="3491" spans="1:10" x14ac:dyDescent="0.2">
      <c r="A3491" s="2">
        <v>3483</v>
      </c>
      <c r="B3491" s="14">
        <f>A3491*Assumptions!$B$12</f>
        <v>34.83</v>
      </c>
      <c r="C3491" s="15">
        <f>IF(A3491&lt;=Assumptions!$B$13,IF(OR(A3491=0,A3491=Assumptions!$B$13),0.5,1),0)*Assumptions!$B$12</f>
        <v>0</v>
      </c>
      <c r="D3491" s="12">
        <f>D3490*(1-Assumptions!$B$12*(Assumptions!$B$5+Assumptions!$B$6))</f>
        <v>0.35167185568240938</v>
      </c>
      <c r="E3491" s="12">
        <f>E3490+Assumptions!$B$12*(D3490*Assumptions!$B$5-E3490*Assumptions!$B$7)</f>
        <v>0.1764908497840634</v>
      </c>
      <c r="F3491" s="12">
        <f t="shared" si="162"/>
        <v>0.47183729453352719</v>
      </c>
      <c r="G3491" s="12">
        <f>EXP(-Assumptions!$B$8*B3491)</f>
        <v>0.17525731737782885</v>
      </c>
      <c r="H3491" s="12">
        <f t="shared" si="163"/>
        <v>6.1633066024182045E-2</v>
      </c>
      <c r="I3491" s="12">
        <f t="shared" si="164"/>
        <v>3.0931312874888317E-2</v>
      </c>
      <c r="J3491" s="12">
        <f>G3491*(D3491*Assumptions!$B$6+E3491*Assumptions!$B$7)</f>
        <v>2.1628963039862364E-3</v>
      </c>
    </row>
    <row r="3492" spans="1:10" x14ac:dyDescent="0.2">
      <c r="A3492" s="2">
        <v>3484</v>
      </c>
      <c r="B3492" s="14">
        <f>A3492*Assumptions!$B$12</f>
        <v>34.840000000000003</v>
      </c>
      <c r="C3492" s="15">
        <f>IF(A3492&lt;=Assumptions!$B$13,IF(OR(A3492=0,A3492=Assumptions!$B$13),0.5,1),0)*Assumptions!$B$12</f>
        <v>0</v>
      </c>
      <c r="D3492" s="12">
        <f>D3491*(1-Assumptions!$B$12*(Assumptions!$B$5+Assumptions!$B$6))</f>
        <v>0.35156635412570469</v>
      </c>
      <c r="E3492" s="12">
        <f>E3491+Assumptions!$B$12*(D3491*Assumptions!$B$5-E3491*Assumptions!$B$7)</f>
        <v>0.17647293873030787</v>
      </c>
      <c r="F3492" s="12">
        <f t="shared" si="162"/>
        <v>0.47196070714398741</v>
      </c>
      <c r="G3492" s="12">
        <f>EXP(-Assumptions!$B$8*B3492)</f>
        <v>0.17516971062265385</v>
      </c>
      <c r="H3492" s="12">
        <f t="shared" si="163"/>
        <v>6.1583776516861137E-2</v>
      </c>
      <c r="I3492" s="12">
        <f t="shared" si="164"/>
        <v>3.091271361011735E-2</v>
      </c>
      <c r="J3492" s="12">
        <f>G3492*(D3492*Assumptions!$B$6+E3492*Assumptions!$B$7)</f>
        <v>2.1614734456744792E-3</v>
      </c>
    </row>
    <row r="3493" spans="1:10" x14ac:dyDescent="0.2">
      <c r="A3493" s="2">
        <v>3485</v>
      </c>
      <c r="B3493" s="14">
        <f>A3493*Assumptions!$B$12</f>
        <v>34.85</v>
      </c>
      <c r="C3493" s="15">
        <f>IF(A3493&lt;=Assumptions!$B$13,IF(OR(A3493=0,A3493=Assumptions!$B$13),0.5,1),0)*Assumptions!$B$12</f>
        <v>0</v>
      </c>
      <c r="D3493" s="12">
        <f>D3492*(1-Assumptions!$B$12*(Assumptions!$B$5+Assumptions!$B$6))</f>
        <v>0.35146088421946697</v>
      </c>
      <c r="E3493" s="12">
        <f>E3492+Assumptions!$B$12*(D3492*Assumptions!$B$5-E3492*Assumptions!$B$7)</f>
        <v>0.17645501553176784</v>
      </c>
      <c r="F3493" s="12">
        <f t="shared" si="162"/>
        <v>0.47208410024876518</v>
      </c>
      <c r="G3493" s="12">
        <f>EXP(-Assumptions!$B$8*B3493)</f>
        <v>0.17508214765990743</v>
      </c>
      <c r="H3493" s="12">
        <f t="shared" si="163"/>
        <v>6.1534526427594348E-2</v>
      </c>
      <c r="I3493" s="12">
        <f t="shared" si="164"/>
        <v>3.0894123084664236E-2</v>
      </c>
      <c r="J3493" s="12">
        <f>G3493*(D3493*Assumptions!$B$6+E3493*Assumptions!$B$7)</f>
        <v>2.1600514185091554E-3</v>
      </c>
    </row>
    <row r="3494" spans="1:10" x14ac:dyDescent="0.2">
      <c r="A3494" s="2">
        <v>3486</v>
      </c>
      <c r="B3494" s="14">
        <f>A3494*Assumptions!$B$12</f>
        <v>34.86</v>
      </c>
      <c r="C3494" s="15">
        <f>IF(A3494&lt;=Assumptions!$B$13,IF(OR(A3494=0,A3494=Assumptions!$B$13),0.5,1),0)*Assumptions!$B$12</f>
        <v>0</v>
      </c>
      <c r="D3494" s="12">
        <f>D3493*(1-Assumptions!$B$12*(Assumptions!$B$5+Assumptions!$B$6))</f>
        <v>0.35135544595420115</v>
      </c>
      <c r="E3494" s="12">
        <f>E3493+Assumptions!$B$12*(D3493*Assumptions!$B$5-E3493*Assumptions!$B$7)</f>
        <v>0.17643708020084586</v>
      </c>
      <c r="F3494" s="12">
        <f t="shared" si="162"/>
        <v>0.47220747384495293</v>
      </c>
      <c r="G3494" s="12">
        <f>EXP(-Assumptions!$B$8*B3494)</f>
        <v>0.17499462846769887</v>
      </c>
      <c r="H3494" s="12">
        <f t="shared" si="163"/>
        <v>6.1485315724858082E-2</v>
      </c>
      <c r="I3494" s="12">
        <f t="shared" si="164"/>
        <v>3.0875541297672608E-2</v>
      </c>
      <c r="J3494" s="12">
        <f>G3494*(D3494*Assumptions!$B$6+E3494*Assumptions!$B$7)</f>
        <v>2.1586302221322114E-3</v>
      </c>
    </row>
    <row r="3495" spans="1:10" x14ac:dyDescent="0.2">
      <c r="A3495" s="2">
        <v>3487</v>
      </c>
      <c r="B3495" s="14">
        <f>A3495*Assumptions!$B$12</f>
        <v>34.869999999999997</v>
      </c>
      <c r="C3495" s="15">
        <f>IF(A3495&lt;=Assumptions!$B$13,IF(OR(A3495=0,A3495=Assumptions!$B$13),0.5,1),0)*Assumptions!$B$12</f>
        <v>0</v>
      </c>
      <c r="D3495" s="12">
        <f>D3494*(1-Assumptions!$B$12*(Assumptions!$B$5+Assumptions!$B$6))</f>
        <v>0.35125003932041488</v>
      </c>
      <c r="E3495" s="12">
        <f>E3494+Assumptions!$B$12*(D3494*Assumptions!$B$5-E3494*Assumptions!$B$7)</f>
        <v>0.17641913274993629</v>
      </c>
      <c r="F3495" s="12">
        <f t="shared" si="162"/>
        <v>0.47233082792964887</v>
      </c>
      <c r="G3495" s="12">
        <f>EXP(-Assumptions!$B$8*B3495)</f>
        <v>0.1749071530241483</v>
      </c>
      <c r="H3495" s="12">
        <f t="shared" si="163"/>
        <v>6.143614437715391E-2</v>
      </c>
      <c r="I3495" s="12">
        <f t="shared" si="164"/>
        <v>3.0856968248280641E-2</v>
      </c>
      <c r="J3495" s="12">
        <f>G3495*(D3495*Assumptions!$B$6+E3495*Assumptions!$B$7)</f>
        <v>2.1572098561855714E-3</v>
      </c>
    </row>
    <row r="3496" spans="1:10" x14ac:dyDescent="0.2">
      <c r="A3496" s="2">
        <v>3488</v>
      </c>
      <c r="B3496" s="14">
        <f>A3496*Assumptions!$B$12</f>
        <v>34.880000000000003</v>
      </c>
      <c r="C3496" s="15">
        <f>IF(A3496&lt;=Assumptions!$B$13,IF(OR(A3496=0,A3496=Assumptions!$B$13),0.5,1),0)*Assumptions!$B$12</f>
        <v>0</v>
      </c>
      <c r="D3496" s="12">
        <f>D3495*(1-Assumptions!$B$12*(Assumptions!$B$5+Assumptions!$B$6))</f>
        <v>0.35114466430861874</v>
      </c>
      <c r="E3496" s="12">
        <f>E3495+Assumptions!$B$12*(D3495*Assumptions!$B$5-E3495*Assumptions!$B$7)</f>
        <v>0.1764011731914254</v>
      </c>
      <c r="F3496" s="12">
        <f t="shared" si="162"/>
        <v>0.47245416249995592</v>
      </c>
      <c r="G3496" s="12">
        <f>EXP(-Assumptions!$B$8*B3496)</f>
        <v>0.1748197213073869</v>
      </c>
      <c r="H3496" s="12">
        <f t="shared" si="163"/>
        <v>6.1387012353008655E-2</v>
      </c>
      <c r="I3496" s="12">
        <f t="shared" si="164"/>
        <v>3.0838403935621077E-2</v>
      </c>
      <c r="J3496" s="12">
        <f>G3496*(D3496*Assumptions!$B$6+E3496*Assumptions!$B$7)</f>
        <v>2.1557903203111408E-3</v>
      </c>
    </row>
    <row r="3497" spans="1:10" x14ac:dyDescent="0.2">
      <c r="A3497" s="2">
        <v>3489</v>
      </c>
      <c r="B3497" s="14">
        <f>A3497*Assumptions!$B$12</f>
        <v>34.89</v>
      </c>
      <c r="C3497" s="15">
        <f>IF(A3497&lt;=Assumptions!$B$13,IF(OR(A3497=0,A3497=Assumptions!$B$13),0.5,1),0)*Assumptions!$B$12</f>
        <v>0</v>
      </c>
      <c r="D3497" s="12">
        <f>D3496*(1-Assumptions!$B$12*(Assumptions!$B$5+Assumptions!$B$6))</f>
        <v>0.35103932090932616</v>
      </c>
      <c r="E3497" s="12">
        <f>E3496+Assumptions!$B$12*(D3496*Assumptions!$B$5-E3496*Assumptions!$B$7)</f>
        <v>0.17638320153769141</v>
      </c>
      <c r="F3497" s="12">
        <f t="shared" si="162"/>
        <v>0.47257747755298252</v>
      </c>
      <c r="G3497" s="12">
        <f>EXP(-Assumptions!$B$8*B3497)</f>
        <v>0.17473233329555676</v>
      </c>
      <c r="H3497" s="12">
        <f t="shared" si="163"/>
        <v>6.1337919620974284E-2</v>
      </c>
      <c r="I3497" s="12">
        <f t="shared" si="164"/>
        <v>3.0819848358821254E-2</v>
      </c>
      <c r="J3497" s="12">
        <f>G3497*(D3497*Assumptions!$B$6+E3497*Assumptions!$B$7)</f>
        <v>2.1543716141508057E-3</v>
      </c>
    </row>
    <row r="3498" spans="1:10" x14ac:dyDescent="0.2">
      <c r="A3498" s="2">
        <v>3490</v>
      </c>
      <c r="B3498" s="14">
        <f>A3498*Assumptions!$B$12</f>
        <v>34.9</v>
      </c>
      <c r="C3498" s="15">
        <f>IF(A3498&lt;=Assumptions!$B$13,IF(OR(A3498=0,A3498=Assumptions!$B$13),0.5,1),0)*Assumptions!$B$12</f>
        <v>0</v>
      </c>
      <c r="D3498" s="12">
        <f>D3497*(1-Assumptions!$B$12*(Assumptions!$B$5+Assumptions!$B$6))</f>
        <v>0.35093400911305339</v>
      </c>
      <c r="E3498" s="12">
        <f>E3497+Assumptions!$B$12*(D3497*Assumptions!$B$5-E3497*Assumptions!$B$7)</f>
        <v>0.17636521780110442</v>
      </c>
      <c r="F3498" s="12">
        <f t="shared" si="162"/>
        <v>0.47270077308584219</v>
      </c>
      <c r="G3498" s="12">
        <f>EXP(-Assumptions!$B$8*B3498)</f>
        <v>0.17464498896681085</v>
      </c>
      <c r="H3498" s="12">
        <f t="shared" si="163"/>
        <v>6.1288866149627912E-2</v>
      </c>
      <c r="I3498" s="12">
        <f t="shared" si="164"/>
        <v>3.0801301517003075E-2</v>
      </c>
      <c r="J3498" s="12">
        <f>G3498*(D3498*Assumptions!$B$6+E3498*Assumptions!$B$7)</f>
        <v>2.152953737346433E-3</v>
      </c>
    </row>
    <row r="3499" spans="1:10" x14ac:dyDescent="0.2">
      <c r="A3499" s="2">
        <v>3491</v>
      </c>
      <c r="B3499" s="14">
        <f>A3499*Assumptions!$B$12</f>
        <v>34.910000000000004</v>
      </c>
      <c r="C3499" s="15">
        <f>IF(A3499&lt;=Assumptions!$B$13,IF(OR(A3499=0,A3499=Assumptions!$B$13),0.5,1),0)*Assumptions!$B$12</f>
        <v>0</v>
      </c>
      <c r="D3499" s="12">
        <f>D3498*(1-Assumptions!$B$12*(Assumptions!$B$5+Assumptions!$B$6))</f>
        <v>0.35082872891031947</v>
      </c>
      <c r="E3499" s="12">
        <f>E3498+Assumptions!$B$12*(D3498*Assumptions!$B$5-E3498*Assumptions!$B$7)</f>
        <v>0.17634722199402647</v>
      </c>
      <c r="F3499" s="12">
        <f t="shared" si="162"/>
        <v>0.47282404909565406</v>
      </c>
      <c r="G3499" s="12">
        <f>EXP(-Assumptions!$B$8*B3499)</f>
        <v>0.17455768829931304</v>
      </c>
      <c r="H3499" s="12">
        <f t="shared" si="163"/>
        <v>6.1239851907571738E-2</v>
      </c>
      <c r="I3499" s="12">
        <f t="shared" si="164"/>
        <v>3.0782763409283032E-2</v>
      </c>
      <c r="J3499" s="12">
        <f>G3499*(D3499*Assumptions!$B$6+E3499*Assumptions!$B$7)</f>
        <v>2.1515366895398691E-3</v>
      </c>
    </row>
    <row r="3500" spans="1:10" x14ac:dyDescent="0.2">
      <c r="A3500" s="2">
        <v>3492</v>
      </c>
      <c r="B3500" s="14">
        <f>A3500*Assumptions!$B$12</f>
        <v>34.92</v>
      </c>
      <c r="C3500" s="15">
        <f>IF(A3500&lt;=Assumptions!$B$13,IF(OR(A3500=0,A3500=Assumptions!$B$13),0.5,1),0)*Assumptions!$B$12</f>
        <v>0</v>
      </c>
      <c r="D3500" s="12">
        <f>D3499*(1-Assumptions!$B$12*(Assumptions!$B$5+Assumptions!$B$6))</f>
        <v>0.35072348029164641</v>
      </c>
      <c r="E3500" s="12">
        <f>E3499+Assumptions!$B$12*(D3499*Assumptions!$B$5-E3499*Assumptions!$B$7)</f>
        <v>0.17632921412881153</v>
      </c>
      <c r="F3500" s="12">
        <f t="shared" si="162"/>
        <v>0.47294730557954212</v>
      </c>
      <c r="G3500" s="12">
        <f>EXP(-Assumptions!$B$8*B3500)</f>
        <v>0.17447043127123826</v>
      </c>
      <c r="H3500" s="12">
        <f t="shared" si="163"/>
        <v>6.1190876863433184E-2</v>
      </c>
      <c r="I3500" s="12">
        <f t="shared" si="164"/>
        <v>3.0764234034772266E-2</v>
      </c>
      <c r="J3500" s="12">
        <f>G3500*(D3500*Assumptions!$B$6+E3500*Assumptions!$B$7)</f>
        <v>2.1501204703729452E-3</v>
      </c>
    </row>
    <row r="3501" spans="1:10" x14ac:dyDescent="0.2">
      <c r="A3501" s="2">
        <v>3493</v>
      </c>
      <c r="B3501" s="14">
        <f>A3501*Assumptions!$B$12</f>
        <v>34.93</v>
      </c>
      <c r="C3501" s="15">
        <f>IF(A3501&lt;=Assumptions!$B$13,IF(OR(A3501=0,A3501=Assumptions!$B$13),0.5,1),0)*Assumptions!$B$12</f>
        <v>0</v>
      </c>
      <c r="D3501" s="12">
        <f>D3500*(1-Assumptions!$B$12*(Assumptions!$B$5+Assumptions!$B$6))</f>
        <v>0.3506182632475589</v>
      </c>
      <c r="E3501" s="12">
        <f>E3500+Assumptions!$B$12*(D3500*Assumptions!$B$5-E3500*Assumptions!$B$7)</f>
        <v>0.17631119421780544</v>
      </c>
      <c r="F3501" s="12">
        <f t="shared" si="162"/>
        <v>0.4730705425346356</v>
      </c>
      <c r="G3501" s="12">
        <f>EXP(-Assumptions!$B$8*B3501)</f>
        <v>0.17438321786077224</v>
      </c>
      <c r="H3501" s="12">
        <f t="shared" si="163"/>
        <v>6.114194098586466E-2</v>
      </c>
      <c r="I3501" s="12">
        <f t="shared" si="164"/>
        <v>3.0745713392576493E-2</v>
      </c>
      <c r="J3501" s="12">
        <f>G3501*(D3501*Assumptions!$B$6+E3501*Assumptions!$B$7)</f>
        <v>2.1487050794874712E-3</v>
      </c>
    </row>
    <row r="3502" spans="1:10" x14ac:dyDescent="0.2">
      <c r="A3502" s="2">
        <v>3494</v>
      </c>
      <c r="B3502" s="14">
        <f>A3502*Assumptions!$B$12</f>
        <v>34.94</v>
      </c>
      <c r="C3502" s="15">
        <f>IF(A3502&lt;=Assumptions!$B$13,IF(OR(A3502=0,A3502=Assumptions!$B$13),0.5,1),0)*Assumptions!$B$12</f>
        <v>0</v>
      </c>
      <c r="D3502" s="12">
        <f>D3501*(1-Assumptions!$B$12*(Assumptions!$B$5+Assumptions!$B$6))</f>
        <v>0.35051307776858465</v>
      </c>
      <c r="E3502" s="12">
        <f>E3501+Assumptions!$B$12*(D3501*Assumptions!$B$5-E3501*Assumptions!$B$7)</f>
        <v>0.17629316227334604</v>
      </c>
      <c r="F3502" s="12">
        <f t="shared" si="162"/>
        <v>0.47319375995806934</v>
      </c>
      <c r="G3502" s="12">
        <f>EXP(-Assumptions!$B$8*B3502)</f>
        <v>0.1742960480461116</v>
      </c>
      <c r="H3502" s="12">
        <f t="shared" si="163"/>
        <v>6.1093044243543677E-2</v>
      </c>
      <c r="I3502" s="12">
        <f t="shared" si="164"/>
        <v>3.0727201481796071E-2</v>
      </c>
      <c r="J3502" s="12">
        <f>G3502*(D3502*Assumptions!$B$6+E3502*Assumptions!$B$7)</f>
        <v>2.1472905165252406E-3</v>
      </c>
    </row>
    <row r="3503" spans="1:10" x14ac:dyDescent="0.2">
      <c r="A3503" s="2">
        <v>3495</v>
      </c>
      <c r="B3503" s="14">
        <f>A3503*Assumptions!$B$12</f>
        <v>34.950000000000003</v>
      </c>
      <c r="C3503" s="15">
        <f>IF(A3503&lt;=Assumptions!$B$13,IF(OR(A3503=0,A3503=Assumptions!$B$13),0.5,1),0)*Assumptions!$B$12</f>
        <v>0</v>
      </c>
      <c r="D3503" s="12">
        <f>D3502*(1-Assumptions!$B$12*(Assumptions!$B$5+Assumptions!$B$6))</f>
        <v>0.3504079238452541</v>
      </c>
      <c r="E3503" s="12">
        <f>E3502+Assumptions!$B$12*(D3502*Assumptions!$B$5-E3502*Assumptions!$B$7)</f>
        <v>0.1762751183077631</v>
      </c>
      <c r="F3503" s="12">
        <f t="shared" si="162"/>
        <v>0.4733169578469828</v>
      </c>
      <c r="G3503" s="12">
        <f>EXP(-Assumptions!$B$8*B3503)</f>
        <v>0.17420892180546377</v>
      </c>
      <c r="H3503" s="12">
        <f t="shared" si="163"/>
        <v>6.1044186605172773E-2</v>
      </c>
      <c r="I3503" s="12">
        <f t="shared" si="164"/>
        <v>3.0708698301525977E-2</v>
      </c>
      <c r="J3503" s="12">
        <f>G3503*(D3503*Assumptions!$B$6+E3503*Assumptions!$B$7)</f>
        <v>2.1458767811280265E-3</v>
      </c>
    </row>
    <row r="3504" spans="1:10" x14ac:dyDescent="0.2">
      <c r="A3504" s="2">
        <v>3496</v>
      </c>
      <c r="B3504" s="14">
        <f>A3504*Assumptions!$B$12</f>
        <v>34.96</v>
      </c>
      <c r="C3504" s="15">
        <f>IF(A3504&lt;=Assumptions!$B$13,IF(OR(A3504=0,A3504=Assumptions!$B$13),0.5,1),0)*Assumptions!$B$12</f>
        <v>0</v>
      </c>
      <c r="D3504" s="12">
        <f>D3503*(1-Assumptions!$B$12*(Assumptions!$B$5+Assumptions!$B$6))</f>
        <v>0.35030280146810056</v>
      </c>
      <c r="E3504" s="12">
        <f>E3503+Assumptions!$B$12*(D3503*Assumptions!$B$5-E3503*Assumptions!$B$7)</f>
        <v>0.17625706233337826</v>
      </c>
      <c r="F3504" s="12">
        <f t="shared" si="162"/>
        <v>0.47344013619852121</v>
      </c>
      <c r="G3504" s="12">
        <f>EXP(-Assumptions!$B$8*B3504)</f>
        <v>0.17412183911704737</v>
      </c>
      <c r="H3504" s="12">
        <f t="shared" si="163"/>
        <v>6.0995368039479594E-2</v>
      </c>
      <c r="I3504" s="12">
        <f t="shared" si="164"/>
        <v>3.0690203850855882E-2</v>
      </c>
      <c r="J3504" s="12">
        <f>G3504*(D3504*Assumptions!$B$6+E3504*Assumptions!$B$7)</f>
        <v>2.1444638729375899E-3</v>
      </c>
    </row>
    <row r="3505" spans="1:10" x14ac:dyDescent="0.2">
      <c r="A3505" s="2">
        <v>3497</v>
      </c>
      <c r="B3505" s="14">
        <f>A3505*Assumptions!$B$12</f>
        <v>34.97</v>
      </c>
      <c r="C3505" s="15">
        <f>IF(A3505&lt;=Assumptions!$B$13,IF(OR(A3505=0,A3505=Assumptions!$B$13),0.5,1),0)*Assumptions!$B$12</f>
        <v>0</v>
      </c>
      <c r="D3505" s="12">
        <f>D3504*(1-Assumptions!$B$12*(Assumptions!$B$5+Assumptions!$B$6))</f>
        <v>0.35019771062766014</v>
      </c>
      <c r="E3505" s="12">
        <f>E3504+Assumptions!$B$12*(D3504*Assumptions!$B$5-E3504*Assumptions!$B$7)</f>
        <v>0.1762389943625052</v>
      </c>
      <c r="F3505" s="12">
        <f t="shared" si="162"/>
        <v>0.47356329500983463</v>
      </c>
      <c r="G3505" s="12">
        <f>EXP(-Assumptions!$B$8*B3505)</f>
        <v>0.17403479995909168</v>
      </c>
      <c r="H3505" s="12">
        <f t="shared" si="163"/>
        <v>6.0946588515216706E-2</v>
      </c>
      <c r="I3505" s="12">
        <f t="shared" si="164"/>
        <v>3.0671718128870078E-2</v>
      </c>
      <c r="J3505" s="12">
        <f>G3505*(D3505*Assumptions!$B$6+E3505*Assumptions!$B$7)</f>
        <v>2.1430517915956714E-3</v>
      </c>
    </row>
    <row r="3506" spans="1:10" x14ac:dyDescent="0.2">
      <c r="A3506" s="2">
        <v>3498</v>
      </c>
      <c r="B3506" s="14">
        <f>A3506*Assumptions!$B$12</f>
        <v>34.980000000000004</v>
      </c>
      <c r="C3506" s="15">
        <f>IF(A3506&lt;=Assumptions!$B$13,IF(OR(A3506=0,A3506=Assumptions!$B$13),0.5,1),0)*Assumptions!$B$12</f>
        <v>0</v>
      </c>
      <c r="D3506" s="12">
        <f>D3505*(1-Assumptions!$B$12*(Assumptions!$B$5+Assumptions!$B$6))</f>
        <v>0.35009265131447187</v>
      </c>
      <c r="E3506" s="12">
        <f>E3505+Assumptions!$B$12*(D3505*Assumptions!$B$5-E3505*Assumptions!$B$7)</f>
        <v>0.17622091440744947</v>
      </c>
      <c r="F3506" s="12">
        <f t="shared" si="162"/>
        <v>0.47368643427807866</v>
      </c>
      <c r="G3506" s="12">
        <f>EXP(-Assumptions!$B$8*B3506)</f>
        <v>0.17394780430983681</v>
      </c>
      <c r="H3506" s="12">
        <f t="shared" si="163"/>
        <v>6.0897848001161686E-2</v>
      </c>
      <c r="I3506" s="12">
        <f t="shared" si="164"/>
        <v>3.0653241134647524E-2</v>
      </c>
      <c r="J3506" s="12">
        <f>G3506*(D3506*Assumptions!$B$6+E3506*Assumptions!$B$7)</f>
        <v>2.1416405367439932E-3</v>
      </c>
    </row>
    <row r="3507" spans="1:10" x14ac:dyDescent="0.2">
      <c r="A3507" s="2">
        <v>3499</v>
      </c>
      <c r="B3507" s="14">
        <f>A3507*Assumptions!$B$12</f>
        <v>34.99</v>
      </c>
      <c r="C3507" s="15">
        <f>IF(A3507&lt;=Assumptions!$B$13,IF(OR(A3507=0,A3507=Assumptions!$B$13),0.5,1),0)*Assumptions!$B$12</f>
        <v>0</v>
      </c>
      <c r="D3507" s="12">
        <f>D3506*(1-Assumptions!$B$12*(Assumptions!$B$5+Assumptions!$B$6))</f>
        <v>0.34998762351907753</v>
      </c>
      <c r="E3507" s="12">
        <f>E3506+Assumptions!$B$12*(D3506*Assumptions!$B$5-E3506*Assumptions!$B$7)</f>
        <v>0.17620282248050864</v>
      </c>
      <c r="F3507" s="12">
        <f t="shared" si="162"/>
        <v>0.4738095540004138</v>
      </c>
      <c r="G3507" s="12">
        <f>EXP(-Assumptions!$B$8*B3507)</f>
        <v>0.17386085214753397</v>
      </c>
      <c r="H3507" s="12">
        <f t="shared" si="163"/>
        <v>6.0849146466117117E-2</v>
      </c>
      <c r="I3507" s="12">
        <f t="shared" si="164"/>
        <v>3.0634772867261888E-2</v>
      </c>
      <c r="J3507" s="12">
        <f>G3507*(D3507*Assumptions!$B$6+E3507*Assumptions!$B$7)</f>
        <v>2.1402301080242657E-3</v>
      </c>
    </row>
    <row r="3508" spans="1:10" x14ac:dyDescent="0.2">
      <c r="A3508" s="2">
        <v>3500</v>
      </c>
      <c r="B3508" s="14">
        <f>A3508*Assumptions!$B$12</f>
        <v>35</v>
      </c>
      <c r="C3508" s="15">
        <f>IF(A3508&lt;=Assumptions!$B$13,IF(OR(A3508=0,A3508=Assumptions!$B$13),0.5,1),0)*Assumptions!$B$12</f>
        <v>0</v>
      </c>
      <c r="D3508" s="12">
        <f>D3507*(1-Assumptions!$B$12*(Assumptions!$B$5+Assumptions!$B$6))</f>
        <v>0.34988262723202179</v>
      </c>
      <c r="E3508" s="12">
        <f>E3507+Assumptions!$B$12*(D3507*Assumptions!$B$5-E3507*Assumptions!$B$7)</f>
        <v>0.17618471859397219</v>
      </c>
      <c r="F3508" s="12">
        <f t="shared" si="162"/>
        <v>0.47393265417400599</v>
      </c>
      <c r="G3508" s="12">
        <f>EXP(-Assumptions!$B$8*B3508)</f>
        <v>0.17377394345044514</v>
      </c>
      <c r="H3508" s="12">
        <f t="shared" si="163"/>
        <v>6.080048387891053E-2</v>
      </c>
      <c r="I3508" s="12">
        <f t="shared" si="164"/>
        <v>3.0616313325781516E-2</v>
      </c>
      <c r="J3508" s="12">
        <f>G3508*(D3508*Assumptions!$B$6+E3508*Assumptions!$B$7)</f>
        <v>2.1388205050781811E-3</v>
      </c>
    </row>
    <row r="3509" spans="1:10" x14ac:dyDescent="0.2">
      <c r="A3509" s="2">
        <v>3501</v>
      </c>
      <c r="B3509" s="14">
        <f>A3509*Assumptions!$B$12</f>
        <v>35.01</v>
      </c>
      <c r="C3509" s="15">
        <f>IF(A3509&lt;=Assumptions!$B$13,IF(OR(A3509=0,A3509=Assumptions!$B$13),0.5,1),0)*Assumptions!$B$12</f>
        <v>0</v>
      </c>
      <c r="D3509" s="12">
        <f>D3508*(1-Assumptions!$B$12*(Assumptions!$B$5+Assumptions!$B$6))</f>
        <v>0.34977766244385222</v>
      </c>
      <c r="E3509" s="12">
        <f>E3508+Assumptions!$B$12*(D3508*Assumptions!$B$5-E3508*Assumptions!$B$7)</f>
        <v>0.17616660276012161</v>
      </c>
      <c r="F3509" s="12">
        <f t="shared" si="162"/>
        <v>0.47405573479602614</v>
      </c>
      <c r="G3509" s="12">
        <f>EXP(-Assumptions!$B$8*B3509)</f>
        <v>0.17368707819684301</v>
      </c>
      <c r="H3509" s="12">
        <f t="shared" si="163"/>
        <v>6.075186020839432E-2</v>
      </c>
      <c r="I3509" s="12">
        <f t="shared" si="164"/>
        <v>3.0597862509269422E-2</v>
      </c>
      <c r="J3509" s="12">
        <f>G3509*(D3509*Assumptions!$B$6+E3509*Assumptions!$B$7)</f>
        <v>2.1374117275474143E-3</v>
      </c>
    </row>
    <row r="3510" spans="1:10" x14ac:dyDescent="0.2">
      <c r="A3510" s="2">
        <v>3502</v>
      </c>
      <c r="B3510" s="14">
        <f>A3510*Assumptions!$B$12</f>
        <v>35.020000000000003</v>
      </c>
      <c r="C3510" s="15">
        <f>IF(A3510&lt;=Assumptions!$B$13,IF(OR(A3510=0,A3510=Assumptions!$B$13),0.5,1),0)*Assumptions!$B$12</f>
        <v>0</v>
      </c>
      <c r="D3510" s="12">
        <f>D3509*(1-Assumptions!$B$12*(Assumptions!$B$5+Assumptions!$B$6))</f>
        <v>0.3496727291451191</v>
      </c>
      <c r="E3510" s="12">
        <f>E3509+Assumptions!$B$12*(D3509*Assumptions!$B$5-E3509*Assumptions!$B$7)</f>
        <v>0.17614847499123032</v>
      </c>
      <c r="F3510" s="12">
        <f t="shared" si="162"/>
        <v>0.47417879586365053</v>
      </c>
      <c r="G3510" s="12">
        <f>EXP(-Assumptions!$B$8*B3510)</f>
        <v>0.17360025636501125</v>
      </c>
      <c r="H3510" s="12">
        <f t="shared" si="163"/>
        <v>6.0703275423445814E-2</v>
      </c>
      <c r="I3510" s="12">
        <f t="shared" si="164"/>
        <v>3.0579420416783357E-2</v>
      </c>
      <c r="J3510" s="12">
        <f>G3510*(D3510*Assumptions!$B$6+E3510*Assumptions!$B$7)</f>
        <v>2.1360037750736264E-3</v>
      </c>
    </row>
    <row r="3511" spans="1:10" x14ac:dyDescent="0.2">
      <c r="A3511" s="2">
        <v>3503</v>
      </c>
      <c r="B3511" s="14">
        <f>A3511*Assumptions!$B$12</f>
        <v>35.03</v>
      </c>
      <c r="C3511" s="15">
        <f>IF(A3511&lt;=Assumptions!$B$13,IF(OR(A3511=0,A3511=Assumptions!$B$13),0.5,1),0)*Assumptions!$B$12</f>
        <v>0</v>
      </c>
      <c r="D3511" s="12">
        <f>D3510*(1-Assumptions!$B$12*(Assumptions!$B$5+Assumptions!$B$6))</f>
        <v>0.34956782732637559</v>
      </c>
      <c r="E3511" s="12">
        <f>E3510+Assumptions!$B$12*(D3510*Assumptions!$B$5-E3510*Assumptions!$B$7)</f>
        <v>0.17613033529956373</v>
      </c>
      <c r="F3511" s="12">
        <f t="shared" si="162"/>
        <v>0.47430183737406068</v>
      </c>
      <c r="G3511" s="12">
        <f>EXP(-Assumptions!$B$8*B3511)</f>
        <v>0.17351347793324462</v>
      </c>
      <c r="H3511" s="12">
        <f t="shared" si="163"/>
        <v>6.0654729492967338E-2</v>
      </c>
      <c r="I3511" s="12">
        <f t="shared" si="164"/>
        <v>3.0560987047375827E-2</v>
      </c>
      <c r="J3511" s="12">
        <f>G3511*(D3511*Assumptions!$B$6+E3511*Assumptions!$B$7)</f>
        <v>2.1345966472984647E-3</v>
      </c>
    </row>
    <row r="3512" spans="1:10" x14ac:dyDescent="0.2">
      <c r="A3512" s="2">
        <v>3504</v>
      </c>
      <c r="B3512" s="14">
        <f>A3512*Assumptions!$B$12</f>
        <v>35.04</v>
      </c>
      <c r="C3512" s="15">
        <f>IF(A3512&lt;=Assumptions!$B$13,IF(OR(A3512=0,A3512=Assumptions!$B$13),0.5,1),0)*Assumptions!$B$12</f>
        <v>0</v>
      </c>
      <c r="D3512" s="12">
        <f>D3511*(1-Assumptions!$B$12*(Assumptions!$B$5+Assumptions!$B$6))</f>
        <v>0.3494629569781777</v>
      </c>
      <c r="E3512" s="12">
        <f>E3511+Assumptions!$B$12*(D3511*Assumptions!$B$5-E3511*Assumptions!$B$7)</f>
        <v>0.17611218369737922</v>
      </c>
      <c r="F3512" s="12">
        <f t="shared" si="162"/>
        <v>0.474424859324443</v>
      </c>
      <c r="G3512" s="12">
        <f>EXP(-Assumptions!$B$8*B3512)</f>
        <v>0.17342674287984836</v>
      </c>
      <c r="H3512" s="12">
        <f t="shared" si="163"/>
        <v>6.0606222385885929E-2</v>
      </c>
      <c r="I3512" s="12">
        <f t="shared" si="164"/>
        <v>3.0542562400094005E-2</v>
      </c>
      <c r="J3512" s="12">
        <f>G3512*(D3512*Assumptions!$B$6+E3512*Assumptions!$B$7)</f>
        <v>2.1331903438635597E-3</v>
      </c>
    </row>
    <row r="3513" spans="1:10" x14ac:dyDescent="0.2">
      <c r="A3513" s="2">
        <v>3505</v>
      </c>
      <c r="B3513" s="14">
        <f>A3513*Assumptions!$B$12</f>
        <v>35.050000000000004</v>
      </c>
      <c r="C3513" s="15">
        <f>IF(A3513&lt;=Assumptions!$B$13,IF(OR(A3513=0,A3513=Assumptions!$B$13),0.5,1),0)*Assumptions!$B$12</f>
        <v>0</v>
      </c>
      <c r="D3513" s="12">
        <f>D3512*(1-Assumptions!$B$12*(Assumptions!$B$5+Assumptions!$B$6))</f>
        <v>0.34935811809108425</v>
      </c>
      <c r="E3513" s="12">
        <f>E3512+Assumptions!$B$12*(D3512*Assumptions!$B$5-E3512*Assumptions!$B$7)</f>
        <v>0.17609402019692616</v>
      </c>
      <c r="F3513" s="12">
        <f t="shared" si="162"/>
        <v>0.47454786171198954</v>
      </c>
      <c r="G3513" s="12">
        <f>EXP(-Assumptions!$B$8*B3513)</f>
        <v>0.17334005118313861</v>
      </c>
      <c r="H3513" s="12">
        <f t="shared" si="163"/>
        <v>6.0557754071153526E-2</v>
      </c>
      <c r="I3513" s="12">
        <f t="shared" si="164"/>
        <v>3.0524146473979826E-2</v>
      </c>
      <c r="J3513" s="12">
        <f>G3513*(D3513*Assumptions!$B$6+E3513*Assumptions!$B$7)</f>
        <v>2.1317848644105265E-3</v>
      </c>
    </row>
    <row r="3514" spans="1:10" x14ac:dyDescent="0.2">
      <c r="A3514" s="2">
        <v>3506</v>
      </c>
      <c r="B3514" s="14">
        <f>A3514*Assumptions!$B$12</f>
        <v>35.06</v>
      </c>
      <c r="C3514" s="15">
        <f>IF(A3514&lt;=Assumptions!$B$13,IF(OR(A3514=0,A3514=Assumptions!$B$13),0.5,1),0)*Assumptions!$B$12</f>
        <v>0</v>
      </c>
      <c r="D3514" s="12">
        <f>D3513*(1-Assumptions!$B$12*(Assumptions!$B$5+Assumptions!$B$6))</f>
        <v>0.34925331065565696</v>
      </c>
      <c r="E3514" s="12">
        <f>E3513+Assumptions!$B$12*(D3513*Assumptions!$B$5-E3513*Assumptions!$B$7)</f>
        <v>0.17607584481044591</v>
      </c>
      <c r="F3514" s="12">
        <f t="shared" si="162"/>
        <v>0.47467084453389707</v>
      </c>
      <c r="G3514" s="12">
        <f>EXP(-Assumptions!$B$8*B3514)</f>
        <v>0.17325340282144269</v>
      </c>
      <c r="H3514" s="12">
        <f t="shared" si="163"/>
        <v>6.0509324517747001E-2</v>
      </c>
      <c r="I3514" s="12">
        <f t="shared" si="164"/>
        <v>3.0505739268070015E-2</v>
      </c>
      <c r="J3514" s="12">
        <f>G3514*(D3514*Assumptions!$B$6+E3514*Assumptions!$B$7)</f>
        <v>2.1303802085809709E-3</v>
      </c>
    </row>
    <row r="3515" spans="1:10" x14ac:dyDescent="0.2">
      <c r="A3515" s="2">
        <v>3507</v>
      </c>
      <c r="B3515" s="14">
        <f>A3515*Assumptions!$B$12</f>
        <v>35.07</v>
      </c>
      <c r="C3515" s="15">
        <f>IF(A3515&lt;=Assumptions!$B$13,IF(OR(A3515=0,A3515=Assumptions!$B$13),0.5,1),0)*Assumptions!$B$12</f>
        <v>0</v>
      </c>
      <c r="D3515" s="12">
        <f>D3514*(1-Assumptions!$B$12*(Assumptions!$B$5+Assumptions!$B$6))</f>
        <v>0.34914853466246026</v>
      </c>
      <c r="E3515" s="12">
        <f>E3514+Assumptions!$B$12*(D3514*Assumptions!$B$5-E3514*Assumptions!$B$7)</f>
        <v>0.17605765755017183</v>
      </c>
      <c r="F3515" s="12">
        <f t="shared" si="162"/>
        <v>0.47479380778736785</v>
      </c>
      <c r="G3515" s="12">
        <f>EXP(-Assumptions!$B$8*B3515)</f>
        <v>0.17316679777309835</v>
      </c>
      <c r="H3515" s="12">
        <f t="shared" si="163"/>
        <v>6.0460933694667873E-2</v>
      </c>
      <c r="I3515" s="12">
        <f t="shared" si="164"/>
        <v>3.0487340781396005E-2</v>
      </c>
      <c r="J3515" s="12">
        <f>G3515*(D3515*Assumptions!$B$6+E3515*Assumptions!$B$7)</f>
        <v>2.1289763760164791E-3</v>
      </c>
    </row>
    <row r="3516" spans="1:10" x14ac:dyDescent="0.2">
      <c r="A3516" s="2">
        <v>3508</v>
      </c>
      <c r="B3516" s="14">
        <f>A3516*Assumptions!$B$12</f>
        <v>35.08</v>
      </c>
      <c r="C3516" s="15">
        <f>IF(A3516&lt;=Assumptions!$B$13,IF(OR(A3516=0,A3516=Assumptions!$B$13),0.5,1),0)*Assumptions!$B$12</f>
        <v>0</v>
      </c>
      <c r="D3516" s="12">
        <f>D3515*(1-Assumptions!$B$12*(Assumptions!$B$5+Assumptions!$B$6))</f>
        <v>0.34904379010206155</v>
      </c>
      <c r="E3516" s="12">
        <f>E3515+Assumptions!$B$12*(D3515*Assumptions!$B$5-E3515*Assumptions!$B$7)</f>
        <v>0.17603945842832924</v>
      </c>
      <c r="F3516" s="12">
        <f t="shared" si="162"/>
        <v>0.47491675146960921</v>
      </c>
      <c r="G3516" s="12">
        <f>EXP(-Assumptions!$B$8*B3516)</f>
        <v>0.17308023601645434</v>
      </c>
      <c r="H3516" s="12">
        <f t="shared" si="163"/>
        <v>6.0412581570942557E-2</v>
      </c>
      <c r="I3516" s="12">
        <f t="shared" si="164"/>
        <v>3.0468951012984028E-2</v>
      </c>
      <c r="J3516" s="12">
        <f>G3516*(D3516*Assumptions!$B$6+E3516*Assumptions!$B$7)</f>
        <v>2.1275733663586268E-3</v>
      </c>
    </row>
    <row r="3517" spans="1:10" x14ac:dyDescent="0.2">
      <c r="A3517" s="2">
        <v>3509</v>
      </c>
      <c r="B3517" s="14">
        <f>A3517*Assumptions!$B$12</f>
        <v>35.090000000000003</v>
      </c>
      <c r="C3517" s="15">
        <f>IF(A3517&lt;=Assumptions!$B$13,IF(OR(A3517=0,A3517=Assumptions!$B$13),0.5,1),0)*Assumptions!$B$12</f>
        <v>0</v>
      </c>
      <c r="D3517" s="12">
        <f>D3516*(1-Assumptions!$B$12*(Assumptions!$B$5+Assumptions!$B$6))</f>
        <v>0.34893907696503096</v>
      </c>
      <c r="E3517" s="12">
        <f>E3516+Assumptions!$B$12*(D3516*Assumptions!$B$5-E3516*Assumptions!$B$7)</f>
        <v>0.17602124745713549</v>
      </c>
      <c r="F3517" s="12">
        <f t="shared" si="162"/>
        <v>0.47503967557783361</v>
      </c>
      <c r="G3517" s="12">
        <f>EXP(-Assumptions!$B$8*B3517)</f>
        <v>0.17299371752987019</v>
      </c>
      <c r="H3517" s="12">
        <f t="shared" si="163"/>
        <v>6.0364268115622198E-2</v>
      </c>
      <c r="I3517" s="12">
        <f t="shared" si="164"/>
        <v>3.0450569961855078E-2</v>
      </c>
      <c r="J3517" s="12">
        <f>G3517*(D3517*Assumptions!$B$6+E3517*Assumptions!$B$7)</f>
        <v>2.1261711792489764E-3</v>
      </c>
    </row>
    <row r="3518" spans="1:10" x14ac:dyDescent="0.2">
      <c r="A3518" s="2">
        <v>3510</v>
      </c>
      <c r="B3518" s="14">
        <f>A3518*Assumptions!$B$12</f>
        <v>35.1</v>
      </c>
      <c r="C3518" s="15">
        <f>IF(A3518&lt;=Assumptions!$B$13,IF(OR(A3518=0,A3518=Assumptions!$B$13),0.5,1),0)*Assumptions!$B$12</f>
        <v>0</v>
      </c>
      <c r="D3518" s="12">
        <f>D3517*(1-Assumptions!$B$12*(Assumptions!$B$5+Assumptions!$B$6))</f>
        <v>0.34883439524194149</v>
      </c>
      <c r="E3518" s="12">
        <f>E3517+Assumptions!$B$12*(D3517*Assumptions!$B$5-E3517*Assumptions!$B$7)</f>
        <v>0.17600302464879994</v>
      </c>
      <c r="F3518" s="12">
        <f t="shared" si="162"/>
        <v>0.4751625801092586</v>
      </c>
      <c r="G3518" s="12">
        <f>EXP(-Assumptions!$B$8*B3518)</f>
        <v>0.17290724229171636</v>
      </c>
      <c r="H3518" s="12">
        <f t="shared" si="163"/>
        <v>6.0315993297782727E-2</v>
      </c>
      <c r="I3518" s="12">
        <f t="shared" si="164"/>
        <v>3.0432197627024978E-2</v>
      </c>
      <c r="J3518" s="12">
        <f>G3518*(D3518*Assumptions!$B$6+E3518*Assumptions!$B$7)</f>
        <v>2.1247698143290763E-3</v>
      </c>
    </row>
    <row r="3519" spans="1:10" x14ac:dyDescent="0.2">
      <c r="A3519" s="2">
        <v>3511</v>
      </c>
      <c r="B3519" s="14">
        <f>A3519*Assumptions!$B$12</f>
        <v>35.11</v>
      </c>
      <c r="C3519" s="15">
        <f>IF(A3519&lt;=Assumptions!$B$13,IF(OR(A3519=0,A3519=Assumptions!$B$13),0.5,1),0)*Assumptions!$B$12</f>
        <v>0</v>
      </c>
      <c r="D3519" s="12">
        <f>D3518*(1-Assumptions!$B$12*(Assumptions!$B$5+Assumptions!$B$6))</f>
        <v>0.34872974492336889</v>
      </c>
      <c r="E3519" s="12">
        <f>E3518+Assumptions!$B$12*(D3518*Assumptions!$B$5-E3518*Assumptions!$B$7)</f>
        <v>0.17598479001552392</v>
      </c>
      <c r="F3519" s="12">
        <f t="shared" si="162"/>
        <v>0.47528546506110725</v>
      </c>
      <c r="G3519" s="12">
        <f>EXP(-Assumptions!$B$8*B3519)</f>
        <v>0.17282081028037402</v>
      </c>
      <c r="H3519" s="12">
        <f t="shared" si="163"/>
        <v>6.0267757086524758E-2</v>
      </c>
      <c r="I3519" s="12">
        <f t="shared" si="164"/>
        <v>3.0413834007504321E-2</v>
      </c>
      <c r="J3519" s="12">
        <f>G3519*(D3519*Assumptions!$B$6+E3519*Assumptions!$B$7)</f>
        <v>2.1233692712404636E-3</v>
      </c>
    </row>
    <row r="3520" spans="1:10" x14ac:dyDescent="0.2">
      <c r="A3520" s="2">
        <v>3512</v>
      </c>
      <c r="B3520" s="14">
        <f>A3520*Assumptions!$B$12</f>
        <v>35.119999999999997</v>
      </c>
      <c r="C3520" s="15">
        <f>IF(A3520&lt;=Assumptions!$B$13,IF(OR(A3520=0,A3520=Assumptions!$B$13),0.5,1),0)*Assumptions!$B$12</f>
        <v>0</v>
      </c>
      <c r="D3520" s="12">
        <f>D3519*(1-Assumptions!$B$12*(Assumptions!$B$5+Assumptions!$B$6))</f>
        <v>0.34862512599989187</v>
      </c>
      <c r="E3520" s="12">
        <f>E3519+Assumptions!$B$12*(D3519*Assumptions!$B$5-E3519*Assumptions!$B$7)</f>
        <v>0.17596654356950084</v>
      </c>
      <c r="F3520" s="12">
        <f t="shared" si="162"/>
        <v>0.47540833043060737</v>
      </c>
      <c r="G3520" s="12">
        <f>EXP(-Assumptions!$B$8*B3520)</f>
        <v>0.17273442147423515</v>
      </c>
      <c r="H3520" s="12">
        <f t="shared" si="163"/>
        <v>6.021955945097366E-2</v>
      </c>
      <c r="I3520" s="12">
        <f t="shared" si="164"/>
        <v>3.039547910229852E-2</v>
      </c>
      <c r="J3520" s="12">
        <f>G3520*(D3520*Assumptions!$B$6+E3520*Assumptions!$B$7)</f>
        <v>2.1219695496246626E-3</v>
      </c>
    </row>
    <row r="3521" spans="1:10" x14ac:dyDescent="0.2">
      <c r="A3521" s="2">
        <v>3513</v>
      </c>
      <c r="B3521" s="14">
        <f>A3521*Assumptions!$B$12</f>
        <v>35.130000000000003</v>
      </c>
      <c r="C3521" s="15">
        <f>IF(A3521&lt;=Assumptions!$B$13,IF(OR(A3521=0,A3521=Assumptions!$B$13),0.5,1),0)*Assumptions!$B$12</f>
        <v>0</v>
      </c>
      <c r="D3521" s="12">
        <f>D3520*(1-Assumptions!$B$12*(Assumptions!$B$5+Assumptions!$B$6))</f>
        <v>0.34852053846209191</v>
      </c>
      <c r="E3521" s="12">
        <f>E3520+Assumptions!$B$12*(D3520*Assumptions!$B$5-E3520*Assumptions!$B$7)</f>
        <v>0.17594828532291606</v>
      </c>
      <c r="F3521" s="12">
        <f t="shared" si="162"/>
        <v>0.47553117621499197</v>
      </c>
      <c r="G3521" s="12">
        <f>EXP(-Assumptions!$B$8*B3521)</f>
        <v>0.1726480758517025</v>
      </c>
      <c r="H3521" s="12">
        <f t="shared" si="163"/>
        <v>6.0171400360279445E-2</v>
      </c>
      <c r="I3521" s="12">
        <f t="shared" si="164"/>
        <v>3.0377132910407806E-2</v>
      </c>
      <c r="J3521" s="12">
        <f>G3521*(D3521*Assumptions!$B$6+E3521*Assumptions!$B$7)</f>
        <v>2.1205706491231849E-3</v>
      </c>
    </row>
    <row r="3522" spans="1:10" x14ac:dyDescent="0.2">
      <c r="A3522" s="2">
        <v>3514</v>
      </c>
      <c r="B3522" s="14">
        <f>A3522*Assumptions!$B$12</f>
        <v>35.14</v>
      </c>
      <c r="C3522" s="15">
        <f>IF(A3522&lt;=Assumptions!$B$13,IF(OR(A3522=0,A3522=Assumptions!$B$13),0.5,1),0)*Assumptions!$B$12</f>
        <v>0</v>
      </c>
      <c r="D3522" s="12">
        <f>D3521*(1-Assumptions!$B$12*(Assumptions!$B$5+Assumptions!$B$6))</f>
        <v>0.34841598230055332</v>
      </c>
      <c r="E3522" s="12">
        <f>E3521+Assumptions!$B$12*(D3521*Assumptions!$B$5-E3521*Assumptions!$B$7)</f>
        <v>0.17593001528794702</v>
      </c>
      <c r="F3522" s="12">
        <f t="shared" si="162"/>
        <v>0.47565400241149969</v>
      </c>
      <c r="G3522" s="12">
        <f>EXP(-Assumptions!$B$8*B3522)</f>
        <v>0.17256177339118975</v>
      </c>
      <c r="H3522" s="12">
        <f t="shared" si="163"/>
        <v>6.0123279783616861E-2</v>
      </c>
      <c r="I3522" s="12">
        <f t="shared" si="164"/>
        <v>3.0358795430827264E-2</v>
      </c>
      <c r="J3522" s="12">
        <f>G3522*(D3522*Assumptions!$B$6+E3522*Assumptions!$B$7)</f>
        <v>2.119172569377532E-3</v>
      </c>
    </row>
    <row r="3523" spans="1:10" x14ac:dyDescent="0.2">
      <c r="A3523" s="2">
        <v>3515</v>
      </c>
      <c r="B3523" s="14">
        <f>A3523*Assumptions!$B$12</f>
        <v>35.15</v>
      </c>
      <c r="C3523" s="15">
        <f>IF(A3523&lt;=Assumptions!$B$13,IF(OR(A3523=0,A3523=Assumptions!$B$13),0.5,1),0)*Assumptions!$B$12</f>
        <v>0</v>
      </c>
      <c r="D3523" s="12">
        <f>D3522*(1-Assumptions!$B$12*(Assumptions!$B$5+Assumptions!$B$6))</f>
        <v>0.34831145750586318</v>
      </c>
      <c r="E3523" s="12">
        <f>E3522+Assumptions!$B$12*(D3522*Assumptions!$B$5-E3522*Assumptions!$B$7)</f>
        <v>0.17591173347676317</v>
      </c>
      <c r="F3523" s="12">
        <f t="shared" si="162"/>
        <v>0.47577680901737363</v>
      </c>
      <c r="G3523" s="12">
        <f>EXP(-Assumptions!$B$8*B3523)</f>
        <v>0.17247551407112124</v>
      </c>
      <c r="H3523" s="12">
        <f t="shared" si="163"/>
        <v>6.0075197690185253E-2</v>
      </c>
      <c r="I3523" s="12">
        <f t="shared" si="164"/>
        <v>3.0340466662546795E-2</v>
      </c>
      <c r="J3523" s="12">
        <f>G3523*(D3523*Assumptions!$B$6+E3523*Assumptions!$B$7)</f>
        <v>2.1177753100291921E-3</v>
      </c>
    </row>
    <row r="3524" spans="1:10" x14ac:dyDescent="0.2">
      <c r="A3524" s="2">
        <v>3516</v>
      </c>
      <c r="B3524" s="14">
        <f>A3524*Assumptions!$B$12</f>
        <v>35.160000000000004</v>
      </c>
      <c r="C3524" s="15">
        <f>IF(A3524&lt;=Assumptions!$B$13,IF(OR(A3524=0,A3524=Assumptions!$B$13),0.5,1),0)*Assumptions!$B$12</f>
        <v>0</v>
      </c>
      <c r="D3524" s="12">
        <f>D3523*(1-Assumptions!$B$12*(Assumptions!$B$5+Assumptions!$B$6))</f>
        <v>0.3482069640686114</v>
      </c>
      <c r="E3524" s="12">
        <f>E3523+Assumptions!$B$12*(D3523*Assumptions!$B$5-E3523*Assumptions!$B$7)</f>
        <v>0.17589343990152595</v>
      </c>
      <c r="F3524" s="12">
        <f t="shared" si="162"/>
        <v>0.47589959602986265</v>
      </c>
      <c r="G3524" s="12">
        <f>EXP(-Assumptions!$B$8*B3524)</f>
        <v>0.17238929786993212</v>
      </c>
      <c r="H3524" s="12">
        <f t="shared" si="163"/>
        <v>6.0027154049208602E-2</v>
      </c>
      <c r="I3524" s="12">
        <f t="shared" si="164"/>
        <v>3.032214660455116E-2</v>
      </c>
      <c r="J3524" s="12">
        <f>G3524*(D3524*Assumptions!$B$6+E3524*Assumptions!$B$7)</f>
        <v>2.1163788707196443E-3</v>
      </c>
    </row>
    <row r="3525" spans="1:10" x14ac:dyDescent="0.2">
      <c r="A3525" s="2">
        <v>3517</v>
      </c>
      <c r="B3525" s="14">
        <f>A3525*Assumptions!$B$12</f>
        <v>35.17</v>
      </c>
      <c r="C3525" s="15">
        <f>IF(A3525&lt;=Assumptions!$B$13,IF(OR(A3525=0,A3525=Assumptions!$B$13),0.5,1),0)*Assumptions!$B$12</f>
        <v>0</v>
      </c>
      <c r="D3525" s="12">
        <f>D3524*(1-Assumptions!$B$12*(Assumptions!$B$5+Assumptions!$B$6))</f>
        <v>0.34810250197939085</v>
      </c>
      <c r="E3525" s="12">
        <f>E3524+Assumptions!$B$12*(D3524*Assumptions!$B$5-E3524*Assumptions!$B$7)</f>
        <v>0.17587513457438891</v>
      </c>
      <c r="F3525" s="12">
        <f t="shared" si="162"/>
        <v>0.47602236344622023</v>
      </c>
      <c r="G3525" s="12">
        <f>EXP(-Assumptions!$B$8*B3525)</f>
        <v>0.17230312476606841</v>
      </c>
      <c r="H3525" s="12">
        <f t="shared" si="163"/>
        <v>5.9979148829935554E-2</v>
      </c>
      <c r="I3525" s="12">
        <f t="shared" si="164"/>
        <v>3.0303835255820005E-2</v>
      </c>
      <c r="J3525" s="12">
        <f>G3525*(D3525*Assumptions!$B$6+E3525*Assumptions!$B$7)</f>
        <v>2.1149832510903555E-3</v>
      </c>
    </row>
    <row r="3526" spans="1:10" x14ac:dyDescent="0.2">
      <c r="A3526" s="2">
        <v>3518</v>
      </c>
      <c r="B3526" s="14">
        <f>A3526*Assumptions!$B$12</f>
        <v>35.18</v>
      </c>
      <c r="C3526" s="15">
        <f>IF(A3526&lt;=Assumptions!$B$13,IF(OR(A3526=0,A3526=Assumptions!$B$13),0.5,1),0)*Assumptions!$B$12</f>
        <v>0</v>
      </c>
      <c r="D3526" s="12">
        <f>D3525*(1-Assumptions!$B$12*(Assumptions!$B$5+Assumptions!$B$6))</f>
        <v>0.34799807122879706</v>
      </c>
      <c r="E3526" s="12">
        <f>E3525+Assumptions!$B$12*(D3525*Assumptions!$B$5-E3525*Assumptions!$B$7)</f>
        <v>0.1758568175074976</v>
      </c>
      <c r="F3526" s="12">
        <f t="shared" si="162"/>
        <v>0.47614511126370529</v>
      </c>
      <c r="G3526" s="12">
        <f>EXP(-Assumptions!$B$8*B3526)</f>
        <v>0.17221699473798679</v>
      </c>
      <c r="H3526" s="12">
        <f t="shared" si="163"/>
        <v>5.9931182001639299E-2</v>
      </c>
      <c r="I3526" s="12">
        <f t="shared" si="164"/>
        <v>3.0285532615327817E-2</v>
      </c>
      <c r="J3526" s="12">
        <f>G3526*(D3526*Assumptions!$B$6+E3526*Assumptions!$B$7)</f>
        <v>2.1135884507827839E-3</v>
      </c>
    </row>
    <row r="3527" spans="1:10" x14ac:dyDescent="0.2">
      <c r="A3527" s="2">
        <v>3519</v>
      </c>
      <c r="B3527" s="14">
        <f>A3527*Assumptions!$B$12</f>
        <v>35.19</v>
      </c>
      <c r="C3527" s="15">
        <f>IF(A3527&lt;=Assumptions!$B$13,IF(OR(A3527=0,A3527=Assumptions!$B$13),0.5,1),0)*Assumptions!$B$12</f>
        <v>0</v>
      </c>
      <c r="D3527" s="12">
        <f>D3526*(1-Assumptions!$B$12*(Assumptions!$B$5+Assumptions!$B$6))</f>
        <v>0.34789367180742842</v>
      </c>
      <c r="E3527" s="12">
        <f>E3526+Assumptions!$B$12*(D3526*Assumptions!$B$5-E3526*Assumptions!$B$7)</f>
        <v>0.1758384887129896</v>
      </c>
      <c r="F3527" s="12">
        <f t="shared" si="162"/>
        <v>0.47626783947958207</v>
      </c>
      <c r="G3527" s="12">
        <f>EXP(-Assumptions!$B$8*B3527)</f>
        <v>0.17213090776415474</v>
      </c>
      <c r="H3527" s="12">
        <f t="shared" si="163"/>
        <v>5.9883253533617578E-2</v>
      </c>
      <c r="I3527" s="12">
        <f t="shared" si="164"/>
        <v>3.0267238682043975E-2</v>
      </c>
      <c r="J3527" s="12">
        <f>G3527*(D3527*Assumptions!$B$6+E3527*Assumptions!$B$7)</f>
        <v>2.1121944694383744E-3</v>
      </c>
    </row>
    <row r="3528" spans="1:10" x14ac:dyDescent="0.2">
      <c r="A3528" s="2">
        <v>3520</v>
      </c>
      <c r="B3528" s="14">
        <f>A3528*Assumptions!$B$12</f>
        <v>35.200000000000003</v>
      </c>
      <c r="C3528" s="15">
        <f>IF(A3528&lt;=Assumptions!$B$13,IF(OR(A3528=0,A3528=Assumptions!$B$13),0.5,1),0)*Assumptions!$B$12</f>
        <v>0</v>
      </c>
      <c r="D3528" s="12">
        <f>D3527*(1-Assumptions!$B$12*(Assumptions!$B$5+Assumptions!$B$6))</f>
        <v>0.34778930370588618</v>
      </c>
      <c r="E3528" s="12">
        <f>E3527+Assumptions!$B$12*(D3527*Assumptions!$B$5-E3527*Assumptions!$B$7)</f>
        <v>0.1758201482029946</v>
      </c>
      <c r="F3528" s="12">
        <f t="shared" ref="F3528:F3591" si="165">1-D3528-E3528</f>
        <v>0.47639054809111925</v>
      </c>
      <c r="G3528" s="12">
        <f>EXP(-Assumptions!$B$8*B3528)</f>
        <v>0.17204486382305048</v>
      </c>
      <c r="H3528" s="12">
        <f t="shared" ref="H3528:H3591" si="166">G3528*D3528</f>
        <v>5.9835363395192735E-2</v>
      </c>
      <c r="I3528" s="12">
        <f t="shared" ref="I3528:I3591" si="167">G3528*E3528</f>
        <v>3.024895345493276E-2</v>
      </c>
      <c r="J3528" s="12">
        <f>G3528*(D3528*Assumptions!$B$6+E3528*Assumptions!$B$7)</f>
        <v>2.1108013066985652E-3</v>
      </c>
    </row>
    <row r="3529" spans="1:10" x14ac:dyDescent="0.2">
      <c r="A3529" s="2">
        <v>3521</v>
      </c>
      <c r="B3529" s="14">
        <f>A3529*Assumptions!$B$12</f>
        <v>35.21</v>
      </c>
      <c r="C3529" s="15">
        <f>IF(A3529&lt;=Assumptions!$B$13,IF(OR(A3529=0,A3529=Assumptions!$B$13),0.5,1),0)*Assumptions!$B$12</f>
        <v>0</v>
      </c>
      <c r="D3529" s="12">
        <f>D3528*(1-Assumptions!$B$12*(Assumptions!$B$5+Assumptions!$B$6))</f>
        <v>0.34768496691477441</v>
      </c>
      <c r="E3529" s="12">
        <f>E3528+Assumptions!$B$12*(D3528*Assumptions!$B$5-E3528*Assumptions!$B$7)</f>
        <v>0.17580179598963427</v>
      </c>
      <c r="F3529" s="12">
        <f t="shared" si="165"/>
        <v>0.47651323709559135</v>
      </c>
      <c r="G3529" s="12">
        <f>EXP(-Assumptions!$B$8*B3529)</f>
        <v>0.17195886289316314</v>
      </c>
      <c r="H3529" s="12">
        <f t="shared" si="166"/>
        <v>5.9787511555711659E-2</v>
      </c>
      <c r="I3529" s="12">
        <f t="shared" si="167"/>
        <v>3.0230676932953358E-2</v>
      </c>
      <c r="J3529" s="12">
        <f>G3529*(D3529*Assumptions!$B$6+E3529*Assumptions!$B$7)</f>
        <v>2.1094089622047847E-3</v>
      </c>
    </row>
    <row r="3530" spans="1:10" x14ac:dyDescent="0.2">
      <c r="A3530" s="2">
        <v>3522</v>
      </c>
      <c r="B3530" s="14">
        <f>A3530*Assumptions!$B$12</f>
        <v>35.22</v>
      </c>
      <c r="C3530" s="15">
        <f>IF(A3530&lt;=Assumptions!$B$13,IF(OR(A3530=0,A3530=Assumptions!$B$13),0.5,1),0)*Assumptions!$B$12</f>
        <v>0</v>
      </c>
      <c r="D3530" s="12">
        <f>D3529*(1-Assumptions!$B$12*(Assumptions!$B$5+Assumptions!$B$6))</f>
        <v>0.34758066142470001</v>
      </c>
      <c r="E3530" s="12">
        <f>E3529+Assumptions!$B$12*(D3529*Assumptions!$B$5-E3529*Assumptions!$B$7)</f>
        <v>0.17578343208502242</v>
      </c>
      <c r="F3530" s="12">
        <f t="shared" si="165"/>
        <v>0.47663590649027754</v>
      </c>
      <c r="G3530" s="12">
        <f>EXP(-Assumptions!$B$8*B3530)</f>
        <v>0.1718729049529924</v>
      </c>
      <c r="H3530" s="12">
        <f t="shared" si="166"/>
        <v>5.9739697984545696E-2</v>
      </c>
      <c r="I3530" s="12">
        <f t="shared" si="167"/>
        <v>3.0212409115059853E-2</v>
      </c>
      <c r="J3530" s="12">
        <f>G3530*(D3530*Assumptions!$B$6+E3530*Assumptions!$B$7)</f>
        <v>2.1080174355984499E-3</v>
      </c>
    </row>
    <row r="3531" spans="1:10" x14ac:dyDescent="0.2">
      <c r="A3531" s="2">
        <v>3523</v>
      </c>
      <c r="B3531" s="14">
        <f>A3531*Assumptions!$B$12</f>
        <v>35.230000000000004</v>
      </c>
      <c r="C3531" s="15">
        <f>IF(A3531&lt;=Assumptions!$B$13,IF(OR(A3531=0,A3531=Assumptions!$B$13),0.5,1),0)*Assumptions!$B$12</f>
        <v>0</v>
      </c>
      <c r="D3531" s="12">
        <f>D3530*(1-Assumptions!$B$12*(Assumptions!$B$5+Assumptions!$B$6))</f>
        <v>0.34747638722627261</v>
      </c>
      <c r="E3531" s="12">
        <f>E3530+Assumptions!$B$12*(D3530*Assumptions!$B$5-E3530*Assumptions!$B$7)</f>
        <v>0.17576505650126484</v>
      </c>
      <c r="F3531" s="12">
        <f t="shared" si="165"/>
        <v>0.47675855627246255</v>
      </c>
      <c r="G3531" s="12">
        <f>EXP(-Assumptions!$B$8*B3531)</f>
        <v>0.17178698998104874</v>
      </c>
      <c r="H3531" s="12">
        <f t="shared" si="166"/>
        <v>5.9691922651090704E-2</v>
      </c>
      <c r="I3531" s="12">
        <f t="shared" si="167"/>
        <v>3.0194150000201248E-2</v>
      </c>
      <c r="J3531" s="12">
        <f>G3531*(D3531*Assumptions!$B$6+E3531*Assumptions!$B$7)</f>
        <v>2.1066267265209696E-3</v>
      </c>
    </row>
    <row r="3532" spans="1:10" x14ac:dyDescent="0.2">
      <c r="A3532" s="2">
        <v>3524</v>
      </c>
      <c r="B3532" s="14">
        <f>A3532*Assumptions!$B$12</f>
        <v>35.24</v>
      </c>
      <c r="C3532" s="15">
        <f>IF(A3532&lt;=Assumptions!$B$13,IF(OR(A3532=0,A3532=Assumptions!$B$13),0.5,1),0)*Assumptions!$B$12</f>
        <v>0</v>
      </c>
      <c r="D3532" s="12">
        <f>D3531*(1-Assumptions!$B$12*(Assumptions!$B$5+Assumptions!$B$6))</f>
        <v>0.34737214431010471</v>
      </c>
      <c r="E3532" s="12">
        <f>E3531+Assumptions!$B$12*(D3531*Assumptions!$B$5-E3531*Assumptions!$B$7)</f>
        <v>0.17574666925045945</v>
      </c>
      <c r="F3532" s="12">
        <f t="shared" si="165"/>
        <v>0.47688118643943578</v>
      </c>
      <c r="G3532" s="12">
        <f>EXP(-Assumptions!$B$8*B3532)</f>
        <v>0.17170111795585352</v>
      </c>
      <c r="H3532" s="12">
        <f t="shared" si="166"/>
        <v>5.9644185524767059E-2</v>
      </c>
      <c r="I3532" s="12">
        <f t="shared" si="167"/>
        <v>3.0175899587321513E-2</v>
      </c>
      <c r="J3532" s="12">
        <f>G3532*(D3532*Assumptions!$B$6+E3532*Assumptions!$B$7)</f>
        <v>2.1052368346137465E-3</v>
      </c>
    </row>
    <row r="3533" spans="1:10" x14ac:dyDescent="0.2">
      <c r="A3533" s="2">
        <v>3525</v>
      </c>
      <c r="B3533" s="14">
        <f>A3533*Assumptions!$B$12</f>
        <v>35.25</v>
      </c>
      <c r="C3533" s="15">
        <f>IF(A3533&lt;=Assumptions!$B$13,IF(OR(A3533=0,A3533=Assumptions!$B$13),0.5,1),0)*Assumptions!$B$12</f>
        <v>0</v>
      </c>
      <c r="D3533" s="12">
        <f>D3532*(1-Assumptions!$B$12*(Assumptions!$B$5+Assumptions!$B$6))</f>
        <v>0.34726793266681172</v>
      </c>
      <c r="E3533" s="12">
        <f>E3532+Assumptions!$B$12*(D3532*Assumptions!$B$5-E3532*Assumptions!$B$7)</f>
        <v>0.17572827034469624</v>
      </c>
      <c r="F3533" s="12">
        <f t="shared" si="165"/>
        <v>0.47700379698849199</v>
      </c>
      <c r="G3533" s="12">
        <f>EXP(-Assumptions!$B$8*B3533)</f>
        <v>0.17161528885593871</v>
      </c>
      <c r="H3533" s="12">
        <f t="shared" si="166"/>
        <v>5.9596486575019571E-2</v>
      </c>
      <c r="I3533" s="12">
        <f t="shared" si="167"/>
        <v>3.0157657875359532E-2</v>
      </c>
      <c r="J3533" s="12">
        <f>G3533*(D3533*Assumptions!$B$6+E3533*Assumptions!$B$7)</f>
        <v>2.1038477595181726E-3</v>
      </c>
    </row>
    <row r="3534" spans="1:10" x14ac:dyDescent="0.2">
      <c r="A3534" s="2">
        <v>3526</v>
      </c>
      <c r="B3534" s="14">
        <f>A3534*Assumptions!$B$12</f>
        <v>35.26</v>
      </c>
      <c r="C3534" s="15">
        <f>IF(A3534&lt;=Assumptions!$B$13,IF(OR(A3534=0,A3534=Assumptions!$B$13),0.5,1),0)*Assumptions!$B$12</f>
        <v>0</v>
      </c>
      <c r="D3534" s="12">
        <f>D3533*(1-Assumptions!$B$12*(Assumptions!$B$5+Assumptions!$B$6))</f>
        <v>0.34716375228701168</v>
      </c>
      <c r="E3534" s="12">
        <f>E3533+Assumptions!$B$12*(D3533*Assumptions!$B$5-E3533*Assumptions!$B$7)</f>
        <v>0.17570985979605724</v>
      </c>
      <c r="F3534" s="12">
        <f t="shared" si="165"/>
        <v>0.47712638791693107</v>
      </c>
      <c r="G3534" s="12">
        <f>EXP(-Assumptions!$B$8*B3534)</f>
        <v>0.17152950265984701</v>
      </c>
      <c r="H3534" s="12">
        <f t="shared" si="166"/>
        <v>5.954882577131744E-2</v>
      </c>
      <c r="I3534" s="12">
        <f t="shared" si="167"/>
        <v>3.0139424863249147E-2</v>
      </c>
      <c r="J3534" s="12">
        <f>G3534*(D3534*Assumptions!$B$6+E3534*Assumptions!$B$7)</f>
        <v>2.1024595008756314E-3</v>
      </c>
    </row>
    <row r="3535" spans="1:10" x14ac:dyDescent="0.2">
      <c r="A3535" s="2">
        <v>3527</v>
      </c>
      <c r="B3535" s="14">
        <f>A3535*Assumptions!$B$12</f>
        <v>35.270000000000003</v>
      </c>
      <c r="C3535" s="15">
        <f>IF(A3535&lt;=Assumptions!$B$13,IF(OR(A3535=0,A3535=Assumptions!$B$13),0.5,1),0)*Assumptions!$B$12</f>
        <v>0</v>
      </c>
      <c r="D3535" s="12">
        <f>D3534*(1-Assumptions!$B$12*(Assumptions!$B$5+Assumptions!$B$6))</f>
        <v>0.34705960316132561</v>
      </c>
      <c r="E3535" s="12">
        <f>E3534+Assumptions!$B$12*(D3534*Assumptions!$B$5-E3534*Assumptions!$B$7)</f>
        <v>0.17569143761661662</v>
      </c>
      <c r="F3535" s="12">
        <f t="shared" si="165"/>
        <v>0.47724895922205779</v>
      </c>
      <c r="G3535" s="12">
        <f>EXP(-Assumptions!$B$8*B3535)</f>
        <v>0.17144375934613176</v>
      </c>
      <c r="H3535" s="12">
        <f t="shared" si="166"/>
        <v>5.9501203083154298E-2</v>
      </c>
      <c r="I3535" s="12">
        <f t="shared" si="167"/>
        <v>3.0121200549919142E-2</v>
      </c>
      <c r="J3535" s="12">
        <f>G3535*(D3535*Assumptions!$B$6+E3535*Assumptions!$B$7)</f>
        <v>2.1010720583275002E-3</v>
      </c>
    </row>
    <row r="3536" spans="1:10" x14ac:dyDescent="0.2">
      <c r="A3536" s="2">
        <v>3528</v>
      </c>
      <c r="B3536" s="14">
        <f>A3536*Assumptions!$B$12</f>
        <v>35.28</v>
      </c>
      <c r="C3536" s="15">
        <f>IF(A3536&lt;=Assumptions!$B$13,IF(OR(A3536=0,A3536=Assumptions!$B$13),0.5,1),0)*Assumptions!$B$12</f>
        <v>0</v>
      </c>
      <c r="D3536" s="12">
        <f>D3535*(1-Assumptions!$B$12*(Assumptions!$B$5+Assumptions!$B$6))</f>
        <v>0.34695548528037723</v>
      </c>
      <c r="E3536" s="12">
        <f>E3535+Assumptions!$B$12*(D3535*Assumptions!$B$5-E3535*Assumptions!$B$7)</f>
        <v>0.17567300381844059</v>
      </c>
      <c r="F3536" s="12">
        <f t="shared" si="165"/>
        <v>0.47737151090118218</v>
      </c>
      <c r="G3536" s="12">
        <f>EXP(-Assumptions!$B$8*B3536)</f>
        <v>0.17135805889335734</v>
      </c>
      <c r="H3536" s="12">
        <f t="shared" si="166"/>
        <v>5.9453618480048258E-2</v>
      </c>
      <c r="I3536" s="12">
        <f t="shared" si="167"/>
        <v>3.0102984934293329E-2</v>
      </c>
      <c r="J3536" s="12">
        <f>G3536*(D3536*Assumptions!$B$6+E3536*Assumptions!$B$7)</f>
        <v>2.0996854315151491E-3</v>
      </c>
    </row>
    <row r="3537" spans="1:10" x14ac:dyDescent="0.2">
      <c r="A3537" s="2">
        <v>3529</v>
      </c>
      <c r="B3537" s="14">
        <f>A3537*Assumptions!$B$12</f>
        <v>35.29</v>
      </c>
      <c r="C3537" s="15">
        <f>IF(A3537&lt;=Assumptions!$B$13,IF(OR(A3537=0,A3537=Assumptions!$B$13),0.5,1),0)*Assumptions!$B$12</f>
        <v>0</v>
      </c>
      <c r="D3537" s="12">
        <f>D3536*(1-Assumptions!$B$12*(Assumptions!$B$5+Assumptions!$B$6))</f>
        <v>0.34685139863479314</v>
      </c>
      <c r="E3537" s="12">
        <f>E3536+Assumptions!$B$12*(D3536*Assumptions!$B$5-E3536*Assumptions!$B$7)</f>
        <v>0.17565455841358743</v>
      </c>
      <c r="F3537" s="12">
        <f t="shared" si="165"/>
        <v>0.47749404295161935</v>
      </c>
      <c r="G3537" s="12">
        <f>EXP(-Assumptions!$B$8*B3537)</f>
        <v>0.17127240128009855</v>
      </c>
      <c r="H3537" s="12">
        <f t="shared" si="166"/>
        <v>5.9406071931541717E-2</v>
      </c>
      <c r="I3537" s="12">
        <f t="shared" si="167"/>
        <v>3.0084778015290456E-2</v>
      </c>
      <c r="J3537" s="12">
        <f>G3537*(D3537*Assumptions!$B$6+E3537*Assumptions!$B$7)</f>
        <v>2.0982996200799402E-3</v>
      </c>
    </row>
    <row r="3538" spans="1:10" x14ac:dyDescent="0.2">
      <c r="A3538" s="2">
        <v>3530</v>
      </c>
      <c r="B3538" s="14">
        <f>A3538*Assumptions!$B$12</f>
        <v>35.300000000000004</v>
      </c>
      <c r="C3538" s="15">
        <f>IF(A3538&lt;=Assumptions!$B$13,IF(OR(A3538=0,A3538=Assumptions!$B$13),0.5,1),0)*Assumptions!$B$12</f>
        <v>0</v>
      </c>
      <c r="D3538" s="12">
        <f>D3537*(1-Assumptions!$B$12*(Assumptions!$B$5+Assumptions!$B$6))</f>
        <v>0.34674734321520273</v>
      </c>
      <c r="E3538" s="12">
        <f>E3537+Assumptions!$B$12*(D3537*Assumptions!$B$5-E3537*Assumptions!$B$7)</f>
        <v>0.1756361014141076</v>
      </c>
      <c r="F3538" s="12">
        <f t="shared" si="165"/>
        <v>0.4776165553706897</v>
      </c>
      <c r="G3538" s="12">
        <f>EXP(-Assumptions!$B$8*B3538)</f>
        <v>0.17118678648494087</v>
      </c>
      <c r="H3538" s="12">
        <f t="shared" si="166"/>
        <v>5.9358563407201421E-2</v>
      </c>
      <c r="I3538" s="12">
        <f t="shared" si="167"/>
        <v>3.0066579791824258E-2</v>
      </c>
      <c r="J3538" s="12">
        <f>G3538*(D3538*Assumptions!$B$6+E3538*Assumptions!$B$7)</f>
        <v>2.096914623663227E-3</v>
      </c>
    </row>
    <row r="3539" spans="1:10" x14ac:dyDescent="0.2">
      <c r="A3539" s="2">
        <v>3531</v>
      </c>
      <c r="B3539" s="14">
        <f>A3539*Assumptions!$B$12</f>
        <v>35.31</v>
      </c>
      <c r="C3539" s="15">
        <f>IF(A3539&lt;=Assumptions!$B$13,IF(OR(A3539=0,A3539=Assumptions!$B$13),0.5,1),0)*Assumptions!$B$12</f>
        <v>0</v>
      </c>
      <c r="D3539" s="12">
        <f>D3538*(1-Assumptions!$B$12*(Assumptions!$B$5+Assumptions!$B$6))</f>
        <v>0.34664331901223816</v>
      </c>
      <c r="E3539" s="12">
        <f>E3538+Assumptions!$B$12*(D3538*Assumptions!$B$5-E3538*Assumptions!$B$7)</f>
        <v>0.1756176328320436</v>
      </c>
      <c r="F3539" s="12">
        <f t="shared" si="165"/>
        <v>0.47773904815571822</v>
      </c>
      <c r="G3539" s="12">
        <f>EXP(-Assumptions!$B$8*B3539)</f>
        <v>0.17110121448648077</v>
      </c>
      <c r="H3539" s="12">
        <f t="shared" si="166"/>
        <v>5.9311092876618537E-2</v>
      </c>
      <c r="I3539" s="12">
        <f t="shared" si="167"/>
        <v>3.004839026280352E-2</v>
      </c>
      <c r="J3539" s="12">
        <f>G3539*(D3539*Assumptions!$B$6+E3539*Assumptions!$B$7)</f>
        <v>2.0955304419063613E-3</v>
      </c>
    </row>
    <row r="3540" spans="1:10" x14ac:dyDescent="0.2">
      <c r="A3540" s="2">
        <v>3532</v>
      </c>
      <c r="B3540" s="14">
        <f>A3540*Assumptions!$B$12</f>
        <v>35.32</v>
      </c>
      <c r="C3540" s="15">
        <f>IF(A3540&lt;=Assumptions!$B$13,IF(OR(A3540=0,A3540=Assumptions!$B$13),0.5,1),0)*Assumptions!$B$12</f>
        <v>0</v>
      </c>
      <c r="D3540" s="12">
        <f>D3539*(1-Assumptions!$B$12*(Assumptions!$B$5+Assumptions!$B$6))</f>
        <v>0.34653932601653448</v>
      </c>
      <c r="E3540" s="12">
        <f>E3539+Assumptions!$B$12*(D3539*Assumptions!$B$5-E3539*Assumptions!$B$7)</f>
        <v>0.17559915267943002</v>
      </c>
      <c r="F3540" s="12">
        <f t="shared" si="165"/>
        <v>0.47786152130403547</v>
      </c>
      <c r="G3540" s="12">
        <f>EXP(-Assumptions!$B$8*B3540)</f>
        <v>0.17101568526332522</v>
      </c>
      <c r="H3540" s="12">
        <f t="shared" si="166"/>
        <v>5.9263660309408508E-2</v>
      </c>
      <c r="I3540" s="12">
        <f t="shared" si="167"/>
        <v>3.0030209427131995E-2</v>
      </c>
      <c r="J3540" s="12">
        <f>G3540*(D3540*Assumptions!$B$6+E3540*Assumptions!$B$7)</f>
        <v>2.094147074450685E-3</v>
      </c>
    </row>
    <row r="3541" spans="1:10" x14ac:dyDescent="0.2">
      <c r="A3541" s="2">
        <v>3533</v>
      </c>
      <c r="B3541" s="14">
        <f>A3541*Assumptions!$B$12</f>
        <v>35.33</v>
      </c>
      <c r="C3541" s="15">
        <f>IF(A3541&lt;=Assumptions!$B$13,IF(OR(A3541=0,A3541=Assumptions!$B$13),0.5,1),0)*Assumptions!$B$12</f>
        <v>0</v>
      </c>
      <c r="D3541" s="12">
        <f>D3540*(1-Assumptions!$B$12*(Assumptions!$B$5+Assumptions!$B$6))</f>
        <v>0.3464353642187295</v>
      </c>
      <c r="E3541" s="12">
        <f>E3540+Assumptions!$B$12*(D3540*Assumptions!$B$5-E3540*Assumptions!$B$7)</f>
        <v>0.17558066096829361</v>
      </c>
      <c r="F3541" s="12">
        <f t="shared" si="165"/>
        <v>0.47798397481297694</v>
      </c>
      <c r="G3541" s="12">
        <f>EXP(-Assumptions!$B$8*B3541)</f>
        <v>0.17093019879409185</v>
      </c>
      <c r="H3541" s="12">
        <f t="shared" si="166"/>
        <v>5.9216265675211051E-2</v>
      </c>
      <c r="I3541" s="12">
        <f t="shared" si="167"/>
        <v>3.0012037283708472E-2</v>
      </c>
      <c r="J3541" s="12">
        <f>G3541*(D3541*Assumptions!$B$6+E3541*Assumptions!$B$7)</f>
        <v>2.092764520937534E-3</v>
      </c>
    </row>
    <row r="3542" spans="1:10" x14ac:dyDescent="0.2">
      <c r="A3542" s="2">
        <v>3534</v>
      </c>
      <c r="B3542" s="14">
        <f>A3542*Assumptions!$B$12</f>
        <v>35.340000000000003</v>
      </c>
      <c r="C3542" s="15">
        <f>IF(A3542&lt;=Assumptions!$B$13,IF(OR(A3542=0,A3542=Assumptions!$B$13),0.5,1),0)*Assumptions!$B$12</f>
        <v>0</v>
      </c>
      <c r="D3542" s="12">
        <f>D3541*(1-Assumptions!$B$12*(Assumptions!$B$5+Assumptions!$B$6))</f>
        <v>0.34633143360946389</v>
      </c>
      <c r="E3542" s="12">
        <f>E3541+Assumptions!$B$12*(D3541*Assumptions!$B$5-E3541*Assumptions!$B$7)</f>
        <v>0.1755621577106532</v>
      </c>
      <c r="F3542" s="12">
        <f t="shared" si="165"/>
        <v>0.47810640867988297</v>
      </c>
      <c r="G3542" s="12">
        <f>EXP(-Assumptions!$B$8*B3542)</f>
        <v>0.17084475505740898</v>
      </c>
      <c r="H3542" s="12">
        <f t="shared" si="166"/>
        <v>5.916890894369016E-2</v>
      </c>
      <c r="I3542" s="12">
        <f t="shared" si="167"/>
        <v>2.9993873831426751E-2</v>
      </c>
      <c r="J3542" s="12">
        <f>G3542*(D3542*Assumptions!$B$6+E3542*Assumptions!$B$7)</f>
        <v>2.0913827810082391E-3</v>
      </c>
    </row>
    <row r="3543" spans="1:10" x14ac:dyDescent="0.2">
      <c r="A3543" s="2">
        <v>3535</v>
      </c>
      <c r="B3543" s="14">
        <f>A3543*Assumptions!$B$12</f>
        <v>35.35</v>
      </c>
      <c r="C3543" s="15">
        <f>IF(A3543&lt;=Assumptions!$B$13,IF(OR(A3543=0,A3543=Assumptions!$B$13),0.5,1),0)*Assumptions!$B$12</f>
        <v>0</v>
      </c>
      <c r="D3543" s="12">
        <f>D3542*(1-Assumptions!$B$12*(Assumptions!$B$5+Assumptions!$B$6))</f>
        <v>0.34622753417938107</v>
      </c>
      <c r="E3543" s="12">
        <f>E3542+Assumptions!$B$12*(D3542*Assumptions!$B$5-E3542*Assumptions!$B$7)</f>
        <v>0.17554364291851976</v>
      </c>
      <c r="F3543" s="12">
        <f t="shared" si="165"/>
        <v>0.47822882290209923</v>
      </c>
      <c r="G3543" s="12">
        <f>EXP(-Assumptions!$B$8*B3543)</f>
        <v>0.17075935403191589</v>
      </c>
      <c r="H3543" s="12">
        <f t="shared" si="166"/>
        <v>5.9121590084534194E-2</v>
      </c>
      <c r="I3543" s="12">
        <f t="shared" si="167"/>
        <v>2.9975719069175739E-2</v>
      </c>
      <c r="J3543" s="12">
        <f>G3543*(D3543*Assumptions!$B$6+E3543*Assumptions!$B$7)</f>
        <v>2.0900018543041289E-3</v>
      </c>
    </row>
    <row r="3544" spans="1:10" x14ac:dyDescent="0.2">
      <c r="A3544" s="2">
        <v>3536</v>
      </c>
      <c r="B3544" s="14">
        <f>A3544*Assumptions!$B$12</f>
        <v>35.36</v>
      </c>
      <c r="C3544" s="15">
        <f>IF(A3544&lt;=Assumptions!$B$13,IF(OR(A3544=0,A3544=Assumptions!$B$13),0.5,1),0)*Assumptions!$B$12</f>
        <v>0</v>
      </c>
      <c r="D3544" s="12">
        <f>D3543*(1-Assumptions!$B$12*(Assumptions!$B$5+Assumptions!$B$6))</f>
        <v>0.34612366591912724</v>
      </c>
      <c r="E3544" s="12">
        <f>E3543+Assumptions!$B$12*(D3543*Assumptions!$B$5-E3543*Assumptions!$B$7)</f>
        <v>0.17552511660389639</v>
      </c>
      <c r="F3544" s="12">
        <f t="shared" si="165"/>
        <v>0.4783512174769764</v>
      </c>
      <c r="G3544" s="12">
        <f>EXP(-Assumptions!$B$8*B3544)</f>
        <v>0.17067399569626215</v>
      </c>
      <c r="H3544" s="12">
        <f t="shared" si="166"/>
        <v>5.9074309067455602E-2</v>
      </c>
      <c r="I3544" s="12">
        <f t="shared" si="167"/>
        <v>2.9957572995839326E-2</v>
      </c>
      <c r="J3544" s="12">
        <f>G3544*(D3544*Assumptions!$B$6+E3544*Assumptions!$B$7)</f>
        <v>2.088621740466522E-3</v>
      </c>
    </row>
    <row r="3545" spans="1:10" x14ac:dyDescent="0.2">
      <c r="A3545" s="2">
        <v>3537</v>
      </c>
      <c r="B3545" s="14">
        <f>A3545*Assumptions!$B$12</f>
        <v>35.369999999999997</v>
      </c>
      <c r="C3545" s="15">
        <f>IF(A3545&lt;=Assumptions!$B$13,IF(OR(A3545=0,A3545=Assumptions!$B$13),0.5,1),0)*Assumptions!$B$12</f>
        <v>0</v>
      </c>
      <c r="D3545" s="12">
        <f>D3544*(1-Assumptions!$B$12*(Assumptions!$B$5+Assumptions!$B$6))</f>
        <v>0.3460198288193515</v>
      </c>
      <c r="E3545" s="12">
        <f>E3544+Assumptions!$B$12*(D3544*Assumptions!$B$5-E3544*Assumptions!$B$7)</f>
        <v>0.17550657877877826</v>
      </c>
      <c r="F3545" s="12">
        <f t="shared" si="165"/>
        <v>0.47847359240187026</v>
      </c>
      <c r="G3545" s="12">
        <f>EXP(-Assumptions!$B$8*B3545)</f>
        <v>0.17058868002910824</v>
      </c>
      <c r="H3545" s="12">
        <f t="shared" si="166"/>
        <v>5.9027065862191155E-2</v>
      </c>
      <c r="I3545" s="12">
        <f t="shared" si="167"/>
        <v>2.9939435610296484E-2</v>
      </c>
      <c r="J3545" s="12">
        <f>G3545*(D3545*Assumptions!$B$6+E3545*Assumptions!$B$7)</f>
        <v>2.0872424391367357E-3</v>
      </c>
    </row>
    <row r="3546" spans="1:10" x14ac:dyDescent="0.2">
      <c r="A3546" s="2">
        <v>3538</v>
      </c>
      <c r="B3546" s="14">
        <f>A3546*Assumptions!$B$12</f>
        <v>35.380000000000003</v>
      </c>
      <c r="C3546" s="15">
        <f>IF(A3546&lt;=Assumptions!$B$13,IF(OR(A3546=0,A3546=Assumptions!$B$13),0.5,1),0)*Assumptions!$B$12</f>
        <v>0</v>
      </c>
      <c r="D3546" s="12">
        <f>D3545*(1-Assumptions!$B$12*(Assumptions!$B$5+Assumptions!$B$6))</f>
        <v>0.34591602287070572</v>
      </c>
      <c r="E3546" s="12">
        <f>E3545+Assumptions!$B$12*(D3545*Assumptions!$B$5-E3545*Assumptions!$B$7)</f>
        <v>0.17548802945515274</v>
      </c>
      <c r="F3546" s="12">
        <f t="shared" si="165"/>
        <v>0.4785959476741416</v>
      </c>
      <c r="G3546" s="12">
        <f>EXP(-Assumptions!$B$8*B3546)</f>
        <v>0.17050340700912517</v>
      </c>
      <c r="H3546" s="12">
        <f t="shared" si="166"/>
        <v>5.8979860438501786E-2</v>
      </c>
      <c r="I3546" s="12">
        <f t="shared" si="167"/>
        <v>2.9921306911421253E-2</v>
      </c>
      <c r="J3546" s="12">
        <f>G3546*(D3546*Assumptions!$B$6+E3546*Assumptions!$B$7)</f>
        <v>2.0858639499560807E-3</v>
      </c>
    </row>
    <row r="3547" spans="1:10" x14ac:dyDescent="0.2">
      <c r="A3547" s="2">
        <v>3539</v>
      </c>
      <c r="B3547" s="14">
        <f>A3547*Assumptions!$B$12</f>
        <v>35.39</v>
      </c>
      <c r="C3547" s="15">
        <f>IF(A3547&lt;=Assumptions!$B$13,IF(OR(A3547=0,A3547=Assumptions!$B$13),0.5,1),0)*Assumptions!$B$12</f>
        <v>0</v>
      </c>
      <c r="D3547" s="12">
        <f>D3546*(1-Assumptions!$B$12*(Assumptions!$B$5+Assumptions!$B$6))</f>
        <v>0.34581224806384453</v>
      </c>
      <c r="E3547" s="12">
        <f>E3546+Assumptions!$B$12*(D3546*Assumptions!$B$5-E3546*Assumptions!$B$7)</f>
        <v>0.17546946864499929</v>
      </c>
      <c r="F3547" s="12">
        <f t="shared" si="165"/>
        <v>0.47871828329115612</v>
      </c>
      <c r="G3547" s="12">
        <f>EXP(-Assumptions!$B$8*B3547)</f>
        <v>0.17041817661499478</v>
      </c>
      <c r="H3547" s="12">
        <f t="shared" si="166"/>
        <v>5.8932692766172641E-2</v>
      </c>
      <c r="I3547" s="12">
        <f t="shared" si="167"/>
        <v>2.990318689808278E-2</v>
      </c>
      <c r="J3547" s="12">
        <f>G3547*(D3547*Assumptions!$B$6+E3547*Assumptions!$B$7)</f>
        <v>2.0844862725658653E-3</v>
      </c>
    </row>
    <row r="3548" spans="1:10" x14ac:dyDescent="0.2">
      <c r="A3548" s="2">
        <v>3540</v>
      </c>
      <c r="B3548" s="14">
        <f>A3548*Assumptions!$B$12</f>
        <v>35.4</v>
      </c>
      <c r="C3548" s="15">
        <f>IF(A3548&lt;=Assumptions!$B$13,IF(OR(A3548=0,A3548=Assumptions!$B$13),0.5,1),0)*Assumptions!$B$12</f>
        <v>0</v>
      </c>
      <c r="D3548" s="12">
        <f>D3547*(1-Assumptions!$B$12*(Assumptions!$B$5+Assumptions!$B$6))</f>
        <v>0.34570850438942541</v>
      </c>
      <c r="E3548" s="12">
        <f>E3547+Assumptions!$B$12*(D3547*Assumptions!$B$5-E3547*Assumptions!$B$7)</f>
        <v>0.17545089636028957</v>
      </c>
      <c r="F3548" s="12">
        <f t="shared" si="165"/>
        <v>0.47884059925028499</v>
      </c>
      <c r="G3548" s="12">
        <f>EXP(-Assumptions!$B$8*B3548)</f>
        <v>0.17033298882540943</v>
      </c>
      <c r="H3548" s="12">
        <f t="shared" si="166"/>
        <v>5.8885562815013004E-2</v>
      </c>
      <c r="I3548" s="12">
        <f t="shared" si="167"/>
        <v>2.988507556914527E-2</v>
      </c>
      <c r="J3548" s="12">
        <f>G3548*(D3548*Assumptions!$B$6+E3548*Assumptions!$B$7)</f>
        <v>2.0831094066073937E-3</v>
      </c>
    </row>
    <row r="3549" spans="1:10" x14ac:dyDescent="0.2">
      <c r="A3549" s="2">
        <v>3541</v>
      </c>
      <c r="B3549" s="14">
        <f>A3549*Assumptions!$B$12</f>
        <v>35.410000000000004</v>
      </c>
      <c r="C3549" s="15">
        <f>IF(A3549&lt;=Assumptions!$B$13,IF(OR(A3549=0,A3549=Assumptions!$B$13),0.5,1),0)*Assumptions!$B$12</f>
        <v>0</v>
      </c>
      <c r="D3549" s="12">
        <f>D3548*(1-Assumptions!$B$12*(Assumptions!$B$5+Assumptions!$B$6))</f>
        <v>0.3456047918381086</v>
      </c>
      <c r="E3549" s="12">
        <f>E3548+Assumptions!$B$12*(D3548*Assumptions!$B$5-E3548*Assumptions!$B$7)</f>
        <v>0.17543231261298731</v>
      </c>
      <c r="F3549" s="12">
        <f t="shared" si="165"/>
        <v>0.47896289554890403</v>
      </c>
      <c r="G3549" s="12">
        <f>EXP(-Assumptions!$B$8*B3549)</f>
        <v>0.17024784361907214</v>
      </c>
      <c r="H3549" s="12">
        <f t="shared" si="166"/>
        <v>5.883847055485629E-2</v>
      </c>
      <c r="I3549" s="12">
        <f t="shared" si="167"/>
        <v>2.986697292346804E-2</v>
      </c>
      <c r="J3549" s="12">
        <f>G3549*(D3549*Assumptions!$B$6+E3549*Assumptions!$B$7)</f>
        <v>2.081733351721965E-3</v>
      </c>
    </row>
    <row r="3550" spans="1:10" x14ac:dyDescent="0.2">
      <c r="A3550" s="2">
        <v>3542</v>
      </c>
      <c r="B3550" s="14">
        <f>A3550*Assumptions!$B$12</f>
        <v>35.42</v>
      </c>
      <c r="C3550" s="15">
        <f>IF(A3550&lt;=Assumptions!$B$13,IF(OR(A3550=0,A3550=Assumptions!$B$13),0.5,1),0)*Assumptions!$B$12</f>
        <v>0</v>
      </c>
      <c r="D3550" s="12">
        <f>D3549*(1-Assumptions!$B$12*(Assumptions!$B$5+Assumptions!$B$6))</f>
        <v>0.3455011104005572</v>
      </c>
      <c r="E3550" s="12">
        <f>E3549+Assumptions!$B$12*(D3549*Assumptions!$B$5-E3549*Assumptions!$B$7)</f>
        <v>0.17541371741504844</v>
      </c>
      <c r="F3550" s="12">
        <f t="shared" si="165"/>
        <v>0.47908517218439439</v>
      </c>
      <c r="G3550" s="12">
        <f>EXP(-Assumptions!$B$8*B3550)</f>
        <v>0.17016274097469669</v>
      </c>
      <c r="H3550" s="12">
        <f t="shared" si="166"/>
        <v>5.8791415955560103E-2</v>
      </c>
      <c r="I3550" s="12">
        <f t="shared" si="167"/>
        <v>2.9848878959905529E-2</v>
      </c>
      <c r="J3550" s="12">
        <f>G3550*(D3550*Assumptions!$B$6+E3550*Assumptions!$B$7)</f>
        <v>2.0803581075508775E-3</v>
      </c>
    </row>
    <row r="3551" spans="1:10" x14ac:dyDescent="0.2">
      <c r="A3551" s="2">
        <v>3543</v>
      </c>
      <c r="B3551" s="14">
        <f>A3551*Assumptions!$B$12</f>
        <v>35.43</v>
      </c>
      <c r="C3551" s="15">
        <f>IF(A3551&lt;=Assumptions!$B$13,IF(OR(A3551=0,A3551=Assumptions!$B$13),0.5,1),0)*Assumptions!$B$12</f>
        <v>0</v>
      </c>
      <c r="D3551" s="12">
        <f>D3550*(1-Assumptions!$B$12*(Assumptions!$B$5+Assumptions!$B$6))</f>
        <v>0.34539746006743705</v>
      </c>
      <c r="E3551" s="12">
        <f>E3550+Assumptions!$B$12*(D3550*Assumptions!$B$5-E3550*Assumptions!$B$7)</f>
        <v>0.17539511077842102</v>
      </c>
      <c r="F3551" s="12">
        <f t="shared" si="165"/>
        <v>0.479207429154142</v>
      </c>
      <c r="G3551" s="12">
        <f>EXP(-Assumptions!$B$8*B3551)</f>
        <v>0.17007768087100736</v>
      </c>
      <c r="H3551" s="12">
        <f t="shared" si="166"/>
        <v>5.8744398987006063E-2</v>
      </c>
      <c r="I3551" s="12">
        <f t="shared" si="167"/>
        <v>2.9830793677307274E-2</v>
      </c>
      <c r="J3551" s="12">
        <f>G3551*(D3551*Assumptions!$B$6+E3551*Assumptions!$B$7)</f>
        <v>2.0789836737354242E-3</v>
      </c>
    </row>
    <row r="3552" spans="1:10" x14ac:dyDescent="0.2">
      <c r="A3552" s="2">
        <v>3544</v>
      </c>
      <c r="B3552" s="14">
        <f>A3552*Assumptions!$B$12</f>
        <v>35.44</v>
      </c>
      <c r="C3552" s="15">
        <f>IF(A3552&lt;=Assumptions!$B$13,IF(OR(A3552=0,A3552=Assumptions!$B$13),0.5,1),0)*Assumptions!$B$12</f>
        <v>0</v>
      </c>
      <c r="D3552" s="12">
        <f>D3551*(1-Assumptions!$B$12*(Assumptions!$B$5+Assumptions!$B$6))</f>
        <v>0.34529384082941683</v>
      </c>
      <c r="E3552" s="12">
        <f>E3551+Assumptions!$B$12*(D3551*Assumptions!$B$5-E3551*Assumptions!$B$7)</f>
        <v>0.1753764927150453</v>
      </c>
      <c r="F3552" s="12">
        <f t="shared" si="165"/>
        <v>0.47932966645553787</v>
      </c>
      <c r="G3552" s="12">
        <f>EXP(-Assumptions!$B$8*B3552)</f>
        <v>0.16999266328673912</v>
      </c>
      <c r="H3552" s="12">
        <f t="shared" si="166"/>
        <v>5.8697419619099946E-2</v>
      </c>
      <c r="I3552" s="12">
        <f t="shared" si="167"/>
        <v>2.981271707451795E-2</v>
      </c>
      <c r="J3552" s="12">
        <f>G3552*(D3552*Assumptions!$B$6+E3552*Assumptions!$B$7)</f>
        <v>2.0776100499168971E-3</v>
      </c>
    </row>
    <row r="3553" spans="1:10" x14ac:dyDescent="0.2">
      <c r="A3553" s="2">
        <v>3545</v>
      </c>
      <c r="B3553" s="14">
        <f>A3553*Assumptions!$B$12</f>
        <v>35.450000000000003</v>
      </c>
      <c r="C3553" s="15">
        <f>IF(A3553&lt;=Assumptions!$B$13,IF(OR(A3553=0,A3553=Assumptions!$B$13),0.5,1),0)*Assumptions!$B$12</f>
        <v>0</v>
      </c>
      <c r="D3553" s="12">
        <f>D3552*(1-Assumptions!$B$12*(Assumptions!$B$5+Assumptions!$B$6))</f>
        <v>0.34519025267716802</v>
      </c>
      <c r="E3553" s="12">
        <f>E3552+Assumptions!$B$12*(D3552*Assumptions!$B$5-E3552*Assumptions!$B$7)</f>
        <v>0.17535786323685365</v>
      </c>
      <c r="F3553" s="12">
        <f t="shared" si="165"/>
        <v>0.47945188408597839</v>
      </c>
      <c r="G3553" s="12">
        <f>EXP(-Assumptions!$B$8*B3553)</f>
        <v>0.16990768820063756</v>
      </c>
      <c r="H3553" s="12">
        <f t="shared" si="166"/>
        <v>5.865047782177156E-2</v>
      </c>
      <c r="I3553" s="12">
        <f t="shared" si="167"/>
        <v>2.9794649150377373E-2</v>
      </c>
      <c r="J3553" s="12">
        <f>G3553*(D3553*Assumptions!$B$6+E3553*Assumptions!$B$7)</f>
        <v>2.0762372357365842E-3</v>
      </c>
    </row>
    <row r="3554" spans="1:10" x14ac:dyDescent="0.2">
      <c r="A3554" s="2">
        <v>3546</v>
      </c>
      <c r="B3554" s="14">
        <f>A3554*Assumptions!$B$12</f>
        <v>35.46</v>
      </c>
      <c r="C3554" s="15">
        <f>IF(A3554&lt;=Assumptions!$B$13,IF(OR(A3554=0,A3554=Assumptions!$B$13),0.5,1),0)*Assumptions!$B$12</f>
        <v>0</v>
      </c>
      <c r="D3554" s="12">
        <f>D3553*(1-Assumptions!$B$12*(Assumptions!$B$5+Assumptions!$B$6))</f>
        <v>0.3450866956013649</v>
      </c>
      <c r="E3554" s="12">
        <f>E3553+Assumptions!$B$12*(D3553*Assumptions!$B$5-E3553*Assumptions!$B$7)</f>
        <v>0.17533922235577065</v>
      </c>
      <c r="F3554" s="12">
        <f t="shared" si="165"/>
        <v>0.47957408204286439</v>
      </c>
      <c r="G3554" s="12">
        <f>EXP(-Assumptions!$B$8*B3554)</f>
        <v>0.16982275559145898</v>
      </c>
      <c r="H3554" s="12">
        <f t="shared" si="166"/>
        <v>5.8603573564974795E-2</v>
      </c>
      <c r="I3554" s="12">
        <f t="shared" si="167"/>
        <v>2.9776589903720521E-2</v>
      </c>
      <c r="J3554" s="12">
        <f>G3554*(D3554*Assumptions!$B$6+E3554*Assumptions!$B$7)</f>
        <v>2.0748652308357741E-3</v>
      </c>
    </row>
    <row r="3555" spans="1:10" x14ac:dyDescent="0.2">
      <c r="A3555" s="2">
        <v>3547</v>
      </c>
      <c r="B3555" s="14">
        <f>A3555*Assumptions!$B$12</f>
        <v>35.47</v>
      </c>
      <c r="C3555" s="15">
        <f>IF(A3555&lt;=Assumptions!$B$13,IF(OR(A3555=0,A3555=Assumptions!$B$13),0.5,1),0)*Assumptions!$B$12</f>
        <v>0</v>
      </c>
      <c r="D3555" s="12">
        <f>D3554*(1-Assumptions!$B$12*(Assumptions!$B$5+Assumptions!$B$6))</f>
        <v>0.34498316959268449</v>
      </c>
      <c r="E3555" s="12">
        <f>E3554+Assumptions!$B$12*(D3554*Assumptions!$B$5-E3554*Assumptions!$B$7)</f>
        <v>0.17532057008371305</v>
      </c>
      <c r="F3555" s="12">
        <f t="shared" si="165"/>
        <v>0.47969626032360246</v>
      </c>
      <c r="G3555" s="12">
        <f>EXP(-Assumptions!$B$8*B3555)</f>
        <v>0.16973786543797018</v>
      </c>
      <c r="H3555" s="12">
        <f t="shared" si="166"/>
        <v>5.8556706818687528E-2</v>
      </c>
      <c r="I3555" s="12">
        <f t="shared" si="167"/>
        <v>2.9758539333377503E-2</v>
      </c>
      <c r="J3555" s="12">
        <f>G3555*(D3555*Assumptions!$B$6+E3555*Assumptions!$B$7)</f>
        <v>2.0734940348557502E-3</v>
      </c>
    </row>
    <row r="3556" spans="1:10" x14ac:dyDescent="0.2">
      <c r="A3556" s="2">
        <v>3548</v>
      </c>
      <c r="B3556" s="14">
        <f>A3556*Assumptions!$B$12</f>
        <v>35.480000000000004</v>
      </c>
      <c r="C3556" s="15">
        <f>IF(A3556&lt;=Assumptions!$B$13,IF(OR(A3556=0,A3556=Assumptions!$B$13),0.5,1),0)*Assumptions!$B$12</f>
        <v>0</v>
      </c>
      <c r="D3556" s="12">
        <f>D3555*(1-Assumptions!$B$12*(Assumptions!$B$5+Assumptions!$B$6))</f>
        <v>0.34487967464180669</v>
      </c>
      <c r="E3556" s="12">
        <f>E3555+Assumptions!$B$12*(D3555*Assumptions!$B$5-E3555*Assumptions!$B$7)</f>
        <v>0.17530190643258972</v>
      </c>
      <c r="F3556" s="12">
        <f t="shared" si="165"/>
        <v>0.47981841892560362</v>
      </c>
      <c r="G3556" s="12">
        <f>EXP(-Assumptions!$B$8*B3556)</f>
        <v>0.16965301771894858</v>
      </c>
      <c r="H3556" s="12">
        <f t="shared" si="166"/>
        <v>5.8509877552911656E-2</v>
      </c>
      <c r="I3556" s="12">
        <f t="shared" si="167"/>
        <v>2.974049743817361E-2</v>
      </c>
      <c r="J3556" s="12">
        <f>G3556*(D3556*Assumptions!$B$6+E3556*Assumptions!$B$7)</f>
        <v>2.0721236474377969E-3</v>
      </c>
    </row>
    <row r="3557" spans="1:10" x14ac:dyDescent="0.2">
      <c r="A3557" s="2">
        <v>3549</v>
      </c>
      <c r="B3557" s="14">
        <f>A3557*Assumptions!$B$12</f>
        <v>35.49</v>
      </c>
      <c r="C3557" s="15">
        <f>IF(A3557&lt;=Assumptions!$B$13,IF(OR(A3557=0,A3557=Assumptions!$B$13),0.5,1),0)*Assumptions!$B$12</f>
        <v>0</v>
      </c>
      <c r="D3557" s="12">
        <f>D3556*(1-Assumptions!$B$12*(Assumptions!$B$5+Assumptions!$B$6))</f>
        <v>0.34477621073941417</v>
      </c>
      <c r="E3557" s="12">
        <f>E3556+Assumptions!$B$12*(D3556*Assumptions!$B$5-E3556*Assumptions!$B$7)</f>
        <v>0.1752832314143018</v>
      </c>
      <c r="F3557" s="12">
        <f t="shared" si="165"/>
        <v>0.47994055784628409</v>
      </c>
      <c r="G3557" s="12">
        <f>EXP(-Assumptions!$B$8*B3557)</f>
        <v>0.16956821241318232</v>
      </c>
      <c r="H3557" s="12">
        <f t="shared" si="166"/>
        <v>5.8463085737673094E-2</v>
      </c>
      <c r="I3557" s="12">
        <f t="shared" si="167"/>
        <v>2.9722464216929319E-2</v>
      </c>
      <c r="J3557" s="12">
        <f>G3557*(D3557*Assumptions!$B$6+E3557*Assumptions!$B$7)</f>
        <v>2.0707540682231972E-3</v>
      </c>
    </row>
    <row r="3558" spans="1:10" x14ac:dyDescent="0.2">
      <c r="A3558" s="2">
        <v>3550</v>
      </c>
      <c r="B3558" s="14">
        <f>A3558*Assumptions!$B$12</f>
        <v>35.5</v>
      </c>
      <c r="C3558" s="15">
        <f>IF(A3558&lt;=Assumptions!$B$13,IF(OR(A3558=0,A3558=Assumptions!$B$13),0.5,1),0)*Assumptions!$B$12</f>
        <v>0</v>
      </c>
      <c r="D3558" s="12">
        <f>D3557*(1-Assumptions!$B$12*(Assumptions!$B$5+Assumptions!$B$6))</f>
        <v>0.34467277787619238</v>
      </c>
      <c r="E3558" s="12">
        <f>E3557+Assumptions!$B$12*(D3557*Assumptions!$B$5-E3557*Assumptions!$B$7)</f>
        <v>0.17526454504074254</v>
      </c>
      <c r="F3558" s="12">
        <f t="shared" si="165"/>
        <v>0.48006267708306505</v>
      </c>
      <c r="G3558" s="12">
        <f>EXP(-Assumptions!$B$8*B3558)</f>
        <v>0.16948344949947006</v>
      </c>
      <c r="H3558" s="12">
        <f t="shared" si="166"/>
        <v>5.841633134302171E-2</v>
      </c>
      <c r="I3558" s="12">
        <f t="shared" si="167"/>
        <v>2.9704439668460283E-2</v>
      </c>
      <c r="J3558" s="12">
        <f>G3558*(D3558*Assumptions!$B$6+E3558*Assumptions!$B$7)</f>
        <v>2.0693852968532316E-3</v>
      </c>
    </row>
    <row r="3559" spans="1:10" x14ac:dyDescent="0.2">
      <c r="A3559" s="2">
        <v>3551</v>
      </c>
      <c r="B3559" s="14">
        <f>A3559*Assumptions!$B$12</f>
        <v>35.51</v>
      </c>
      <c r="C3559" s="15">
        <f>IF(A3559&lt;=Assumptions!$B$13,IF(OR(A3559=0,A3559=Assumptions!$B$13),0.5,1),0)*Assumptions!$B$12</f>
        <v>0</v>
      </c>
      <c r="D3559" s="12">
        <f>D3558*(1-Assumptions!$B$12*(Assumptions!$B$5+Assumptions!$B$6))</f>
        <v>0.34456937604282956</v>
      </c>
      <c r="E3559" s="12">
        <f>E3558+Assumptions!$B$12*(D3558*Assumptions!$B$5-E3558*Assumptions!$B$7)</f>
        <v>0.17524584732379742</v>
      </c>
      <c r="F3559" s="12">
        <f t="shared" si="165"/>
        <v>0.480184776633373</v>
      </c>
      <c r="G3559" s="12">
        <f>EXP(-Assumptions!$B$8*B3559)</f>
        <v>0.16939872895662106</v>
      </c>
      <c r="H3559" s="12">
        <f t="shared" si="166"/>
        <v>5.8369614339031324E-2</v>
      </c>
      <c r="I3559" s="12">
        <f t="shared" si="167"/>
        <v>2.9686423791577356E-2</v>
      </c>
      <c r="J3559" s="12">
        <f>G3559*(D3559*Assumptions!$B$6+E3559*Assumptions!$B$7)</f>
        <v>2.068017332969181E-3</v>
      </c>
    </row>
    <row r="3560" spans="1:10" x14ac:dyDescent="0.2">
      <c r="A3560" s="2">
        <v>3552</v>
      </c>
      <c r="B3560" s="14">
        <f>A3560*Assumptions!$B$12</f>
        <v>35.520000000000003</v>
      </c>
      <c r="C3560" s="15">
        <f>IF(A3560&lt;=Assumptions!$B$13,IF(OR(A3560=0,A3560=Assumptions!$B$13),0.5,1),0)*Assumptions!$B$12</f>
        <v>0</v>
      </c>
      <c r="D3560" s="12">
        <f>D3559*(1-Assumptions!$B$12*(Assumptions!$B$5+Assumptions!$B$6))</f>
        <v>0.34446600523001669</v>
      </c>
      <c r="E3560" s="12">
        <f>E3559+Assumptions!$B$12*(D3559*Assumptions!$B$5-E3559*Assumptions!$B$7)</f>
        <v>0.17522713827534409</v>
      </c>
      <c r="F3560" s="12">
        <f t="shared" si="165"/>
        <v>0.48030685649463922</v>
      </c>
      <c r="G3560" s="12">
        <f>EXP(-Assumptions!$B$8*B3560)</f>
        <v>0.16931405076345515</v>
      </c>
      <c r="H3560" s="12">
        <f t="shared" si="166"/>
        <v>5.8322934695799654E-2</v>
      </c>
      <c r="I3560" s="12">
        <f t="shared" si="167"/>
        <v>2.9668416585086583E-2</v>
      </c>
      <c r="J3560" s="12">
        <f>G3560*(D3560*Assumptions!$B$6+E3560*Assumptions!$B$7)</f>
        <v>2.0666501762123257E-3</v>
      </c>
    </row>
    <row r="3561" spans="1:10" x14ac:dyDescent="0.2">
      <c r="A3561" s="2">
        <v>3553</v>
      </c>
      <c r="B3561" s="14">
        <f>A3561*Assumptions!$B$12</f>
        <v>35.53</v>
      </c>
      <c r="C3561" s="15">
        <f>IF(A3561&lt;=Assumptions!$B$13,IF(OR(A3561=0,A3561=Assumptions!$B$13),0.5,1),0)*Assumptions!$B$12</f>
        <v>0</v>
      </c>
      <c r="D3561" s="12">
        <f>D3560*(1-Assumptions!$B$12*(Assumptions!$B$5+Assumptions!$B$6))</f>
        <v>0.34436266542844768</v>
      </c>
      <c r="E3561" s="12">
        <f>E3560+Assumptions!$B$12*(D3560*Assumptions!$B$5-E3560*Assumptions!$B$7)</f>
        <v>0.17520841790725242</v>
      </c>
      <c r="F3561" s="12">
        <f t="shared" si="165"/>
        <v>0.48042891666429988</v>
      </c>
      <c r="G3561" s="12">
        <f>EXP(-Assumptions!$B$8*B3561)</f>
        <v>0.16922941489880283</v>
      </c>
      <c r="H3561" s="12">
        <f t="shared" si="166"/>
        <v>5.8276292383448398E-2</v>
      </c>
      <c r="I3561" s="12">
        <f t="shared" si="167"/>
        <v>2.9650418047789256E-2</v>
      </c>
      <c r="J3561" s="12">
        <f>G3561*(D3561*Assumptions!$B$6+E3561*Assumptions!$B$7)</f>
        <v>2.0652838262239467E-3</v>
      </c>
    </row>
    <row r="3562" spans="1:10" x14ac:dyDescent="0.2">
      <c r="A3562" s="2">
        <v>3554</v>
      </c>
      <c r="B3562" s="14">
        <f>A3562*Assumptions!$B$12</f>
        <v>35.54</v>
      </c>
      <c r="C3562" s="15">
        <f>IF(A3562&lt;=Assumptions!$B$13,IF(OR(A3562=0,A3562=Assumptions!$B$13),0.5,1),0)*Assumptions!$B$12</f>
        <v>0</v>
      </c>
      <c r="D3562" s="12">
        <f>D3561*(1-Assumptions!$B$12*(Assumptions!$B$5+Assumptions!$B$6))</f>
        <v>0.34425935662881918</v>
      </c>
      <c r="E3562" s="12">
        <f>E3561+Assumptions!$B$12*(D3561*Assumptions!$B$5-E3561*Assumptions!$B$7)</f>
        <v>0.17518968623138448</v>
      </c>
      <c r="F3562" s="12">
        <f t="shared" si="165"/>
        <v>0.48055095713979629</v>
      </c>
      <c r="G3562" s="12">
        <f>EXP(-Assumptions!$B$8*B3562)</f>
        <v>0.16914482134150513</v>
      </c>
      <c r="H3562" s="12">
        <f t="shared" si="166"/>
        <v>5.8229687372123119E-2</v>
      </c>
      <c r="I3562" s="12">
        <f t="shared" si="167"/>
        <v>2.963242817848187E-2</v>
      </c>
      <c r="J3562" s="12">
        <f>G3562*(D3562*Assumptions!$B$6+E3562*Assumptions!$B$7)</f>
        <v>2.0639182826453248E-3</v>
      </c>
    </row>
    <row r="3563" spans="1:10" x14ac:dyDescent="0.2">
      <c r="A3563" s="2">
        <v>3555</v>
      </c>
      <c r="B3563" s="14">
        <f>A3563*Assumptions!$B$12</f>
        <v>35.550000000000004</v>
      </c>
      <c r="C3563" s="15">
        <f>IF(A3563&lt;=Assumptions!$B$13,IF(OR(A3563=0,A3563=Assumptions!$B$13),0.5,1),0)*Assumptions!$B$12</f>
        <v>0</v>
      </c>
      <c r="D3563" s="12">
        <f>D3562*(1-Assumptions!$B$12*(Assumptions!$B$5+Assumptions!$B$6))</f>
        <v>0.34415607882183052</v>
      </c>
      <c r="E3563" s="12">
        <f>E3562+Assumptions!$B$12*(D3562*Assumptions!$B$5-E3562*Assumptions!$B$7)</f>
        <v>0.17517094325959456</v>
      </c>
      <c r="F3563" s="12">
        <f t="shared" si="165"/>
        <v>0.48067297791857488</v>
      </c>
      <c r="G3563" s="12">
        <f>EXP(-Assumptions!$B$8*B3563)</f>
        <v>0.1690602700704136</v>
      </c>
      <c r="H3563" s="12">
        <f t="shared" si="166"/>
        <v>5.818311963199322E-2</v>
      </c>
      <c r="I3563" s="12">
        <f t="shared" si="167"/>
        <v>2.9614446975956155E-2</v>
      </c>
      <c r="J3563" s="12">
        <f>G3563*(D3563*Assumptions!$B$6+E3563*Assumptions!$B$7)</f>
        <v>2.0625535451177404E-3</v>
      </c>
    </row>
    <row r="3564" spans="1:10" x14ac:dyDescent="0.2">
      <c r="A3564" s="2">
        <v>3556</v>
      </c>
      <c r="B3564" s="14">
        <f>A3564*Assumptions!$B$12</f>
        <v>35.56</v>
      </c>
      <c r="C3564" s="15">
        <f>IF(A3564&lt;=Assumptions!$B$13,IF(OR(A3564=0,A3564=Assumptions!$B$13),0.5,1),0)*Assumptions!$B$12</f>
        <v>0</v>
      </c>
      <c r="D3564" s="12">
        <f>D3563*(1-Assumptions!$B$12*(Assumptions!$B$5+Assumptions!$B$6))</f>
        <v>0.34405283199818398</v>
      </c>
      <c r="E3564" s="12">
        <f>E3563+Assumptions!$B$12*(D3563*Assumptions!$B$5-E3563*Assumptions!$B$7)</f>
        <v>0.17515218900372914</v>
      </c>
      <c r="F3564" s="12">
        <f t="shared" si="165"/>
        <v>0.48079497899808693</v>
      </c>
      <c r="G3564" s="12">
        <f>EXP(-Assumptions!$B$8*B3564)</f>
        <v>0.16897576106439052</v>
      </c>
      <c r="H3564" s="12">
        <f t="shared" si="166"/>
        <v>5.813658913325203E-2</v>
      </c>
      <c r="I3564" s="12">
        <f t="shared" si="167"/>
        <v>2.9596474438999106E-2</v>
      </c>
      <c r="J3564" s="12">
        <f>G3564*(D3564*Assumptions!$B$6+E3564*Assumptions!$B$7)</f>
        <v>2.0611896132824753E-3</v>
      </c>
    </row>
    <row r="3565" spans="1:10" x14ac:dyDescent="0.2">
      <c r="A3565" s="2">
        <v>3557</v>
      </c>
      <c r="B3565" s="14">
        <f>A3565*Assumptions!$B$12</f>
        <v>35.57</v>
      </c>
      <c r="C3565" s="15">
        <f>IF(A3565&lt;=Assumptions!$B$13,IF(OR(A3565=0,A3565=Assumptions!$B$13),0.5,1),0)*Assumptions!$B$12</f>
        <v>0</v>
      </c>
      <c r="D3565" s="12">
        <f>D3564*(1-Assumptions!$B$12*(Assumptions!$B$5+Assumptions!$B$6))</f>
        <v>0.34394961614858455</v>
      </c>
      <c r="E3565" s="12">
        <f>E3564+Assumptions!$B$12*(D3564*Assumptions!$B$5-E3564*Assumptions!$B$7)</f>
        <v>0.17513342347562691</v>
      </c>
      <c r="F3565" s="12">
        <f t="shared" si="165"/>
        <v>0.48091696037578857</v>
      </c>
      <c r="G3565" s="12">
        <f>EXP(-Assumptions!$B$8*B3565)</f>
        <v>0.16889129430230859</v>
      </c>
      <c r="H3565" s="12">
        <f t="shared" si="166"/>
        <v>5.8090095846116664E-2</v>
      </c>
      <c r="I3565" s="12">
        <f t="shared" si="167"/>
        <v>2.9578510566392945E-2</v>
      </c>
      <c r="J3565" s="12">
        <f>G3565*(D3565*Assumptions!$B$6+E3565*Assumptions!$B$7)</f>
        <v>2.0598264867808139E-3</v>
      </c>
    </row>
    <row r="3566" spans="1:10" x14ac:dyDescent="0.2">
      <c r="A3566" s="2">
        <v>3558</v>
      </c>
      <c r="B3566" s="14">
        <f>A3566*Assumptions!$B$12</f>
        <v>35.58</v>
      </c>
      <c r="C3566" s="15">
        <f>IF(A3566&lt;=Assumptions!$B$13,IF(OR(A3566=0,A3566=Assumptions!$B$13),0.5,1),0)*Assumptions!$B$12</f>
        <v>0</v>
      </c>
      <c r="D3566" s="12">
        <f>D3565*(1-Assumptions!$B$12*(Assumptions!$B$5+Assumptions!$B$6))</f>
        <v>0.34384643126373998</v>
      </c>
      <c r="E3566" s="12">
        <f>E3565+Assumptions!$B$12*(D3565*Assumptions!$B$5-E3565*Assumptions!$B$7)</f>
        <v>0.17511464668711882</v>
      </c>
      <c r="F3566" s="12">
        <f t="shared" si="165"/>
        <v>0.48103892204914123</v>
      </c>
      <c r="G3566" s="12">
        <f>EXP(-Assumptions!$B$8*B3566)</f>
        <v>0.16880686976305115</v>
      </c>
      <c r="H3566" s="12">
        <f t="shared" si="166"/>
        <v>5.8043639740828074E-2</v>
      </c>
      <c r="I3566" s="12">
        <f t="shared" si="167"/>
        <v>2.9560555356915184E-2</v>
      </c>
      <c r="J3566" s="12">
        <f>G3566*(D3566*Assumptions!$B$6+E3566*Assumptions!$B$7)</f>
        <v>2.0584641652540399E-3</v>
      </c>
    </row>
    <row r="3567" spans="1:10" x14ac:dyDescent="0.2">
      <c r="A3567" s="2">
        <v>3559</v>
      </c>
      <c r="B3567" s="14">
        <f>A3567*Assumptions!$B$12</f>
        <v>35.590000000000003</v>
      </c>
      <c r="C3567" s="15">
        <f>IF(A3567&lt;=Assumptions!$B$13,IF(OR(A3567=0,A3567=Assumptions!$B$13),0.5,1),0)*Assumptions!$B$12</f>
        <v>0</v>
      </c>
      <c r="D3567" s="12">
        <f>D3566*(1-Assumptions!$B$12*(Assumptions!$B$5+Assumptions!$B$6))</f>
        <v>0.34374327733436089</v>
      </c>
      <c r="E3567" s="12">
        <f>E3566+Assumptions!$B$12*(D3566*Assumptions!$B$5-E3566*Assumptions!$B$7)</f>
        <v>0.175095858650028</v>
      </c>
      <c r="F3567" s="12">
        <f t="shared" si="165"/>
        <v>0.48116086401561109</v>
      </c>
      <c r="G3567" s="12">
        <f>EXP(-Assumptions!$B$8*B3567)</f>
        <v>0.16872248742551191</v>
      </c>
      <c r="H3567" s="12">
        <f t="shared" si="166"/>
        <v>5.799722078765096E-2</v>
      </c>
      <c r="I3567" s="12">
        <f t="shared" si="167"/>
        <v>2.9542608809338559E-2</v>
      </c>
      <c r="J3567" s="12">
        <f>G3567*(D3567*Assumptions!$B$6+E3567*Assumptions!$B$7)</f>
        <v>2.0571026483434374E-3</v>
      </c>
    </row>
    <row r="3568" spans="1:10" x14ac:dyDescent="0.2">
      <c r="A3568" s="2">
        <v>3560</v>
      </c>
      <c r="B3568" s="14">
        <f>A3568*Assumptions!$B$12</f>
        <v>35.6</v>
      </c>
      <c r="C3568" s="15">
        <f>IF(A3568&lt;=Assumptions!$B$13,IF(OR(A3568=0,A3568=Assumptions!$B$13),0.5,1),0)*Assumptions!$B$12</f>
        <v>0</v>
      </c>
      <c r="D3568" s="12">
        <f>D3567*(1-Assumptions!$B$12*(Assumptions!$B$5+Assumptions!$B$6))</f>
        <v>0.34364015435116058</v>
      </c>
      <c r="E3568" s="12">
        <f>E3567+Assumptions!$B$12*(D3567*Assumptions!$B$5-E3567*Assumptions!$B$7)</f>
        <v>0.17507705937616985</v>
      </c>
      <c r="F3568" s="12">
        <f t="shared" si="165"/>
        <v>0.48128278627266957</v>
      </c>
      <c r="G3568" s="12">
        <f>EXP(-Assumptions!$B$8*B3568)</f>
        <v>0.16863814726859547</v>
      </c>
      <c r="H3568" s="12">
        <f t="shared" si="166"/>
        <v>5.7950838956873897E-2</v>
      </c>
      <c r="I3568" s="12">
        <f t="shared" si="167"/>
        <v>2.9524670922431166E-2</v>
      </c>
      <c r="J3568" s="12">
        <f>G3568*(D3568*Assumptions!$B$6+E3568*Assumptions!$B$7)</f>
        <v>2.0557419356902972E-3</v>
      </c>
    </row>
    <row r="3569" spans="1:10" x14ac:dyDescent="0.2">
      <c r="A3569" s="2">
        <v>3561</v>
      </c>
      <c r="B3569" s="14">
        <f>A3569*Assumptions!$B$12</f>
        <v>35.61</v>
      </c>
      <c r="C3569" s="15">
        <f>IF(A3569&lt;=Assumptions!$B$13,IF(OR(A3569=0,A3569=Assumptions!$B$13),0.5,1),0)*Assumptions!$B$12</f>
        <v>0</v>
      </c>
      <c r="D3569" s="12">
        <f>D3568*(1-Assumptions!$B$12*(Assumptions!$B$5+Assumptions!$B$6))</f>
        <v>0.34353706230485526</v>
      </c>
      <c r="E3569" s="12">
        <f>E3568+Assumptions!$B$12*(D3568*Assumptions!$B$5-E3568*Assumptions!$B$7)</f>
        <v>0.175058248877352</v>
      </c>
      <c r="F3569" s="12">
        <f t="shared" si="165"/>
        <v>0.48140468881779275</v>
      </c>
      <c r="G3569" s="12">
        <f>EXP(-Assumptions!$B$8*B3569)</f>
        <v>0.16855384927121678</v>
      </c>
      <c r="H3569" s="12">
        <f t="shared" si="166"/>
        <v>5.790449421880918E-2</v>
      </c>
      <c r="I3569" s="12">
        <f t="shared" si="167"/>
        <v>2.9506741694956342E-2</v>
      </c>
      <c r="J3569" s="12">
        <f>G3569*(D3569*Assumptions!$B$6+E3569*Assumptions!$B$7)</f>
        <v>2.0543820269359088E-3</v>
      </c>
    </row>
    <row r="3570" spans="1:10" x14ac:dyDescent="0.2">
      <c r="A3570" s="2">
        <v>3562</v>
      </c>
      <c r="B3570" s="14">
        <f>A3570*Assumptions!$B$12</f>
        <v>35.619999999999997</v>
      </c>
      <c r="C3570" s="15">
        <f>IF(A3570&lt;=Assumptions!$B$13,IF(OR(A3570=0,A3570=Assumptions!$B$13),0.5,1),0)*Assumptions!$B$12</f>
        <v>0</v>
      </c>
      <c r="D3570" s="12">
        <f>D3569*(1-Assumptions!$B$12*(Assumptions!$B$5+Assumptions!$B$6))</f>
        <v>0.3434340011861638</v>
      </c>
      <c r="E3570" s="12">
        <f>E3569+Assumptions!$B$12*(D3569*Assumptions!$B$5-E3569*Assumptions!$B$7)</f>
        <v>0.1750394271653743</v>
      </c>
      <c r="F3570" s="12">
        <f t="shared" si="165"/>
        <v>0.48152657164846185</v>
      </c>
      <c r="G3570" s="12">
        <f>EXP(-Assumptions!$B$8*B3570)</f>
        <v>0.16846959341230122</v>
      </c>
      <c r="H3570" s="12">
        <f t="shared" si="166"/>
        <v>5.7858186543792788E-2</v>
      </c>
      <c r="I3570" s="12">
        <f t="shared" si="167"/>
        <v>2.9488821125672721E-2</v>
      </c>
      <c r="J3570" s="12">
        <f>G3570*(D3570*Assumptions!$B$6+E3570*Assumptions!$B$7)</f>
        <v>2.0530229217215639E-3</v>
      </c>
    </row>
    <row r="3571" spans="1:10" x14ac:dyDescent="0.2">
      <c r="A3571" s="2">
        <v>3563</v>
      </c>
      <c r="B3571" s="14">
        <f>A3571*Assumptions!$B$12</f>
        <v>35.630000000000003</v>
      </c>
      <c r="C3571" s="15">
        <f>IF(A3571&lt;=Assumptions!$B$13,IF(OR(A3571=0,A3571=Assumptions!$B$13),0.5,1),0)*Assumptions!$B$12</f>
        <v>0</v>
      </c>
      <c r="D3571" s="12">
        <f>D3570*(1-Assumptions!$B$12*(Assumptions!$B$5+Assumptions!$B$6))</f>
        <v>0.34333097098580795</v>
      </c>
      <c r="E3571" s="12">
        <f>E3570+Assumptions!$B$12*(D3570*Assumptions!$B$5-E3570*Assumptions!$B$7)</f>
        <v>0.17502059425202884</v>
      </c>
      <c r="F3571" s="12">
        <f t="shared" si="165"/>
        <v>0.48164843476216324</v>
      </c>
      <c r="G3571" s="12">
        <f>EXP(-Assumptions!$B$8*B3571)</f>
        <v>0.16838537967078485</v>
      </c>
      <c r="H3571" s="12">
        <f t="shared" si="166"/>
        <v>5.7811915902184485E-2</v>
      </c>
      <c r="I3571" s="12">
        <f t="shared" si="167"/>
        <v>2.947090921333426E-2</v>
      </c>
      <c r="J3571" s="12">
        <f>G3571*(D3571*Assumptions!$B$6+E3571*Assumptions!$B$7)</f>
        <v>2.0516646196885578E-3</v>
      </c>
    </row>
    <row r="3572" spans="1:10" x14ac:dyDescent="0.2">
      <c r="A3572" s="2">
        <v>3564</v>
      </c>
      <c r="B3572" s="14">
        <f>A3572*Assumptions!$B$12</f>
        <v>35.64</v>
      </c>
      <c r="C3572" s="15">
        <f>IF(A3572&lt;=Assumptions!$B$13,IF(OR(A3572=0,A3572=Assumptions!$B$13),0.5,1),0)*Assumptions!$B$12</f>
        <v>0</v>
      </c>
      <c r="D3572" s="12">
        <f>D3571*(1-Assumptions!$B$12*(Assumptions!$B$5+Assumptions!$B$6))</f>
        <v>0.34322797169451219</v>
      </c>
      <c r="E3572" s="12">
        <f>E3571+Assumptions!$B$12*(D3571*Assumptions!$B$5-E3571*Assumptions!$B$7)</f>
        <v>0.17500175014909999</v>
      </c>
      <c r="F3572" s="12">
        <f t="shared" si="165"/>
        <v>0.48177027815638784</v>
      </c>
      <c r="G3572" s="12">
        <f>EXP(-Assumptions!$B$8*B3572)</f>
        <v>0.16830120802561438</v>
      </c>
      <c r="H3572" s="12">
        <f t="shared" si="166"/>
        <v>5.7765682264367783E-2</v>
      </c>
      <c r="I3572" s="12">
        <f t="shared" si="167"/>
        <v>2.945300595669027E-2</v>
      </c>
      <c r="J3572" s="12">
        <f>G3572*(D3572*Assumptions!$B$6+E3572*Assumptions!$B$7)</f>
        <v>2.0503071204781916E-3</v>
      </c>
    </row>
    <row r="3573" spans="1:10" x14ac:dyDescent="0.2">
      <c r="A3573" s="2">
        <v>3565</v>
      </c>
      <c r="B3573" s="14">
        <f>A3573*Assumptions!$B$12</f>
        <v>35.65</v>
      </c>
      <c r="C3573" s="15">
        <f>IF(A3573&lt;=Assumptions!$B$13,IF(OR(A3573=0,A3573=Assumptions!$B$13),0.5,1),0)*Assumptions!$B$12</f>
        <v>0</v>
      </c>
      <c r="D3573" s="12">
        <f>D3572*(1-Assumptions!$B$12*(Assumptions!$B$5+Assumptions!$B$6))</f>
        <v>0.34312500330300383</v>
      </c>
      <c r="E3573" s="12">
        <f>E3572+Assumptions!$B$12*(D3572*Assumptions!$B$5-E3572*Assumptions!$B$7)</f>
        <v>0.17498289486836435</v>
      </c>
      <c r="F3573" s="12">
        <f t="shared" si="165"/>
        <v>0.48189210182863185</v>
      </c>
      <c r="G3573" s="12">
        <f>EXP(-Assumptions!$B$8*B3573)</f>
        <v>0.16821707845574674</v>
      </c>
      <c r="H3573" s="12">
        <f t="shared" si="166"/>
        <v>5.7719485600749756E-2</v>
      </c>
      <c r="I3573" s="12">
        <f t="shared" si="167"/>
        <v>2.943511135448533E-2</v>
      </c>
      <c r="J3573" s="12">
        <f>G3573*(D3573*Assumptions!$B$6+E3573*Assumptions!$B$7)</f>
        <v>2.048950423731764E-3</v>
      </c>
    </row>
    <row r="3574" spans="1:10" x14ac:dyDescent="0.2">
      <c r="A3574" s="2">
        <v>3566</v>
      </c>
      <c r="B3574" s="14">
        <f>A3574*Assumptions!$B$12</f>
        <v>35.660000000000004</v>
      </c>
      <c r="C3574" s="15">
        <f>IF(A3574&lt;=Assumptions!$B$13,IF(OR(A3574=0,A3574=Assumptions!$B$13),0.5,1),0)*Assumptions!$B$12</f>
        <v>0</v>
      </c>
      <c r="D3574" s="12">
        <f>D3573*(1-Assumptions!$B$12*(Assumptions!$B$5+Assumptions!$B$6))</f>
        <v>0.34302206580201294</v>
      </c>
      <c r="E3574" s="12">
        <f>E3573+Assumptions!$B$12*(D3573*Assumptions!$B$5-E3573*Assumptions!$B$7)</f>
        <v>0.17496402842159078</v>
      </c>
      <c r="F3574" s="12">
        <f t="shared" si="165"/>
        <v>0.48201390577639636</v>
      </c>
      <c r="G3574" s="12">
        <f>EXP(-Assumptions!$B$8*B3574)</f>
        <v>0.16813299094014952</v>
      </c>
      <c r="H3574" s="12">
        <f t="shared" si="166"/>
        <v>5.7673325881761217E-2</v>
      </c>
      <c r="I3574" s="12">
        <f t="shared" si="167"/>
        <v>2.9417225405459387E-2</v>
      </c>
      <c r="J3574" s="12">
        <f>G3574*(D3574*Assumptions!$B$6+E3574*Assumptions!$B$7)</f>
        <v>2.0475945290905815E-3</v>
      </c>
    </row>
    <row r="3575" spans="1:10" x14ac:dyDescent="0.2">
      <c r="A3575" s="2">
        <v>3567</v>
      </c>
      <c r="B3575" s="14">
        <f>A3575*Assumptions!$B$12</f>
        <v>35.67</v>
      </c>
      <c r="C3575" s="15">
        <f>IF(A3575&lt;=Assumptions!$B$13,IF(OR(A3575=0,A3575=Assumptions!$B$13),0.5,1),0)*Assumptions!$B$12</f>
        <v>0</v>
      </c>
      <c r="D3575" s="12">
        <f>D3574*(1-Assumptions!$B$12*(Assumptions!$B$5+Assumptions!$B$6))</f>
        <v>0.34291915918227234</v>
      </c>
      <c r="E3575" s="12">
        <f>E3574+Assumptions!$B$12*(D3574*Assumptions!$B$5-E3574*Assumptions!$B$7)</f>
        <v>0.17494515082054038</v>
      </c>
      <c r="F3575" s="12">
        <f t="shared" si="165"/>
        <v>0.48213568999718726</v>
      </c>
      <c r="G3575" s="12">
        <f>EXP(-Assumptions!$B$8*B3575)</f>
        <v>0.16804894545780102</v>
      </c>
      <c r="H3575" s="12">
        <f t="shared" si="166"/>
        <v>5.7627203077856674E-2</v>
      </c>
      <c r="I3575" s="12">
        <f t="shared" si="167"/>
        <v>2.9399348108347764E-2</v>
      </c>
      <c r="J3575" s="12">
        <f>G3575*(D3575*Assumptions!$B$6+E3575*Assumptions!$B$7)</f>
        <v>2.0462394361959553E-3</v>
      </c>
    </row>
    <row r="3576" spans="1:10" x14ac:dyDescent="0.2">
      <c r="A3576" s="2">
        <v>3568</v>
      </c>
      <c r="B3576" s="14">
        <f>A3576*Assumptions!$B$12</f>
        <v>35.68</v>
      </c>
      <c r="C3576" s="15">
        <f>IF(A3576&lt;=Assumptions!$B$13,IF(OR(A3576=0,A3576=Assumptions!$B$13),0.5,1),0)*Assumptions!$B$12</f>
        <v>0</v>
      </c>
      <c r="D3576" s="12">
        <f>D3575*(1-Assumptions!$B$12*(Assumptions!$B$5+Assumptions!$B$6))</f>
        <v>0.34281628343451764</v>
      </c>
      <c r="E3576" s="12">
        <f>E3575+Assumptions!$B$12*(D3575*Assumptions!$B$5-E3575*Assumptions!$B$7)</f>
        <v>0.17492626207696657</v>
      </c>
      <c r="F3576" s="12">
        <f t="shared" si="165"/>
        <v>0.48225745448851576</v>
      </c>
      <c r="G3576" s="12">
        <f>EXP(-Assumptions!$B$8*B3576)</f>
        <v>0.16796494198768974</v>
      </c>
      <c r="H3576" s="12">
        <f t="shared" si="166"/>
        <v>5.758111715951416E-2</v>
      </c>
      <c r="I3576" s="12">
        <f t="shared" si="167"/>
        <v>2.9381479461881101E-2</v>
      </c>
      <c r="J3576" s="12">
        <f>G3576*(D3576*Assumptions!$B$6+E3576*Assumptions!$B$7)</f>
        <v>2.044885144689197E-3</v>
      </c>
    </row>
    <row r="3577" spans="1:10" x14ac:dyDescent="0.2">
      <c r="A3577" s="2">
        <v>3569</v>
      </c>
      <c r="B3577" s="14">
        <f>A3577*Assumptions!$B$12</f>
        <v>35.69</v>
      </c>
      <c r="C3577" s="15">
        <f>IF(A3577&lt;=Assumptions!$B$13,IF(OR(A3577=0,A3577=Assumptions!$B$13),0.5,1),0)*Assumptions!$B$12</f>
        <v>0</v>
      </c>
      <c r="D3577" s="12">
        <f>D3576*(1-Assumptions!$B$12*(Assumptions!$B$5+Assumptions!$B$6))</f>
        <v>0.34271343854948733</v>
      </c>
      <c r="E3577" s="12">
        <f>E3576+Assumptions!$B$12*(D3576*Assumptions!$B$5-E3576*Assumptions!$B$7)</f>
        <v>0.17490736220261499</v>
      </c>
      <c r="F3577" s="12">
        <f t="shared" si="165"/>
        <v>0.48237919924789768</v>
      </c>
      <c r="G3577" s="12">
        <f>EXP(-Assumptions!$B$8*B3577)</f>
        <v>0.16788098050881481</v>
      </c>
      <c r="H3577" s="12">
        <f t="shared" si="166"/>
        <v>5.7535068097235381E-2</v>
      </c>
      <c r="I3577" s="12">
        <f t="shared" si="167"/>
        <v>2.9363619464785419E-2</v>
      </c>
      <c r="J3577" s="12">
        <f>G3577*(D3577*Assumptions!$B$6+E3577*Assumptions!$B$7)</f>
        <v>2.0435316542116249E-3</v>
      </c>
    </row>
    <row r="3578" spans="1:10" x14ac:dyDescent="0.2">
      <c r="A3578" s="2">
        <v>3570</v>
      </c>
      <c r="B3578" s="14">
        <f>A3578*Assumptions!$B$12</f>
        <v>35.700000000000003</v>
      </c>
      <c r="C3578" s="15">
        <f>IF(A3578&lt;=Assumptions!$B$13,IF(OR(A3578=0,A3578=Assumptions!$B$13),0.5,1),0)*Assumptions!$B$12</f>
        <v>0</v>
      </c>
      <c r="D3578" s="12">
        <f>D3577*(1-Assumptions!$B$12*(Assumptions!$B$5+Assumptions!$B$6))</f>
        <v>0.34261062451792251</v>
      </c>
      <c r="E3578" s="12">
        <f>E3577+Assumptions!$B$12*(D3577*Assumptions!$B$5-E3577*Assumptions!$B$7)</f>
        <v>0.17488845120922358</v>
      </c>
      <c r="F3578" s="12">
        <f t="shared" si="165"/>
        <v>0.48250092427285385</v>
      </c>
      <c r="G3578" s="12">
        <f>EXP(-Assumptions!$B$8*B3578)</f>
        <v>0.16779706100018585</v>
      </c>
      <c r="H3578" s="12">
        <f t="shared" si="166"/>
        <v>5.748905586154561E-2</v>
      </c>
      <c r="I3578" s="12">
        <f t="shared" si="167"/>
        <v>2.9345768115782118E-2</v>
      </c>
      <c r="J3578" s="12">
        <f>G3578*(D3578*Assumptions!$B$6+E3578*Assumptions!$B$7)</f>
        <v>2.0421789644045622E-3</v>
      </c>
    </row>
    <row r="3579" spans="1:10" x14ac:dyDescent="0.2">
      <c r="A3579" s="2">
        <v>3571</v>
      </c>
      <c r="B3579" s="14">
        <f>A3579*Assumptions!$B$12</f>
        <v>35.71</v>
      </c>
      <c r="C3579" s="15">
        <f>IF(A3579&lt;=Assumptions!$B$13,IF(OR(A3579=0,A3579=Assumptions!$B$13),0.5,1),0)*Assumptions!$B$12</f>
        <v>0</v>
      </c>
      <c r="D3579" s="12">
        <f>D3578*(1-Assumptions!$B$12*(Assumptions!$B$5+Assumptions!$B$6))</f>
        <v>0.34250784133056716</v>
      </c>
      <c r="E3579" s="12">
        <f>E3578+Assumptions!$B$12*(D3578*Assumptions!$B$5-E3578*Assumptions!$B$7)</f>
        <v>0.17486952910852255</v>
      </c>
      <c r="F3579" s="12">
        <f t="shared" si="165"/>
        <v>0.48262262956091034</v>
      </c>
      <c r="G3579" s="12">
        <f>EXP(-Assumptions!$B$8*B3579)</f>
        <v>0.16771318344082306</v>
      </c>
      <c r="H3579" s="12">
        <f t="shared" si="166"/>
        <v>5.7443080422993731E-2</v>
      </c>
      <c r="I3579" s="12">
        <f t="shared" si="167"/>
        <v>2.9327925413587991E-2</v>
      </c>
      <c r="J3579" s="12">
        <f>G3579*(D3579*Assumptions!$B$6+E3579*Assumptions!$B$7)</f>
        <v>2.0408270749093368E-3</v>
      </c>
    </row>
    <row r="3580" spans="1:10" x14ac:dyDescent="0.2">
      <c r="A3580" s="2">
        <v>3572</v>
      </c>
      <c r="B3580" s="14">
        <f>A3580*Assumptions!$B$12</f>
        <v>35.72</v>
      </c>
      <c r="C3580" s="15">
        <f>IF(A3580&lt;=Assumptions!$B$13,IF(OR(A3580=0,A3580=Assumptions!$B$13),0.5,1),0)*Assumptions!$B$12</f>
        <v>0</v>
      </c>
      <c r="D3580" s="12">
        <f>D3579*(1-Assumptions!$B$12*(Assumptions!$B$5+Assumptions!$B$6))</f>
        <v>0.34240508897816802</v>
      </c>
      <c r="E3580" s="12">
        <f>E3579+Assumptions!$B$12*(D3579*Assumptions!$B$5-E3579*Assumptions!$B$7)</f>
        <v>0.1748505959122344</v>
      </c>
      <c r="F3580" s="12">
        <f t="shared" si="165"/>
        <v>0.48274431510959759</v>
      </c>
      <c r="G3580" s="12">
        <f>EXP(-Assumptions!$B$8*B3580)</f>
        <v>0.167629347809757</v>
      </c>
      <c r="H3580" s="12">
        <f t="shared" si="166"/>
        <v>5.7397141752152117E-2</v>
      </c>
      <c r="I3580" s="12">
        <f t="shared" si="167"/>
        <v>2.9310091356915216E-2</v>
      </c>
      <c r="J3580" s="12">
        <f>G3580*(D3580*Assumptions!$B$6+E3580*Assumptions!$B$7)</f>
        <v>2.0394759853672819E-3</v>
      </c>
    </row>
    <row r="3581" spans="1:10" x14ac:dyDescent="0.2">
      <c r="A3581" s="2">
        <v>3573</v>
      </c>
      <c r="B3581" s="14">
        <f>A3581*Assumptions!$B$12</f>
        <v>35.730000000000004</v>
      </c>
      <c r="C3581" s="15">
        <f>IF(A3581&lt;=Assumptions!$B$13,IF(OR(A3581=0,A3581=Assumptions!$B$13),0.5,1),0)*Assumptions!$B$12</f>
        <v>0</v>
      </c>
      <c r="D3581" s="12">
        <f>D3580*(1-Assumptions!$B$12*(Assumptions!$B$5+Assumptions!$B$6))</f>
        <v>0.34230236745147458</v>
      </c>
      <c r="E3581" s="12">
        <f>E3580+Assumptions!$B$12*(D3580*Assumptions!$B$5-E3580*Assumptions!$B$7)</f>
        <v>0.17483165163207393</v>
      </c>
      <c r="F3581" s="12">
        <f t="shared" si="165"/>
        <v>0.4828659809164515</v>
      </c>
      <c r="G3581" s="12">
        <f>EXP(-Assumptions!$B$8*B3581)</f>
        <v>0.16754555408602873</v>
      </c>
      <c r="H3581" s="12">
        <f t="shared" si="166"/>
        <v>5.7351239819616713E-2</v>
      </c>
      <c r="I3581" s="12">
        <f t="shared" si="167"/>
        <v>2.9292265944471374E-2</v>
      </c>
      <c r="J3581" s="12">
        <f>G3581*(D3581*Assumptions!$B$6+E3581*Assumptions!$B$7)</f>
        <v>2.0381256954197361E-3</v>
      </c>
    </row>
    <row r="3582" spans="1:10" x14ac:dyDescent="0.2">
      <c r="A3582" s="2">
        <v>3574</v>
      </c>
      <c r="B3582" s="14">
        <f>A3582*Assumptions!$B$12</f>
        <v>35.74</v>
      </c>
      <c r="C3582" s="15">
        <f>IF(A3582&lt;=Assumptions!$B$13,IF(OR(A3582=0,A3582=Assumptions!$B$13),0.5,1),0)*Assumptions!$B$12</f>
        <v>0</v>
      </c>
      <c r="D3582" s="12">
        <f>D3581*(1-Assumptions!$B$12*(Assumptions!$B$5+Assumptions!$B$6))</f>
        <v>0.34219967674123913</v>
      </c>
      <c r="E3582" s="12">
        <f>E3581+Assumptions!$B$12*(D3581*Assumptions!$B$5-E3581*Assumptions!$B$7)</f>
        <v>0.17481269627974819</v>
      </c>
      <c r="F3582" s="12">
        <f t="shared" si="165"/>
        <v>0.48298762697901265</v>
      </c>
      <c r="G3582" s="12">
        <f>EXP(-Assumptions!$B$8*B3582)</f>
        <v>0.16746180224868989</v>
      </c>
      <c r="H3582" s="12">
        <f t="shared" si="166"/>
        <v>5.7305374596006993E-2</v>
      </c>
      <c r="I3582" s="12">
        <f t="shared" si="167"/>
        <v>2.9274449174959478E-2</v>
      </c>
      <c r="J3582" s="12">
        <f>G3582*(D3582*Assumptions!$B$6+E3582*Assumptions!$B$7)</f>
        <v>2.0367762047080436E-3</v>
      </c>
    </row>
    <row r="3583" spans="1:10" x14ac:dyDescent="0.2">
      <c r="A3583" s="2">
        <v>3575</v>
      </c>
      <c r="B3583" s="14">
        <f>A3583*Assumptions!$B$12</f>
        <v>35.75</v>
      </c>
      <c r="C3583" s="15">
        <f>IF(A3583&lt;=Assumptions!$B$13,IF(OR(A3583=0,A3583=Assumptions!$B$13),0.5,1),0)*Assumptions!$B$12</f>
        <v>0</v>
      </c>
      <c r="D3583" s="12">
        <f>D3582*(1-Assumptions!$B$12*(Assumptions!$B$5+Assumptions!$B$6))</f>
        <v>0.34209701683821675</v>
      </c>
      <c r="E3583" s="12">
        <f>E3582+Assumptions!$B$12*(D3582*Assumptions!$B$5-E3582*Assumptions!$B$7)</f>
        <v>0.17479372986695657</v>
      </c>
      <c r="F3583" s="12">
        <f t="shared" si="165"/>
        <v>0.48310925329482673</v>
      </c>
      <c r="G3583" s="12">
        <f>EXP(-Assumptions!$B$8*B3583)</f>
        <v>0.16737809227680248</v>
      </c>
      <c r="H3583" s="12">
        <f t="shared" si="166"/>
        <v>5.7259546051965891E-2</v>
      </c>
      <c r="I3583" s="12">
        <f t="shared" si="167"/>
        <v>2.9256641047077942E-2</v>
      </c>
      <c r="J3583" s="12">
        <f>G3583*(D3583*Assumptions!$B$6+E3583*Assumptions!$B$7)</f>
        <v>2.0354275128735564E-3</v>
      </c>
    </row>
    <row r="3584" spans="1:10" x14ac:dyDescent="0.2">
      <c r="A3584" s="2">
        <v>3576</v>
      </c>
      <c r="B3584" s="14">
        <f>A3584*Assumptions!$B$12</f>
        <v>35.76</v>
      </c>
      <c r="C3584" s="15">
        <f>IF(A3584&lt;=Assumptions!$B$13,IF(OR(A3584=0,A3584=Assumptions!$B$13),0.5,1),0)*Assumptions!$B$12</f>
        <v>0</v>
      </c>
      <c r="D3584" s="12">
        <f>D3583*(1-Assumptions!$B$12*(Assumptions!$B$5+Assumptions!$B$6))</f>
        <v>0.34199438773316532</v>
      </c>
      <c r="E3584" s="12">
        <f>E3583+Assumptions!$B$12*(D3583*Assumptions!$B$5-E3583*Assumptions!$B$7)</f>
        <v>0.17477475240539073</v>
      </c>
      <c r="F3584" s="12">
        <f t="shared" si="165"/>
        <v>0.48323085986144398</v>
      </c>
      <c r="G3584" s="12">
        <f>EXP(-Assumptions!$B$8*B3584)</f>
        <v>0.16729442414943901</v>
      </c>
      <c r="H3584" s="12">
        <f t="shared" si="166"/>
        <v>5.7213754158159859E-2</v>
      </c>
      <c r="I3584" s="12">
        <f t="shared" si="167"/>
        <v>2.9238841559520622E-2</v>
      </c>
      <c r="J3584" s="12">
        <f>G3584*(D3584*Assumptions!$B$6+E3584*Assumptions!$B$7)</f>
        <v>2.0340796195576299E-3</v>
      </c>
    </row>
    <row r="3585" spans="1:10" x14ac:dyDescent="0.2">
      <c r="A3585" s="2">
        <v>3577</v>
      </c>
      <c r="B3585" s="14">
        <f>A3585*Assumptions!$B$12</f>
        <v>35.770000000000003</v>
      </c>
      <c r="C3585" s="15">
        <f>IF(A3585&lt;=Assumptions!$B$13,IF(OR(A3585=0,A3585=Assumptions!$B$13),0.5,1),0)*Assumptions!$B$12</f>
        <v>0</v>
      </c>
      <c r="D3585" s="12">
        <f>D3584*(1-Assumptions!$B$12*(Assumptions!$B$5+Assumptions!$B$6))</f>
        <v>0.34189178941684539</v>
      </c>
      <c r="E3585" s="12">
        <f>E3584+Assumptions!$B$12*(D3584*Assumptions!$B$5-E3584*Assumptions!$B$7)</f>
        <v>0.17475576390673467</v>
      </c>
      <c r="F3585" s="12">
        <f t="shared" si="165"/>
        <v>0.48335244667641997</v>
      </c>
      <c r="G3585" s="12">
        <f>EXP(-Assumptions!$B$8*B3585)</f>
        <v>0.16721079784568244</v>
      </c>
      <c r="H3585" s="12">
        <f t="shared" si="166"/>
        <v>5.7167998885278765E-2</v>
      </c>
      <c r="I3585" s="12">
        <f t="shared" si="167"/>
        <v>2.9221050710976817E-2</v>
      </c>
      <c r="J3585" s="12">
        <f>G3585*(D3585*Assumptions!$B$6+E3585*Assumptions!$B$7)</f>
        <v>2.0327325244016287E-3</v>
      </c>
    </row>
    <row r="3586" spans="1:10" x14ac:dyDescent="0.2">
      <c r="A3586" s="2">
        <v>3578</v>
      </c>
      <c r="B3586" s="14">
        <f>A3586*Assumptions!$B$12</f>
        <v>35.78</v>
      </c>
      <c r="C3586" s="15">
        <f>IF(A3586&lt;=Assumptions!$B$13,IF(OR(A3586=0,A3586=Assumptions!$B$13),0.5,1),0)*Assumptions!$B$12</f>
        <v>0</v>
      </c>
      <c r="D3586" s="12">
        <f>D3585*(1-Assumptions!$B$12*(Assumptions!$B$5+Assumptions!$B$6))</f>
        <v>0.34178922188002037</v>
      </c>
      <c r="E3586" s="12">
        <f>E3585+Assumptions!$B$12*(D3585*Assumptions!$B$5-E3585*Assumptions!$B$7)</f>
        <v>0.17473676438266467</v>
      </c>
      <c r="F3586" s="12">
        <f t="shared" si="165"/>
        <v>0.48347401373731497</v>
      </c>
      <c r="G3586" s="12">
        <f>EXP(-Assumptions!$B$8*B3586)</f>
        <v>0.16712721334462621</v>
      </c>
      <c r="H3586" s="12">
        <f t="shared" si="166"/>
        <v>5.7122280204035952E-2</v>
      </c>
      <c r="I3586" s="12">
        <f t="shared" si="167"/>
        <v>2.9203268500131281E-2</v>
      </c>
      <c r="J3586" s="12">
        <f>G3586*(D3586*Assumptions!$B$6+E3586*Assumptions!$B$7)</f>
        <v>2.0313862270469238E-3</v>
      </c>
    </row>
    <row r="3587" spans="1:10" x14ac:dyDescent="0.2">
      <c r="A3587" s="2">
        <v>3579</v>
      </c>
      <c r="B3587" s="14">
        <f>A3587*Assumptions!$B$12</f>
        <v>35.79</v>
      </c>
      <c r="C3587" s="15">
        <f>IF(A3587&lt;=Assumptions!$B$13,IF(OR(A3587=0,A3587=Assumptions!$B$13),0.5,1),0)*Assumptions!$B$12</f>
        <v>0</v>
      </c>
      <c r="D3587" s="12">
        <f>D3586*(1-Assumptions!$B$12*(Assumptions!$B$5+Assumptions!$B$6))</f>
        <v>0.34168668511345635</v>
      </c>
      <c r="E3587" s="12">
        <f>E3586+Assumptions!$B$12*(D3586*Assumptions!$B$5-E3586*Assumptions!$B$7)</f>
        <v>0.17471775384484933</v>
      </c>
      <c r="F3587" s="12">
        <f t="shared" si="165"/>
        <v>0.48359556104169432</v>
      </c>
      <c r="G3587" s="12">
        <f>EXP(-Assumptions!$B$8*B3587)</f>
        <v>0.16704367062537417</v>
      </c>
      <c r="H3587" s="12">
        <f t="shared" si="166"/>
        <v>5.7076598085168143E-2</v>
      </c>
      <c r="I3587" s="12">
        <f t="shared" si="167"/>
        <v>2.9185494925664215E-2</v>
      </c>
      <c r="J3587" s="12">
        <f>G3587*(D3587*Assumptions!$B$6+E3587*Assumptions!$B$7)</f>
        <v>2.0300407271348921E-3</v>
      </c>
    </row>
    <row r="3588" spans="1:10" x14ac:dyDescent="0.2">
      <c r="A3588" s="2">
        <v>3580</v>
      </c>
      <c r="B3588" s="14">
        <f>A3588*Assumptions!$B$12</f>
        <v>35.800000000000004</v>
      </c>
      <c r="C3588" s="15">
        <f>IF(A3588&lt;=Assumptions!$B$13,IF(OR(A3588=0,A3588=Assumptions!$B$13),0.5,1),0)*Assumptions!$B$12</f>
        <v>0</v>
      </c>
      <c r="D3588" s="12">
        <f>D3587*(1-Assumptions!$B$12*(Assumptions!$B$5+Assumptions!$B$6))</f>
        <v>0.34158417910792233</v>
      </c>
      <c r="E3588" s="12">
        <f>E3587+Assumptions!$B$12*(D3587*Assumptions!$B$5-E3587*Assumptions!$B$7)</f>
        <v>0.17469873230494959</v>
      </c>
      <c r="F3588" s="12">
        <f t="shared" si="165"/>
        <v>0.48371708858712803</v>
      </c>
      <c r="G3588" s="12">
        <f>EXP(-Assumptions!$B$8*B3588)</f>
        <v>0.16696016966704066</v>
      </c>
      <c r="H3588" s="12">
        <f t="shared" si="166"/>
        <v>5.7030952499435517E-2</v>
      </c>
      <c r="I3588" s="12">
        <f t="shared" si="167"/>
        <v>2.9167729986251303E-2</v>
      </c>
      <c r="J3588" s="12">
        <f>G3588*(D3588*Assumptions!$B$6+E3588*Assumptions!$B$7)</f>
        <v>2.0286960243069202E-3</v>
      </c>
    </row>
    <row r="3589" spans="1:10" x14ac:dyDescent="0.2">
      <c r="A3589" s="2">
        <v>3581</v>
      </c>
      <c r="B3589" s="14">
        <f>A3589*Assumptions!$B$12</f>
        <v>35.81</v>
      </c>
      <c r="C3589" s="15">
        <f>IF(A3589&lt;=Assumptions!$B$13,IF(OR(A3589=0,A3589=Assumptions!$B$13),0.5,1),0)*Assumptions!$B$12</f>
        <v>0</v>
      </c>
      <c r="D3589" s="12">
        <f>D3588*(1-Assumptions!$B$12*(Assumptions!$B$5+Assumptions!$B$6))</f>
        <v>0.34148170385418997</v>
      </c>
      <c r="E3589" s="12">
        <f>E3588+Assumptions!$B$12*(D3588*Assumptions!$B$5-E3588*Assumptions!$B$7)</f>
        <v>0.1746796997746187</v>
      </c>
      <c r="F3589" s="12">
        <f t="shared" si="165"/>
        <v>0.48383859637119131</v>
      </c>
      <c r="G3589" s="12">
        <f>EXP(-Assumptions!$B$8*B3589)</f>
        <v>0.16687671044875046</v>
      </c>
      <c r="H3589" s="12">
        <f t="shared" si="166"/>
        <v>5.6985343417621612E-2</v>
      </c>
      <c r="I3589" s="12">
        <f t="shared" si="167"/>
        <v>2.9149973680563705E-2</v>
      </c>
      <c r="J3589" s="12">
        <f>G3589*(D3589*Assumptions!$B$6+E3589*Assumptions!$B$7)</f>
        <v>2.0273521182044016E-3</v>
      </c>
    </row>
    <row r="3590" spans="1:10" x14ac:dyDescent="0.2">
      <c r="A3590" s="2">
        <v>3582</v>
      </c>
      <c r="B3590" s="14">
        <f>A3590*Assumptions!$B$12</f>
        <v>35.82</v>
      </c>
      <c r="C3590" s="15">
        <f>IF(A3590&lt;=Assumptions!$B$13,IF(OR(A3590=0,A3590=Assumptions!$B$13),0.5,1),0)*Assumptions!$B$12</f>
        <v>0</v>
      </c>
      <c r="D3590" s="12">
        <f>D3589*(1-Assumptions!$B$12*(Assumptions!$B$5+Assumptions!$B$6))</f>
        <v>0.3413792593430337</v>
      </c>
      <c r="E3590" s="12">
        <f>E3589+Assumptions!$B$12*(D3589*Assumptions!$B$5-E3589*Assumptions!$B$7)</f>
        <v>0.17466065626550223</v>
      </c>
      <c r="F3590" s="12">
        <f t="shared" si="165"/>
        <v>0.4839600843914641</v>
      </c>
      <c r="G3590" s="12">
        <f>EXP(-Assumptions!$B$8*B3590)</f>
        <v>0.16679329294963874</v>
      </c>
      <c r="H3590" s="12">
        <f t="shared" si="166"/>
        <v>5.6939770810533315E-2</v>
      </c>
      <c r="I3590" s="12">
        <f t="shared" si="167"/>
        <v>2.9132226007268069E-2</v>
      </c>
      <c r="J3590" s="12">
        <f>G3590*(D3590*Assumptions!$B$6+E3590*Assumptions!$B$7)</f>
        <v>2.0260090084687366E-3</v>
      </c>
    </row>
    <row r="3591" spans="1:10" x14ac:dyDescent="0.2">
      <c r="A3591" s="2">
        <v>3583</v>
      </c>
      <c r="B3591" s="14">
        <f>A3591*Assumptions!$B$12</f>
        <v>35.83</v>
      </c>
      <c r="C3591" s="15">
        <f>IF(A3591&lt;=Assumptions!$B$13,IF(OR(A3591=0,A3591=Assumptions!$B$13),0.5,1),0)*Assumptions!$B$12</f>
        <v>0</v>
      </c>
      <c r="D3591" s="12">
        <f>D3590*(1-Assumptions!$B$12*(Assumptions!$B$5+Assumptions!$B$6))</f>
        <v>0.3412768455652308</v>
      </c>
      <c r="E3591" s="12">
        <f>E3590+Assumptions!$B$12*(D3590*Assumptions!$B$5-E3590*Assumptions!$B$7)</f>
        <v>0.17464160178923807</v>
      </c>
      <c r="F3591" s="12">
        <f t="shared" si="165"/>
        <v>0.4840815526455311</v>
      </c>
      <c r="G3591" s="12">
        <f>EXP(-Assumptions!$B$8*B3591)</f>
        <v>0.16670991714885111</v>
      </c>
      <c r="H3591" s="12">
        <f t="shared" si="166"/>
        <v>5.6894234649000883E-2</v>
      </c>
      <c r="I3591" s="12">
        <f t="shared" si="167"/>
        <v>2.9114486965026526E-2</v>
      </c>
      <c r="J3591" s="12">
        <f>G3591*(D3591*Assumptions!$B$6+E3591*Assumptions!$B$7)</f>
        <v>2.0246666947413353E-3</v>
      </c>
    </row>
    <row r="3592" spans="1:10" x14ac:dyDescent="0.2">
      <c r="A3592" s="2">
        <v>3584</v>
      </c>
      <c r="B3592" s="14">
        <f>A3592*Assumptions!$B$12</f>
        <v>35.840000000000003</v>
      </c>
      <c r="C3592" s="15">
        <f>IF(A3592&lt;=Assumptions!$B$13,IF(OR(A3592=0,A3592=Assumptions!$B$13),0.5,1),0)*Assumptions!$B$12</f>
        <v>0</v>
      </c>
      <c r="D3592" s="12">
        <f>D3591*(1-Assumptions!$B$12*(Assumptions!$B$5+Assumptions!$B$6))</f>
        <v>0.34117446251156125</v>
      </c>
      <c r="E3592" s="12">
        <f>E3591+Assumptions!$B$12*(D3591*Assumptions!$B$5-E3591*Assumptions!$B$7)</f>
        <v>0.1746225363574565</v>
      </c>
      <c r="F3592" s="12">
        <f t="shared" ref="F3592:F3655" si="168">1-D3592-E3592</f>
        <v>0.48420300113098225</v>
      </c>
      <c r="G3592" s="12">
        <f>EXP(-Assumptions!$B$8*B3592)</f>
        <v>0.16662658302554362</v>
      </c>
      <c r="H3592" s="12">
        <f t="shared" ref="H3592:H3655" si="169">G3592*D3592</f>
        <v>5.684873490387788E-2</v>
      </c>
      <c r="I3592" s="12">
        <f t="shared" ref="I3592:I3655" si="170">G3592*E3592</f>
        <v>2.9096756552496734E-2</v>
      </c>
      <c r="J3592" s="12">
        <f>G3592*(D3592*Assumptions!$B$6+E3592*Assumptions!$B$7)</f>
        <v>2.0233251766636155E-3</v>
      </c>
    </row>
    <row r="3593" spans="1:10" x14ac:dyDescent="0.2">
      <c r="A3593" s="2">
        <v>3585</v>
      </c>
      <c r="B3593" s="14">
        <f>A3593*Assumptions!$B$12</f>
        <v>35.85</v>
      </c>
      <c r="C3593" s="15">
        <f>IF(A3593&lt;=Assumptions!$B$13,IF(OR(A3593=0,A3593=Assumptions!$B$13),0.5,1),0)*Assumptions!$B$12</f>
        <v>0</v>
      </c>
      <c r="D3593" s="12">
        <f>D3592*(1-Assumptions!$B$12*(Assumptions!$B$5+Assumptions!$B$6))</f>
        <v>0.34107211017280781</v>
      </c>
      <c r="E3593" s="12">
        <f>E3592+Assumptions!$B$12*(D3592*Assumptions!$B$5-E3592*Assumptions!$B$7)</f>
        <v>0.17460345998178009</v>
      </c>
      <c r="F3593" s="12">
        <f t="shared" si="168"/>
        <v>0.48432442984541213</v>
      </c>
      <c r="G3593" s="12">
        <f>EXP(-Assumptions!$B$8*B3593)</f>
        <v>0.16654329055888278</v>
      </c>
      <c r="H3593" s="12">
        <f t="shared" si="169"/>
        <v>5.6803271546041215E-2</v>
      </c>
      <c r="I3593" s="12">
        <f t="shared" si="170"/>
        <v>2.9079034768331864E-2</v>
      </c>
      <c r="J3593" s="12">
        <f>G3593*(D3593*Assumptions!$B$6+E3593*Assumptions!$B$7)</f>
        <v>2.0219844538770055E-3</v>
      </c>
    </row>
    <row r="3594" spans="1:10" x14ac:dyDescent="0.2">
      <c r="A3594" s="2">
        <v>3586</v>
      </c>
      <c r="B3594" s="14">
        <f>A3594*Assumptions!$B$12</f>
        <v>35.86</v>
      </c>
      <c r="C3594" s="15">
        <f>IF(A3594&lt;=Assumptions!$B$13,IF(OR(A3594=0,A3594=Assumptions!$B$13),0.5,1),0)*Assumptions!$B$12</f>
        <v>0</v>
      </c>
      <c r="D3594" s="12">
        <f>D3593*(1-Assumptions!$B$12*(Assumptions!$B$5+Assumptions!$B$6))</f>
        <v>0.34096978853975596</v>
      </c>
      <c r="E3594" s="12">
        <f>E3593+Assumptions!$B$12*(D3593*Assumptions!$B$5-E3593*Assumptions!$B$7)</f>
        <v>0.17458437267382376</v>
      </c>
      <c r="F3594" s="12">
        <f t="shared" si="168"/>
        <v>0.48444583878642022</v>
      </c>
      <c r="G3594" s="12">
        <f>EXP(-Assumptions!$B$8*B3594)</f>
        <v>0.16646003972804543</v>
      </c>
      <c r="H3594" s="12">
        <f t="shared" si="169"/>
        <v>5.6757844546391024E-2</v>
      </c>
      <c r="I3594" s="12">
        <f t="shared" si="170"/>
        <v>2.9061321611180593E-2</v>
      </c>
      <c r="J3594" s="12">
        <f>G3594*(D3594*Assumptions!$B$6+E3594*Assumptions!$B$7)</f>
        <v>2.0206445260229399E-3</v>
      </c>
    </row>
    <row r="3595" spans="1:10" x14ac:dyDescent="0.2">
      <c r="A3595" s="2">
        <v>3587</v>
      </c>
      <c r="B3595" s="14">
        <f>A3595*Assumptions!$B$12</f>
        <v>35.869999999999997</v>
      </c>
      <c r="C3595" s="15">
        <f>IF(A3595&lt;=Assumptions!$B$13,IF(OR(A3595=0,A3595=Assumptions!$B$13),0.5,1),0)*Assumptions!$B$12</f>
        <v>0</v>
      </c>
      <c r="D3595" s="12">
        <f>D3594*(1-Assumptions!$B$12*(Assumptions!$B$5+Assumptions!$B$6))</f>
        <v>0.34086749760319407</v>
      </c>
      <c r="E3595" s="12">
        <f>E3594+Assumptions!$B$12*(D3594*Assumptions!$B$5-E3594*Assumptions!$B$7)</f>
        <v>0.17456527444519479</v>
      </c>
      <c r="F3595" s="12">
        <f t="shared" si="168"/>
        <v>0.48456722795161122</v>
      </c>
      <c r="G3595" s="12">
        <f>EXP(-Assumptions!$B$8*B3595)</f>
        <v>0.16637683051221897</v>
      </c>
      <c r="H3595" s="12">
        <f t="shared" si="169"/>
        <v>5.6712453875850825E-2</v>
      </c>
      <c r="I3595" s="12">
        <f t="shared" si="170"/>
        <v>2.9043617079687164E-2</v>
      </c>
      <c r="J3595" s="12">
        <f>G3595*(D3595*Assumptions!$B$6+E3595*Assumptions!$B$7)</f>
        <v>2.0193053927428663E-3</v>
      </c>
    </row>
    <row r="3596" spans="1:10" x14ac:dyDescent="0.2">
      <c r="A3596" s="2">
        <v>3588</v>
      </c>
      <c r="B3596" s="14">
        <f>A3596*Assumptions!$B$12</f>
        <v>35.880000000000003</v>
      </c>
      <c r="C3596" s="15">
        <f>IF(A3596&lt;=Assumptions!$B$13,IF(OR(A3596=0,A3596=Assumptions!$B$13),0.5,1),0)*Assumptions!$B$12</f>
        <v>0</v>
      </c>
      <c r="D3596" s="12">
        <f>D3595*(1-Assumptions!$B$12*(Assumptions!$B$5+Assumptions!$B$6))</f>
        <v>0.34076523735391312</v>
      </c>
      <c r="E3596" s="12">
        <f>E3595+Assumptions!$B$12*(D3595*Assumptions!$B$5-E3595*Assumptions!$B$7)</f>
        <v>0.17454616530749284</v>
      </c>
      <c r="F3596" s="12">
        <f t="shared" si="168"/>
        <v>0.48468859733859398</v>
      </c>
      <c r="G3596" s="12">
        <f>EXP(-Assumptions!$B$8*B3596)</f>
        <v>0.16629366289060085</v>
      </c>
      <c r="H3596" s="12">
        <f t="shared" si="169"/>
        <v>5.6667099505367212E-2</v>
      </c>
      <c r="I3596" s="12">
        <f t="shared" si="170"/>
        <v>2.9025921172491302E-2</v>
      </c>
      <c r="J3596" s="12">
        <f>G3596*(D3596*Assumptions!$B$6+E3596*Assumptions!$B$7)</f>
        <v>2.0179670536782371E-3</v>
      </c>
    </row>
    <row r="3597" spans="1:10" x14ac:dyDescent="0.2">
      <c r="A3597" s="2">
        <v>3589</v>
      </c>
      <c r="B3597" s="14">
        <f>A3597*Assumptions!$B$12</f>
        <v>35.89</v>
      </c>
      <c r="C3597" s="15">
        <f>IF(A3597&lt;=Assumptions!$B$13,IF(OR(A3597=0,A3597=Assumptions!$B$13),0.5,1),0)*Assumptions!$B$12</f>
        <v>0</v>
      </c>
      <c r="D3597" s="12">
        <f>D3596*(1-Assumptions!$B$12*(Assumptions!$B$5+Assumptions!$B$6))</f>
        <v>0.34066300778270697</v>
      </c>
      <c r="E3597" s="12">
        <f>E3596+Assumptions!$B$12*(D3596*Assumptions!$B$5-E3596*Assumptions!$B$7)</f>
        <v>0.17452704527230989</v>
      </c>
      <c r="F3597" s="12">
        <f t="shared" si="168"/>
        <v>0.48480994694498314</v>
      </c>
      <c r="G3597" s="12">
        <f>EXP(-Assumptions!$B$8*B3597)</f>
        <v>0.16621053684239939</v>
      </c>
      <c r="H3597" s="12">
        <f t="shared" si="169"/>
        <v>5.6621781405910211E-2</v>
      </c>
      <c r="I3597" s="12">
        <f t="shared" si="170"/>
        <v>2.9008233888228371E-2</v>
      </c>
      <c r="J3597" s="12">
        <f>G3597*(D3597*Assumptions!$B$6+E3597*Assumptions!$B$7)</f>
        <v>2.0166295084705207E-3</v>
      </c>
    </row>
    <row r="3598" spans="1:10" x14ac:dyDescent="0.2">
      <c r="A3598" s="2">
        <v>3590</v>
      </c>
      <c r="B3598" s="14">
        <f>A3598*Assumptions!$B$12</f>
        <v>35.9</v>
      </c>
      <c r="C3598" s="15">
        <f>IF(A3598&lt;=Assumptions!$B$13,IF(OR(A3598=0,A3598=Assumptions!$B$13),0.5,1),0)*Assumptions!$B$12</f>
        <v>0</v>
      </c>
      <c r="D3598" s="12">
        <f>D3597*(1-Assumptions!$B$12*(Assumptions!$B$5+Assumptions!$B$6))</f>
        <v>0.34056080888037216</v>
      </c>
      <c r="E3598" s="12">
        <f>E3597+Assumptions!$B$12*(D3597*Assumptions!$B$5-E3597*Assumptions!$B$7)</f>
        <v>0.17450791435123028</v>
      </c>
      <c r="F3598" s="12">
        <f t="shared" si="168"/>
        <v>0.48493127676839753</v>
      </c>
      <c r="G3598" s="12">
        <f>EXP(-Assumptions!$B$8*B3598)</f>
        <v>0.16612745234683307</v>
      </c>
      <c r="H3598" s="12">
        <f t="shared" si="169"/>
        <v>5.657649954847295E-2</v>
      </c>
      <c r="I3598" s="12">
        <f t="shared" si="170"/>
        <v>2.8990555225529235E-2</v>
      </c>
      <c r="J3598" s="12">
        <f>G3598*(D3598*Assumptions!$B$6+E3598*Assumptions!$B$7)</f>
        <v>2.0152927567611916E-3</v>
      </c>
    </row>
    <row r="3599" spans="1:10" x14ac:dyDescent="0.2">
      <c r="A3599" s="2">
        <v>3591</v>
      </c>
      <c r="B3599" s="14">
        <f>A3599*Assumptions!$B$12</f>
        <v>35.910000000000004</v>
      </c>
      <c r="C3599" s="15">
        <f>IF(A3599&lt;=Assumptions!$B$13,IF(OR(A3599=0,A3599=Assumptions!$B$13),0.5,1),0)*Assumptions!$B$12</f>
        <v>0</v>
      </c>
      <c r="D3599" s="12">
        <f>D3598*(1-Assumptions!$B$12*(Assumptions!$B$5+Assumptions!$B$6))</f>
        <v>0.34045864063770803</v>
      </c>
      <c r="E3599" s="12">
        <f>E3598+Assumptions!$B$12*(D3598*Assumptions!$B$5-E3598*Assumptions!$B$7)</f>
        <v>0.17448877255583073</v>
      </c>
      <c r="F3599" s="12">
        <f t="shared" si="168"/>
        <v>0.48505258680646124</v>
      </c>
      <c r="G3599" s="12">
        <f>EXP(-Assumptions!$B$8*B3599)</f>
        <v>0.16604440938313056</v>
      </c>
      <c r="H3599" s="12">
        <f t="shared" si="169"/>
        <v>5.6531253904071724E-2</v>
      </c>
      <c r="I3599" s="12">
        <f t="shared" si="170"/>
        <v>2.8972885183020314E-2</v>
      </c>
      <c r="J3599" s="12">
        <f>G3599*(D3599*Assumptions!$B$6+E3599*Assumptions!$B$7)</f>
        <v>2.0139567981917331E-3</v>
      </c>
    </row>
    <row r="3600" spans="1:10" x14ac:dyDescent="0.2">
      <c r="A3600" s="2">
        <v>3592</v>
      </c>
      <c r="B3600" s="14">
        <f>A3600*Assumptions!$B$12</f>
        <v>35.92</v>
      </c>
      <c r="C3600" s="15">
        <f>IF(A3600&lt;=Assumptions!$B$13,IF(OR(A3600=0,A3600=Assumptions!$B$13),0.5,1),0)*Assumptions!$B$12</f>
        <v>0</v>
      </c>
      <c r="D3600" s="12">
        <f>D3599*(1-Assumptions!$B$12*(Assumptions!$B$5+Assumptions!$B$6))</f>
        <v>0.34035650304551673</v>
      </c>
      <c r="E3600" s="12">
        <f>E3599+Assumptions!$B$12*(D3599*Assumptions!$B$5-E3599*Assumptions!$B$7)</f>
        <v>0.17446961989768037</v>
      </c>
      <c r="F3600" s="12">
        <f t="shared" si="168"/>
        <v>0.48517387705680293</v>
      </c>
      <c r="G3600" s="12">
        <f>EXP(-Assumptions!$B$8*B3600)</f>
        <v>0.16596140793053135</v>
      </c>
      <c r="H3600" s="12">
        <f t="shared" si="169"/>
        <v>5.6486044443746136E-2</v>
      </c>
      <c r="I3600" s="12">
        <f t="shared" si="170"/>
        <v>2.8955223759323682E-2</v>
      </c>
      <c r="J3600" s="12">
        <f>G3600*(D3600*Assumptions!$B$6+E3600*Assumptions!$B$7)</f>
        <v>2.0126216324036455E-3</v>
      </c>
    </row>
    <row r="3601" spans="1:10" x14ac:dyDescent="0.2">
      <c r="A3601" s="2">
        <v>3593</v>
      </c>
      <c r="B3601" s="14">
        <f>A3601*Assumptions!$B$12</f>
        <v>35.93</v>
      </c>
      <c r="C3601" s="15">
        <f>IF(A3601&lt;=Assumptions!$B$13,IF(OR(A3601=0,A3601=Assumptions!$B$13),0.5,1),0)*Assumptions!$B$12</f>
        <v>0</v>
      </c>
      <c r="D3601" s="12">
        <f>D3600*(1-Assumptions!$B$12*(Assumptions!$B$5+Assumptions!$B$6))</f>
        <v>0.34025439609460312</v>
      </c>
      <c r="E3601" s="12">
        <f>E3600+Assumptions!$B$12*(D3600*Assumptions!$B$5-E3600*Assumptions!$B$7)</f>
        <v>0.17445045638834064</v>
      </c>
      <c r="F3601" s="12">
        <f t="shared" si="168"/>
        <v>0.48529514751705616</v>
      </c>
      <c r="G3601" s="12">
        <f>EXP(-Assumptions!$B$8*B3601)</f>
        <v>0.16587844796828502</v>
      </c>
      <c r="H3601" s="12">
        <f t="shared" si="169"/>
        <v>5.6440871138558862E-2</v>
      </c>
      <c r="I3601" s="12">
        <f t="shared" si="170"/>
        <v>2.8937570953056938E-2</v>
      </c>
      <c r="J3601" s="12">
        <f>G3601*(D3601*Assumptions!$B$6+E3601*Assumptions!$B$7)</f>
        <v>2.0112872590384353E-3</v>
      </c>
    </row>
    <row r="3602" spans="1:10" x14ac:dyDescent="0.2">
      <c r="A3602" s="2">
        <v>3594</v>
      </c>
      <c r="B3602" s="14">
        <f>A3602*Assumptions!$B$12</f>
        <v>35.94</v>
      </c>
      <c r="C3602" s="15">
        <f>IF(A3602&lt;=Assumptions!$B$13,IF(OR(A3602=0,A3602=Assumptions!$B$13),0.5,1),0)*Assumptions!$B$12</f>
        <v>0</v>
      </c>
      <c r="D3602" s="12">
        <f>D3601*(1-Assumptions!$B$12*(Assumptions!$B$5+Assumptions!$B$6))</f>
        <v>0.34015231977577476</v>
      </c>
      <c r="E3602" s="12">
        <f>E3601+Assumptions!$B$12*(D3601*Assumptions!$B$5-E3601*Assumptions!$B$7)</f>
        <v>0.17443128203936539</v>
      </c>
      <c r="F3602" s="12">
        <f t="shared" si="168"/>
        <v>0.48541639818485982</v>
      </c>
      <c r="G3602" s="12">
        <f>EXP(-Assumptions!$B$8*B3602)</f>
        <v>0.16579552947565152</v>
      </c>
      <c r="H3602" s="12">
        <f t="shared" si="169"/>
        <v>5.6395733959595705E-2</v>
      </c>
      <c r="I3602" s="12">
        <f t="shared" si="170"/>
        <v>2.8919926762833288E-2</v>
      </c>
      <c r="J3602" s="12">
        <f>G3602*(D3602*Assumptions!$B$6+E3602*Assumptions!$B$7)</f>
        <v>2.0099536777376213E-3</v>
      </c>
    </row>
    <row r="3603" spans="1:10" x14ac:dyDescent="0.2">
      <c r="A3603" s="2">
        <v>3595</v>
      </c>
      <c r="B3603" s="14">
        <f>A3603*Assumptions!$B$12</f>
        <v>35.950000000000003</v>
      </c>
      <c r="C3603" s="15">
        <f>IF(A3603&lt;=Assumptions!$B$13,IF(OR(A3603=0,A3603=Assumptions!$B$13),0.5,1),0)*Assumptions!$B$12</f>
        <v>0</v>
      </c>
      <c r="D3603" s="12">
        <f>D3602*(1-Assumptions!$B$12*(Assumptions!$B$5+Assumptions!$B$6))</f>
        <v>0.34005027407984206</v>
      </c>
      <c r="E3603" s="12">
        <f>E3602+Assumptions!$B$12*(D3602*Assumptions!$B$5-E3602*Assumptions!$B$7)</f>
        <v>0.17441209686230086</v>
      </c>
      <c r="F3603" s="12">
        <f t="shared" si="168"/>
        <v>0.48553762905785702</v>
      </c>
      <c r="G3603" s="12">
        <f>EXP(-Assumptions!$B$8*B3603)</f>
        <v>0.16571265243190117</v>
      </c>
      <c r="H3603" s="12">
        <f t="shared" si="169"/>
        <v>5.6350632877965601E-2</v>
      </c>
      <c r="I3603" s="12">
        <f t="shared" si="170"/>
        <v>2.8902291187261543E-2</v>
      </c>
      <c r="J3603" s="12">
        <f>G3603*(D3603*Assumptions!$B$6+E3603*Assumptions!$B$7)</f>
        <v>2.008620888142733E-3</v>
      </c>
    </row>
    <row r="3604" spans="1:10" x14ac:dyDescent="0.2">
      <c r="A3604" s="2">
        <v>3596</v>
      </c>
      <c r="B3604" s="14">
        <f>A3604*Assumptions!$B$12</f>
        <v>35.96</v>
      </c>
      <c r="C3604" s="15">
        <f>IF(A3604&lt;=Assumptions!$B$13,IF(OR(A3604=0,A3604=Assumptions!$B$13),0.5,1),0)*Assumptions!$B$12</f>
        <v>0</v>
      </c>
      <c r="D3604" s="12">
        <f>D3603*(1-Assumptions!$B$12*(Assumptions!$B$5+Assumptions!$B$6))</f>
        <v>0.3399482589976181</v>
      </c>
      <c r="E3604" s="12">
        <f>E3603+Assumptions!$B$12*(D3603*Assumptions!$B$5-E3603*Assumptions!$B$7)</f>
        <v>0.17439290086868567</v>
      </c>
      <c r="F3604" s="12">
        <f t="shared" si="168"/>
        <v>0.4856588401336962</v>
      </c>
      <c r="G3604" s="12">
        <f>EXP(-Assumptions!$B$8*B3604)</f>
        <v>0.16562981681631492</v>
      </c>
      <c r="H3604" s="12">
        <f t="shared" si="169"/>
        <v>5.6305567864800662E-2</v>
      </c>
      <c r="I3604" s="12">
        <f t="shared" si="170"/>
        <v>2.8884664224946174E-2</v>
      </c>
      <c r="J3604" s="12">
        <f>G3604*(D3604*Assumptions!$B$6+E3604*Assumptions!$B$7)</f>
        <v>2.0072888898953153E-3</v>
      </c>
    </row>
    <row r="3605" spans="1:10" x14ac:dyDescent="0.2">
      <c r="A3605" s="2">
        <v>3597</v>
      </c>
      <c r="B3605" s="14">
        <f>A3605*Assumptions!$B$12</f>
        <v>35.97</v>
      </c>
      <c r="C3605" s="15">
        <f>IF(A3605&lt;=Assumptions!$B$13,IF(OR(A3605=0,A3605=Assumptions!$B$13),0.5,1),0)*Assumptions!$B$12</f>
        <v>0</v>
      </c>
      <c r="D3605" s="12">
        <f>D3604*(1-Assumptions!$B$12*(Assumptions!$B$5+Assumptions!$B$6))</f>
        <v>0.33984627451991883</v>
      </c>
      <c r="E3605" s="12">
        <f>E3604+Assumptions!$B$12*(D3604*Assumptions!$B$5-E3604*Assumptions!$B$7)</f>
        <v>0.17437369407005085</v>
      </c>
      <c r="F3605" s="12">
        <f t="shared" si="168"/>
        <v>0.48578003141003023</v>
      </c>
      <c r="G3605" s="12">
        <f>EXP(-Assumptions!$B$8*B3605)</f>
        <v>0.16554702260818369</v>
      </c>
      <c r="H3605" s="12">
        <f t="shared" si="169"/>
        <v>5.6260538891256005E-2</v>
      </c>
      <c r="I3605" s="12">
        <f t="shared" si="170"/>
        <v>2.8867045874487213E-2</v>
      </c>
      <c r="J3605" s="12">
        <f>G3605*(D3605*Assumptions!$B$6+E3605*Assumptions!$B$7)</f>
        <v>2.005957682636921E-3</v>
      </c>
    </row>
    <row r="3606" spans="1:10" x14ac:dyDescent="0.2">
      <c r="A3606" s="2">
        <v>3598</v>
      </c>
      <c r="B3606" s="14">
        <f>A3606*Assumptions!$B$12</f>
        <v>35.980000000000004</v>
      </c>
      <c r="C3606" s="15">
        <f>IF(A3606&lt;=Assumptions!$B$13,IF(OR(A3606=0,A3606=Assumptions!$B$13),0.5,1),0)*Assumptions!$B$12</f>
        <v>0</v>
      </c>
      <c r="D3606" s="12">
        <f>D3605*(1-Assumptions!$B$12*(Assumptions!$B$5+Assumptions!$B$6))</f>
        <v>0.33974432063756288</v>
      </c>
      <c r="E3606" s="12">
        <f>E3605+Assumptions!$B$12*(D3605*Assumptions!$B$5-E3605*Assumptions!$B$7)</f>
        <v>0.1743544764779198</v>
      </c>
      <c r="F3606" s="12">
        <f t="shared" si="168"/>
        <v>0.48590120288451732</v>
      </c>
      <c r="G3606" s="12">
        <f>EXP(-Assumptions!$B$8*B3606)</f>
        <v>0.16546426978680887</v>
      </c>
      <c r="H3606" s="12">
        <f t="shared" si="169"/>
        <v>5.6215545928509802E-2</v>
      </c>
      <c r="I3606" s="12">
        <f t="shared" si="170"/>
        <v>2.8849436134480343E-2</v>
      </c>
      <c r="J3606" s="12">
        <f>G3606*(D3606*Assumptions!$B$6+E3606*Assumptions!$B$7)</f>
        <v>2.0046272660091151E-3</v>
      </c>
    </row>
    <row r="3607" spans="1:10" x14ac:dyDescent="0.2">
      <c r="A3607" s="2">
        <v>3599</v>
      </c>
      <c r="B3607" s="14">
        <f>A3607*Assumptions!$B$12</f>
        <v>35.99</v>
      </c>
      <c r="C3607" s="15">
        <f>IF(A3607&lt;=Assumptions!$B$13,IF(OR(A3607=0,A3607=Assumptions!$B$13),0.5,1),0)*Assumptions!$B$12</f>
        <v>0</v>
      </c>
      <c r="D3607" s="12">
        <f>D3606*(1-Assumptions!$B$12*(Assumptions!$B$5+Assumptions!$B$6))</f>
        <v>0.33964239734137164</v>
      </c>
      <c r="E3607" s="12">
        <f>E3606+Assumptions!$B$12*(D3606*Assumptions!$B$5-E3606*Assumptions!$B$7)</f>
        <v>0.17433524810380835</v>
      </c>
      <c r="F3607" s="12">
        <f t="shared" si="168"/>
        <v>0.48602235455482007</v>
      </c>
      <c r="G3607" s="12">
        <f>EXP(-Assumptions!$B$8*B3607)</f>
        <v>0.1653815583315025</v>
      </c>
      <c r="H3607" s="12">
        <f t="shared" si="169"/>
        <v>5.6170588947763403E-2</v>
      </c>
      <c r="I3607" s="12">
        <f t="shared" si="170"/>
        <v>2.883183500351694E-2</v>
      </c>
      <c r="J3607" s="12">
        <f>G3607*(D3607*Assumptions!$B$6+E3607*Assumptions!$B$7)</f>
        <v>2.003297639653481E-3</v>
      </c>
    </row>
    <row r="3608" spans="1:10" x14ac:dyDescent="0.2">
      <c r="A3608" s="2">
        <v>3600</v>
      </c>
      <c r="B3608" s="14">
        <f>A3608*Assumptions!$B$12</f>
        <v>36</v>
      </c>
      <c r="C3608" s="15">
        <f>IF(A3608&lt;=Assumptions!$B$13,IF(OR(A3608=0,A3608=Assumptions!$B$13),0.5,1),0)*Assumptions!$B$12</f>
        <v>0</v>
      </c>
      <c r="D3608" s="12">
        <f>D3607*(1-Assumptions!$B$12*(Assumptions!$B$5+Assumptions!$B$6))</f>
        <v>0.33954050462216923</v>
      </c>
      <c r="E3608" s="12">
        <f>E3607+Assumptions!$B$12*(D3607*Assumptions!$B$5-E3607*Assumptions!$B$7)</f>
        <v>0.17431600895922472</v>
      </c>
      <c r="F3608" s="12">
        <f t="shared" si="168"/>
        <v>0.48614348641860605</v>
      </c>
      <c r="G3608" s="12">
        <f>EXP(-Assumptions!$B$8*B3608)</f>
        <v>0.16529888822158653</v>
      </c>
      <c r="H3608" s="12">
        <f t="shared" si="169"/>
        <v>5.6125667920241033E-2</v>
      </c>
      <c r="I3608" s="12">
        <f t="shared" si="170"/>
        <v>2.8814242480183962E-2</v>
      </c>
      <c r="J3608" s="12">
        <f>G3608*(D3608*Assumptions!$B$6+E3608*Assumptions!$B$7)</f>
        <v>2.0019688032116086E-3</v>
      </c>
    </row>
    <row r="3609" spans="1:10" x14ac:dyDescent="0.2">
      <c r="A3609" s="2">
        <v>3601</v>
      </c>
      <c r="B3609" s="14">
        <f>A3609*Assumptions!$B$12</f>
        <v>36.01</v>
      </c>
      <c r="C3609" s="15">
        <f>IF(A3609&lt;=Assumptions!$B$13,IF(OR(A3609=0,A3609=Assumptions!$B$13),0.5,1),0)*Assumptions!$B$12</f>
        <v>0</v>
      </c>
      <c r="D3609" s="12">
        <f>D3608*(1-Assumptions!$B$12*(Assumptions!$B$5+Assumptions!$B$6))</f>
        <v>0.33943864247078259</v>
      </c>
      <c r="E3609" s="12">
        <f>E3608+Assumptions!$B$12*(D3608*Assumptions!$B$5-E3608*Assumptions!$B$7)</f>
        <v>0.17429675905566955</v>
      </c>
      <c r="F3609" s="12">
        <f t="shared" si="168"/>
        <v>0.48626459847354786</v>
      </c>
      <c r="G3609" s="12">
        <f>EXP(-Assumptions!$B$8*B3609)</f>
        <v>0.16521625943639348</v>
      </c>
      <c r="H3609" s="12">
        <f t="shared" si="169"/>
        <v>5.6080782817190027E-2</v>
      </c>
      <c r="I3609" s="12">
        <f t="shared" si="170"/>
        <v>2.8796658563064063E-2</v>
      </c>
      <c r="J3609" s="12">
        <f>G3609*(D3609*Assumptions!$B$6+E3609*Assumptions!$B$7)</f>
        <v>2.0006407563251038E-3</v>
      </c>
    </row>
    <row r="3610" spans="1:10" x14ac:dyDescent="0.2">
      <c r="A3610" s="2">
        <v>3602</v>
      </c>
      <c r="B3610" s="14">
        <f>A3610*Assumptions!$B$12</f>
        <v>36.020000000000003</v>
      </c>
      <c r="C3610" s="15">
        <f>IF(A3610&lt;=Assumptions!$B$13,IF(OR(A3610=0,A3610=Assumptions!$B$13),0.5,1),0)*Assumptions!$B$12</f>
        <v>0</v>
      </c>
      <c r="D3610" s="12">
        <f>D3609*(1-Assumptions!$B$12*(Assumptions!$B$5+Assumptions!$B$6))</f>
        <v>0.33933681087804135</v>
      </c>
      <c r="E3610" s="12">
        <f>E3609+Assumptions!$B$12*(D3609*Assumptions!$B$5-E3609*Assumptions!$B$7)</f>
        <v>0.17427749840463588</v>
      </c>
      <c r="F3610" s="12">
        <f t="shared" si="168"/>
        <v>0.48638569071732274</v>
      </c>
      <c r="G3610" s="12">
        <f>EXP(-Assumptions!$B$8*B3610)</f>
        <v>0.1651336719552661</v>
      </c>
      <c r="H3610" s="12">
        <f t="shared" si="169"/>
        <v>5.6035933609880656E-2</v>
      </c>
      <c r="I3610" s="12">
        <f t="shared" si="170"/>
        <v>2.8779083250735554E-2</v>
      </c>
      <c r="J3610" s="12">
        <f>G3610*(D3610*Assumptions!$B$6+E3610*Assumptions!$B$7)</f>
        <v>1.9993134986355846E-3</v>
      </c>
    </row>
    <row r="3611" spans="1:10" x14ac:dyDescent="0.2">
      <c r="A3611" s="2">
        <v>3603</v>
      </c>
      <c r="B3611" s="14">
        <f>A3611*Assumptions!$B$12</f>
        <v>36.03</v>
      </c>
      <c r="C3611" s="15">
        <f>IF(A3611&lt;=Assumptions!$B$13,IF(OR(A3611=0,A3611=Assumptions!$B$13),0.5,1),0)*Assumptions!$B$12</f>
        <v>0</v>
      </c>
      <c r="D3611" s="12">
        <f>D3610*(1-Assumptions!$B$12*(Assumptions!$B$5+Assumptions!$B$6))</f>
        <v>0.33923500983477795</v>
      </c>
      <c r="E3611" s="12">
        <f>E3610+Assumptions!$B$12*(D3610*Assumptions!$B$5-E3610*Assumptions!$B$7)</f>
        <v>0.17425822701760918</v>
      </c>
      <c r="F3611" s="12">
        <f t="shared" si="168"/>
        <v>0.48650676314761288</v>
      </c>
      <c r="G3611" s="12">
        <f>EXP(-Assumptions!$B$8*B3611)</f>
        <v>0.16505112575755762</v>
      </c>
      <c r="H3611" s="12">
        <f t="shared" si="169"/>
        <v>5.5991120269606232E-2</v>
      </c>
      <c r="I3611" s="12">
        <f t="shared" si="170"/>
        <v>2.8761516541772437E-2</v>
      </c>
      <c r="J3611" s="12">
        <f>G3611*(D3611*Assumptions!$B$6+E3611*Assumptions!$B$7)</f>
        <v>1.9979870297846844E-3</v>
      </c>
    </row>
    <row r="3612" spans="1:10" x14ac:dyDescent="0.2">
      <c r="A3612" s="2">
        <v>3604</v>
      </c>
      <c r="B3612" s="14">
        <f>A3612*Assumptions!$B$12</f>
        <v>36.04</v>
      </c>
      <c r="C3612" s="15">
        <f>IF(A3612&lt;=Assumptions!$B$13,IF(OR(A3612=0,A3612=Assumptions!$B$13),0.5,1),0)*Assumptions!$B$12</f>
        <v>0</v>
      </c>
      <c r="D3612" s="12">
        <f>D3611*(1-Assumptions!$B$12*(Assumptions!$B$5+Assumptions!$B$6))</f>
        <v>0.33913323933182754</v>
      </c>
      <c r="E3612" s="12">
        <f>E3611+Assumptions!$B$12*(D3611*Assumptions!$B$5-E3611*Assumptions!$B$7)</f>
        <v>0.17423894490606734</v>
      </c>
      <c r="F3612" s="12">
        <f t="shared" si="168"/>
        <v>0.48662781576210506</v>
      </c>
      <c r="G3612" s="12">
        <f>EXP(-Assumptions!$B$8*B3612)</f>
        <v>0.16496862082263145</v>
      </c>
      <c r="H3612" s="12">
        <f t="shared" si="169"/>
        <v>5.5946342767682976E-2</v>
      </c>
      <c r="I3612" s="12">
        <f t="shared" si="170"/>
        <v>2.8743958434744393E-2</v>
      </c>
      <c r="J3612" s="12">
        <f>G3612*(D3612*Assumptions!$B$6+E3612*Assumptions!$B$7)</f>
        <v>1.9966613494140496E-3</v>
      </c>
    </row>
    <row r="3613" spans="1:10" x14ac:dyDescent="0.2">
      <c r="A3613" s="2">
        <v>3605</v>
      </c>
      <c r="B3613" s="14">
        <f>A3613*Assumptions!$B$12</f>
        <v>36.050000000000004</v>
      </c>
      <c r="C3613" s="15">
        <f>IF(A3613&lt;=Assumptions!$B$13,IF(OR(A3613=0,A3613=Assumptions!$B$13),0.5,1),0)*Assumptions!$B$12</f>
        <v>0</v>
      </c>
      <c r="D3613" s="12">
        <f>D3612*(1-Assumptions!$B$12*(Assumptions!$B$5+Assumptions!$B$6))</f>
        <v>0.33903149936002802</v>
      </c>
      <c r="E3613" s="12">
        <f>E3612+Assumptions!$B$12*(D3612*Assumptions!$B$5-E3612*Assumptions!$B$7)</f>
        <v>0.17421965208148066</v>
      </c>
      <c r="F3613" s="12">
        <f t="shared" si="168"/>
        <v>0.48674884855849126</v>
      </c>
      <c r="G3613" s="12">
        <f>EXP(-Assumptions!$B$8*B3613)</f>
        <v>0.16488615712986129</v>
      </c>
      <c r="H3613" s="12">
        <f t="shared" si="169"/>
        <v>5.5901601075450051E-2</v>
      </c>
      <c r="I3613" s="12">
        <f t="shared" si="170"/>
        <v>2.8726408928216787E-2</v>
      </c>
      <c r="J3613" s="12">
        <f>G3613*(D3613*Assumptions!$B$6+E3613*Assumptions!$B$7)</f>
        <v>1.9953364571653398E-3</v>
      </c>
    </row>
    <row r="3614" spans="1:10" x14ac:dyDescent="0.2">
      <c r="A3614" s="2">
        <v>3606</v>
      </c>
      <c r="B3614" s="14">
        <f>A3614*Assumptions!$B$12</f>
        <v>36.06</v>
      </c>
      <c r="C3614" s="15">
        <f>IF(A3614&lt;=Assumptions!$B$13,IF(OR(A3614=0,A3614=Assumptions!$B$13),0.5,1),0)*Assumptions!$B$12</f>
        <v>0</v>
      </c>
      <c r="D3614" s="12">
        <f>D3613*(1-Assumptions!$B$12*(Assumptions!$B$5+Assumptions!$B$6))</f>
        <v>0.33892978991022005</v>
      </c>
      <c r="E3614" s="12">
        <f>E3613+Assumptions!$B$12*(D3613*Assumptions!$B$5-E3613*Assumptions!$B$7)</f>
        <v>0.17420034855531191</v>
      </c>
      <c r="F3614" s="12">
        <f t="shared" si="168"/>
        <v>0.48686986153446804</v>
      </c>
      <c r="G3614" s="12">
        <f>EXP(-Assumptions!$B$8*B3614)</f>
        <v>0.1648037346586313</v>
      </c>
      <c r="H3614" s="12">
        <f t="shared" si="169"/>
        <v>5.5856895164269553E-2</v>
      </c>
      <c r="I3614" s="12">
        <f t="shared" si="170"/>
        <v>2.8708868020750709E-2</v>
      </c>
      <c r="J3614" s="12">
        <f>G3614*(D3614*Assumptions!$B$6+E3614*Assumptions!$B$7)</f>
        <v>1.9940123526802312E-3</v>
      </c>
    </row>
    <row r="3615" spans="1:10" x14ac:dyDescent="0.2">
      <c r="A3615" s="2">
        <v>3607</v>
      </c>
      <c r="B3615" s="14">
        <f>A3615*Assumptions!$B$12</f>
        <v>36.07</v>
      </c>
      <c r="C3615" s="15">
        <f>IF(A3615&lt;=Assumptions!$B$13,IF(OR(A3615=0,A3615=Assumptions!$B$13),0.5,1),0)*Assumptions!$B$12</f>
        <v>0</v>
      </c>
      <c r="D3615" s="12">
        <f>D3614*(1-Assumptions!$B$12*(Assumptions!$B$5+Assumptions!$B$6))</f>
        <v>0.338828110973247</v>
      </c>
      <c r="E3615" s="12">
        <f>E3614+Assumptions!$B$12*(D3614*Assumptions!$B$5-E3614*Assumptions!$B$7)</f>
        <v>0.1741810343390163</v>
      </c>
      <c r="F3615" s="12">
        <f t="shared" si="168"/>
        <v>0.48699085468773673</v>
      </c>
      <c r="G3615" s="12">
        <f>EXP(-Assumptions!$B$8*B3615)</f>
        <v>0.16472135338833585</v>
      </c>
      <c r="H3615" s="12">
        <f t="shared" si="169"/>
        <v>5.5812225005526496E-2</v>
      </c>
      <c r="I3615" s="12">
        <f t="shared" si="170"/>
        <v>2.8691335710902967E-2</v>
      </c>
      <c r="J3615" s="12">
        <f>G3615*(D3615*Assumptions!$B$6+E3615*Assumptions!$B$7)</f>
        <v>1.9926890356004134E-3</v>
      </c>
    </row>
    <row r="3616" spans="1:10" x14ac:dyDescent="0.2">
      <c r="A3616" s="2">
        <v>3608</v>
      </c>
      <c r="B3616" s="14">
        <f>A3616*Assumptions!$B$12</f>
        <v>36.08</v>
      </c>
      <c r="C3616" s="15">
        <f>IF(A3616&lt;=Assumptions!$B$13,IF(OR(A3616=0,A3616=Assumptions!$B$13),0.5,1),0)*Assumptions!$B$12</f>
        <v>0</v>
      </c>
      <c r="D3616" s="12">
        <f>D3615*(1-Assumptions!$B$12*(Assumptions!$B$5+Assumptions!$B$6))</f>
        <v>0.33872646253995503</v>
      </c>
      <c r="E3616" s="12">
        <f>E3615+Assumptions!$B$12*(D3615*Assumptions!$B$5-E3615*Assumptions!$B$7)</f>
        <v>0.17416170944404144</v>
      </c>
      <c r="F3616" s="12">
        <f t="shared" si="168"/>
        <v>0.4871118280160035</v>
      </c>
      <c r="G3616" s="12">
        <f>EXP(-Assumptions!$B$8*B3616)</f>
        <v>0.1646390132983796</v>
      </c>
      <c r="H3616" s="12">
        <f t="shared" si="169"/>
        <v>5.5767590570628738E-2</v>
      </c>
      <c r="I3616" s="12">
        <f t="shared" si="170"/>
        <v>2.8673811997226063E-2</v>
      </c>
      <c r="J3616" s="12">
        <f>G3616*(D3616*Assumptions!$B$6+E3616*Assumptions!$B$7)</f>
        <v>1.9913665055675905E-3</v>
      </c>
    </row>
    <row r="3617" spans="1:10" x14ac:dyDescent="0.2">
      <c r="A3617" s="2">
        <v>3609</v>
      </c>
      <c r="B3617" s="14">
        <f>A3617*Assumptions!$B$12</f>
        <v>36.090000000000003</v>
      </c>
      <c r="C3617" s="15">
        <f>IF(A3617&lt;=Assumptions!$B$13,IF(OR(A3617=0,A3617=Assumptions!$B$13),0.5,1),0)*Assumptions!$B$12</f>
        <v>0</v>
      </c>
      <c r="D3617" s="12">
        <f>D3616*(1-Assumptions!$B$12*(Assumptions!$B$5+Assumptions!$B$6))</f>
        <v>0.33862484460119308</v>
      </c>
      <c r="E3617" s="12">
        <f>E3616+Assumptions!$B$12*(D3616*Assumptions!$B$5-E3616*Assumptions!$B$7)</f>
        <v>0.17414237388182741</v>
      </c>
      <c r="F3617" s="12">
        <f t="shared" si="168"/>
        <v>0.48723278151697957</v>
      </c>
      <c r="G3617" s="12">
        <f>EXP(-Assumptions!$B$8*B3617)</f>
        <v>0.16455671436817748</v>
      </c>
      <c r="H3617" s="12">
        <f t="shared" si="169"/>
        <v>5.5722991831007013E-2</v>
      </c>
      <c r="I3617" s="12">
        <f t="shared" si="170"/>
        <v>2.8656296878268244E-2</v>
      </c>
      <c r="J3617" s="12">
        <f>G3617*(D3617*Assumptions!$B$6+E3617*Assumptions!$B$7)</f>
        <v>1.9900447622234825E-3</v>
      </c>
    </row>
    <row r="3618" spans="1:10" x14ac:dyDescent="0.2">
      <c r="A3618" s="2">
        <v>3610</v>
      </c>
      <c r="B3618" s="14">
        <f>A3618*Assumptions!$B$12</f>
        <v>36.1</v>
      </c>
      <c r="C3618" s="15">
        <f>IF(A3618&lt;=Assumptions!$B$13,IF(OR(A3618=0,A3618=Assumptions!$B$13),0.5,1),0)*Assumptions!$B$12</f>
        <v>0</v>
      </c>
      <c r="D3618" s="12">
        <f>D3617*(1-Assumptions!$B$12*(Assumptions!$B$5+Assumptions!$B$6))</f>
        <v>0.33852325714781273</v>
      </c>
      <c r="E3618" s="12">
        <f>E3617+Assumptions!$B$12*(D3617*Assumptions!$B$5-E3617*Assumptions!$B$7)</f>
        <v>0.17412302766380672</v>
      </c>
      <c r="F3618" s="12">
        <f t="shared" si="168"/>
        <v>0.48735371518838055</v>
      </c>
      <c r="G3618" s="12">
        <f>EXP(-Assumptions!$B$8*B3618)</f>
        <v>0.16447445657715487</v>
      </c>
      <c r="H3618" s="12">
        <f t="shared" si="169"/>
        <v>5.5678428758114955E-2</v>
      </c>
      <c r="I3618" s="12">
        <f t="shared" si="170"/>
        <v>2.8638790352573513E-2</v>
      </c>
      <c r="J3618" s="12">
        <f>G3618*(D3618*Assumptions!$B$6+E3618*Assumptions!$B$7)</f>
        <v>1.9887238052098254E-3</v>
      </c>
    </row>
    <row r="3619" spans="1:10" x14ac:dyDescent="0.2">
      <c r="A3619" s="2">
        <v>3611</v>
      </c>
      <c r="B3619" s="14">
        <f>A3619*Assumptions!$B$12</f>
        <v>36.11</v>
      </c>
      <c r="C3619" s="15">
        <f>IF(A3619&lt;=Assumptions!$B$13,IF(OR(A3619=0,A3619=Assumptions!$B$13),0.5,1),0)*Assumptions!$B$12</f>
        <v>0</v>
      </c>
      <c r="D3619" s="12">
        <f>D3618*(1-Assumptions!$B$12*(Assumptions!$B$5+Assumptions!$B$6))</f>
        <v>0.33842170017066842</v>
      </c>
      <c r="E3619" s="12">
        <f>E3618+Assumptions!$B$12*(D3618*Assumptions!$B$5-E3618*Assumptions!$B$7)</f>
        <v>0.17410367080140438</v>
      </c>
      <c r="F3619" s="12">
        <f t="shared" si="168"/>
        <v>0.48747462902792721</v>
      </c>
      <c r="G3619" s="12">
        <f>EXP(-Assumptions!$B$8*B3619)</f>
        <v>0.16439223990474724</v>
      </c>
      <c r="H3619" s="12">
        <f t="shared" si="169"/>
        <v>5.5633901323428964E-2</v>
      </c>
      <c r="I3619" s="12">
        <f t="shared" si="170"/>
        <v>2.8621292418681606E-2</v>
      </c>
      <c r="J3619" s="12">
        <f>G3619*(D3619*Assumptions!$B$6+E3619*Assumptions!$B$7)</f>
        <v>1.9874036341683702E-3</v>
      </c>
    </row>
    <row r="3620" spans="1:10" x14ac:dyDescent="0.2">
      <c r="A3620" s="2">
        <v>3612</v>
      </c>
      <c r="B3620" s="14">
        <f>A3620*Assumptions!$B$12</f>
        <v>36.119999999999997</v>
      </c>
      <c r="C3620" s="15">
        <f>IF(A3620&lt;=Assumptions!$B$13,IF(OR(A3620=0,A3620=Assumptions!$B$13),0.5,1),0)*Assumptions!$B$12</f>
        <v>0</v>
      </c>
      <c r="D3620" s="12">
        <f>D3619*(1-Assumptions!$B$12*(Assumptions!$B$5+Assumptions!$B$6))</f>
        <v>0.33832017366061723</v>
      </c>
      <c r="E3620" s="12">
        <f>E3619+Assumptions!$B$12*(D3619*Assumptions!$B$5-E3619*Assumptions!$B$7)</f>
        <v>0.1740843033060378</v>
      </c>
      <c r="F3620" s="12">
        <f t="shared" si="168"/>
        <v>0.48759552303334502</v>
      </c>
      <c r="G3620" s="12">
        <f>EXP(-Assumptions!$B$8*B3620)</f>
        <v>0.16431006433040046</v>
      </c>
      <c r="H3620" s="12">
        <f t="shared" si="169"/>
        <v>5.5589409498448275E-2</v>
      </c>
      <c r="I3620" s="12">
        <f t="shared" si="170"/>
        <v>2.8603803075128015E-2</v>
      </c>
      <c r="J3620" s="12">
        <f>G3620*(D3620*Assumptions!$B$6+E3620*Assumptions!$B$7)</f>
        <v>1.9860842487408837E-3</v>
      </c>
    </row>
    <row r="3621" spans="1:10" x14ac:dyDescent="0.2">
      <c r="A3621" s="2">
        <v>3613</v>
      </c>
      <c r="B3621" s="14">
        <f>A3621*Assumptions!$B$12</f>
        <v>36.130000000000003</v>
      </c>
      <c r="C3621" s="15">
        <f>IF(A3621&lt;=Assumptions!$B$13,IF(OR(A3621=0,A3621=Assumptions!$B$13),0.5,1),0)*Assumptions!$B$12</f>
        <v>0</v>
      </c>
      <c r="D3621" s="12">
        <f>D3620*(1-Assumptions!$B$12*(Assumptions!$B$5+Assumptions!$B$6))</f>
        <v>0.33821867760851904</v>
      </c>
      <c r="E3621" s="12">
        <f>E3620+Assumptions!$B$12*(D3620*Assumptions!$B$5-E3620*Assumptions!$B$7)</f>
        <v>0.1740649251891169</v>
      </c>
      <c r="F3621" s="12">
        <f t="shared" si="168"/>
        <v>0.48771639720236415</v>
      </c>
      <c r="G3621" s="12">
        <f>EXP(-Assumptions!$B$8*B3621)</f>
        <v>0.16422792983357057</v>
      </c>
      <c r="H3621" s="12">
        <f t="shared" si="169"/>
        <v>5.5544953254694891E-2</v>
      </c>
      <c r="I3621" s="12">
        <f t="shared" si="170"/>
        <v>2.8586322320443999E-2</v>
      </c>
      <c r="J3621" s="12">
        <f>G3621*(D3621*Assumptions!$B$6+E3621*Assumptions!$B$7)</f>
        <v>1.9847656485691488E-3</v>
      </c>
    </row>
    <row r="3622" spans="1:10" x14ac:dyDescent="0.2">
      <c r="A3622" s="2">
        <v>3614</v>
      </c>
      <c r="B3622" s="14">
        <f>A3622*Assumptions!$B$12</f>
        <v>36.14</v>
      </c>
      <c r="C3622" s="15">
        <f>IF(A3622&lt;=Assumptions!$B$13,IF(OR(A3622=0,A3622=Assumptions!$B$13),0.5,1),0)*Assumptions!$B$12</f>
        <v>0</v>
      </c>
      <c r="D3622" s="12">
        <f>D3621*(1-Assumptions!$B$12*(Assumptions!$B$5+Assumptions!$B$6))</f>
        <v>0.33811721200523648</v>
      </c>
      <c r="E3622" s="12">
        <f>E3621+Assumptions!$B$12*(D3621*Assumptions!$B$5-E3621*Assumptions!$B$7)</f>
        <v>0.17404553646204404</v>
      </c>
      <c r="F3622" s="12">
        <f t="shared" si="168"/>
        <v>0.48783725153271951</v>
      </c>
      <c r="G3622" s="12">
        <f>EXP(-Assumptions!$B$8*B3622)</f>
        <v>0.16414583639372404</v>
      </c>
      <c r="H3622" s="12">
        <f t="shared" si="169"/>
        <v>5.550053256371365E-2</v>
      </c>
      <c r="I3622" s="12">
        <f t="shared" si="170"/>
        <v>2.8568850153156612E-2</v>
      </c>
      <c r="J3622" s="12">
        <f>G3622*(D3622*Assumptions!$B$6+E3622*Assumptions!$B$7)</f>
        <v>1.9834478332949675E-3</v>
      </c>
    </row>
    <row r="3623" spans="1:10" x14ac:dyDescent="0.2">
      <c r="A3623" s="2">
        <v>3615</v>
      </c>
      <c r="B3623" s="14">
        <f>A3623*Assumptions!$B$12</f>
        <v>36.15</v>
      </c>
      <c r="C3623" s="15">
        <f>IF(A3623&lt;=Assumptions!$B$13,IF(OR(A3623=0,A3623=Assumptions!$B$13),0.5,1),0)*Assumptions!$B$12</f>
        <v>0</v>
      </c>
      <c r="D3623" s="12">
        <f>D3622*(1-Assumptions!$B$12*(Assumptions!$B$5+Assumptions!$B$6))</f>
        <v>0.33801577684163492</v>
      </c>
      <c r="E3623" s="12">
        <f>E3622+Assumptions!$B$12*(D3622*Assumptions!$B$5-E3622*Assumptions!$B$7)</f>
        <v>0.17402613713621407</v>
      </c>
      <c r="F3623" s="12">
        <f t="shared" si="168"/>
        <v>0.48795808602215096</v>
      </c>
      <c r="G3623" s="12">
        <f>EXP(-Assumptions!$B$8*B3623)</f>
        <v>0.16406378399033747</v>
      </c>
      <c r="H3623" s="12">
        <f t="shared" si="169"/>
        <v>5.5456147397072109E-2</v>
      </c>
      <c r="I3623" s="12">
        <f t="shared" si="170"/>
        <v>2.855138657178867E-2</v>
      </c>
      <c r="J3623" s="12">
        <f>G3623*(D3623*Assumptions!$B$6+E3623*Assumptions!$B$7)</f>
        <v>1.9821308025601545E-3</v>
      </c>
    </row>
    <row r="3624" spans="1:10" x14ac:dyDescent="0.2">
      <c r="A3624" s="2">
        <v>3616</v>
      </c>
      <c r="B3624" s="14">
        <f>A3624*Assumptions!$B$12</f>
        <v>36.160000000000004</v>
      </c>
      <c r="C3624" s="15">
        <f>IF(A3624&lt;=Assumptions!$B$13,IF(OR(A3624=0,A3624=Assumptions!$B$13),0.5,1),0)*Assumptions!$B$12</f>
        <v>0</v>
      </c>
      <c r="D3624" s="12">
        <f>D3623*(1-Assumptions!$B$12*(Assumptions!$B$5+Assumptions!$B$6))</f>
        <v>0.33791437210858244</v>
      </c>
      <c r="E3624" s="12">
        <f>E3623+Assumptions!$B$12*(D3623*Assumptions!$B$5-E3623*Assumptions!$B$7)</f>
        <v>0.17400672722301427</v>
      </c>
      <c r="F3624" s="12">
        <f t="shared" si="168"/>
        <v>0.48807890066840331</v>
      </c>
      <c r="G3624" s="12">
        <f>EXP(-Assumptions!$B$8*B3624)</f>
        <v>0.1639817726028977</v>
      </c>
      <c r="H3624" s="12">
        <f t="shared" si="169"/>
        <v>5.5411797726360526E-2</v>
      </c>
      <c r="I3624" s="12">
        <f t="shared" si="170"/>
        <v>2.8533931574858777E-2</v>
      </c>
      <c r="J3624" s="12">
        <f>G3624*(D3624*Assumptions!$B$6+E3624*Assumptions!$B$7)</f>
        <v>1.9808145560065442E-3</v>
      </c>
    </row>
    <row r="3625" spans="1:10" x14ac:dyDescent="0.2">
      <c r="A3625" s="2">
        <v>3617</v>
      </c>
      <c r="B3625" s="14">
        <f>A3625*Assumptions!$B$12</f>
        <v>36.17</v>
      </c>
      <c r="C3625" s="15">
        <f>IF(A3625&lt;=Assumptions!$B$13,IF(OR(A3625=0,A3625=Assumptions!$B$13),0.5,1),0)*Assumptions!$B$12</f>
        <v>0</v>
      </c>
      <c r="D3625" s="12">
        <f>D3624*(1-Assumptions!$B$12*(Assumptions!$B$5+Assumptions!$B$6))</f>
        <v>0.3378129977969499</v>
      </c>
      <c r="E3625" s="12">
        <f>E3624+Assumptions!$B$12*(D3624*Assumptions!$B$5-E3624*Assumptions!$B$7)</f>
        <v>0.17398730673382448</v>
      </c>
      <c r="F3625" s="12">
        <f t="shared" si="168"/>
        <v>0.48819969546922559</v>
      </c>
      <c r="G3625" s="12">
        <f>EXP(-Assumptions!$B$8*B3625)</f>
        <v>0.16389980221090197</v>
      </c>
      <c r="H3625" s="12">
        <f t="shared" si="169"/>
        <v>5.536748352319195E-2</v>
      </c>
      <c r="I3625" s="12">
        <f t="shared" si="170"/>
        <v>2.8516485160881365E-2</v>
      </c>
      <c r="J3625" s="12">
        <f>G3625*(D3625*Assumptions!$B$6+E3625*Assumptions!$B$7)</f>
        <v>1.9794990932759881E-3</v>
      </c>
    </row>
    <row r="3626" spans="1:10" x14ac:dyDescent="0.2">
      <c r="A3626" s="2">
        <v>3618</v>
      </c>
      <c r="B3626" s="14">
        <f>A3626*Assumptions!$B$12</f>
        <v>36.18</v>
      </c>
      <c r="C3626" s="15">
        <f>IF(A3626&lt;=Assumptions!$B$13,IF(OR(A3626=0,A3626=Assumptions!$B$13),0.5,1),0)*Assumptions!$B$12</f>
        <v>0</v>
      </c>
      <c r="D3626" s="12">
        <f>D3625*(1-Assumptions!$B$12*(Assumptions!$B$5+Assumptions!$B$6))</f>
        <v>0.33771165389761082</v>
      </c>
      <c r="E3626" s="12">
        <f>E3625+Assumptions!$B$12*(D3625*Assumptions!$B$5-E3625*Assumptions!$B$7)</f>
        <v>0.17396787568001695</v>
      </c>
      <c r="F3626" s="12">
        <f t="shared" si="168"/>
        <v>0.48832047042237225</v>
      </c>
      <c r="G3626" s="12">
        <f>EXP(-Assumptions!$B$8*B3626)</f>
        <v>0.16381787279385765</v>
      </c>
      <c r="H3626" s="12">
        <f t="shared" si="169"/>
        <v>5.5323204759202091E-2</v>
      </c>
      <c r="I3626" s="12">
        <f t="shared" si="170"/>
        <v>2.849904732836666E-2</v>
      </c>
      <c r="J3626" s="12">
        <f>G3626*(D3626*Assumptions!$B$6+E3626*Assumptions!$B$7)</f>
        <v>1.9781844140103538E-3</v>
      </c>
    </row>
    <row r="3627" spans="1:10" x14ac:dyDescent="0.2">
      <c r="A3627" s="2">
        <v>3619</v>
      </c>
      <c r="B3627" s="14">
        <f>A3627*Assumptions!$B$12</f>
        <v>36.19</v>
      </c>
      <c r="C3627" s="15">
        <f>IF(A3627&lt;=Assumptions!$B$13,IF(OR(A3627=0,A3627=Assumptions!$B$13),0.5,1),0)*Assumptions!$B$12</f>
        <v>0</v>
      </c>
      <c r="D3627" s="12">
        <f>D3626*(1-Assumptions!$B$12*(Assumptions!$B$5+Assumptions!$B$6))</f>
        <v>0.33761034040144156</v>
      </c>
      <c r="E3627" s="12">
        <f>E3626+Assumptions!$B$12*(D3626*Assumptions!$B$5-E3626*Assumptions!$B$7)</f>
        <v>0.17394843407295646</v>
      </c>
      <c r="F3627" s="12">
        <f t="shared" si="168"/>
        <v>0.48844122552560199</v>
      </c>
      <c r="G3627" s="12">
        <f>EXP(-Assumptions!$B$8*B3627)</f>
        <v>0.16373598433128242</v>
      </c>
      <c r="H3627" s="12">
        <f t="shared" si="169"/>
        <v>5.5278961406049355E-2</v>
      </c>
      <c r="I3627" s="12">
        <f t="shared" si="170"/>
        <v>2.8481618075820711E-2</v>
      </c>
      <c r="J3627" s="12">
        <f>G3627*(D3627*Assumptions!$B$6+E3627*Assumptions!$B$7)</f>
        <v>1.9768705178515289E-3</v>
      </c>
    </row>
    <row r="3628" spans="1:10" x14ac:dyDescent="0.2">
      <c r="A3628" s="2">
        <v>3620</v>
      </c>
      <c r="B3628" s="14">
        <f>A3628*Assumptions!$B$12</f>
        <v>36.200000000000003</v>
      </c>
      <c r="C3628" s="15">
        <f>IF(A3628&lt;=Assumptions!$B$13,IF(OR(A3628=0,A3628=Assumptions!$B$13),0.5,1),0)*Assumptions!$B$12</f>
        <v>0</v>
      </c>
      <c r="D3628" s="12">
        <f>D3627*(1-Assumptions!$B$12*(Assumptions!$B$5+Assumptions!$B$6))</f>
        <v>0.33750905729932112</v>
      </c>
      <c r="E3628" s="12">
        <f>E3627+Assumptions!$B$12*(D3627*Assumptions!$B$5-E3627*Assumptions!$B$7)</f>
        <v>0.17392898192400028</v>
      </c>
      <c r="F3628" s="12">
        <f t="shared" si="168"/>
        <v>0.48856196077667857</v>
      </c>
      <c r="G3628" s="12">
        <f>EXP(-Assumptions!$B$8*B3628)</f>
        <v>0.16365413680270402</v>
      </c>
      <c r="H3628" s="12">
        <f t="shared" si="169"/>
        <v>5.5234753435414771E-2</v>
      </c>
      <c r="I3628" s="12">
        <f t="shared" si="170"/>
        <v>2.8464197401745377E-2</v>
      </c>
      <c r="J3628" s="12">
        <f>G3628*(D3628*Assumptions!$B$6+E3628*Assumptions!$B$7)</f>
        <v>1.9755574044414163E-3</v>
      </c>
    </row>
    <row r="3629" spans="1:10" x14ac:dyDescent="0.2">
      <c r="A3629" s="2">
        <v>3621</v>
      </c>
      <c r="B3629" s="14">
        <f>A3629*Assumptions!$B$12</f>
        <v>36.21</v>
      </c>
      <c r="C3629" s="15">
        <f>IF(A3629&lt;=Assumptions!$B$13,IF(OR(A3629=0,A3629=Assumptions!$B$13),0.5,1),0)*Assumptions!$B$12</f>
        <v>0</v>
      </c>
      <c r="D3629" s="12">
        <f>D3628*(1-Assumptions!$B$12*(Assumptions!$B$5+Assumptions!$B$6))</f>
        <v>0.33740780458213132</v>
      </c>
      <c r="E3629" s="12">
        <f>E3628+Assumptions!$B$12*(D3628*Assumptions!$B$5-E3628*Assumptions!$B$7)</f>
        <v>0.17390951924449813</v>
      </c>
      <c r="F3629" s="12">
        <f t="shared" si="168"/>
        <v>0.48868267617337047</v>
      </c>
      <c r="G3629" s="12">
        <f>EXP(-Assumptions!$B$8*B3629)</f>
        <v>0.16357233018766074</v>
      </c>
      <c r="H3629" s="12">
        <f t="shared" si="169"/>
        <v>5.5190580819002091E-2</v>
      </c>
      <c r="I3629" s="12">
        <f t="shared" si="170"/>
        <v>2.8446785304638386E-2</v>
      </c>
      <c r="J3629" s="12">
        <f>G3629*(D3629*Assumptions!$B$6+E3629*Assumptions!$B$7)</f>
        <v>1.9742450734219403E-3</v>
      </c>
    </row>
    <row r="3630" spans="1:10" x14ac:dyDescent="0.2">
      <c r="A3630" s="2">
        <v>3622</v>
      </c>
      <c r="B3630" s="14">
        <f>A3630*Assumptions!$B$12</f>
        <v>36.22</v>
      </c>
      <c r="C3630" s="15">
        <f>IF(A3630&lt;=Assumptions!$B$13,IF(OR(A3630=0,A3630=Assumptions!$B$13),0.5,1),0)*Assumptions!$B$12</f>
        <v>0</v>
      </c>
      <c r="D3630" s="12">
        <f>D3629*(1-Assumptions!$B$12*(Assumptions!$B$5+Assumptions!$B$6))</f>
        <v>0.33730658224075671</v>
      </c>
      <c r="E3630" s="12">
        <f>E3629+Assumptions!$B$12*(D3629*Assumptions!$B$5-E3629*Assumptions!$B$7)</f>
        <v>0.17389004604579231</v>
      </c>
      <c r="F3630" s="12">
        <f t="shared" si="168"/>
        <v>0.48880337171345101</v>
      </c>
      <c r="G3630" s="12">
        <f>EXP(-Assumptions!$B$8*B3630)</f>
        <v>0.1634905644657009</v>
      </c>
      <c r="H3630" s="12">
        <f t="shared" si="169"/>
        <v>5.5146443528537675E-2</v>
      </c>
      <c r="I3630" s="12">
        <f t="shared" si="170"/>
        <v>2.8429381782993306E-2</v>
      </c>
      <c r="J3630" s="12">
        <f>G3630*(D3630*Assumptions!$B$6+E3630*Assumptions!$B$7)</f>
        <v>1.9729335244350419E-3</v>
      </c>
    </row>
    <row r="3631" spans="1:10" x14ac:dyDescent="0.2">
      <c r="A3631" s="2">
        <v>3623</v>
      </c>
      <c r="B3631" s="14">
        <f>A3631*Assumptions!$B$12</f>
        <v>36.230000000000004</v>
      </c>
      <c r="C3631" s="15">
        <f>IF(A3631&lt;=Assumptions!$B$13,IF(OR(A3631=0,A3631=Assumptions!$B$13),0.5,1),0)*Assumptions!$B$12</f>
        <v>0</v>
      </c>
      <c r="D3631" s="12">
        <f>D3630*(1-Assumptions!$B$12*(Assumptions!$B$5+Assumptions!$B$6))</f>
        <v>0.33720539026608448</v>
      </c>
      <c r="E3631" s="12">
        <f>E3630+Assumptions!$B$12*(D3630*Assumptions!$B$5-E3630*Assumptions!$B$7)</f>
        <v>0.17387056233921755</v>
      </c>
      <c r="F3631" s="12">
        <f t="shared" si="168"/>
        <v>0.48892404739469791</v>
      </c>
      <c r="G3631" s="12">
        <f>EXP(-Assumptions!$B$8*B3631)</f>
        <v>0.16340883961638292</v>
      </c>
      <c r="H3631" s="12">
        <f t="shared" si="169"/>
        <v>5.5102341535770406E-2</v>
      </c>
      <c r="I3631" s="12">
        <f t="shared" si="170"/>
        <v>2.8411986835299507E-2</v>
      </c>
      <c r="J3631" s="12">
        <f>G3631*(D3631*Assumptions!$B$6+E3631*Assumptions!$B$7)</f>
        <v>1.9716227571226794E-3</v>
      </c>
    </row>
    <row r="3632" spans="1:10" x14ac:dyDescent="0.2">
      <c r="A3632" s="2">
        <v>3624</v>
      </c>
      <c r="B3632" s="14">
        <f>A3632*Assumptions!$B$12</f>
        <v>36.24</v>
      </c>
      <c r="C3632" s="15">
        <f>IF(A3632&lt;=Assumptions!$B$13,IF(OR(A3632=0,A3632=Assumptions!$B$13),0.5,1),0)*Assumptions!$B$12</f>
        <v>0</v>
      </c>
      <c r="D3632" s="12">
        <f>D3631*(1-Assumptions!$B$12*(Assumptions!$B$5+Assumptions!$B$6))</f>
        <v>0.33710422864900469</v>
      </c>
      <c r="E3632" s="12">
        <f>E3631+Assumptions!$B$12*(D3631*Assumptions!$B$5-E3631*Assumptions!$B$7)</f>
        <v>0.17385106813610116</v>
      </c>
      <c r="F3632" s="12">
        <f t="shared" si="168"/>
        <v>0.48904470321489413</v>
      </c>
      <c r="G3632" s="12">
        <f>EXP(-Assumptions!$B$8*B3632)</f>
        <v>0.16332715561927577</v>
      </c>
      <c r="H3632" s="12">
        <f t="shared" si="169"/>
        <v>5.5058274812471913E-2</v>
      </c>
      <c r="I3632" s="12">
        <f t="shared" si="170"/>
        <v>2.8394600460042309E-2</v>
      </c>
      <c r="J3632" s="12">
        <f>G3632*(D3632*Assumptions!$B$6+E3632*Assumptions!$B$7)</f>
        <v>1.9703127711268348E-3</v>
      </c>
    </row>
    <row r="3633" spans="1:10" x14ac:dyDescent="0.2">
      <c r="A3633" s="2">
        <v>3625</v>
      </c>
      <c r="B3633" s="14">
        <f>A3633*Assumptions!$B$12</f>
        <v>36.25</v>
      </c>
      <c r="C3633" s="15">
        <f>IF(A3633&lt;=Assumptions!$B$13,IF(OR(A3633=0,A3633=Assumptions!$B$13),0.5,1),0)*Assumptions!$B$12</f>
        <v>0</v>
      </c>
      <c r="D3633" s="12">
        <f>D3632*(1-Assumptions!$B$12*(Assumptions!$B$5+Assumptions!$B$6))</f>
        <v>0.33700309738041001</v>
      </c>
      <c r="E3633" s="12">
        <f>E3632+Assumptions!$B$12*(D3632*Assumptions!$B$5-E3632*Assumptions!$B$7)</f>
        <v>0.1738315634477629</v>
      </c>
      <c r="F3633" s="12">
        <f t="shared" si="168"/>
        <v>0.48916533917182708</v>
      </c>
      <c r="G3633" s="12">
        <f>EXP(-Assumptions!$B$8*B3633)</f>
        <v>0.16324551245395841</v>
      </c>
      <c r="H3633" s="12">
        <f t="shared" si="169"/>
        <v>5.501424333043628E-2</v>
      </c>
      <c r="I3633" s="12">
        <f t="shared" si="170"/>
        <v>2.837722265570284E-2</v>
      </c>
      <c r="J3633" s="12">
        <f>G3633*(D3633*Assumptions!$B$6+E3633*Assumptions!$B$7)</f>
        <v>1.9690035660895051E-3</v>
      </c>
    </row>
    <row r="3634" spans="1:10" x14ac:dyDescent="0.2">
      <c r="A3634" s="2">
        <v>3626</v>
      </c>
      <c r="B3634" s="14">
        <f>A3634*Assumptions!$B$12</f>
        <v>36.26</v>
      </c>
      <c r="C3634" s="15">
        <f>IF(A3634&lt;=Assumptions!$B$13,IF(OR(A3634=0,A3634=Assumptions!$B$13),0.5,1),0)*Assumptions!$B$12</f>
        <v>0</v>
      </c>
      <c r="D3634" s="12">
        <f>D3633*(1-Assumptions!$B$12*(Assumptions!$B$5+Assumptions!$B$6))</f>
        <v>0.3369019964511959</v>
      </c>
      <c r="E3634" s="12">
        <f>E3633+Assumptions!$B$12*(D3633*Assumptions!$B$5-E3633*Assumptions!$B$7)</f>
        <v>0.17381204828551511</v>
      </c>
      <c r="F3634" s="12">
        <f t="shared" si="168"/>
        <v>0.489285955263289</v>
      </c>
      <c r="G3634" s="12">
        <f>EXP(-Assumptions!$B$8*B3634)</f>
        <v>0.16316391010001996</v>
      </c>
      <c r="H3634" s="12">
        <f t="shared" si="169"/>
        <v>5.4970247061480168E-2</v>
      </c>
      <c r="I3634" s="12">
        <f t="shared" si="170"/>
        <v>2.8359853420758117E-2</v>
      </c>
      <c r="J3634" s="12">
        <f>G3634*(D3634*Assumptions!$B$6+E3634*Assumptions!$B$7)</f>
        <v>1.9676951416527076E-3</v>
      </c>
    </row>
    <row r="3635" spans="1:10" x14ac:dyDescent="0.2">
      <c r="A3635" s="2">
        <v>3627</v>
      </c>
      <c r="B3635" s="14">
        <f>A3635*Assumptions!$B$12</f>
        <v>36.270000000000003</v>
      </c>
      <c r="C3635" s="15">
        <f>IF(A3635&lt;=Assumptions!$B$13,IF(OR(A3635=0,A3635=Assumptions!$B$13),0.5,1),0)*Assumptions!$B$12</f>
        <v>0</v>
      </c>
      <c r="D3635" s="12">
        <f>D3634*(1-Assumptions!$B$12*(Assumptions!$B$5+Assumptions!$B$6))</f>
        <v>0.33680092585226057</v>
      </c>
      <c r="E3635" s="12">
        <f>E3634+Assumptions!$B$12*(D3634*Assumptions!$B$5-E3634*Assumptions!$B$7)</f>
        <v>0.17379252266066259</v>
      </c>
      <c r="F3635" s="12">
        <f t="shared" si="168"/>
        <v>0.48940655148707679</v>
      </c>
      <c r="G3635" s="12">
        <f>EXP(-Assumptions!$B$8*B3635)</f>
        <v>0.16308234853705983</v>
      </c>
      <c r="H3635" s="12">
        <f t="shared" si="169"/>
        <v>5.4926285977442806E-2</v>
      </c>
      <c r="I3635" s="12">
        <f t="shared" si="170"/>
        <v>2.8342492753681045E-2</v>
      </c>
      <c r="J3635" s="12">
        <f>G3635*(D3635*Assumptions!$B$6+E3635*Assumptions!$B$7)</f>
        <v>1.9663874974584807E-3</v>
      </c>
    </row>
    <row r="3636" spans="1:10" x14ac:dyDescent="0.2">
      <c r="A3636" s="2">
        <v>3628</v>
      </c>
      <c r="B3636" s="14">
        <f>A3636*Assumptions!$B$12</f>
        <v>36.28</v>
      </c>
      <c r="C3636" s="15">
        <f>IF(A3636&lt;=Assumptions!$B$13,IF(OR(A3636=0,A3636=Assumptions!$B$13),0.5,1),0)*Assumptions!$B$12</f>
        <v>0</v>
      </c>
      <c r="D3636" s="12">
        <f>D3635*(1-Assumptions!$B$12*(Assumptions!$B$5+Assumptions!$B$6))</f>
        <v>0.33669988557450492</v>
      </c>
      <c r="E3636" s="12">
        <f>E3635+Assumptions!$B$12*(D3635*Assumptions!$B$5-E3635*Assumptions!$B$7)</f>
        <v>0.17377298658450271</v>
      </c>
      <c r="F3636" s="12">
        <f t="shared" si="168"/>
        <v>0.48952712784099239</v>
      </c>
      <c r="G3636" s="12">
        <f>EXP(-Assumptions!$B$8*B3636)</f>
        <v>0.16300082774468777</v>
      </c>
      <c r="H3636" s="12">
        <f t="shared" si="169"/>
        <v>5.4882360050185958E-2</v>
      </c>
      <c r="I3636" s="12">
        <f t="shared" si="170"/>
        <v>2.8325140652940464E-2</v>
      </c>
      <c r="J3636" s="12">
        <f>G3636*(D3636*Assumptions!$B$6+E3636*Assumptions!$B$7)</f>
        <v>1.9650806331488828E-3</v>
      </c>
    </row>
    <row r="3637" spans="1:10" x14ac:dyDescent="0.2">
      <c r="A3637" s="2">
        <v>3629</v>
      </c>
      <c r="B3637" s="14">
        <f>A3637*Assumptions!$B$12</f>
        <v>36.29</v>
      </c>
      <c r="C3637" s="15">
        <f>IF(A3637&lt;=Assumptions!$B$13,IF(OR(A3637=0,A3637=Assumptions!$B$13),0.5,1),0)*Assumptions!$B$12</f>
        <v>0</v>
      </c>
      <c r="D3637" s="12">
        <f>D3636*(1-Assumptions!$B$12*(Assumptions!$B$5+Assumptions!$B$6))</f>
        <v>0.33659887560883256</v>
      </c>
      <c r="E3637" s="12">
        <f>E3636+Assumptions!$B$12*(D3636*Assumptions!$B$5-E3636*Assumptions!$B$7)</f>
        <v>0.17375344006832535</v>
      </c>
      <c r="F3637" s="12">
        <f t="shared" si="168"/>
        <v>0.48964768432284211</v>
      </c>
      <c r="G3637" s="12">
        <f>EXP(-Assumptions!$B$8*B3637)</f>
        <v>0.1629193477025235</v>
      </c>
      <c r="H3637" s="12">
        <f t="shared" si="169"/>
        <v>5.4838469251593851E-2</v>
      </c>
      <c r="I3637" s="12">
        <f t="shared" si="170"/>
        <v>2.8307797117001078E-2</v>
      </c>
      <c r="J3637" s="12">
        <f>G3637*(D3637*Assumptions!$B$6+E3637*Assumptions!$B$7)</f>
        <v>1.9637745483659925E-3</v>
      </c>
    </row>
    <row r="3638" spans="1:10" x14ac:dyDescent="0.2">
      <c r="A3638" s="2">
        <v>3630</v>
      </c>
      <c r="B3638" s="14">
        <f>A3638*Assumptions!$B$12</f>
        <v>36.300000000000004</v>
      </c>
      <c r="C3638" s="15">
        <f>IF(A3638&lt;=Assumptions!$B$13,IF(OR(A3638=0,A3638=Assumptions!$B$13),0.5,1),0)*Assumptions!$B$12</f>
        <v>0</v>
      </c>
      <c r="D3638" s="12">
        <f>D3637*(1-Assumptions!$B$12*(Assumptions!$B$5+Assumptions!$B$6))</f>
        <v>0.33649789594614993</v>
      </c>
      <c r="E3638" s="12">
        <f>E3637+Assumptions!$B$12*(D3637*Assumptions!$B$5-E3637*Assumptions!$B$7)</f>
        <v>0.17373388312341295</v>
      </c>
      <c r="F3638" s="12">
        <f t="shared" si="168"/>
        <v>0.48976822093043704</v>
      </c>
      <c r="G3638" s="12">
        <f>EXP(-Assumptions!$B$8*B3638)</f>
        <v>0.16283790839019691</v>
      </c>
      <c r="H3638" s="12">
        <f t="shared" si="169"/>
        <v>5.4794613553573172E-2</v>
      </c>
      <c r="I3638" s="12">
        <f t="shared" si="170"/>
        <v>2.8290462144323493E-2</v>
      </c>
      <c r="J3638" s="12">
        <f>G3638*(D3638*Assumptions!$B$6+E3638*Assumptions!$B$7)</f>
        <v>1.9624692427519064E-3</v>
      </c>
    </row>
    <row r="3639" spans="1:10" x14ac:dyDescent="0.2">
      <c r="A3639" s="2">
        <v>3631</v>
      </c>
      <c r="B3639" s="14">
        <f>A3639*Assumptions!$B$12</f>
        <v>36.31</v>
      </c>
      <c r="C3639" s="15">
        <f>IF(A3639&lt;=Assumptions!$B$13,IF(OR(A3639=0,A3639=Assumptions!$B$13),0.5,1),0)*Assumptions!$B$12</f>
        <v>0</v>
      </c>
      <c r="D3639" s="12">
        <f>D3638*(1-Assumptions!$B$12*(Assumptions!$B$5+Assumptions!$B$6))</f>
        <v>0.33639694657736607</v>
      </c>
      <c r="E3639" s="12">
        <f>E3638+Assumptions!$B$12*(D3638*Assumptions!$B$5-E3638*Assumptions!$B$7)</f>
        <v>0.17371431576104049</v>
      </c>
      <c r="F3639" s="12">
        <f t="shared" si="168"/>
        <v>0.48988873766159347</v>
      </c>
      <c r="G3639" s="12">
        <f>EXP(-Assumptions!$B$8*B3639)</f>
        <v>0.16275650978734837</v>
      </c>
      <c r="H3639" s="12">
        <f t="shared" si="169"/>
        <v>5.4750792928053189E-2</v>
      </c>
      <c r="I3639" s="12">
        <f t="shared" si="170"/>
        <v>2.8273135733364312E-2</v>
      </c>
      <c r="J3639" s="12">
        <f>G3639*(D3639*Assumptions!$B$6+E3639*Assumptions!$B$7)</f>
        <v>1.9611647159487474E-3</v>
      </c>
    </row>
    <row r="3640" spans="1:10" x14ac:dyDescent="0.2">
      <c r="A3640" s="2">
        <v>3632</v>
      </c>
      <c r="B3640" s="14">
        <f>A3640*Assumptions!$B$12</f>
        <v>36.32</v>
      </c>
      <c r="C3640" s="15">
        <f>IF(A3640&lt;=Assumptions!$B$13,IF(OR(A3640=0,A3640=Assumptions!$B$13),0.5,1),0)*Assumptions!$B$12</f>
        <v>0</v>
      </c>
      <c r="D3640" s="12">
        <f>D3639*(1-Assumptions!$B$12*(Assumptions!$B$5+Assumptions!$B$6))</f>
        <v>0.33629602749339288</v>
      </c>
      <c r="E3640" s="12">
        <f>E3639+Assumptions!$B$12*(D3639*Assumptions!$B$5-E3639*Assumptions!$B$7)</f>
        <v>0.17369473799247545</v>
      </c>
      <c r="F3640" s="12">
        <f t="shared" si="168"/>
        <v>0.4900092345141317</v>
      </c>
      <c r="G3640" s="12">
        <f>EXP(-Assumptions!$B$8*B3640)</f>
        <v>0.16267515187362808</v>
      </c>
      <c r="H3640" s="12">
        <f t="shared" si="169"/>
        <v>5.4707007346985491E-2</v>
      </c>
      <c r="I3640" s="12">
        <f t="shared" si="170"/>
        <v>2.825581788257598E-2</v>
      </c>
      <c r="J3640" s="12">
        <f>G3640*(D3640*Assumptions!$B$6+E3640*Assumptions!$B$7)</f>
        <v>1.9598609675986539E-3</v>
      </c>
    </row>
    <row r="3641" spans="1:10" x14ac:dyDescent="0.2">
      <c r="A3641" s="2">
        <v>3633</v>
      </c>
      <c r="B3641" s="14">
        <f>A3641*Assumptions!$B$12</f>
        <v>36.33</v>
      </c>
      <c r="C3641" s="15">
        <f>IF(A3641&lt;=Assumptions!$B$13,IF(OR(A3641=0,A3641=Assumptions!$B$13),0.5,1),0)*Assumptions!$B$12</f>
        <v>0</v>
      </c>
      <c r="D3641" s="12">
        <f>D3640*(1-Assumptions!$B$12*(Assumptions!$B$5+Assumptions!$B$6))</f>
        <v>0.33619513868514489</v>
      </c>
      <c r="E3641" s="12">
        <f>E3640+Assumptions!$B$12*(D3640*Assumptions!$B$5-E3640*Assumptions!$B$7)</f>
        <v>0.17367514982897789</v>
      </c>
      <c r="F3641" s="12">
        <f t="shared" si="168"/>
        <v>0.49012971148587714</v>
      </c>
      <c r="G3641" s="12">
        <f>EXP(-Assumptions!$B$8*B3641)</f>
        <v>0.16259383462869662</v>
      </c>
      <c r="H3641" s="12">
        <f t="shared" si="169"/>
        <v>5.4663256782344169E-2</v>
      </c>
      <c r="I3641" s="12">
        <f t="shared" si="170"/>
        <v>2.8238508590406938E-2</v>
      </c>
      <c r="J3641" s="12">
        <f>G3641*(D3641*Assumptions!$B$6+E3641*Assumptions!$B$7)</f>
        <v>1.9585579973437884E-3</v>
      </c>
    </row>
    <row r="3642" spans="1:10" x14ac:dyDescent="0.2">
      <c r="A3642" s="2">
        <v>3634</v>
      </c>
      <c r="B3642" s="14">
        <f>A3642*Assumptions!$B$12</f>
        <v>36.340000000000003</v>
      </c>
      <c r="C3642" s="15">
        <f>IF(A3642&lt;=Assumptions!$B$13,IF(OR(A3642=0,A3642=Assumptions!$B$13),0.5,1),0)*Assumptions!$B$12</f>
        <v>0</v>
      </c>
      <c r="D3642" s="12">
        <f>D3641*(1-Assumptions!$B$12*(Assumptions!$B$5+Assumptions!$B$6))</f>
        <v>0.33609428014353937</v>
      </c>
      <c r="E3642" s="12">
        <f>E3641+Assumptions!$B$12*(D3641*Assumptions!$B$5-E3641*Assumptions!$B$7)</f>
        <v>0.17365555128180044</v>
      </c>
      <c r="F3642" s="12">
        <f t="shared" si="168"/>
        <v>0.49025016857466019</v>
      </c>
      <c r="G3642" s="12">
        <f>EXP(-Assumptions!$B$8*B3642)</f>
        <v>0.16251255803222461</v>
      </c>
      <c r="H3642" s="12">
        <f t="shared" si="169"/>
        <v>5.46195412061257E-2</v>
      </c>
      <c r="I3642" s="12">
        <f t="shared" si="170"/>
        <v>2.822120785530155E-2</v>
      </c>
      <c r="J3642" s="12">
        <f>G3642*(D3642*Assumptions!$B$6+E3642*Assumptions!$B$7)</f>
        <v>1.9572558048263347E-3</v>
      </c>
    </row>
    <row r="3643" spans="1:10" x14ac:dyDescent="0.2">
      <c r="A3643" s="2">
        <v>3635</v>
      </c>
      <c r="B3643" s="14">
        <f>A3643*Assumptions!$B$12</f>
        <v>36.35</v>
      </c>
      <c r="C3643" s="15">
        <f>IF(A3643&lt;=Assumptions!$B$13,IF(OR(A3643=0,A3643=Assumptions!$B$13),0.5,1),0)*Assumptions!$B$12</f>
        <v>0</v>
      </c>
      <c r="D3643" s="12">
        <f>D3642*(1-Assumptions!$B$12*(Assumptions!$B$5+Assumptions!$B$6))</f>
        <v>0.33599345185949631</v>
      </c>
      <c r="E3643" s="12">
        <f>E3642+Assumptions!$B$12*(D3642*Assumptions!$B$5-E3642*Assumptions!$B$7)</f>
        <v>0.17363594236218824</v>
      </c>
      <c r="F3643" s="12">
        <f t="shared" si="168"/>
        <v>0.49037060577831548</v>
      </c>
      <c r="G3643" s="12">
        <f>EXP(-Assumptions!$B$8*B3643)</f>
        <v>0.16243132206389302</v>
      </c>
      <c r="H3643" s="12">
        <f t="shared" si="169"/>
        <v>5.4575860590348982E-2</v>
      </c>
      <c r="I3643" s="12">
        <f t="shared" si="170"/>
        <v>2.8203915675700162E-2</v>
      </c>
      <c r="J3643" s="12">
        <f>G3643*(D3643*Assumptions!$B$6+E3643*Assumptions!$B$7)</f>
        <v>1.9559543896884982E-3</v>
      </c>
    </row>
    <row r="3644" spans="1:10" x14ac:dyDescent="0.2">
      <c r="A3644" s="2">
        <v>3636</v>
      </c>
      <c r="B3644" s="14">
        <f>A3644*Assumptions!$B$12</f>
        <v>36.36</v>
      </c>
      <c r="C3644" s="15">
        <f>IF(A3644&lt;=Assumptions!$B$13,IF(OR(A3644=0,A3644=Assumptions!$B$13),0.5,1),0)*Assumptions!$B$12</f>
        <v>0</v>
      </c>
      <c r="D3644" s="12">
        <f>D3643*(1-Assumptions!$B$12*(Assumptions!$B$5+Assumptions!$B$6))</f>
        <v>0.33589265382393846</v>
      </c>
      <c r="E3644" s="12">
        <f>E3643+Assumptions!$B$12*(D3643*Assumptions!$B$5-E3643*Assumptions!$B$7)</f>
        <v>0.17361632308137903</v>
      </c>
      <c r="F3644" s="12">
        <f t="shared" si="168"/>
        <v>0.49049102309468257</v>
      </c>
      <c r="G3644" s="12">
        <f>EXP(-Assumptions!$B$8*B3644)</f>
        <v>0.16235012670339277</v>
      </c>
      <c r="H3644" s="12">
        <f t="shared" si="169"/>
        <v>5.4532214907055253E-2</v>
      </c>
      <c r="I3644" s="12">
        <f t="shared" si="170"/>
        <v>2.8186632050039059E-2</v>
      </c>
      <c r="J3644" s="12">
        <f>G3644*(D3644*Assumptions!$B$6+E3644*Assumptions!$B$7)</f>
        <v>1.9546537515725058E-3</v>
      </c>
    </row>
    <row r="3645" spans="1:10" x14ac:dyDescent="0.2">
      <c r="A3645" s="2">
        <v>3637</v>
      </c>
      <c r="B3645" s="14">
        <f>A3645*Assumptions!$B$12</f>
        <v>36.369999999999997</v>
      </c>
      <c r="C3645" s="15">
        <f>IF(A3645&lt;=Assumptions!$B$13,IF(OR(A3645=0,A3645=Assumptions!$B$13),0.5,1),0)*Assumptions!$B$12</f>
        <v>0</v>
      </c>
      <c r="D3645" s="12">
        <f>D3644*(1-Assumptions!$B$12*(Assumptions!$B$5+Assumptions!$B$6))</f>
        <v>0.33579188602779131</v>
      </c>
      <c r="E3645" s="12">
        <f>E3644+Assumptions!$B$12*(D3644*Assumptions!$B$5-E3644*Assumptions!$B$7)</f>
        <v>0.17359669345060313</v>
      </c>
      <c r="F3645" s="12">
        <f t="shared" si="168"/>
        <v>0.49061142052160556</v>
      </c>
      <c r="G3645" s="12">
        <f>EXP(-Assumptions!$B$8*B3645)</f>
        <v>0.16226897193042505</v>
      </c>
      <c r="H3645" s="12">
        <f t="shared" si="169"/>
        <v>5.4488604128308159E-2</v>
      </c>
      <c r="I3645" s="12">
        <f t="shared" si="170"/>
        <v>2.8169356976750524E-2</v>
      </c>
      <c r="J3645" s="12">
        <f>G3645*(D3645*Assumptions!$B$6+E3645*Assumptions!$B$7)</f>
        <v>1.953353890120608E-3</v>
      </c>
    </row>
    <row r="3646" spans="1:10" x14ac:dyDescent="0.2">
      <c r="A3646" s="2">
        <v>3638</v>
      </c>
      <c r="B3646" s="14">
        <f>A3646*Assumptions!$B$12</f>
        <v>36.380000000000003</v>
      </c>
      <c r="C3646" s="15">
        <f>IF(A3646&lt;=Assumptions!$B$13,IF(OR(A3646=0,A3646=Assumptions!$B$13),0.5,1),0)*Assumptions!$B$12</f>
        <v>0</v>
      </c>
      <c r="D3646" s="12">
        <f>D3645*(1-Assumptions!$B$12*(Assumptions!$B$5+Assumptions!$B$6))</f>
        <v>0.335691148461983</v>
      </c>
      <c r="E3646" s="12">
        <f>E3645+Assumptions!$B$12*(D3645*Assumptions!$B$5-E3645*Assumptions!$B$7)</f>
        <v>0.1735770534810834</v>
      </c>
      <c r="F3646" s="12">
        <f t="shared" si="168"/>
        <v>0.49073179805693357</v>
      </c>
      <c r="G3646" s="12">
        <f>EXP(-Assumptions!$B$8*B3646)</f>
        <v>0.16218785772470112</v>
      </c>
      <c r="H3646" s="12">
        <f t="shared" si="169"/>
        <v>5.4445028226193619E-2</v>
      </c>
      <c r="I3646" s="12">
        <f t="shared" si="170"/>
        <v>2.8152090454262792E-2</v>
      </c>
      <c r="J3646" s="12">
        <f>G3646*(D3646*Assumptions!$B$6+E3646*Assumptions!$B$7)</f>
        <v>1.9520548049750761E-3</v>
      </c>
    </row>
    <row r="3647" spans="1:10" x14ac:dyDescent="0.2">
      <c r="A3647" s="2">
        <v>3639</v>
      </c>
      <c r="B3647" s="14">
        <f>A3647*Assumptions!$B$12</f>
        <v>36.39</v>
      </c>
      <c r="C3647" s="15">
        <f>IF(A3647&lt;=Assumptions!$B$13,IF(OR(A3647=0,A3647=Assumptions!$B$13),0.5,1),0)*Assumptions!$B$12</f>
        <v>0</v>
      </c>
      <c r="D3647" s="12">
        <f>D3646*(1-Assumptions!$B$12*(Assumptions!$B$5+Assumptions!$B$6))</f>
        <v>0.3355904411174444</v>
      </c>
      <c r="E3647" s="12">
        <f>E3646+Assumptions!$B$12*(D3646*Assumptions!$B$5-E3646*Assumptions!$B$7)</f>
        <v>0.17355740318403526</v>
      </c>
      <c r="F3647" s="12">
        <f t="shared" si="168"/>
        <v>0.49085215569852036</v>
      </c>
      <c r="G3647" s="12">
        <f>EXP(-Assumptions!$B$8*B3647)</f>
        <v>0.16210678406594251</v>
      </c>
      <c r="H3647" s="12">
        <f t="shared" si="169"/>
        <v>5.4401487172819951E-2</v>
      </c>
      <c r="I3647" s="12">
        <f t="shared" si="170"/>
        <v>2.8134832481000127E-2</v>
      </c>
      <c r="J3647" s="12">
        <f>G3647*(D3647*Assumptions!$B$6+E3647*Assumptions!$B$7)</f>
        <v>1.9507564957782061E-3</v>
      </c>
    </row>
    <row r="3648" spans="1:10" x14ac:dyDescent="0.2">
      <c r="A3648" s="2">
        <v>3640</v>
      </c>
      <c r="B3648" s="14">
        <f>A3648*Assumptions!$B$12</f>
        <v>36.4</v>
      </c>
      <c r="C3648" s="15">
        <f>IF(A3648&lt;=Assumptions!$B$13,IF(OR(A3648=0,A3648=Assumptions!$B$13),0.5,1),0)*Assumptions!$B$12</f>
        <v>0</v>
      </c>
      <c r="D3648" s="12">
        <f>D3647*(1-Assumptions!$B$12*(Assumptions!$B$5+Assumptions!$B$6))</f>
        <v>0.33548976398510916</v>
      </c>
      <c r="E3648" s="12">
        <f>E3647+Assumptions!$B$12*(D3647*Assumptions!$B$5-E3647*Assumptions!$B$7)</f>
        <v>0.17353774257066673</v>
      </c>
      <c r="F3648" s="12">
        <f t="shared" si="168"/>
        <v>0.49097249344422417</v>
      </c>
      <c r="G3648" s="12">
        <f>EXP(-Assumptions!$B$8*B3648)</f>
        <v>0.16202575093388075</v>
      </c>
      <c r="H3648" s="12">
        <f t="shared" si="169"/>
        <v>5.4357980940317734E-2</v>
      </c>
      <c r="I3648" s="12">
        <f t="shared" si="170"/>
        <v>2.8117583055382762E-2</v>
      </c>
      <c r="J3648" s="12">
        <f>G3648*(D3648*Assumptions!$B$6+E3648*Assumptions!$B$7)</f>
        <v>1.9494589621723154E-3</v>
      </c>
    </row>
    <row r="3649" spans="1:10" x14ac:dyDescent="0.2">
      <c r="A3649" s="2">
        <v>3641</v>
      </c>
      <c r="B3649" s="14">
        <f>A3649*Assumptions!$B$12</f>
        <v>36.410000000000004</v>
      </c>
      <c r="C3649" s="15">
        <f>IF(A3649&lt;=Assumptions!$B$13,IF(OR(A3649=0,A3649=Assumptions!$B$13),0.5,1),0)*Assumptions!$B$12</f>
        <v>0</v>
      </c>
      <c r="D3649" s="12">
        <f>D3648*(1-Assumptions!$B$12*(Assumptions!$B$5+Assumptions!$B$6))</f>
        <v>0.33538911705591362</v>
      </c>
      <c r="E3649" s="12">
        <f>E3648+Assumptions!$B$12*(D3648*Assumptions!$B$5-E3648*Assumptions!$B$7)</f>
        <v>0.17351807165217842</v>
      </c>
      <c r="F3649" s="12">
        <f t="shared" si="168"/>
        <v>0.49109281129190802</v>
      </c>
      <c r="G3649" s="12">
        <f>EXP(-Assumptions!$B$8*B3649)</f>
        <v>0.16194475830825755</v>
      </c>
      <c r="H3649" s="12">
        <f t="shared" si="169"/>
        <v>5.4314509500839832E-2</v>
      </c>
      <c r="I3649" s="12">
        <f t="shared" si="170"/>
        <v>2.8100342175826951E-2</v>
      </c>
      <c r="J3649" s="12">
        <f>G3649*(D3649*Assumptions!$B$6+E3649*Assumptions!$B$7)</f>
        <v>1.9481622037997458E-3</v>
      </c>
    </row>
    <row r="3650" spans="1:10" x14ac:dyDescent="0.2">
      <c r="A3650" s="2">
        <v>3642</v>
      </c>
      <c r="B3650" s="14">
        <f>A3650*Assumptions!$B$12</f>
        <v>36.42</v>
      </c>
      <c r="C3650" s="15">
        <f>IF(A3650&lt;=Assumptions!$B$13,IF(OR(A3650=0,A3650=Assumptions!$B$13),0.5,1),0)*Assumptions!$B$12</f>
        <v>0</v>
      </c>
      <c r="D3650" s="12">
        <f>D3649*(1-Assumptions!$B$12*(Assumptions!$B$5+Assumptions!$B$6))</f>
        <v>0.33528850032079688</v>
      </c>
      <c r="E3650" s="12">
        <f>E3649+Assumptions!$B$12*(D3649*Assumptions!$B$5-E3649*Assumptions!$B$7)</f>
        <v>0.17349839043976351</v>
      </c>
      <c r="F3650" s="12">
        <f t="shared" si="168"/>
        <v>0.49121310923943967</v>
      </c>
      <c r="G3650" s="12">
        <f>EXP(-Assumptions!$B$8*B3650)</f>
        <v>0.16186380616882479</v>
      </c>
      <c r="H3650" s="12">
        <f t="shared" si="169"/>
        <v>5.4271072826561413E-2</v>
      </c>
      <c r="I3650" s="12">
        <f t="shared" si="170"/>
        <v>2.8083109840744965E-2</v>
      </c>
      <c r="J3650" s="12">
        <f>G3650*(D3650*Assumptions!$B$6+E3650*Assumptions!$B$7)</f>
        <v>1.9468662203028623E-3</v>
      </c>
    </row>
    <row r="3651" spans="1:10" x14ac:dyDescent="0.2">
      <c r="A3651" s="2">
        <v>3643</v>
      </c>
      <c r="B3651" s="14">
        <f>A3651*Assumptions!$B$12</f>
        <v>36.43</v>
      </c>
      <c r="C3651" s="15">
        <f>IF(A3651&lt;=Assumptions!$B$13,IF(OR(A3651=0,A3651=Assumptions!$B$13),0.5,1),0)*Assumptions!$B$12</f>
        <v>0</v>
      </c>
      <c r="D3651" s="12">
        <f>D3650*(1-Assumptions!$B$12*(Assumptions!$B$5+Assumptions!$B$6))</f>
        <v>0.33518791377070067</v>
      </c>
      <c r="E3651" s="12">
        <f>E3650+Assumptions!$B$12*(D3650*Assumptions!$B$5-E3650*Assumptions!$B$7)</f>
        <v>0.1734786989446078</v>
      </c>
      <c r="F3651" s="12">
        <f t="shared" si="168"/>
        <v>0.49133338728469156</v>
      </c>
      <c r="G3651" s="12">
        <f>EXP(-Assumptions!$B$8*B3651)</f>
        <v>0.16178289449534441</v>
      </c>
      <c r="H3651" s="12">
        <f t="shared" si="169"/>
        <v>5.422767088967987E-2</v>
      </c>
      <c r="I3651" s="12">
        <f t="shared" si="170"/>
        <v>2.80658860485451E-2</v>
      </c>
      <c r="J3651" s="12">
        <f>G3651*(D3651*Assumptions!$B$6+E3651*Assumptions!$B$7)</f>
        <v>1.9455710113240538E-3</v>
      </c>
    </row>
    <row r="3652" spans="1:10" x14ac:dyDescent="0.2">
      <c r="A3652" s="2">
        <v>3644</v>
      </c>
      <c r="B3652" s="14">
        <f>A3652*Assumptions!$B$12</f>
        <v>36.44</v>
      </c>
      <c r="C3652" s="15">
        <f>IF(A3652&lt;=Assumptions!$B$13,IF(OR(A3652=0,A3652=Assumptions!$B$13),0.5,1),0)*Assumptions!$B$12</f>
        <v>0</v>
      </c>
      <c r="D3652" s="12">
        <f>D3651*(1-Assumptions!$B$12*(Assumptions!$B$5+Assumptions!$B$6))</f>
        <v>0.33508735739656947</v>
      </c>
      <c r="E3652" s="12">
        <f>E3651+Assumptions!$B$12*(D3651*Assumptions!$B$5-E3651*Assumptions!$B$7)</f>
        <v>0.17345899717788962</v>
      </c>
      <c r="F3652" s="12">
        <f t="shared" si="168"/>
        <v>0.49145364542554093</v>
      </c>
      <c r="G3652" s="12">
        <f>EXP(-Assumptions!$B$8*B3652)</f>
        <v>0.16170202326758851</v>
      </c>
      <c r="H3652" s="12">
        <f t="shared" si="169"/>
        <v>5.4184303662414821E-2</v>
      </c>
      <c r="I3652" s="12">
        <f t="shared" si="170"/>
        <v>2.8048670797631677E-2</v>
      </c>
      <c r="J3652" s="12">
        <f>G3652*(D3652*Assumptions!$B$6+E3652*Assumptions!$B$7)</f>
        <v>1.944276576505732E-3</v>
      </c>
    </row>
    <row r="3653" spans="1:10" x14ac:dyDescent="0.2">
      <c r="A3653" s="2">
        <v>3645</v>
      </c>
      <c r="B3653" s="14">
        <f>A3653*Assumptions!$B$12</f>
        <v>36.450000000000003</v>
      </c>
      <c r="C3653" s="15">
        <f>IF(A3653&lt;=Assumptions!$B$13,IF(OR(A3653=0,A3653=Assumptions!$B$13),0.5,1),0)*Assumptions!$B$12</f>
        <v>0</v>
      </c>
      <c r="D3653" s="12">
        <f>D3652*(1-Assumptions!$B$12*(Assumptions!$B$5+Assumptions!$B$6))</f>
        <v>0.33498683118935052</v>
      </c>
      <c r="E3653" s="12">
        <f>E3652+Assumptions!$B$12*(D3652*Assumptions!$B$5-E3652*Assumptions!$B$7)</f>
        <v>0.17343928515078</v>
      </c>
      <c r="F3653" s="12">
        <f t="shared" si="168"/>
        <v>0.49157388365986954</v>
      </c>
      <c r="G3653" s="12">
        <f>EXP(-Assumptions!$B$8*B3653)</f>
        <v>0.16162119246533921</v>
      </c>
      <c r="H3653" s="12">
        <f t="shared" si="169"/>
        <v>5.4140971117008115E-2</v>
      </c>
      <c r="I3653" s="12">
        <f t="shared" si="170"/>
        <v>2.8031464086405063E-2</v>
      </c>
      <c r="J3653" s="12">
        <f>G3653*(D3653*Assumptions!$B$6+E3653*Assumptions!$B$7)</f>
        <v>1.9429829154903341E-3</v>
      </c>
    </row>
    <row r="3654" spans="1:10" x14ac:dyDescent="0.2">
      <c r="A3654" s="2">
        <v>3646</v>
      </c>
      <c r="B3654" s="14">
        <f>A3654*Assumptions!$B$12</f>
        <v>36.46</v>
      </c>
      <c r="C3654" s="15">
        <f>IF(A3654&lt;=Assumptions!$B$13,IF(OR(A3654=0,A3654=Assumptions!$B$13),0.5,1),0)*Assumptions!$B$12</f>
        <v>0</v>
      </c>
      <c r="D3654" s="12">
        <f>D3653*(1-Assumptions!$B$12*(Assumptions!$B$5+Assumptions!$B$6))</f>
        <v>0.33488633513999372</v>
      </c>
      <c r="E3654" s="12">
        <f>E3653+Assumptions!$B$12*(D3653*Assumptions!$B$5-E3653*Assumptions!$B$7)</f>
        <v>0.17341956287444249</v>
      </c>
      <c r="F3654" s="12">
        <f t="shared" si="168"/>
        <v>0.49169410198556374</v>
      </c>
      <c r="G3654" s="12">
        <f>EXP(-Assumptions!$B$8*B3654)</f>
        <v>0.16154040206838893</v>
      </c>
      <c r="H3654" s="12">
        <f t="shared" si="169"/>
        <v>5.4097673225723827E-2</v>
      </c>
      <c r="I3654" s="12">
        <f t="shared" si="170"/>
        <v>2.8014265913261695E-2</v>
      </c>
      <c r="J3654" s="12">
        <f>G3654*(D3654*Assumptions!$B$6+E3654*Assumptions!$B$7)</f>
        <v>1.9416900279203232E-3</v>
      </c>
    </row>
    <row r="3655" spans="1:10" x14ac:dyDescent="0.2">
      <c r="A3655" s="2">
        <v>3647</v>
      </c>
      <c r="B3655" s="14">
        <f>A3655*Assumptions!$B$12</f>
        <v>36.47</v>
      </c>
      <c r="C3655" s="15">
        <f>IF(A3655&lt;=Assumptions!$B$13,IF(OR(A3655=0,A3655=Assumptions!$B$13),0.5,1),0)*Assumptions!$B$12</f>
        <v>0</v>
      </c>
      <c r="D3655" s="12">
        <f>D3654*(1-Assumptions!$B$12*(Assumptions!$B$5+Assumptions!$B$6))</f>
        <v>0.33478586923945175</v>
      </c>
      <c r="E3655" s="12">
        <f>E3654+Assumptions!$B$12*(D3654*Assumptions!$B$5-E3654*Assumptions!$B$7)</f>
        <v>0.17339983036003326</v>
      </c>
      <c r="F3655" s="12">
        <f t="shared" si="168"/>
        <v>0.49181430040051499</v>
      </c>
      <c r="G3655" s="12">
        <f>EXP(-Assumptions!$B$8*B3655)</f>
        <v>0.16145965205654</v>
      </c>
      <c r="H3655" s="12">
        <f t="shared" si="169"/>
        <v>5.4054409960848177E-2</v>
      </c>
      <c r="I3655" s="12">
        <f t="shared" si="170"/>
        <v>2.7997076276594032E-2</v>
      </c>
      <c r="J3655" s="12">
        <f>G3655*(D3655*Assumptions!$B$6+E3655*Assumptions!$B$7)</f>
        <v>1.9403979134381833E-3</v>
      </c>
    </row>
    <row r="3656" spans="1:10" x14ac:dyDescent="0.2">
      <c r="A3656" s="2">
        <v>3648</v>
      </c>
      <c r="B3656" s="14">
        <f>A3656*Assumptions!$B$12</f>
        <v>36.480000000000004</v>
      </c>
      <c r="C3656" s="15">
        <f>IF(A3656&lt;=Assumptions!$B$13,IF(OR(A3656=0,A3656=Assumptions!$B$13),0.5,1),0)*Assumptions!$B$12</f>
        <v>0</v>
      </c>
      <c r="D3656" s="12">
        <f>D3655*(1-Assumptions!$B$12*(Assumptions!$B$5+Assumptions!$B$6))</f>
        <v>0.33468543347867991</v>
      </c>
      <c r="E3656" s="12">
        <f>E3655+Assumptions!$B$12*(D3655*Assumptions!$B$5-E3655*Assumptions!$B$7)</f>
        <v>0.17338008761870113</v>
      </c>
      <c r="F3656" s="12">
        <f t="shared" ref="F3656:F3719" si="171">1-D3656-E3656</f>
        <v>0.49193447890261888</v>
      </c>
      <c r="G3656" s="12">
        <f>EXP(-Assumptions!$B$8*B3656)</f>
        <v>0.16137894240960488</v>
      </c>
      <c r="H3656" s="12">
        <f t="shared" ref="H3656:H3719" si="172">G3656*D3656</f>
        <v>5.4011181294689528E-2</v>
      </c>
      <c r="I3656" s="12">
        <f t="shared" ref="I3656:I3719" si="173">G3656*E3656</f>
        <v>2.7979895174790617E-2</v>
      </c>
      <c r="J3656" s="12">
        <f>G3656*(D3656*Assumptions!$B$6+E3656*Assumptions!$B$7)</f>
        <v>1.9391065716864262E-3</v>
      </c>
    </row>
    <row r="3657" spans="1:10" x14ac:dyDescent="0.2">
      <c r="A3657" s="2">
        <v>3649</v>
      </c>
      <c r="B3657" s="14">
        <f>A3657*Assumptions!$B$12</f>
        <v>36.49</v>
      </c>
      <c r="C3657" s="15">
        <f>IF(A3657&lt;=Assumptions!$B$13,IF(OR(A3657=0,A3657=Assumptions!$B$13),0.5,1),0)*Assumptions!$B$12</f>
        <v>0</v>
      </c>
      <c r="D3657" s="12">
        <f>D3656*(1-Assumptions!$B$12*(Assumptions!$B$5+Assumptions!$B$6))</f>
        <v>0.33458502784863631</v>
      </c>
      <c r="E3657" s="12">
        <f>E3656+Assumptions!$B$12*(D3656*Assumptions!$B$5-E3656*Assumptions!$B$7)</f>
        <v>0.17336033466158751</v>
      </c>
      <c r="F3657" s="12">
        <f t="shared" si="171"/>
        <v>0.49205463748977618</v>
      </c>
      <c r="G3657" s="12">
        <f>EXP(-Assumptions!$B$8*B3657)</f>
        <v>0.16129827310740624</v>
      </c>
      <c r="H3657" s="12">
        <f t="shared" si="172"/>
        <v>5.396798719957846E-2</v>
      </c>
      <c r="I3657" s="12">
        <f t="shared" si="173"/>
        <v>2.7962722606236088E-2</v>
      </c>
      <c r="J3657" s="12">
        <f>G3657*(D3657*Assumptions!$B$6+E3657*Assumptions!$B$7)</f>
        <v>1.937816002307589E-3</v>
      </c>
    </row>
    <row r="3658" spans="1:10" x14ac:dyDescent="0.2">
      <c r="A3658" s="2">
        <v>3650</v>
      </c>
      <c r="B3658" s="14">
        <f>A3658*Assumptions!$B$12</f>
        <v>36.5</v>
      </c>
      <c r="C3658" s="15">
        <f>IF(A3658&lt;=Assumptions!$B$13,IF(OR(A3658=0,A3658=Assumptions!$B$13),0.5,1),0)*Assumptions!$B$12</f>
        <v>0</v>
      </c>
      <c r="D3658" s="12">
        <f>D3657*(1-Assumptions!$B$12*(Assumptions!$B$5+Assumptions!$B$6))</f>
        <v>0.33448465234028174</v>
      </c>
      <c r="E3658" s="12">
        <f>E3657+Assumptions!$B$12*(D3657*Assumptions!$B$5-E3657*Assumptions!$B$7)</f>
        <v>0.17334057149982646</v>
      </c>
      <c r="F3658" s="12">
        <f t="shared" si="171"/>
        <v>0.49217477615989175</v>
      </c>
      <c r="G3658" s="12">
        <f>EXP(-Assumptions!$B$8*B3658)</f>
        <v>0.16121764412977674</v>
      </c>
      <c r="H3658" s="12">
        <f t="shared" si="172"/>
        <v>5.3924827647867636E-2</v>
      </c>
      <c r="I3658" s="12">
        <f t="shared" si="173"/>
        <v>2.7945558569311142E-2</v>
      </c>
      <c r="J3658" s="12">
        <f>G3658*(D3658*Assumptions!$B$6+E3658*Assumptions!$B$7)</f>
        <v>1.9365262049442337E-3</v>
      </c>
    </row>
    <row r="3659" spans="1:10" x14ac:dyDescent="0.2">
      <c r="A3659" s="2">
        <v>3651</v>
      </c>
      <c r="B3659" s="14">
        <f>A3659*Assumptions!$B$12</f>
        <v>36.51</v>
      </c>
      <c r="C3659" s="15">
        <f>IF(A3659&lt;=Assumptions!$B$13,IF(OR(A3659=0,A3659=Assumptions!$B$13),0.5,1),0)*Assumptions!$B$12</f>
        <v>0</v>
      </c>
      <c r="D3659" s="12">
        <f>D3658*(1-Assumptions!$B$12*(Assumptions!$B$5+Assumptions!$B$6))</f>
        <v>0.33438430694457966</v>
      </c>
      <c r="E3659" s="12">
        <f>E3658+Assumptions!$B$12*(D3658*Assumptions!$B$5-E3658*Assumptions!$B$7)</f>
        <v>0.1733207981445446</v>
      </c>
      <c r="F3659" s="12">
        <f t="shared" si="171"/>
        <v>0.49229489491087575</v>
      </c>
      <c r="G3659" s="12">
        <f>EXP(-Assumptions!$B$8*B3659)</f>
        <v>0.16113705545655913</v>
      </c>
      <c r="H3659" s="12">
        <f t="shared" si="172"/>
        <v>5.3881702611931821E-2</v>
      </c>
      <c r="I3659" s="12">
        <f t="shared" si="173"/>
        <v>2.7928403062392571E-2</v>
      </c>
      <c r="J3659" s="12">
        <f>G3659*(D3659*Assumptions!$B$6+E3659*Assumptions!$B$7)</f>
        <v>1.9352371792389468E-3</v>
      </c>
    </row>
    <row r="3660" spans="1:10" x14ac:dyDescent="0.2">
      <c r="A3660" s="2">
        <v>3652</v>
      </c>
      <c r="B3660" s="14">
        <f>A3660*Assumptions!$B$12</f>
        <v>36.520000000000003</v>
      </c>
      <c r="C3660" s="15">
        <f>IF(A3660&lt;=Assumptions!$B$13,IF(OR(A3660=0,A3660=Assumptions!$B$13),0.5,1),0)*Assumptions!$B$12</f>
        <v>0</v>
      </c>
      <c r="D3660" s="12">
        <f>D3659*(1-Assumptions!$B$12*(Assumptions!$B$5+Assumptions!$B$6))</f>
        <v>0.33428399165249628</v>
      </c>
      <c r="E3660" s="12">
        <f>E3659+Assumptions!$B$12*(D3659*Assumptions!$B$5-E3659*Assumptions!$B$7)</f>
        <v>0.17330101460686123</v>
      </c>
      <c r="F3660" s="12">
        <f t="shared" si="171"/>
        <v>0.49241499374064257</v>
      </c>
      <c r="G3660" s="12">
        <f>EXP(-Assumptions!$B$8*B3660)</f>
        <v>0.1610565070676061</v>
      </c>
      <c r="H3660" s="12">
        <f t="shared" si="172"/>
        <v>5.3838612064167846E-2</v>
      </c>
      <c r="I3660" s="12">
        <f t="shared" si="173"/>
        <v>2.7911256083853253E-2</v>
      </c>
      <c r="J3660" s="12">
        <f>G3660*(D3660*Assumptions!$B$6+E3660*Assumptions!$B$7)</f>
        <v>1.9339489248343413E-3</v>
      </c>
    </row>
    <row r="3661" spans="1:10" x14ac:dyDescent="0.2">
      <c r="A3661" s="2">
        <v>3653</v>
      </c>
      <c r="B3661" s="14">
        <f>A3661*Assumptions!$B$12</f>
        <v>36.53</v>
      </c>
      <c r="C3661" s="15">
        <f>IF(A3661&lt;=Assumptions!$B$13,IF(OR(A3661=0,A3661=Assumptions!$B$13),0.5,1),0)*Assumptions!$B$12</f>
        <v>0</v>
      </c>
      <c r="D3661" s="12">
        <f>D3660*(1-Assumptions!$B$12*(Assumptions!$B$5+Assumptions!$B$6))</f>
        <v>0.33418370645500056</v>
      </c>
      <c r="E3661" s="12">
        <f>E3660+Assumptions!$B$12*(D3660*Assumptions!$B$5-E3660*Assumptions!$B$7)</f>
        <v>0.17328122089788831</v>
      </c>
      <c r="F3661" s="12">
        <f t="shared" si="171"/>
        <v>0.49253507264711105</v>
      </c>
      <c r="G3661" s="12">
        <f>EXP(-Assumptions!$B$8*B3661)</f>
        <v>0.16097599894278078</v>
      </c>
      <c r="H3661" s="12">
        <f t="shared" si="172"/>
        <v>5.379555597699473E-2</v>
      </c>
      <c r="I3661" s="12">
        <f t="shared" si="173"/>
        <v>2.7894117632062232E-2</v>
      </c>
      <c r="J3661" s="12">
        <f>G3661*(D3661*Assumptions!$B$6+E3661*Assumptions!$B$7)</f>
        <v>1.932661441373059E-3</v>
      </c>
    </row>
    <row r="3662" spans="1:10" x14ac:dyDescent="0.2">
      <c r="A3662" s="2">
        <v>3654</v>
      </c>
      <c r="B3662" s="14">
        <f>A3662*Assumptions!$B$12</f>
        <v>36.54</v>
      </c>
      <c r="C3662" s="15">
        <f>IF(A3662&lt;=Assumptions!$B$13,IF(OR(A3662=0,A3662=Assumptions!$B$13),0.5,1),0)*Assumptions!$B$12</f>
        <v>0</v>
      </c>
      <c r="D3662" s="12">
        <f>D3661*(1-Assumptions!$B$12*(Assumptions!$B$5+Assumptions!$B$6))</f>
        <v>0.33408345134306405</v>
      </c>
      <c r="E3662" s="12">
        <f>E3661+Assumptions!$B$12*(D3661*Assumptions!$B$5-E3661*Assumptions!$B$7)</f>
        <v>0.17326141702873035</v>
      </c>
      <c r="F3662" s="12">
        <f t="shared" si="171"/>
        <v>0.49265513162820562</v>
      </c>
      <c r="G3662" s="12">
        <f>EXP(-Assumptions!$B$8*B3662)</f>
        <v>0.16089553106195606</v>
      </c>
      <c r="H3662" s="12">
        <f t="shared" si="172"/>
        <v>5.375253432285345E-2</v>
      </c>
      <c r="I3662" s="12">
        <f t="shared" si="173"/>
        <v>2.7876987705384607E-2</v>
      </c>
      <c r="J3662" s="12">
        <f>G3662*(D3662*Assumptions!$B$6+E3662*Assumptions!$B$7)</f>
        <v>1.931374728497765E-3</v>
      </c>
    </row>
    <row r="3663" spans="1:10" x14ac:dyDescent="0.2">
      <c r="A3663" s="2">
        <v>3655</v>
      </c>
      <c r="B3663" s="14">
        <f>A3663*Assumptions!$B$12</f>
        <v>36.550000000000004</v>
      </c>
      <c r="C3663" s="15">
        <f>IF(A3663&lt;=Assumptions!$B$13,IF(OR(A3663=0,A3663=Assumptions!$B$13),0.5,1),0)*Assumptions!$B$12</f>
        <v>0</v>
      </c>
      <c r="D3663" s="12">
        <f>D3662*(1-Assumptions!$B$12*(Assumptions!$B$5+Assumptions!$B$6))</f>
        <v>0.33398322630766114</v>
      </c>
      <c r="E3663" s="12">
        <f>E3662+Assumptions!$B$12*(D3662*Assumptions!$B$5-E3662*Assumptions!$B$7)</f>
        <v>0.17324160301048461</v>
      </c>
      <c r="F3663" s="12">
        <f t="shared" si="171"/>
        <v>0.49277517068185417</v>
      </c>
      <c r="G3663" s="12">
        <f>EXP(-Assumptions!$B$8*B3663)</f>
        <v>0.16081510340501481</v>
      </c>
      <c r="H3663" s="12">
        <f t="shared" si="172"/>
        <v>5.3709547074206991E-2</v>
      </c>
      <c r="I3663" s="12">
        <f t="shared" si="173"/>
        <v>2.7859866302181607E-2</v>
      </c>
      <c r="J3663" s="12">
        <f>G3663*(D3663*Assumptions!$B$6+E3663*Assumptions!$B$7)</f>
        <v>1.9300887858511504E-3</v>
      </c>
    </row>
    <row r="3664" spans="1:10" x14ac:dyDescent="0.2">
      <c r="A3664" s="2">
        <v>3656</v>
      </c>
      <c r="B3664" s="14">
        <f>A3664*Assumptions!$B$12</f>
        <v>36.56</v>
      </c>
      <c r="C3664" s="15">
        <f>IF(A3664&lt;=Assumptions!$B$13,IF(OR(A3664=0,A3664=Assumptions!$B$13),0.5,1),0)*Assumptions!$B$12</f>
        <v>0</v>
      </c>
      <c r="D3664" s="12">
        <f>D3663*(1-Assumptions!$B$12*(Assumptions!$B$5+Assumptions!$B$6))</f>
        <v>0.33388303133976888</v>
      </c>
      <c r="E3664" s="12">
        <f>E3663+Assumptions!$B$12*(D3663*Assumptions!$B$5-E3663*Assumptions!$B$7)</f>
        <v>0.17322177885424089</v>
      </c>
      <c r="F3664" s="12">
        <f t="shared" si="171"/>
        <v>0.49289518980599017</v>
      </c>
      <c r="G3664" s="12">
        <f>EXP(-Assumptions!$B$8*B3664)</f>
        <v>0.16073471595185035</v>
      </c>
      <c r="H3664" s="12">
        <f t="shared" si="172"/>
        <v>5.3666594203540495E-2</v>
      </c>
      <c r="I3664" s="12">
        <f t="shared" si="173"/>
        <v>2.7842753420810648E-2</v>
      </c>
      <c r="J3664" s="12">
        <f>G3664*(D3664*Assumptions!$B$6+E3664*Assumptions!$B$7)</f>
        <v>1.9288036130759374E-3</v>
      </c>
    </row>
    <row r="3665" spans="1:10" x14ac:dyDescent="0.2">
      <c r="A3665" s="2">
        <v>3657</v>
      </c>
      <c r="B3665" s="14">
        <f>A3665*Assumptions!$B$12</f>
        <v>36.57</v>
      </c>
      <c r="C3665" s="15">
        <f>IF(A3665&lt;=Assumptions!$B$13,IF(OR(A3665=0,A3665=Assumptions!$B$13),0.5,1),0)*Assumptions!$B$12</f>
        <v>0</v>
      </c>
      <c r="D3665" s="12">
        <f>D3664*(1-Assumptions!$B$12*(Assumptions!$B$5+Assumptions!$B$6))</f>
        <v>0.33378286643036698</v>
      </c>
      <c r="E3665" s="12">
        <f>E3664+Assumptions!$B$12*(D3664*Assumptions!$B$5-E3664*Assumptions!$B$7)</f>
        <v>0.17320194457108173</v>
      </c>
      <c r="F3665" s="12">
        <f t="shared" si="171"/>
        <v>0.49301518899855123</v>
      </c>
      <c r="G3665" s="12">
        <f>EXP(-Assumptions!$B$8*B3665)</f>
        <v>0.16065436868236574</v>
      </c>
      <c r="H3665" s="12">
        <f t="shared" si="172"/>
        <v>5.3623675683361016E-2</v>
      </c>
      <c r="I3665" s="12">
        <f t="shared" si="173"/>
        <v>2.782564905962524E-2</v>
      </c>
      <c r="J3665" s="12">
        <f>G3665*(D3665*Assumptions!$B$6+E3665*Assumptions!$B$7)</f>
        <v>1.9275192098148724E-3</v>
      </c>
    </row>
    <row r="3666" spans="1:10" x14ac:dyDescent="0.2">
      <c r="A3666" s="2">
        <v>3658</v>
      </c>
      <c r="B3666" s="14">
        <f>A3666*Assumptions!$B$12</f>
        <v>36.58</v>
      </c>
      <c r="C3666" s="15">
        <f>IF(A3666&lt;=Assumptions!$B$13,IF(OR(A3666=0,A3666=Assumptions!$B$13),0.5,1),0)*Assumptions!$B$12</f>
        <v>0</v>
      </c>
      <c r="D3666" s="12">
        <f>D3665*(1-Assumptions!$B$12*(Assumptions!$B$5+Assumptions!$B$6))</f>
        <v>0.33368273157043787</v>
      </c>
      <c r="E3666" s="12">
        <f>E3665+Assumptions!$B$12*(D3665*Assumptions!$B$5-E3665*Assumptions!$B$7)</f>
        <v>0.17318210017208227</v>
      </c>
      <c r="F3666" s="12">
        <f t="shared" si="171"/>
        <v>0.49313516825747994</v>
      </c>
      <c r="G3666" s="12">
        <f>EXP(-Assumptions!$B$8*B3666)</f>
        <v>0.16057406157647411</v>
      </c>
      <c r="H3666" s="12">
        <f t="shared" si="172"/>
        <v>5.3580791486197571E-2</v>
      </c>
      <c r="I3666" s="12">
        <f t="shared" si="173"/>
        <v>2.7808553216975045E-2</v>
      </c>
      <c r="J3666" s="12">
        <f>G3666*(D3666*Assumptions!$B$6+E3666*Assumptions!$B$7)</f>
        <v>1.9262355757107283E-3</v>
      </c>
    </row>
    <row r="3667" spans="1:10" x14ac:dyDescent="0.2">
      <c r="A3667" s="2">
        <v>3659</v>
      </c>
      <c r="B3667" s="14">
        <f>A3667*Assumptions!$B$12</f>
        <v>36.590000000000003</v>
      </c>
      <c r="C3667" s="15">
        <f>IF(A3667&lt;=Assumptions!$B$13,IF(OR(A3667=0,A3667=Assumptions!$B$13),0.5,1),0)*Assumptions!$B$12</f>
        <v>0</v>
      </c>
      <c r="D3667" s="12">
        <f>D3666*(1-Assumptions!$B$12*(Assumptions!$B$5+Assumptions!$B$6))</f>
        <v>0.33358262675096673</v>
      </c>
      <c r="E3667" s="12">
        <f>E3666+Assumptions!$B$12*(D3666*Assumptions!$B$5-E3666*Assumptions!$B$7)</f>
        <v>0.17316224566831032</v>
      </c>
      <c r="F3667" s="12">
        <f t="shared" si="171"/>
        <v>0.49325512758072299</v>
      </c>
      <c r="G3667" s="12">
        <f>EXP(-Assumptions!$B$8*B3667)</f>
        <v>0.16049379461409863</v>
      </c>
      <c r="H3667" s="12">
        <f t="shared" si="172"/>
        <v>5.3537941584601179E-2</v>
      </c>
      <c r="I3667" s="12">
        <f t="shared" si="173"/>
        <v>2.7791465891205885E-2</v>
      </c>
      <c r="J3667" s="12">
        <f>G3667*(D3667*Assumptions!$B$6+E3667*Assumptions!$B$7)</f>
        <v>1.924952710406306E-3</v>
      </c>
    </row>
    <row r="3668" spans="1:10" x14ac:dyDescent="0.2">
      <c r="A3668" s="2">
        <v>3660</v>
      </c>
      <c r="B3668" s="14">
        <f>A3668*Assumptions!$B$12</f>
        <v>36.6</v>
      </c>
      <c r="C3668" s="15">
        <f>IF(A3668&lt;=Assumptions!$B$13,IF(OR(A3668=0,A3668=Assumptions!$B$13),0.5,1),0)*Assumptions!$B$12</f>
        <v>0</v>
      </c>
      <c r="D3668" s="12">
        <f>D3667*(1-Assumptions!$B$12*(Assumptions!$B$5+Assumptions!$B$6))</f>
        <v>0.33348255196294146</v>
      </c>
      <c r="E3668" s="12">
        <f>E3667+Assumptions!$B$12*(D3667*Assumptions!$B$5-E3667*Assumptions!$B$7)</f>
        <v>0.17314238107082636</v>
      </c>
      <c r="F3668" s="12">
        <f t="shared" si="171"/>
        <v>0.49337506696623223</v>
      </c>
      <c r="G3668" s="12">
        <f>EXP(-Assumptions!$B$8*B3668)</f>
        <v>0.16041356777517274</v>
      </c>
      <c r="H3668" s="12">
        <f t="shared" si="172"/>
        <v>5.3495125951144876E-2</v>
      </c>
      <c r="I3668" s="12">
        <f t="shared" si="173"/>
        <v>2.7774387080659789E-2</v>
      </c>
      <c r="J3668" s="12">
        <f>G3668*(D3668*Assumptions!$B$6+E3668*Assumptions!$B$7)</f>
        <v>1.9236706135444385E-3</v>
      </c>
    </row>
    <row r="3669" spans="1:10" x14ac:dyDescent="0.2">
      <c r="A3669" s="2">
        <v>3661</v>
      </c>
      <c r="B3669" s="14">
        <f>A3669*Assumptions!$B$12</f>
        <v>36.61</v>
      </c>
      <c r="C3669" s="15">
        <f>IF(A3669&lt;=Assumptions!$B$13,IF(OR(A3669=0,A3669=Assumptions!$B$13),0.5,1),0)*Assumptions!$B$12</f>
        <v>0</v>
      </c>
      <c r="D3669" s="12">
        <f>D3668*(1-Assumptions!$B$12*(Assumptions!$B$5+Assumptions!$B$6))</f>
        <v>0.33338250719735257</v>
      </c>
      <c r="E3669" s="12">
        <f>E3668+Assumptions!$B$12*(D3668*Assumptions!$B$5-E3668*Assumptions!$B$7)</f>
        <v>0.17312250639068352</v>
      </c>
      <c r="F3669" s="12">
        <f t="shared" si="171"/>
        <v>0.49349498641196388</v>
      </c>
      <c r="G3669" s="12">
        <f>EXP(-Assumptions!$B$8*B3669)</f>
        <v>0.16033338103963962</v>
      </c>
      <c r="H3669" s="12">
        <f t="shared" si="172"/>
        <v>5.3452344558423528E-2</v>
      </c>
      <c r="I3669" s="12">
        <f t="shared" si="173"/>
        <v>2.7757316783674907E-2</v>
      </c>
      <c r="J3669" s="12">
        <f>G3669*(D3669*Assumptions!$B$6+E3669*Assumptions!$B$7)</f>
        <v>1.9223892847679807E-3</v>
      </c>
    </row>
    <row r="3670" spans="1:10" x14ac:dyDescent="0.2">
      <c r="A3670" s="2">
        <v>3662</v>
      </c>
      <c r="B3670" s="14">
        <f>A3670*Assumptions!$B$12</f>
        <v>36.619999999999997</v>
      </c>
      <c r="C3670" s="15">
        <f>IF(A3670&lt;=Assumptions!$B$13,IF(OR(A3670=0,A3670=Assumptions!$B$13),0.5,1),0)*Assumptions!$B$12</f>
        <v>0</v>
      </c>
      <c r="D3670" s="12">
        <f>D3669*(1-Assumptions!$B$12*(Assumptions!$B$5+Assumptions!$B$6))</f>
        <v>0.33328249244519337</v>
      </c>
      <c r="E3670" s="12">
        <f>E3669+Assumptions!$B$12*(D3669*Assumptions!$B$5-E3669*Assumptions!$B$7)</f>
        <v>0.17310262163892765</v>
      </c>
      <c r="F3670" s="12">
        <f t="shared" si="171"/>
        <v>0.49361488591587899</v>
      </c>
      <c r="G3670" s="12">
        <f>EXP(-Assumptions!$B$8*B3670)</f>
        <v>0.16025323438745256</v>
      </c>
      <c r="H3670" s="12">
        <f t="shared" si="172"/>
        <v>5.3409597379053958E-2</v>
      </c>
      <c r="I3670" s="12">
        <f t="shared" si="173"/>
        <v>2.7740254998585592E-2</v>
      </c>
      <c r="J3670" s="12">
        <f>G3670*(D3670*Assumptions!$B$6+E3670*Assumptions!$B$7)</f>
        <v>1.921108723719819E-3</v>
      </c>
    </row>
    <row r="3671" spans="1:10" x14ac:dyDescent="0.2">
      <c r="A3671" s="2">
        <v>3663</v>
      </c>
      <c r="B3671" s="14">
        <f>A3671*Assumptions!$B$12</f>
        <v>36.630000000000003</v>
      </c>
      <c r="C3671" s="15">
        <f>IF(A3671&lt;=Assumptions!$B$13,IF(OR(A3671=0,A3671=Assumptions!$B$13),0.5,1),0)*Assumptions!$B$12</f>
        <v>0</v>
      </c>
      <c r="D3671" s="12">
        <f>D3670*(1-Assumptions!$B$12*(Assumptions!$B$5+Assumptions!$B$6))</f>
        <v>0.33318250769745983</v>
      </c>
      <c r="E3671" s="12">
        <f>E3670+Assumptions!$B$12*(D3670*Assumptions!$B$5-E3670*Assumptions!$B$7)</f>
        <v>0.17308272682659723</v>
      </c>
      <c r="F3671" s="12">
        <f t="shared" si="171"/>
        <v>0.49373476547594297</v>
      </c>
      <c r="G3671" s="12">
        <f>EXP(-Assumptions!$B$8*B3671)</f>
        <v>0.16017312779857493</v>
      </c>
      <c r="H3671" s="12">
        <f t="shared" si="172"/>
        <v>5.3366884385674905E-2</v>
      </c>
      <c r="I3671" s="12">
        <f t="shared" si="173"/>
        <v>2.772320172372239E-2</v>
      </c>
      <c r="J3671" s="12">
        <f>G3671*(D3671*Assumptions!$B$6+E3671*Assumptions!$B$7)</f>
        <v>1.9198289300428686E-3</v>
      </c>
    </row>
    <row r="3672" spans="1:10" x14ac:dyDescent="0.2">
      <c r="A3672" s="2">
        <v>3664</v>
      </c>
      <c r="B3672" s="14">
        <f>A3672*Assumptions!$B$12</f>
        <v>36.64</v>
      </c>
      <c r="C3672" s="15">
        <f>IF(A3672&lt;=Assumptions!$B$13,IF(OR(A3672=0,A3672=Assumptions!$B$13),0.5,1),0)*Assumptions!$B$12</f>
        <v>0</v>
      </c>
      <c r="D3672" s="12">
        <f>D3671*(1-Assumptions!$B$12*(Assumptions!$B$5+Assumptions!$B$6))</f>
        <v>0.3330825529451506</v>
      </c>
      <c r="E3672" s="12">
        <f>E3671+Assumptions!$B$12*(D3671*Assumptions!$B$5-E3671*Assumptions!$B$7)</f>
        <v>0.17306282196472342</v>
      </c>
      <c r="F3672" s="12">
        <f t="shared" si="171"/>
        <v>0.4938546250901259</v>
      </c>
      <c r="G3672" s="12">
        <f>EXP(-Assumptions!$B$8*B3672)</f>
        <v>0.16009306125298009</v>
      </c>
      <c r="H3672" s="12">
        <f t="shared" si="172"/>
        <v>5.3324205550946982E-2</v>
      </c>
      <c r="I3672" s="12">
        <f t="shared" si="173"/>
        <v>2.7706156957412055E-2</v>
      </c>
      <c r="J3672" s="12">
        <f>G3672*(D3672*Assumptions!$B$6+E3672*Assumptions!$B$7)</f>
        <v>1.9185499033800724E-3</v>
      </c>
    </row>
    <row r="3673" spans="1:10" x14ac:dyDescent="0.2">
      <c r="A3673" s="2">
        <v>3665</v>
      </c>
      <c r="B3673" s="14">
        <f>A3673*Assumptions!$B$12</f>
        <v>36.65</v>
      </c>
      <c r="C3673" s="15">
        <f>IF(A3673&lt;=Assumptions!$B$13,IF(OR(A3673=0,A3673=Assumptions!$B$13),0.5,1),0)*Assumptions!$B$12</f>
        <v>0</v>
      </c>
      <c r="D3673" s="12">
        <f>D3672*(1-Assumptions!$B$12*(Assumptions!$B$5+Assumptions!$B$6))</f>
        <v>0.33298262817926705</v>
      </c>
      <c r="E3673" s="12">
        <f>E3672+Assumptions!$B$12*(D3672*Assumptions!$B$5-E3672*Assumptions!$B$7)</f>
        <v>0.17304290706433009</v>
      </c>
      <c r="F3673" s="12">
        <f t="shared" si="171"/>
        <v>0.49397446475640283</v>
      </c>
      <c r="G3673" s="12">
        <f>EXP(-Assumptions!$B$8*B3673)</f>
        <v>0.16001303473065143</v>
      </c>
      <c r="H3673" s="12">
        <f t="shared" si="172"/>
        <v>5.3281560847552652E-2</v>
      </c>
      <c r="I3673" s="12">
        <f t="shared" si="173"/>
        <v>2.7689120697977538E-2</v>
      </c>
      <c r="J3673" s="12">
        <f>G3673*(D3673*Assumptions!$B$6+E3673*Assumptions!$B$7)</f>
        <v>1.9172716433744034E-3</v>
      </c>
    </row>
    <row r="3674" spans="1:10" x14ac:dyDescent="0.2">
      <c r="A3674" s="2">
        <v>3666</v>
      </c>
      <c r="B3674" s="14">
        <f>A3674*Assumptions!$B$12</f>
        <v>36.660000000000004</v>
      </c>
      <c r="C3674" s="15">
        <f>IF(A3674&lt;=Assumptions!$B$13,IF(OR(A3674=0,A3674=Assumptions!$B$13),0.5,1),0)*Assumptions!$B$12</f>
        <v>0</v>
      </c>
      <c r="D3674" s="12">
        <f>D3673*(1-Assumptions!$B$12*(Assumptions!$B$5+Assumptions!$B$6))</f>
        <v>0.33288273339081326</v>
      </c>
      <c r="E3674" s="12">
        <f>E3673+Assumptions!$B$12*(D3673*Assumptions!$B$5-E3673*Assumptions!$B$7)</f>
        <v>0.17302298213643377</v>
      </c>
      <c r="F3674" s="12">
        <f t="shared" si="171"/>
        <v>0.49409428447275294</v>
      </c>
      <c r="G3674" s="12">
        <f>EXP(-Assumptions!$B$8*B3674)</f>
        <v>0.15993304821158222</v>
      </c>
      <c r="H3674" s="12">
        <f t="shared" si="172"/>
        <v>5.3238950248196207E-2</v>
      </c>
      <c r="I3674" s="12">
        <f t="shared" si="173"/>
        <v>2.7672092943737993E-2</v>
      </c>
      <c r="J3674" s="12">
        <f>G3674*(D3674*Assumptions!$B$6+E3674*Assumptions!$B$7)</f>
        <v>1.9159941496688618E-3</v>
      </c>
    </row>
    <row r="3675" spans="1:10" x14ac:dyDescent="0.2">
      <c r="A3675" s="2">
        <v>3667</v>
      </c>
      <c r="B3675" s="14">
        <f>A3675*Assumptions!$B$12</f>
        <v>36.67</v>
      </c>
      <c r="C3675" s="15">
        <f>IF(A3675&lt;=Assumptions!$B$13,IF(OR(A3675=0,A3675=Assumptions!$B$13),0.5,1),0)*Assumptions!$B$12</f>
        <v>0</v>
      </c>
      <c r="D3675" s="12">
        <f>D3674*(1-Assumptions!$B$12*(Assumptions!$B$5+Assumptions!$B$6))</f>
        <v>0.33278286857079603</v>
      </c>
      <c r="E3675" s="12">
        <f>E3674+Assumptions!$B$12*(D3674*Assumptions!$B$5-E3674*Assumptions!$B$7)</f>
        <v>0.17300304719204371</v>
      </c>
      <c r="F3675" s="12">
        <f t="shared" si="171"/>
        <v>0.49421408423716018</v>
      </c>
      <c r="G3675" s="12">
        <f>EXP(-Assumptions!$B$8*B3675)</f>
        <v>0.15985310167577593</v>
      </c>
      <c r="H3675" s="12">
        <f t="shared" si="172"/>
        <v>5.3196373725603839E-2</v>
      </c>
      <c r="I3675" s="12">
        <f t="shared" si="173"/>
        <v>2.7655073693008826E-2</v>
      </c>
      <c r="J3675" s="12">
        <f>G3675*(D3675*Assumptions!$B$6+E3675*Assumptions!$B$7)</f>
        <v>1.9147174219064798E-3</v>
      </c>
    </row>
    <row r="3676" spans="1:10" x14ac:dyDescent="0.2">
      <c r="A3676" s="2">
        <v>3668</v>
      </c>
      <c r="B3676" s="14">
        <f>A3676*Assumptions!$B$12</f>
        <v>36.68</v>
      </c>
      <c r="C3676" s="15">
        <f>IF(A3676&lt;=Assumptions!$B$13,IF(OR(A3676=0,A3676=Assumptions!$B$13),0.5,1),0)*Assumptions!$B$12</f>
        <v>0</v>
      </c>
      <c r="D3676" s="12">
        <f>D3675*(1-Assumptions!$B$12*(Assumptions!$B$5+Assumptions!$B$6))</f>
        <v>0.33268303371022478</v>
      </c>
      <c r="E3676" s="12">
        <f>E3675+Assumptions!$B$12*(D3675*Assumptions!$B$5-E3675*Assumptions!$B$7)</f>
        <v>0.17298310224216185</v>
      </c>
      <c r="F3676" s="12">
        <f t="shared" si="171"/>
        <v>0.49433386404761337</v>
      </c>
      <c r="G3676" s="12">
        <f>EXP(-Assumptions!$B$8*B3676)</f>
        <v>0.15977319510324592</v>
      </c>
      <c r="H3676" s="12">
        <f t="shared" si="172"/>
        <v>5.3153831252523487E-2</v>
      </c>
      <c r="I3676" s="12">
        <f t="shared" si="173"/>
        <v>2.7638062944101659E-2</v>
      </c>
      <c r="J3676" s="12">
        <f>G3676*(D3676*Assumptions!$B$6+E3676*Assumptions!$B$7)</f>
        <v>1.9134414597303179E-3</v>
      </c>
    </row>
    <row r="3677" spans="1:10" x14ac:dyDescent="0.2">
      <c r="A3677" s="2">
        <v>3669</v>
      </c>
      <c r="B3677" s="14">
        <f>A3677*Assumptions!$B$12</f>
        <v>36.69</v>
      </c>
      <c r="C3677" s="15">
        <f>IF(A3677&lt;=Assumptions!$B$13,IF(OR(A3677=0,A3677=Assumptions!$B$13),0.5,1),0)*Assumptions!$B$12</f>
        <v>0</v>
      </c>
      <c r="D3677" s="12">
        <f>D3676*(1-Assumptions!$B$12*(Assumptions!$B$5+Assumptions!$B$6))</f>
        <v>0.33258322880011171</v>
      </c>
      <c r="E3677" s="12">
        <f>E3676+Assumptions!$B$12*(D3676*Assumptions!$B$5-E3676*Assumptions!$B$7)</f>
        <v>0.17296314729778281</v>
      </c>
      <c r="F3677" s="12">
        <f t="shared" si="171"/>
        <v>0.49445362390210545</v>
      </c>
      <c r="G3677" s="12">
        <f>EXP(-Assumptions!$B$8*B3677)</f>
        <v>0.15969332847401549</v>
      </c>
      <c r="H3677" s="12">
        <f t="shared" si="172"/>
        <v>5.311132280172489E-2</v>
      </c>
      <c r="I3677" s="12">
        <f t="shared" si="173"/>
        <v>2.7621060695324356E-2</v>
      </c>
      <c r="J3677" s="12">
        <f>G3677*(D3677*Assumptions!$B$6+E3677*Assumptions!$B$7)</f>
        <v>1.9121662627834667E-3</v>
      </c>
    </row>
    <row r="3678" spans="1:10" x14ac:dyDescent="0.2">
      <c r="A3678" s="2">
        <v>3670</v>
      </c>
      <c r="B3678" s="14">
        <f>A3678*Assumptions!$B$12</f>
        <v>36.700000000000003</v>
      </c>
      <c r="C3678" s="15">
        <f>IF(A3678&lt;=Assumptions!$B$13,IF(OR(A3678=0,A3678=Assumptions!$B$13),0.5,1),0)*Assumptions!$B$12</f>
        <v>0</v>
      </c>
      <c r="D3678" s="12">
        <f>D3677*(1-Assumptions!$B$12*(Assumptions!$B$5+Assumptions!$B$6))</f>
        <v>0.33248345383147171</v>
      </c>
      <c r="E3678" s="12">
        <f>E3677+Assumptions!$B$12*(D3677*Assumptions!$B$5-E3677*Assumptions!$B$7)</f>
        <v>0.17294318236989395</v>
      </c>
      <c r="F3678" s="12">
        <f t="shared" si="171"/>
        <v>0.49457336379863437</v>
      </c>
      <c r="G3678" s="12">
        <f>EXP(-Assumptions!$B$8*B3678)</f>
        <v>0.159613501768118</v>
      </c>
      <c r="H3678" s="12">
        <f t="shared" si="172"/>
        <v>5.3068848345999592E-2</v>
      </c>
      <c r="I3678" s="12">
        <f t="shared" si="173"/>
        <v>2.7604066944981024E-2</v>
      </c>
      <c r="J3678" s="12">
        <f>G3678*(D3678*Assumptions!$B$6+E3678*Assumptions!$B$7)</f>
        <v>1.9108918307090472E-3</v>
      </c>
    </row>
    <row r="3679" spans="1:10" x14ac:dyDescent="0.2">
      <c r="A3679" s="2">
        <v>3671</v>
      </c>
      <c r="B3679" s="14">
        <f>A3679*Assumptions!$B$12</f>
        <v>36.71</v>
      </c>
      <c r="C3679" s="15">
        <f>IF(A3679&lt;=Assumptions!$B$13,IF(OR(A3679=0,A3679=Assumptions!$B$13),0.5,1),0)*Assumptions!$B$12</f>
        <v>0</v>
      </c>
      <c r="D3679" s="12">
        <f>D3678*(1-Assumptions!$B$12*(Assumptions!$B$5+Assumptions!$B$6))</f>
        <v>0.33238370879532225</v>
      </c>
      <c r="E3679" s="12">
        <f>E3678+Assumptions!$B$12*(D3678*Assumptions!$B$5-E3678*Assumptions!$B$7)</f>
        <v>0.17292320746947529</v>
      </c>
      <c r="F3679" s="12">
        <f t="shared" si="171"/>
        <v>0.49469308373520238</v>
      </c>
      <c r="G3679" s="12">
        <f>EXP(-Assumptions!$B$8*B3679)</f>
        <v>0.15953371496559679</v>
      </c>
      <c r="H3679" s="12">
        <f t="shared" si="172"/>
        <v>5.3026407858160866E-2</v>
      </c>
      <c r="I3679" s="12">
        <f t="shared" si="173"/>
        <v>2.7587081691372028E-2</v>
      </c>
      <c r="J3679" s="12">
        <f>G3679*(D3679*Assumptions!$B$6+E3679*Assumptions!$B$7)</f>
        <v>1.90961816315021E-3</v>
      </c>
    </row>
    <row r="3680" spans="1:10" x14ac:dyDescent="0.2">
      <c r="A3680" s="2">
        <v>3672</v>
      </c>
      <c r="B3680" s="14">
        <f>A3680*Assumptions!$B$12</f>
        <v>36.72</v>
      </c>
      <c r="C3680" s="15">
        <f>IF(A3680&lt;=Assumptions!$B$13,IF(OR(A3680=0,A3680=Assumptions!$B$13),0.5,1),0)*Assumptions!$B$12</f>
        <v>0</v>
      </c>
      <c r="D3680" s="12">
        <f>D3679*(1-Assumptions!$B$12*(Assumptions!$B$5+Assumptions!$B$6))</f>
        <v>0.33228399368268369</v>
      </c>
      <c r="E3680" s="12">
        <f>E3679+Assumptions!$B$12*(D3679*Assumptions!$B$5-E3679*Assumptions!$B$7)</f>
        <v>0.1729032226074996</v>
      </c>
      <c r="F3680" s="12">
        <f t="shared" si="171"/>
        <v>0.49481278370981674</v>
      </c>
      <c r="G3680" s="12">
        <f>EXP(-Assumptions!$B$8*B3680)</f>
        <v>0.15945396804650516</v>
      </c>
      <c r="H3680" s="12">
        <f t="shared" si="172"/>
        <v>5.298400131104377E-2</v>
      </c>
      <c r="I3680" s="12">
        <f t="shared" si="173"/>
        <v>2.757010493279401E-2</v>
      </c>
      <c r="J3680" s="12">
        <f>G3680*(D3680*Assumptions!$B$6+E3680*Assumptions!$B$7)</f>
        <v>1.9083452597501379E-3</v>
      </c>
    </row>
    <row r="3681" spans="1:10" x14ac:dyDescent="0.2">
      <c r="A3681" s="2">
        <v>3673</v>
      </c>
      <c r="B3681" s="14">
        <f>A3681*Assumptions!$B$12</f>
        <v>36.730000000000004</v>
      </c>
      <c r="C3681" s="15">
        <f>IF(A3681&lt;=Assumptions!$B$13,IF(OR(A3681=0,A3681=Assumptions!$B$13),0.5,1),0)*Assumptions!$B$12</f>
        <v>0</v>
      </c>
      <c r="D3681" s="12">
        <f>D3680*(1-Assumptions!$B$12*(Assumptions!$B$5+Assumptions!$B$6))</f>
        <v>0.33218430848457892</v>
      </c>
      <c r="E3681" s="12">
        <f>E3680+Assumptions!$B$12*(D3680*Assumptions!$B$5-E3680*Assumptions!$B$7)</f>
        <v>0.1728832277949324</v>
      </c>
      <c r="F3681" s="12">
        <f t="shared" si="171"/>
        <v>0.49493246372048871</v>
      </c>
      <c r="G3681" s="12">
        <f>EXP(-Assumptions!$B$8*B3681)</f>
        <v>0.15937426099090635</v>
      </c>
      <c r="H3681" s="12">
        <f t="shared" si="172"/>
        <v>5.2941628677505029E-2</v>
      </c>
      <c r="I3681" s="12">
        <f t="shared" si="173"/>
        <v>2.755313666753987E-2</v>
      </c>
      <c r="J3681" s="12">
        <f>G3681*(D3681*Assumptions!$B$6+E3681*Assumptions!$B$7)</f>
        <v>1.9070731201520439E-3</v>
      </c>
    </row>
    <row r="3682" spans="1:10" x14ac:dyDescent="0.2">
      <c r="A3682" s="2">
        <v>3674</v>
      </c>
      <c r="B3682" s="14">
        <f>A3682*Assumptions!$B$12</f>
        <v>36.74</v>
      </c>
      <c r="C3682" s="15">
        <f>IF(A3682&lt;=Assumptions!$B$13,IF(OR(A3682=0,A3682=Assumptions!$B$13),0.5,1),0)*Assumptions!$B$12</f>
        <v>0</v>
      </c>
      <c r="D3682" s="12">
        <f>D3681*(1-Assumptions!$B$12*(Assumptions!$B$5+Assumptions!$B$6))</f>
        <v>0.33208465319203356</v>
      </c>
      <c r="E3682" s="12">
        <f>E3681+Assumptions!$B$12*(D3681*Assumptions!$B$5-E3681*Assumptions!$B$7)</f>
        <v>0.17286322304273186</v>
      </c>
      <c r="F3682" s="12">
        <f t="shared" si="171"/>
        <v>0.49505212376523455</v>
      </c>
      <c r="G3682" s="12">
        <f>EXP(-Assumptions!$B$8*B3682)</f>
        <v>0.15929459377887364</v>
      </c>
      <c r="H3682" s="12">
        <f t="shared" si="172"/>
        <v>5.2899289930423123E-2</v>
      </c>
      <c r="I3682" s="12">
        <f t="shared" si="173"/>
        <v>2.7536176893898801E-2</v>
      </c>
      <c r="J3682" s="12">
        <f>G3682*(D3682*Assumptions!$B$6+E3682*Assumptions!$B$7)</f>
        <v>1.9058017439991712E-3</v>
      </c>
    </row>
    <row r="3683" spans="1:10" x14ac:dyDescent="0.2">
      <c r="A3683" s="2">
        <v>3675</v>
      </c>
      <c r="B3683" s="14">
        <f>A3683*Assumptions!$B$12</f>
        <v>36.75</v>
      </c>
      <c r="C3683" s="15">
        <f>IF(A3683&lt;=Assumptions!$B$13,IF(OR(A3683=0,A3683=Assumptions!$B$13),0.5,1),0)*Assumptions!$B$12</f>
        <v>0</v>
      </c>
      <c r="D3683" s="12">
        <f>D3682*(1-Assumptions!$B$12*(Assumptions!$B$5+Assumptions!$B$6))</f>
        <v>0.33198502779607597</v>
      </c>
      <c r="E3683" s="12">
        <f>E3682+Assumptions!$B$12*(D3682*Assumptions!$B$5-E3682*Assumptions!$B$7)</f>
        <v>0.17284320836184891</v>
      </c>
      <c r="F3683" s="12">
        <f t="shared" si="171"/>
        <v>0.49517176384207512</v>
      </c>
      <c r="G3683" s="12">
        <f>EXP(-Assumptions!$B$8*B3683)</f>
        <v>0.15921496639049024</v>
      </c>
      <c r="H3683" s="12">
        <f t="shared" si="172"/>
        <v>5.2856985042698201E-2</v>
      </c>
      <c r="I3683" s="12">
        <f t="shared" si="173"/>
        <v>2.7519225610156274E-2</v>
      </c>
      <c r="J3683" s="12">
        <f>G3683*(D3683*Assumptions!$B$6+E3683*Assumptions!$B$7)</f>
        <v>1.9045311309347957E-3</v>
      </c>
    </row>
    <row r="3684" spans="1:10" x14ac:dyDescent="0.2">
      <c r="A3684" s="2">
        <v>3676</v>
      </c>
      <c r="B3684" s="14">
        <f>A3684*Assumptions!$B$12</f>
        <v>36.76</v>
      </c>
      <c r="C3684" s="15">
        <f>IF(A3684&lt;=Assumptions!$B$13,IF(OR(A3684=0,A3684=Assumptions!$B$13),0.5,1),0)*Assumptions!$B$12</f>
        <v>0</v>
      </c>
      <c r="D3684" s="12">
        <f>D3683*(1-Assumptions!$B$12*(Assumptions!$B$5+Assumptions!$B$6))</f>
        <v>0.33188543228773715</v>
      </c>
      <c r="E3684" s="12">
        <f>E3683+Assumptions!$B$12*(D3683*Assumptions!$B$5-E3683*Assumptions!$B$7)</f>
        <v>0.17282318376322719</v>
      </c>
      <c r="F3684" s="12">
        <f t="shared" si="171"/>
        <v>0.49529138394903566</v>
      </c>
      <c r="G3684" s="12">
        <f>EXP(-Assumptions!$B$8*B3684)</f>
        <v>0.15913537880584921</v>
      </c>
      <c r="H3684" s="12">
        <f t="shared" si="172"/>
        <v>5.2814713987252071E-2</v>
      </c>
      <c r="I3684" s="12">
        <f t="shared" si="173"/>
        <v>2.7502282814594048E-2</v>
      </c>
      <c r="J3684" s="12">
        <f>G3684*(D3684*Assumptions!$B$6+E3684*Assumptions!$B$7)</f>
        <v>1.9032612806022234E-3</v>
      </c>
    </row>
    <row r="3685" spans="1:10" x14ac:dyDescent="0.2">
      <c r="A3685" s="2">
        <v>3677</v>
      </c>
      <c r="B3685" s="14">
        <f>A3685*Assumptions!$B$12</f>
        <v>36.770000000000003</v>
      </c>
      <c r="C3685" s="15">
        <f>IF(A3685&lt;=Assumptions!$B$13,IF(OR(A3685=0,A3685=Assumptions!$B$13),0.5,1),0)*Assumptions!$B$12</f>
        <v>0</v>
      </c>
      <c r="D3685" s="12">
        <f>D3684*(1-Assumptions!$B$12*(Assumptions!$B$5+Assumptions!$B$6))</f>
        <v>0.33178586665805082</v>
      </c>
      <c r="E3685" s="12">
        <f>E3684+Assumptions!$B$12*(D3684*Assumptions!$B$5-E3684*Assumptions!$B$7)</f>
        <v>0.17280314925780313</v>
      </c>
      <c r="F3685" s="12">
        <f t="shared" si="171"/>
        <v>0.49541098408414597</v>
      </c>
      <c r="G3685" s="12">
        <f>EXP(-Assumptions!$B$8*B3685)</f>
        <v>0.15905583100505372</v>
      </c>
      <c r="H3685" s="12">
        <f t="shared" si="172"/>
        <v>5.2772476737028215E-2</v>
      </c>
      <c r="I3685" s="12">
        <f t="shared" si="173"/>
        <v>2.7485348505490208E-2</v>
      </c>
      <c r="J3685" s="12">
        <f>G3685*(D3685*Assumptions!$B$6+E3685*Assumptions!$B$7)</f>
        <v>1.9019921926447926E-3</v>
      </c>
    </row>
    <row r="3686" spans="1:10" x14ac:dyDescent="0.2">
      <c r="A3686" s="2">
        <v>3678</v>
      </c>
      <c r="B3686" s="14">
        <f>A3686*Assumptions!$B$12</f>
        <v>36.78</v>
      </c>
      <c r="C3686" s="15">
        <f>IF(A3686&lt;=Assumptions!$B$13,IF(OR(A3686=0,A3686=Assumptions!$B$13),0.5,1),0)*Assumptions!$B$12</f>
        <v>0</v>
      </c>
      <c r="D3686" s="12">
        <f>D3685*(1-Assumptions!$B$12*(Assumptions!$B$5+Assumptions!$B$6))</f>
        <v>0.33168633089805344</v>
      </c>
      <c r="E3686" s="12">
        <f>E3685+Assumptions!$B$12*(D3685*Assumptions!$B$5-E3685*Assumptions!$B$7)</f>
        <v>0.17278310485650583</v>
      </c>
      <c r="F3686" s="12">
        <f t="shared" si="171"/>
        <v>0.49553056424544073</v>
      </c>
      <c r="G3686" s="12">
        <f>EXP(-Assumptions!$B$8*B3686)</f>
        <v>0.15897632296821682</v>
      </c>
      <c r="H3686" s="12">
        <f t="shared" si="172"/>
        <v>5.2730273264991773E-2</v>
      </c>
      <c r="I3686" s="12">
        <f t="shared" si="173"/>
        <v>2.7468422681119143E-2</v>
      </c>
      <c r="J3686" s="12">
        <f>G3686*(D3686*Assumptions!$B$6+E3686*Assumptions!$B$7)</f>
        <v>1.9007238667058748E-3</v>
      </c>
    </row>
    <row r="3687" spans="1:10" x14ac:dyDescent="0.2">
      <c r="A3687" s="2">
        <v>3679</v>
      </c>
      <c r="B3687" s="14">
        <f>A3687*Assumptions!$B$12</f>
        <v>36.79</v>
      </c>
      <c r="C3687" s="15">
        <f>IF(A3687&lt;=Assumptions!$B$13,IF(OR(A3687=0,A3687=Assumptions!$B$13),0.5,1),0)*Assumptions!$B$12</f>
        <v>0</v>
      </c>
      <c r="D3687" s="12">
        <f>D3686*(1-Assumptions!$B$12*(Assumptions!$B$5+Assumptions!$B$6))</f>
        <v>0.33158682499878406</v>
      </c>
      <c r="E3687" s="12">
        <f>E3686+Assumptions!$B$12*(D3686*Assumptions!$B$5-E3686*Assumptions!$B$7)</f>
        <v>0.17276305057025718</v>
      </c>
      <c r="F3687" s="12">
        <f t="shared" si="171"/>
        <v>0.49565012443095868</v>
      </c>
      <c r="G3687" s="12">
        <f>EXP(-Assumptions!$B$8*B3687)</f>
        <v>0.1588968546754615</v>
      </c>
      <c r="H3687" s="12">
        <f t="shared" si="172"/>
        <v>5.2688103544129471E-2</v>
      </c>
      <c r="I3687" s="12">
        <f t="shared" si="173"/>
        <v>2.7451505339751561E-2</v>
      </c>
      <c r="J3687" s="12">
        <f>G3687*(D3687*Assumptions!$B$6+E3687*Assumptions!$B$7)</f>
        <v>1.8994563024288728E-3</v>
      </c>
    </row>
    <row r="3688" spans="1:10" x14ac:dyDescent="0.2">
      <c r="A3688" s="2">
        <v>3680</v>
      </c>
      <c r="B3688" s="14">
        <f>A3688*Assumptions!$B$12</f>
        <v>36.800000000000004</v>
      </c>
      <c r="C3688" s="15">
        <f>IF(A3688&lt;=Assumptions!$B$13,IF(OR(A3688=0,A3688=Assumptions!$B$13),0.5,1),0)*Assumptions!$B$12</f>
        <v>0</v>
      </c>
      <c r="D3688" s="12">
        <f>D3687*(1-Assumptions!$B$12*(Assumptions!$B$5+Assumptions!$B$6))</f>
        <v>0.33148734895128446</v>
      </c>
      <c r="E3688" s="12">
        <f>E3687+Assumptions!$B$12*(D3687*Assumptions!$B$5-E3687*Assumptions!$B$7)</f>
        <v>0.17274298640997179</v>
      </c>
      <c r="F3688" s="12">
        <f t="shared" si="171"/>
        <v>0.49576966463874383</v>
      </c>
      <c r="G3688" s="12">
        <f>EXP(-Assumptions!$B$8*B3688)</f>
        <v>0.15881742610692065</v>
      </c>
      <c r="H3688" s="12">
        <f t="shared" si="172"/>
        <v>5.2645967547449636E-2</v>
      </c>
      <c r="I3688" s="12">
        <f t="shared" si="173"/>
        <v>2.7434596479654492E-2</v>
      </c>
      <c r="J3688" s="12">
        <f>G3688*(D3688*Assumptions!$B$6+E3688*Assumptions!$B$7)</f>
        <v>1.898189499457221E-3</v>
      </c>
    </row>
    <row r="3689" spans="1:10" x14ac:dyDescent="0.2">
      <c r="A3689" s="2">
        <v>3681</v>
      </c>
      <c r="B3689" s="14">
        <f>A3689*Assumptions!$B$12</f>
        <v>36.81</v>
      </c>
      <c r="C3689" s="15">
        <f>IF(A3689&lt;=Assumptions!$B$13,IF(OR(A3689=0,A3689=Assumptions!$B$13),0.5,1),0)*Assumptions!$B$12</f>
        <v>0</v>
      </c>
      <c r="D3689" s="12">
        <f>D3688*(1-Assumptions!$B$12*(Assumptions!$B$5+Assumptions!$B$6))</f>
        <v>0.33138790274659907</v>
      </c>
      <c r="E3689" s="12">
        <f>E3688+Assumptions!$B$12*(D3688*Assumptions!$B$5-E3688*Assumptions!$B$7)</f>
        <v>0.17272291238655707</v>
      </c>
      <c r="F3689" s="12">
        <f t="shared" si="171"/>
        <v>0.4958891848668438</v>
      </c>
      <c r="G3689" s="12">
        <f>EXP(-Assumptions!$B$8*B3689)</f>
        <v>0.15873803724273716</v>
      </c>
      <c r="H3689" s="12">
        <f t="shared" si="172"/>
        <v>5.2603865247982204E-2</v>
      </c>
      <c r="I3689" s="12">
        <f t="shared" si="173"/>
        <v>2.7417696099091324E-2</v>
      </c>
      <c r="J3689" s="12">
        <f>G3689*(D3689*Assumptions!$B$6+E3689*Assumptions!$B$7)</f>
        <v>1.8969234574343883E-3</v>
      </c>
    </row>
    <row r="3690" spans="1:10" x14ac:dyDescent="0.2">
      <c r="A3690" s="2">
        <v>3682</v>
      </c>
      <c r="B3690" s="14">
        <f>A3690*Assumptions!$B$12</f>
        <v>36.82</v>
      </c>
      <c r="C3690" s="15">
        <f>IF(A3690&lt;=Assumptions!$B$13,IF(OR(A3690=0,A3690=Assumptions!$B$13),0.5,1),0)*Assumptions!$B$12</f>
        <v>0</v>
      </c>
      <c r="D3690" s="12">
        <f>D3689*(1-Assumptions!$B$12*(Assumptions!$B$5+Assumptions!$B$6))</f>
        <v>0.33128848637577513</v>
      </c>
      <c r="E3690" s="12">
        <f>E3689+Assumptions!$B$12*(D3689*Assumptions!$B$5-E3689*Assumptions!$B$7)</f>
        <v>0.17270282851091312</v>
      </c>
      <c r="F3690" s="12">
        <f t="shared" si="171"/>
        <v>0.49600868511331175</v>
      </c>
      <c r="G3690" s="12">
        <f>EXP(-Assumptions!$B$8*B3690)</f>
        <v>0.15865868806306385</v>
      </c>
      <c r="H3690" s="12">
        <f t="shared" si="172"/>
        <v>5.2561796618778682E-2</v>
      </c>
      <c r="I3690" s="12">
        <f t="shared" si="173"/>
        <v>2.7400804196321776E-2</v>
      </c>
      <c r="J3690" s="12">
        <f>G3690*(D3690*Assumptions!$B$6+E3690*Assumptions!$B$7)</f>
        <v>1.8956581760038757E-3</v>
      </c>
    </row>
    <row r="3691" spans="1:10" x14ac:dyDescent="0.2">
      <c r="A3691" s="2">
        <v>3683</v>
      </c>
      <c r="B3691" s="14">
        <f>A3691*Assumptions!$B$12</f>
        <v>36.83</v>
      </c>
      <c r="C3691" s="15">
        <f>IF(A3691&lt;=Assumptions!$B$13,IF(OR(A3691=0,A3691=Assumptions!$B$13),0.5,1),0)*Assumptions!$B$12</f>
        <v>0</v>
      </c>
      <c r="D3691" s="12">
        <f>D3690*(1-Assumptions!$B$12*(Assumptions!$B$5+Assumptions!$B$6))</f>
        <v>0.33118909982986239</v>
      </c>
      <c r="E3691" s="12">
        <f>E3690+Assumptions!$B$12*(D3690*Assumptions!$B$5-E3690*Assumptions!$B$7)</f>
        <v>0.17268273479393281</v>
      </c>
      <c r="F3691" s="12">
        <f t="shared" si="171"/>
        <v>0.49612816537620485</v>
      </c>
      <c r="G3691" s="12">
        <f>EXP(-Assumptions!$B$8*B3691)</f>
        <v>0.15857937854806339</v>
      </c>
      <c r="H3691" s="12">
        <f t="shared" si="172"/>
        <v>5.2519761632912103E-2</v>
      </c>
      <c r="I3691" s="12">
        <f t="shared" si="173"/>
        <v>2.7383920769601909E-2</v>
      </c>
      <c r="J3691" s="12">
        <f>G3691*(D3691*Assumptions!$B$6+E3691*Assumptions!$B$7)</f>
        <v>1.8943936548092167E-3</v>
      </c>
    </row>
    <row r="3692" spans="1:10" x14ac:dyDescent="0.2">
      <c r="A3692" s="2">
        <v>3684</v>
      </c>
      <c r="B3692" s="14">
        <f>A3692*Assumptions!$B$12</f>
        <v>36.840000000000003</v>
      </c>
      <c r="C3692" s="15">
        <f>IF(A3692&lt;=Assumptions!$B$13,IF(OR(A3692=0,A3692=Assumptions!$B$13),0.5,1),0)*Assumptions!$B$12</f>
        <v>0</v>
      </c>
      <c r="D3692" s="12">
        <f>D3691*(1-Assumptions!$B$12*(Assumptions!$B$5+Assumptions!$B$6))</f>
        <v>0.33108974309991346</v>
      </c>
      <c r="E3692" s="12">
        <f>E3691+Assumptions!$B$12*(D3691*Assumptions!$B$5-E3691*Assumptions!$B$7)</f>
        <v>0.17266263124650183</v>
      </c>
      <c r="F3692" s="12">
        <f t="shared" si="171"/>
        <v>0.49624762565358471</v>
      </c>
      <c r="G3692" s="12">
        <f>EXP(-Assumptions!$B$8*B3692)</f>
        <v>0.15850010867790829</v>
      </c>
      <c r="H3692" s="12">
        <f t="shared" si="172"/>
        <v>5.2477760263477016E-2</v>
      </c>
      <c r="I3692" s="12">
        <f t="shared" si="173"/>
        <v>2.7367045817184143E-2</v>
      </c>
      <c r="J3692" s="12">
        <f>G3692*(D3692*Assumptions!$B$6+E3692*Assumptions!$B$7)</f>
        <v>1.8931298934939773E-3</v>
      </c>
    </row>
    <row r="3693" spans="1:10" x14ac:dyDescent="0.2">
      <c r="A3693" s="2">
        <v>3685</v>
      </c>
      <c r="B3693" s="14">
        <f>A3693*Assumptions!$B$12</f>
        <v>36.85</v>
      </c>
      <c r="C3693" s="15">
        <f>IF(A3693&lt;=Assumptions!$B$13,IF(OR(A3693=0,A3693=Assumptions!$B$13),0.5,1),0)*Assumptions!$B$12</f>
        <v>0</v>
      </c>
      <c r="D3693" s="12">
        <f>D3692*(1-Assumptions!$B$12*(Assumptions!$B$5+Assumptions!$B$6))</f>
        <v>0.33099041617698349</v>
      </c>
      <c r="E3693" s="12">
        <f>E3692+Assumptions!$B$12*(D3692*Assumptions!$B$5-E3692*Assumptions!$B$7)</f>
        <v>0.17264251787949855</v>
      </c>
      <c r="F3693" s="12">
        <f t="shared" si="171"/>
        <v>0.49636706594351798</v>
      </c>
      <c r="G3693" s="12">
        <f>EXP(-Assumptions!$B$8*B3693)</f>
        <v>0.15842087843278124</v>
      </c>
      <c r="H3693" s="12">
        <f t="shared" si="172"/>
        <v>5.2435792483589573E-2</v>
      </c>
      <c r="I3693" s="12">
        <f t="shared" si="173"/>
        <v>2.7350179337317301E-2</v>
      </c>
      <c r="J3693" s="12">
        <f>G3693*(D3693*Assumptions!$B$6+E3693*Assumptions!$B$7)</f>
        <v>1.8918668917017607E-3</v>
      </c>
    </row>
    <row r="3694" spans="1:10" x14ac:dyDescent="0.2">
      <c r="A3694" s="2">
        <v>3686</v>
      </c>
      <c r="B3694" s="14">
        <f>A3694*Assumptions!$B$12</f>
        <v>36.86</v>
      </c>
      <c r="C3694" s="15">
        <f>IF(A3694&lt;=Assumptions!$B$13,IF(OR(A3694=0,A3694=Assumptions!$B$13),0.5,1),0)*Assumptions!$B$12</f>
        <v>0</v>
      </c>
      <c r="D3694" s="12">
        <f>D3693*(1-Assumptions!$B$12*(Assumptions!$B$5+Assumptions!$B$6))</f>
        <v>0.33089111905213042</v>
      </c>
      <c r="E3694" s="12">
        <f>E3693+Assumptions!$B$12*(D3693*Assumptions!$B$5-E3693*Assumptions!$B$7)</f>
        <v>0.1726223947037942</v>
      </c>
      <c r="F3694" s="12">
        <f t="shared" si="171"/>
        <v>0.49648648624407538</v>
      </c>
      <c r="G3694" s="12">
        <f>EXP(-Assumptions!$B$8*B3694)</f>
        <v>0.15834168779287469</v>
      </c>
      <c r="H3694" s="12">
        <f t="shared" si="172"/>
        <v>5.2393858266387365E-2</v>
      </c>
      <c r="I3694" s="12">
        <f t="shared" si="173"/>
        <v>2.7333321328246566E-2</v>
      </c>
      <c r="J3694" s="12">
        <f>G3694*(D3694*Assumptions!$B$6+E3694*Assumptions!$B$7)</f>
        <v>1.8906046490762022E-3</v>
      </c>
    </row>
    <row r="3695" spans="1:10" x14ac:dyDescent="0.2">
      <c r="A3695" s="2">
        <v>3687</v>
      </c>
      <c r="B3695" s="14">
        <f>A3695*Assumptions!$B$12</f>
        <v>36.869999999999997</v>
      </c>
      <c r="C3695" s="15">
        <f>IF(A3695&lt;=Assumptions!$B$13,IF(OR(A3695=0,A3695=Assumptions!$B$13),0.5,1),0)*Assumptions!$B$12</f>
        <v>0</v>
      </c>
      <c r="D3695" s="12">
        <f>D3694*(1-Assumptions!$B$12*(Assumptions!$B$5+Assumptions!$B$6))</f>
        <v>0.33079185171641479</v>
      </c>
      <c r="E3695" s="12">
        <f>E3694+Assumptions!$B$12*(D3694*Assumptions!$B$5-E3694*Assumptions!$B$7)</f>
        <v>0.17260226173025273</v>
      </c>
      <c r="F3695" s="12">
        <f t="shared" si="171"/>
        <v>0.49660588655333249</v>
      </c>
      <c r="G3695" s="12">
        <f>EXP(-Assumptions!$B$8*B3695)</f>
        <v>0.15826253673839086</v>
      </c>
      <c r="H3695" s="12">
        <f t="shared" si="172"/>
        <v>5.2351957585029439E-2</v>
      </c>
      <c r="I3695" s="12">
        <f t="shared" si="173"/>
        <v>2.7316471788213476E-2</v>
      </c>
      <c r="J3695" s="12">
        <f>G3695*(D3695*Assumptions!$B$6+E3695*Assumptions!$B$7)</f>
        <v>1.8893431652609685E-3</v>
      </c>
    </row>
    <row r="3696" spans="1:10" x14ac:dyDescent="0.2">
      <c r="A3696" s="2">
        <v>3688</v>
      </c>
      <c r="B3696" s="14">
        <f>A3696*Assumptions!$B$12</f>
        <v>36.880000000000003</v>
      </c>
      <c r="C3696" s="15">
        <f>IF(A3696&lt;=Assumptions!$B$13,IF(OR(A3696=0,A3696=Assumptions!$B$13),0.5,1),0)*Assumptions!$B$12</f>
        <v>0</v>
      </c>
      <c r="D3696" s="12">
        <f>D3695*(1-Assumptions!$B$12*(Assumptions!$B$5+Assumptions!$B$6))</f>
        <v>0.3306926141608999</v>
      </c>
      <c r="E3696" s="12">
        <f>E3695+Assumptions!$B$12*(D3695*Assumptions!$B$5-E3695*Assumptions!$B$7)</f>
        <v>0.17258211896973089</v>
      </c>
      <c r="F3696" s="12">
        <f t="shared" si="171"/>
        <v>0.49672526686936924</v>
      </c>
      <c r="G3696" s="12">
        <f>EXP(-Assumptions!$B$8*B3696)</f>
        <v>0.15818342524954196</v>
      </c>
      <c r="H3696" s="12">
        <f t="shared" si="172"/>
        <v>5.2310090412696332E-2</v>
      </c>
      <c r="I3696" s="12">
        <f t="shared" si="173"/>
        <v>2.7299630715455984E-2</v>
      </c>
      <c r="J3696" s="12">
        <f>G3696*(D3696*Assumptions!$B$6+E3696*Assumptions!$B$7)</f>
        <v>1.8880824398997624E-3</v>
      </c>
    </row>
    <row r="3697" spans="1:10" x14ac:dyDescent="0.2">
      <c r="A3697" s="2">
        <v>3689</v>
      </c>
      <c r="B3697" s="14">
        <f>A3697*Assumptions!$B$12</f>
        <v>36.89</v>
      </c>
      <c r="C3697" s="15">
        <f>IF(A3697&lt;=Assumptions!$B$13,IF(OR(A3697=0,A3697=Assumptions!$B$13),0.5,1),0)*Assumptions!$B$12</f>
        <v>0</v>
      </c>
      <c r="D3697" s="12">
        <f>D3696*(1-Assumptions!$B$12*(Assumptions!$B$5+Assumptions!$B$6))</f>
        <v>0.33059340637665163</v>
      </c>
      <c r="E3697" s="12">
        <f>E3696+Assumptions!$B$12*(D3696*Assumptions!$B$5-E3696*Assumptions!$B$7)</f>
        <v>0.1725619664330782</v>
      </c>
      <c r="F3697" s="12">
        <f t="shared" si="171"/>
        <v>0.49684462719027023</v>
      </c>
      <c r="G3697" s="12">
        <f>EXP(-Assumptions!$B$8*B3697)</f>
        <v>0.15810435330655032</v>
      </c>
      <c r="H3697" s="12">
        <f t="shared" si="172"/>
        <v>5.2268256722590091E-2</v>
      </c>
      <c r="I3697" s="12">
        <f t="shared" si="173"/>
        <v>2.728279810820847E-2</v>
      </c>
      <c r="J3697" s="12">
        <f>G3697*(D3697*Assumptions!$B$6+E3697*Assumptions!$B$7)</f>
        <v>1.8868224726363246E-3</v>
      </c>
    </row>
    <row r="3698" spans="1:10" x14ac:dyDescent="0.2">
      <c r="A3698" s="2">
        <v>3690</v>
      </c>
      <c r="B3698" s="14">
        <f>A3698*Assumptions!$B$12</f>
        <v>36.9</v>
      </c>
      <c r="C3698" s="15">
        <f>IF(A3698&lt;=Assumptions!$B$13,IF(OR(A3698=0,A3698=Assumptions!$B$13),0.5,1),0)*Assumptions!$B$12</f>
        <v>0</v>
      </c>
      <c r="D3698" s="12">
        <f>D3697*(1-Assumptions!$B$12*(Assumptions!$B$5+Assumptions!$B$6))</f>
        <v>0.33049422835473863</v>
      </c>
      <c r="E3698" s="12">
        <f>E3697+Assumptions!$B$12*(D3697*Assumptions!$B$5-E3697*Assumptions!$B$7)</f>
        <v>0.17254180413113698</v>
      </c>
      <c r="F3698" s="12">
        <f t="shared" si="171"/>
        <v>0.49696396751412442</v>
      </c>
      <c r="G3698" s="12">
        <f>EXP(-Assumptions!$B$8*B3698)</f>
        <v>0.1580253208896478</v>
      </c>
      <c r="H3698" s="12">
        <f t="shared" si="172"/>
        <v>5.2226456487934107E-2</v>
      </c>
      <c r="I3698" s="12">
        <f t="shared" si="173"/>
        <v>2.7265973964701679E-2</v>
      </c>
      <c r="J3698" s="12">
        <f>G3698*(D3698*Assumptions!$B$6+E3698*Assumptions!$B$7)</f>
        <v>1.8855632631144253E-3</v>
      </c>
    </row>
    <row r="3699" spans="1:10" x14ac:dyDescent="0.2">
      <c r="A3699" s="2">
        <v>3691</v>
      </c>
      <c r="B3699" s="14">
        <f>A3699*Assumptions!$B$12</f>
        <v>36.910000000000004</v>
      </c>
      <c r="C3699" s="15">
        <f>IF(A3699&lt;=Assumptions!$B$13,IF(OR(A3699=0,A3699=Assumptions!$B$13),0.5,1),0)*Assumptions!$B$12</f>
        <v>0</v>
      </c>
      <c r="D3699" s="12">
        <f>D3698*(1-Assumptions!$B$12*(Assumptions!$B$5+Assumptions!$B$6))</f>
        <v>0.3303950800862322</v>
      </c>
      <c r="E3699" s="12">
        <f>E3698+Assumptions!$B$12*(D3698*Assumptions!$B$5-E3698*Assumptions!$B$7)</f>
        <v>0.17252163207474236</v>
      </c>
      <c r="F3699" s="12">
        <f t="shared" si="171"/>
        <v>0.49708328783902545</v>
      </c>
      <c r="G3699" s="12">
        <f>EXP(-Assumptions!$B$8*B3699)</f>
        <v>0.15794632797907623</v>
      </c>
      <c r="H3699" s="12">
        <f t="shared" si="172"/>
        <v>5.2184689681973193E-2</v>
      </c>
      <c r="I3699" s="12">
        <f t="shared" si="173"/>
        <v>2.7249158283162773E-2</v>
      </c>
      <c r="J3699" s="12">
        <f>G3699*(D3699*Assumptions!$B$6+E3699*Assumptions!$B$7)</f>
        <v>1.8843048109778709E-3</v>
      </c>
    </row>
    <row r="3700" spans="1:10" x14ac:dyDescent="0.2">
      <c r="A3700" s="2">
        <v>3692</v>
      </c>
      <c r="B3700" s="14">
        <f>A3700*Assumptions!$B$12</f>
        <v>36.92</v>
      </c>
      <c r="C3700" s="15">
        <f>IF(A3700&lt;=Assumptions!$B$13,IF(OR(A3700=0,A3700=Assumptions!$B$13),0.5,1),0)*Assumptions!$B$12</f>
        <v>0</v>
      </c>
      <c r="D3700" s="12">
        <f>D3699*(1-Assumptions!$B$12*(Assumptions!$B$5+Assumptions!$B$6))</f>
        <v>0.33029596156220636</v>
      </c>
      <c r="E3700" s="12">
        <f>E3699+Assumptions!$B$12*(D3699*Assumptions!$B$5-E3699*Assumptions!$B$7)</f>
        <v>0.17250145027472225</v>
      </c>
      <c r="F3700" s="12">
        <f t="shared" si="171"/>
        <v>0.49720258816307145</v>
      </c>
      <c r="G3700" s="12">
        <f>EXP(-Assumptions!$B$8*B3700)</f>
        <v>0.15786737455508759</v>
      </c>
      <c r="H3700" s="12">
        <f t="shared" si="172"/>
        <v>5.2142956277973648E-2</v>
      </c>
      <c r="I3700" s="12">
        <f t="shared" si="173"/>
        <v>2.7232351061815395E-2</v>
      </c>
      <c r="J3700" s="12">
        <f>G3700*(D3700*Assumptions!$B$6+E3700*Assumptions!$B$7)</f>
        <v>1.883047115870506E-3</v>
      </c>
    </row>
    <row r="3701" spans="1:10" x14ac:dyDescent="0.2">
      <c r="A3701" s="2">
        <v>3693</v>
      </c>
      <c r="B3701" s="14">
        <f>A3701*Assumptions!$B$12</f>
        <v>36.93</v>
      </c>
      <c r="C3701" s="15">
        <f>IF(A3701&lt;=Assumptions!$B$13,IF(OR(A3701=0,A3701=Assumptions!$B$13),0.5,1),0)*Assumptions!$B$12</f>
        <v>0</v>
      </c>
      <c r="D3701" s="12">
        <f>D3700*(1-Assumptions!$B$12*(Assumptions!$B$5+Assumptions!$B$6))</f>
        <v>0.33019687277373772</v>
      </c>
      <c r="E3701" s="12">
        <f>E3700+Assumptions!$B$12*(D3700*Assumptions!$B$5-E3700*Assumptions!$B$7)</f>
        <v>0.17248125874189732</v>
      </c>
      <c r="F3701" s="12">
        <f t="shared" si="171"/>
        <v>0.49732186848436499</v>
      </c>
      <c r="G3701" s="12">
        <f>EXP(-Assumptions!$B$8*B3701)</f>
        <v>0.15778846059794338</v>
      </c>
      <c r="H3701" s="12">
        <f t="shared" si="172"/>
        <v>5.2101256249223037E-2</v>
      </c>
      <c r="I3701" s="12">
        <f t="shared" si="173"/>
        <v>2.7215552298879543E-2</v>
      </c>
      <c r="J3701" s="12">
        <f>G3701*(D3701*Assumptions!$B$6+E3701*Assumptions!$B$7)</f>
        <v>1.8817901774362078E-3</v>
      </c>
    </row>
    <row r="3702" spans="1:10" x14ac:dyDescent="0.2">
      <c r="A3702" s="2">
        <v>3694</v>
      </c>
      <c r="B3702" s="14">
        <f>A3702*Assumptions!$B$12</f>
        <v>36.94</v>
      </c>
      <c r="C3702" s="15">
        <f>IF(A3702&lt;=Assumptions!$B$13,IF(OR(A3702=0,A3702=Assumptions!$B$13),0.5,1),0)*Assumptions!$B$12</f>
        <v>0</v>
      </c>
      <c r="D3702" s="12">
        <f>D3701*(1-Assumptions!$B$12*(Assumptions!$B$5+Assumptions!$B$6))</f>
        <v>0.33009781371190561</v>
      </c>
      <c r="E3702" s="12">
        <f>E3701+Assumptions!$B$12*(D3701*Assumptions!$B$5-E3701*Assumptions!$B$7)</f>
        <v>0.17246105748708113</v>
      </c>
      <c r="F3702" s="12">
        <f t="shared" si="171"/>
        <v>0.49744112880101327</v>
      </c>
      <c r="G3702" s="12">
        <f>EXP(-Assumptions!$B$8*B3702)</f>
        <v>0.15770958608791516</v>
      </c>
      <c r="H3702" s="12">
        <f t="shared" si="172"/>
        <v>5.2059589569030361E-2</v>
      </c>
      <c r="I3702" s="12">
        <f t="shared" si="173"/>
        <v>2.7198761992571707E-2</v>
      </c>
      <c r="J3702" s="12">
        <f>G3702*(D3702*Assumptions!$B$6+E3702*Assumptions!$B$7)</f>
        <v>1.8805339953188889E-3</v>
      </c>
    </row>
    <row r="3703" spans="1:10" x14ac:dyDescent="0.2">
      <c r="A3703" s="2">
        <v>3695</v>
      </c>
      <c r="B3703" s="14">
        <f>A3703*Assumptions!$B$12</f>
        <v>36.950000000000003</v>
      </c>
      <c r="C3703" s="15">
        <f>IF(A3703&lt;=Assumptions!$B$13,IF(OR(A3703=0,A3703=Assumptions!$B$13),0.5,1),0)*Assumptions!$B$12</f>
        <v>0</v>
      </c>
      <c r="D3703" s="12">
        <f>D3702*(1-Assumptions!$B$12*(Assumptions!$B$5+Assumptions!$B$6))</f>
        <v>0.32999878436779206</v>
      </c>
      <c r="E3703" s="12">
        <f>E3702+Assumptions!$B$12*(D3702*Assumptions!$B$5-E3702*Assumptions!$B$7)</f>
        <v>0.17244084652107997</v>
      </c>
      <c r="F3703" s="12">
        <f t="shared" si="171"/>
        <v>0.497560369111128</v>
      </c>
      <c r="G3703" s="12">
        <f>EXP(-Assumptions!$B$8*B3703)</f>
        <v>0.15763075100528423</v>
      </c>
      <c r="H3703" s="12">
        <f t="shared" si="172"/>
        <v>5.2017956210725913E-2</v>
      </c>
      <c r="I3703" s="12">
        <f t="shared" si="173"/>
        <v>2.7181980141104789E-2</v>
      </c>
      <c r="J3703" s="12">
        <f>G3703*(D3703*Assumptions!$B$6+E3703*Assumptions!$B$7)</f>
        <v>1.8792785691624987E-3</v>
      </c>
    </row>
    <row r="3704" spans="1:10" x14ac:dyDescent="0.2">
      <c r="A3704" s="2">
        <v>3696</v>
      </c>
      <c r="B3704" s="14">
        <f>A3704*Assumptions!$B$12</f>
        <v>36.96</v>
      </c>
      <c r="C3704" s="15">
        <f>IF(A3704&lt;=Assumptions!$B$13,IF(OR(A3704=0,A3704=Assumptions!$B$13),0.5,1),0)*Assumptions!$B$12</f>
        <v>0</v>
      </c>
      <c r="D3704" s="12">
        <f>D3703*(1-Assumptions!$B$12*(Assumptions!$B$5+Assumptions!$B$6))</f>
        <v>0.32989978473248172</v>
      </c>
      <c r="E3704" s="12">
        <f>E3703+Assumptions!$B$12*(D3703*Assumptions!$B$5-E3703*Assumptions!$B$7)</f>
        <v>0.17242062585469298</v>
      </c>
      <c r="F3704" s="12">
        <f t="shared" si="171"/>
        <v>0.49767958941282531</v>
      </c>
      <c r="G3704" s="12">
        <f>EXP(-Assumptions!$B$8*B3704)</f>
        <v>0.15755195533034191</v>
      </c>
      <c r="H3704" s="12">
        <f t="shared" si="172"/>
        <v>5.1976356147661371E-2</v>
      </c>
      <c r="I3704" s="12">
        <f t="shared" si="173"/>
        <v>2.7165206742688183E-2</v>
      </c>
      <c r="J3704" s="12">
        <f>G3704*(D3704*Assumptions!$B$6+E3704*Assumptions!$B$7)</f>
        <v>1.878023898611023E-3</v>
      </c>
    </row>
    <row r="3705" spans="1:10" x14ac:dyDescent="0.2">
      <c r="A3705" s="2">
        <v>3697</v>
      </c>
      <c r="B3705" s="14">
        <f>A3705*Assumptions!$B$12</f>
        <v>36.97</v>
      </c>
      <c r="C3705" s="15">
        <f>IF(A3705&lt;=Assumptions!$B$13,IF(OR(A3705=0,A3705=Assumptions!$B$13),0.5,1),0)*Assumptions!$B$12</f>
        <v>0</v>
      </c>
      <c r="D3705" s="12">
        <f>D3704*(1-Assumptions!$B$12*(Assumptions!$B$5+Assumptions!$B$6))</f>
        <v>0.32980081479706197</v>
      </c>
      <c r="E3705" s="12">
        <f>E3704+Assumptions!$B$12*(D3704*Assumptions!$B$5-E3704*Assumptions!$B$7)</f>
        <v>0.17240039549871214</v>
      </c>
      <c r="F3705" s="12">
        <f t="shared" si="171"/>
        <v>0.49779878970422597</v>
      </c>
      <c r="G3705" s="12">
        <f>EXP(-Assumptions!$B$8*B3705)</f>
        <v>0.15747319904338924</v>
      </c>
      <c r="H3705" s="12">
        <f t="shared" si="172"/>
        <v>5.1934789353209693E-2</v>
      </c>
      <c r="I3705" s="12">
        <f t="shared" si="173"/>
        <v>2.7148441795527722E-2</v>
      </c>
      <c r="J3705" s="12">
        <f>G3705*(D3705*Assumptions!$B$6+E3705*Assumptions!$B$7)</f>
        <v>1.8767699833084832E-3</v>
      </c>
    </row>
    <row r="3706" spans="1:10" x14ac:dyDescent="0.2">
      <c r="A3706" s="2">
        <v>3698</v>
      </c>
      <c r="B3706" s="14">
        <f>A3706*Assumptions!$B$12</f>
        <v>36.980000000000004</v>
      </c>
      <c r="C3706" s="15">
        <f>IF(A3706&lt;=Assumptions!$B$13,IF(OR(A3706=0,A3706=Assumptions!$B$13),0.5,1),0)*Assumptions!$B$12</f>
        <v>0</v>
      </c>
      <c r="D3706" s="12">
        <f>D3705*(1-Assumptions!$B$12*(Assumptions!$B$5+Assumptions!$B$6))</f>
        <v>0.32970187455262284</v>
      </c>
      <c r="E3706" s="12">
        <f>E3705+Assumptions!$B$12*(D3705*Assumptions!$B$5-E3705*Assumptions!$B$7)</f>
        <v>0.17238015546392219</v>
      </c>
      <c r="F3706" s="12">
        <f t="shared" si="171"/>
        <v>0.49791796998345506</v>
      </c>
      <c r="G3706" s="12">
        <f>EXP(-Assumptions!$B$8*B3706)</f>
        <v>0.15739448212473711</v>
      </c>
      <c r="H3706" s="12">
        <f t="shared" si="172"/>
        <v>5.1893255800765113E-2</v>
      </c>
      <c r="I3706" s="12">
        <f t="shared" si="173"/>
        <v>2.7131685297825704E-2</v>
      </c>
      <c r="J3706" s="12">
        <f>G3706*(D3706*Assumptions!$B$6+E3706*Assumptions!$B$7)</f>
        <v>1.8755168228989363E-3</v>
      </c>
    </row>
    <row r="3707" spans="1:10" x14ac:dyDescent="0.2">
      <c r="A3707" s="2">
        <v>3699</v>
      </c>
      <c r="B3707" s="14">
        <f>A3707*Assumptions!$B$12</f>
        <v>36.99</v>
      </c>
      <c r="C3707" s="15">
        <f>IF(A3707&lt;=Assumptions!$B$13,IF(OR(A3707=0,A3707=Assumptions!$B$13),0.5,1),0)*Assumptions!$B$12</f>
        <v>0</v>
      </c>
      <c r="D3707" s="12">
        <f>D3706*(1-Assumptions!$B$12*(Assumptions!$B$5+Assumptions!$B$6))</f>
        <v>0.32960296399025707</v>
      </c>
      <c r="E3707" s="12">
        <f>E3706+Assumptions!$B$12*(D3706*Assumptions!$B$5-E3706*Assumptions!$B$7)</f>
        <v>0.17235990576110075</v>
      </c>
      <c r="F3707" s="12">
        <f t="shared" si="171"/>
        <v>0.49803713024864216</v>
      </c>
      <c r="G3707" s="12">
        <f>EXP(-Assumptions!$B$8*B3707)</f>
        <v>0.15731580455470637</v>
      </c>
      <c r="H3707" s="12">
        <f t="shared" si="172"/>
        <v>5.1851755463743203E-2</v>
      </c>
      <c r="I3707" s="12">
        <f t="shared" si="173"/>
        <v>2.7114937247780933E-2</v>
      </c>
      <c r="J3707" s="12">
        <f>G3707*(D3707*Assumptions!$B$6+E3707*Assumptions!$B$7)</f>
        <v>1.8742644170264787E-3</v>
      </c>
    </row>
    <row r="3708" spans="1:10" x14ac:dyDescent="0.2">
      <c r="A3708" s="2">
        <v>3700</v>
      </c>
      <c r="B3708" s="14">
        <f>A3708*Assumptions!$B$12</f>
        <v>37</v>
      </c>
      <c r="C3708" s="15">
        <f>IF(A3708&lt;=Assumptions!$B$13,IF(OR(A3708=0,A3708=Assumptions!$B$13),0.5,1),0)*Assumptions!$B$12</f>
        <v>0</v>
      </c>
      <c r="D3708" s="12">
        <f>D3707*(1-Assumptions!$B$12*(Assumptions!$B$5+Assumptions!$B$6))</f>
        <v>0.32950408310106</v>
      </c>
      <c r="E3708" s="12">
        <f>E3707+Assumptions!$B$12*(D3707*Assumptions!$B$5-E3707*Assumptions!$B$7)</f>
        <v>0.17233964640101826</v>
      </c>
      <c r="F3708" s="12">
        <f t="shared" si="171"/>
        <v>0.49815627049792166</v>
      </c>
      <c r="G3708" s="12">
        <f>EXP(-Assumptions!$B$8*B3708)</f>
        <v>0.15723716631362761</v>
      </c>
      <c r="H3708" s="12">
        <f t="shared" si="172"/>
        <v>5.1810288315580745E-2</v>
      </c>
      <c r="I3708" s="12">
        <f t="shared" si="173"/>
        <v>2.7098197643588683E-2</v>
      </c>
      <c r="J3708" s="12">
        <f>G3708*(D3708*Assumptions!$B$6+E3708*Assumptions!$B$7)</f>
        <v>1.8730127653352414E-3</v>
      </c>
    </row>
    <row r="3709" spans="1:10" x14ac:dyDescent="0.2">
      <c r="A3709" s="2">
        <v>3701</v>
      </c>
      <c r="B3709" s="14">
        <f>A3709*Assumptions!$B$12</f>
        <v>37.01</v>
      </c>
      <c r="C3709" s="15">
        <f>IF(A3709&lt;=Assumptions!$B$13,IF(OR(A3709=0,A3709=Assumptions!$B$13),0.5,1),0)*Assumptions!$B$12</f>
        <v>0</v>
      </c>
      <c r="D3709" s="12">
        <f>D3708*(1-Assumptions!$B$12*(Assumptions!$B$5+Assumptions!$B$6))</f>
        <v>0.32940523187612969</v>
      </c>
      <c r="E3709" s="12">
        <f>E3708+Assumptions!$B$12*(D3708*Assumptions!$B$5-E3708*Assumptions!$B$7)</f>
        <v>0.17231937739443795</v>
      </c>
      <c r="F3709" s="12">
        <f t="shared" si="171"/>
        <v>0.49827539072943239</v>
      </c>
      <c r="G3709" s="12">
        <f>EXP(-Assumptions!$B$8*B3709)</f>
        <v>0.15715856738184122</v>
      </c>
      <c r="H3709" s="12">
        <f t="shared" si="172"/>
        <v>5.1768854329735763E-2</v>
      </c>
      <c r="I3709" s="12">
        <f t="shared" si="173"/>
        <v>2.7081466483440703E-2</v>
      </c>
      <c r="J3709" s="12">
        <f>G3709*(D3709*Assumptions!$B$6+E3709*Assumptions!$B$7)</f>
        <v>1.871761867469393E-3</v>
      </c>
    </row>
    <row r="3710" spans="1:10" x14ac:dyDescent="0.2">
      <c r="A3710" s="2">
        <v>3702</v>
      </c>
      <c r="B3710" s="14">
        <f>A3710*Assumptions!$B$12</f>
        <v>37.020000000000003</v>
      </c>
      <c r="C3710" s="15">
        <f>IF(A3710&lt;=Assumptions!$B$13,IF(OR(A3710=0,A3710=Assumptions!$B$13),0.5,1),0)*Assumptions!$B$12</f>
        <v>0</v>
      </c>
      <c r="D3710" s="12">
        <f>D3709*(1-Assumptions!$B$12*(Assumptions!$B$5+Assumptions!$B$6))</f>
        <v>0.32930641030656688</v>
      </c>
      <c r="E3710" s="12">
        <f>E3709+Assumptions!$B$12*(D3709*Assumptions!$B$5-E3709*Assumptions!$B$7)</f>
        <v>0.17229909875211596</v>
      </c>
      <c r="F3710" s="12">
        <f t="shared" si="171"/>
        <v>0.49839449094131721</v>
      </c>
      <c r="G3710" s="12">
        <f>EXP(-Assumptions!$B$8*B3710)</f>
        <v>0.15708000773969746</v>
      </c>
      <c r="H3710" s="12">
        <f t="shared" si="172"/>
        <v>5.1727453479687512E-2</v>
      </c>
      <c r="I3710" s="12">
        <f t="shared" si="173"/>
        <v>2.7064743765525274E-2</v>
      </c>
      <c r="J3710" s="12">
        <f>G3710*(D3710*Assumptions!$B$6+E3710*Assumptions!$B$7)</f>
        <v>1.8705117230731387E-3</v>
      </c>
    </row>
    <row r="3711" spans="1:10" x14ac:dyDescent="0.2">
      <c r="A3711" s="2">
        <v>3703</v>
      </c>
      <c r="B3711" s="14">
        <f>A3711*Assumptions!$B$12</f>
        <v>37.03</v>
      </c>
      <c r="C3711" s="15">
        <f>IF(A3711&lt;=Assumptions!$B$13,IF(OR(A3711=0,A3711=Assumptions!$B$13),0.5,1),0)*Assumptions!$B$12</f>
        <v>0</v>
      </c>
      <c r="D3711" s="12">
        <f>D3710*(1-Assumptions!$B$12*(Assumptions!$B$5+Assumptions!$B$6))</f>
        <v>0.3292076183834749</v>
      </c>
      <c r="E3711" s="12">
        <f>E3710+Assumptions!$B$12*(D3710*Assumptions!$B$5-E3710*Assumptions!$B$7)</f>
        <v>0.17227881048480123</v>
      </c>
      <c r="F3711" s="12">
        <f t="shared" si="171"/>
        <v>0.4985135711317239</v>
      </c>
      <c r="G3711" s="12">
        <f>EXP(-Assumptions!$B$8*B3711)</f>
        <v>0.15700148736755651</v>
      </c>
      <c r="H3711" s="12">
        <f t="shared" si="172"/>
        <v>5.1686085738936495E-2</v>
      </c>
      <c r="I3711" s="12">
        <f t="shared" si="173"/>
        <v>2.7048029488027182E-2</v>
      </c>
      <c r="J3711" s="12">
        <f>G3711*(D3711*Assumptions!$B$6+E3711*Assumptions!$B$7)</f>
        <v>1.869262331790724E-3</v>
      </c>
    </row>
    <row r="3712" spans="1:10" x14ac:dyDescent="0.2">
      <c r="A3712" s="2">
        <v>3704</v>
      </c>
      <c r="B3712" s="14">
        <f>A3712*Assumptions!$B$12</f>
        <v>37.04</v>
      </c>
      <c r="C3712" s="15">
        <f>IF(A3712&lt;=Assumptions!$B$13,IF(OR(A3712=0,A3712=Assumptions!$B$13),0.5,1),0)*Assumptions!$B$12</f>
        <v>0</v>
      </c>
      <c r="D3712" s="12">
        <f>D3711*(1-Assumptions!$B$12*(Assumptions!$B$5+Assumptions!$B$6))</f>
        <v>0.32910885609795987</v>
      </c>
      <c r="E3712" s="12">
        <f>E3711+Assumptions!$B$12*(D3711*Assumptions!$B$5-E3711*Assumptions!$B$7)</f>
        <v>0.17225851260323552</v>
      </c>
      <c r="F3712" s="12">
        <f t="shared" si="171"/>
        <v>0.49863263129880464</v>
      </c>
      <c r="G3712" s="12">
        <f>EXP(-Assumptions!$B$8*B3712)</f>
        <v>0.1569230062457882</v>
      </c>
      <c r="H3712" s="12">
        <f t="shared" si="172"/>
        <v>5.1644751081004366E-2</v>
      </c>
      <c r="I3712" s="12">
        <f t="shared" si="173"/>
        <v>2.7031323649127713E-2</v>
      </c>
      <c r="J3712" s="12">
        <f>G3712*(D3712*Assumptions!$B$6+E3712*Assumptions!$B$7)</f>
        <v>1.8680136932664293E-3</v>
      </c>
    </row>
    <row r="3713" spans="1:10" x14ac:dyDescent="0.2">
      <c r="A3713" s="2">
        <v>3705</v>
      </c>
      <c r="B3713" s="14">
        <f>A3713*Assumptions!$B$12</f>
        <v>37.050000000000004</v>
      </c>
      <c r="C3713" s="15">
        <f>IF(A3713&lt;=Assumptions!$B$13,IF(OR(A3713=0,A3713=Assumptions!$B$13),0.5,1),0)*Assumptions!$B$12</f>
        <v>0</v>
      </c>
      <c r="D3713" s="12">
        <f>D3712*(1-Assumptions!$B$12*(Assumptions!$B$5+Assumptions!$B$6))</f>
        <v>0.32901012344113051</v>
      </c>
      <c r="E3713" s="12">
        <f>E3712+Assumptions!$B$12*(D3712*Assumptions!$B$5-E3712*Assumptions!$B$7)</f>
        <v>0.17223820511815349</v>
      </c>
      <c r="F3713" s="12">
        <f t="shared" si="171"/>
        <v>0.49875167144071608</v>
      </c>
      <c r="G3713" s="12">
        <f>EXP(-Assumptions!$B$8*B3713)</f>
        <v>0.15684456435477223</v>
      </c>
      <c r="H3713" s="12">
        <f t="shared" si="172"/>
        <v>5.1603449479433947E-2</v>
      </c>
      <c r="I3713" s="12">
        <f t="shared" si="173"/>
        <v>2.7014626247004684E-2</v>
      </c>
      <c r="J3713" s="12">
        <f>G3713*(D3713*Assumptions!$B$6+E3713*Assumptions!$B$7)</f>
        <v>1.8667658071445739E-3</v>
      </c>
    </row>
    <row r="3714" spans="1:10" x14ac:dyDescent="0.2">
      <c r="A3714" s="2">
        <v>3706</v>
      </c>
      <c r="B3714" s="14">
        <f>A3714*Assumptions!$B$12</f>
        <v>37.06</v>
      </c>
      <c r="C3714" s="15">
        <f>IF(A3714&lt;=Assumptions!$B$13,IF(OR(A3714=0,A3714=Assumptions!$B$13),0.5,1),0)*Assumptions!$B$12</f>
        <v>0</v>
      </c>
      <c r="D3714" s="12">
        <f>D3713*(1-Assumptions!$B$12*(Assumptions!$B$5+Assumptions!$B$6))</f>
        <v>0.32891142040409815</v>
      </c>
      <c r="E3714" s="12">
        <f>E3713+Assumptions!$B$12*(D3713*Assumptions!$B$5-E3713*Assumptions!$B$7)</f>
        <v>0.17221788804028265</v>
      </c>
      <c r="F3714" s="12">
        <f t="shared" si="171"/>
        <v>0.49887069155561919</v>
      </c>
      <c r="G3714" s="12">
        <f>EXP(-Assumptions!$B$8*B3714)</f>
        <v>0.15676616167489821</v>
      </c>
      <c r="H3714" s="12">
        <f t="shared" si="172"/>
        <v>5.1562180907789266E-2</v>
      </c>
      <c r="I3714" s="12">
        <f t="shared" si="173"/>
        <v>2.6997937279832469E-2</v>
      </c>
      <c r="J3714" s="12">
        <f>G3714*(D3714*Assumptions!$B$6+E3714*Assumptions!$B$7)</f>
        <v>1.8655186730695162E-3</v>
      </c>
    </row>
    <row r="3715" spans="1:10" x14ac:dyDescent="0.2">
      <c r="A3715" s="2">
        <v>3707</v>
      </c>
      <c r="B3715" s="14">
        <f>A3715*Assumptions!$B$12</f>
        <v>37.07</v>
      </c>
      <c r="C3715" s="15">
        <f>IF(A3715&lt;=Assumptions!$B$13,IF(OR(A3715=0,A3715=Assumptions!$B$13),0.5,1),0)*Assumptions!$B$12</f>
        <v>0</v>
      </c>
      <c r="D3715" s="12">
        <f>D3714*(1-Assumptions!$B$12*(Assumptions!$B$5+Assumptions!$B$6))</f>
        <v>0.32881274697797691</v>
      </c>
      <c r="E3715" s="12">
        <f>E3714+Assumptions!$B$12*(D3714*Assumptions!$B$5-E3714*Assumptions!$B$7)</f>
        <v>0.17219756138034334</v>
      </c>
      <c r="F3715" s="12">
        <f t="shared" si="171"/>
        <v>0.49898969164167972</v>
      </c>
      <c r="G3715" s="12">
        <f>EXP(-Assumptions!$B$8*B3715)</f>
        <v>0.15668779818656545</v>
      </c>
      <c r="H3715" s="12">
        <f t="shared" si="172"/>
        <v>5.1520945339655455E-2</v>
      </c>
      <c r="I3715" s="12">
        <f t="shared" si="173"/>
        <v>2.6981256745781952E-2</v>
      </c>
      <c r="J3715" s="12">
        <f>G3715*(D3715*Assumptions!$B$6+E3715*Assumptions!$B$7)</f>
        <v>1.8642722906856521E-3</v>
      </c>
    </row>
    <row r="3716" spans="1:10" x14ac:dyDescent="0.2">
      <c r="A3716" s="2">
        <v>3708</v>
      </c>
      <c r="B3716" s="14">
        <f>A3716*Assumptions!$B$12</f>
        <v>37.08</v>
      </c>
      <c r="C3716" s="15">
        <f>IF(A3716&lt;=Assumptions!$B$13,IF(OR(A3716=0,A3716=Assumptions!$B$13),0.5,1),0)*Assumptions!$B$12</f>
        <v>0</v>
      </c>
      <c r="D3716" s="12">
        <f>D3715*(1-Assumptions!$B$12*(Assumptions!$B$5+Assumptions!$B$6))</f>
        <v>0.32871410315388355</v>
      </c>
      <c r="E3716" s="12">
        <f>E3715+Assumptions!$B$12*(D3715*Assumptions!$B$5-E3715*Assumptions!$B$7)</f>
        <v>0.17217722514904876</v>
      </c>
      <c r="F3716" s="12">
        <f t="shared" si="171"/>
        <v>0.49910867169706763</v>
      </c>
      <c r="G3716" s="12">
        <f>EXP(-Assumptions!$B$8*B3716)</f>
        <v>0.15660947387018301</v>
      </c>
      <c r="H3716" s="12">
        <f t="shared" si="172"/>
        <v>5.1479742748638771E-2</v>
      </c>
      <c r="I3716" s="12">
        <f t="shared" si="173"/>
        <v>2.6964584643020571E-2</v>
      </c>
      <c r="J3716" s="12">
        <f>G3716*(D3716*Assumptions!$B$6+E3716*Assumptions!$B$7)</f>
        <v>1.8630266596374164E-3</v>
      </c>
    </row>
    <row r="3717" spans="1:10" x14ac:dyDescent="0.2">
      <c r="A3717" s="2">
        <v>3709</v>
      </c>
      <c r="B3717" s="14">
        <f>A3717*Assumptions!$B$12</f>
        <v>37.090000000000003</v>
      </c>
      <c r="C3717" s="15">
        <f>IF(A3717&lt;=Assumptions!$B$13,IF(OR(A3717=0,A3717=Assumptions!$B$13),0.5,1),0)*Assumptions!$B$12</f>
        <v>0</v>
      </c>
      <c r="D3717" s="12">
        <f>D3716*(1-Assumptions!$B$12*(Assumptions!$B$5+Assumptions!$B$6))</f>
        <v>0.3286154889229374</v>
      </c>
      <c r="E3717" s="12">
        <f>E3716+Assumptions!$B$12*(D3716*Assumptions!$B$5-E3716*Assumptions!$B$7)</f>
        <v>0.17215687935710502</v>
      </c>
      <c r="F3717" s="12">
        <f t="shared" si="171"/>
        <v>0.49922763171995765</v>
      </c>
      <c r="G3717" s="12">
        <f>EXP(-Assumptions!$B$8*B3717)</f>
        <v>0.15653118870616983</v>
      </c>
      <c r="H3717" s="12">
        <f t="shared" si="172"/>
        <v>5.1438573108366574E-2</v>
      </c>
      <c r="I3717" s="12">
        <f t="shared" si="173"/>
        <v>2.6947920969712321E-2</v>
      </c>
      <c r="J3717" s="12">
        <f>G3717*(D3717*Assumptions!$B$6+E3717*Assumptions!$B$7)</f>
        <v>1.8617817795692818E-3</v>
      </c>
    </row>
    <row r="3718" spans="1:10" x14ac:dyDescent="0.2">
      <c r="A3718" s="2">
        <v>3710</v>
      </c>
      <c r="B3718" s="14">
        <f>A3718*Assumptions!$B$12</f>
        <v>37.1</v>
      </c>
      <c r="C3718" s="15">
        <f>IF(A3718&lt;=Assumptions!$B$13,IF(OR(A3718=0,A3718=Assumptions!$B$13),0.5,1),0)*Assumptions!$B$12</f>
        <v>0</v>
      </c>
      <c r="D3718" s="12">
        <f>D3717*(1-Assumptions!$B$12*(Assumptions!$B$5+Assumptions!$B$6))</f>
        <v>0.32851690427626051</v>
      </c>
      <c r="E3718" s="12">
        <f>E3717+Assumptions!$B$12*(D3717*Assumptions!$B$5-E3717*Assumptions!$B$7)</f>
        <v>0.17213652401521107</v>
      </c>
      <c r="F3718" s="12">
        <f t="shared" si="171"/>
        <v>0.49934657170852836</v>
      </c>
      <c r="G3718" s="12">
        <f>EXP(-Assumptions!$B$8*B3718)</f>
        <v>0.15645294267495469</v>
      </c>
      <c r="H3718" s="12">
        <f t="shared" si="172"/>
        <v>5.139743639248736E-2</v>
      </c>
      <c r="I3718" s="12">
        <f t="shared" si="173"/>
        <v>2.6931265724017779E-2</v>
      </c>
      <c r="J3718" s="12">
        <f>G3718*(D3718*Assumptions!$B$6+E3718*Assumptions!$B$7)</f>
        <v>1.8605376501257627E-3</v>
      </c>
    </row>
    <row r="3719" spans="1:10" x14ac:dyDescent="0.2">
      <c r="A3719" s="2">
        <v>3711</v>
      </c>
      <c r="B3719" s="14">
        <f>A3719*Assumptions!$B$12</f>
        <v>37.11</v>
      </c>
      <c r="C3719" s="15">
        <f>IF(A3719&lt;=Assumptions!$B$13,IF(OR(A3719=0,A3719=Assumptions!$B$13),0.5,1),0)*Assumptions!$B$12</f>
        <v>0</v>
      </c>
      <c r="D3719" s="12">
        <f>D3718*(1-Assumptions!$B$12*(Assumptions!$B$5+Assumptions!$B$6))</f>
        <v>0.32841834920497764</v>
      </c>
      <c r="E3719" s="12">
        <f>E3718+Assumptions!$B$12*(D3718*Assumptions!$B$5-E3718*Assumptions!$B$7)</f>
        <v>0.17211615913405873</v>
      </c>
      <c r="F3719" s="12">
        <f t="shared" si="171"/>
        <v>0.49946549166096355</v>
      </c>
      <c r="G3719" s="12">
        <f>EXP(-Assumptions!$B$8*B3719)</f>
        <v>0.15637473575697602</v>
      </c>
      <c r="H3719" s="12">
        <f t="shared" si="172"/>
        <v>5.1356332574670656E-2</v>
      </c>
      <c r="I3719" s="12">
        <f t="shared" si="173"/>
        <v>2.6914618904094068E-2</v>
      </c>
      <c r="J3719" s="12">
        <f>G3719*(D3719*Assumptions!$B$6+E3719*Assumptions!$B$7)</f>
        <v>1.8592942709514102E-3</v>
      </c>
    </row>
    <row r="3720" spans="1:10" x14ac:dyDescent="0.2">
      <c r="A3720" s="2">
        <v>3712</v>
      </c>
      <c r="B3720" s="14">
        <f>A3720*Assumptions!$B$12</f>
        <v>37.119999999999997</v>
      </c>
      <c r="C3720" s="15">
        <f>IF(A3720&lt;=Assumptions!$B$13,IF(OR(A3720=0,A3720=Assumptions!$B$13),0.5,1),0)*Assumptions!$B$12</f>
        <v>0</v>
      </c>
      <c r="D3720" s="12">
        <f>D3719*(1-Assumptions!$B$12*(Assumptions!$B$5+Assumptions!$B$6))</f>
        <v>0.32831982370021617</v>
      </c>
      <c r="E3720" s="12">
        <f>E3719+Assumptions!$B$12*(D3719*Assumptions!$B$5-E3719*Assumptions!$B$7)</f>
        <v>0.17209578472433271</v>
      </c>
      <c r="F3720" s="12">
        <f t="shared" ref="F3720:F3783" si="174">1-D3720-E3720</f>
        <v>0.49958439157545109</v>
      </c>
      <c r="G3720" s="12">
        <f>EXP(-Assumptions!$B$8*B3720)</f>
        <v>0.15629656793268215</v>
      </c>
      <c r="H3720" s="12">
        <f t="shared" ref="H3720:H3783" si="175">G3720*D3720</f>
        <v>5.1315261628607063E-2</v>
      </c>
      <c r="I3720" s="12">
        <f t="shared" ref="I3720:I3783" si="176">G3720*E3720</f>
        <v>2.6897980508094912E-2</v>
      </c>
      <c r="J3720" s="12">
        <f>G3720*(D3720*Assumptions!$B$6+E3720*Assumptions!$B$7)</f>
        <v>1.8580516416908163E-3</v>
      </c>
    </row>
    <row r="3721" spans="1:10" x14ac:dyDescent="0.2">
      <c r="A3721" s="2">
        <v>3713</v>
      </c>
      <c r="B3721" s="14">
        <f>A3721*Assumptions!$B$12</f>
        <v>37.130000000000003</v>
      </c>
      <c r="C3721" s="15">
        <f>IF(A3721&lt;=Assumptions!$B$13,IF(OR(A3721=0,A3721=Assumptions!$B$13),0.5,1),0)*Assumptions!$B$12</f>
        <v>0</v>
      </c>
      <c r="D3721" s="12">
        <f>D3720*(1-Assumptions!$B$12*(Assumptions!$B$5+Assumptions!$B$6))</f>
        <v>0.32822132775310614</v>
      </c>
      <c r="E3721" s="12">
        <f>E3720+Assumptions!$B$12*(D3720*Assumptions!$B$5-E3720*Assumptions!$B$7)</f>
        <v>0.17207540079671058</v>
      </c>
      <c r="F3721" s="12">
        <f t="shared" si="174"/>
        <v>0.49970327145018334</v>
      </c>
      <c r="G3721" s="12">
        <f>EXP(-Assumptions!$B$8*B3721)</f>
        <v>0.15621843918253098</v>
      </c>
      <c r="H3721" s="12">
        <f t="shared" si="175"/>
        <v>5.127422352800818E-2</v>
      </c>
      <c r="I3721" s="12">
        <f t="shared" si="176"/>
        <v>2.6881350534170574E-2</v>
      </c>
      <c r="J3721" s="12">
        <f>G3721*(D3721*Assumptions!$B$6+E3721*Assumptions!$B$7)</f>
        <v>1.8568097619886105E-3</v>
      </c>
    </row>
    <row r="3722" spans="1:10" x14ac:dyDescent="0.2">
      <c r="A3722" s="2">
        <v>3714</v>
      </c>
      <c r="B3722" s="14">
        <f>A3722*Assumptions!$B$12</f>
        <v>37.14</v>
      </c>
      <c r="C3722" s="15">
        <f>IF(A3722&lt;=Assumptions!$B$13,IF(OR(A3722=0,A3722=Assumptions!$B$13),0.5,1),0)*Assumptions!$B$12</f>
        <v>0</v>
      </c>
      <c r="D3722" s="12">
        <f>D3721*(1-Assumptions!$B$12*(Assumptions!$B$5+Assumptions!$B$6))</f>
        <v>0.32812286135478019</v>
      </c>
      <c r="E3722" s="12">
        <f>E3721+Assumptions!$B$12*(D3721*Assumptions!$B$5-E3721*Assumptions!$B$7)</f>
        <v>0.17205500736186286</v>
      </c>
      <c r="F3722" s="12">
        <f t="shared" si="174"/>
        <v>0.49982213128335695</v>
      </c>
      <c r="G3722" s="12">
        <f>EXP(-Assumptions!$B$8*B3722)</f>
        <v>0.15614034948699046</v>
      </c>
      <c r="H3722" s="12">
        <f t="shared" si="175"/>
        <v>5.1233218246606697E-2</v>
      </c>
      <c r="I3722" s="12">
        <f t="shared" si="176"/>
        <v>2.6864728980467982E-2</v>
      </c>
      <c r="J3722" s="12">
        <f>G3722*(D3722*Assumptions!$B$6+E3722*Assumptions!$B$7)</f>
        <v>1.8555686314894661E-3</v>
      </c>
    </row>
    <row r="3723" spans="1:10" x14ac:dyDescent="0.2">
      <c r="A3723" s="2">
        <v>3715</v>
      </c>
      <c r="B3723" s="14">
        <f>A3723*Assumptions!$B$12</f>
        <v>37.15</v>
      </c>
      <c r="C3723" s="15">
        <f>IF(A3723&lt;=Assumptions!$B$13,IF(OR(A3723=0,A3723=Assumptions!$B$13),0.5,1),0)*Assumptions!$B$12</f>
        <v>0</v>
      </c>
      <c r="D3723" s="12">
        <f>D3722*(1-Assumptions!$B$12*(Assumptions!$B$5+Assumptions!$B$6))</f>
        <v>0.32802442449637376</v>
      </c>
      <c r="E3723" s="12">
        <f>E3722+Assumptions!$B$12*(D3722*Assumptions!$B$5-E3722*Assumptions!$B$7)</f>
        <v>0.17203460443045288</v>
      </c>
      <c r="F3723" s="12">
        <f t="shared" si="174"/>
        <v>0.49994097107317342</v>
      </c>
      <c r="G3723" s="12">
        <f>EXP(-Assumptions!$B$8*B3723)</f>
        <v>0.15606229882653819</v>
      </c>
      <c r="H3723" s="12">
        <f t="shared" si="175"/>
        <v>5.1192245758156292E-2</v>
      </c>
      <c r="I3723" s="12">
        <f t="shared" si="176"/>
        <v>2.6848115845130627E-2</v>
      </c>
      <c r="J3723" s="12">
        <f>G3723*(D3723*Assumptions!$B$6+E3723*Assumptions!$B$7)</f>
        <v>1.8543282498380941E-3</v>
      </c>
    </row>
    <row r="3724" spans="1:10" x14ac:dyDescent="0.2">
      <c r="A3724" s="2">
        <v>3716</v>
      </c>
      <c r="B3724" s="14">
        <f>A3724*Assumptions!$B$12</f>
        <v>37.160000000000004</v>
      </c>
      <c r="C3724" s="15">
        <f>IF(A3724&lt;=Assumptions!$B$13,IF(OR(A3724=0,A3724=Assumptions!$B$13),0.5,1),0)*Assumptions!$B$12</f>
        <v>0</v>
      </c>
      <c r="D3724" s="12">
        <f>D3723*(1-Assumptions!$B$12*(Assumptions!$B$5+Assumptions!$B$6))</f>
        <v>0.32792601716902486</v>
      </c>
      <c r="E3724" s="12">
        <f>E3723+Assumptions!$B$12*(D3723*Assumptions!$B$5-E3723*Assumptions!$B$7)</f>
        <v>0.17201419201313692</v>
      </c>
      <c r="F3724" s="12">
        <f t="shared" si="174"/>
        <v>0.50005979081783825</v>
      </c>
      <c r="G3724" s="12">
        <f>EXP(-Assumptions!$B$8*B3724)</f>
        <v>0.15598428718166132</v>
      </c>
      <c r="H3724" s="12">
        <f t="shared" si="175"/>
        <v>5.1151306036431574E-2</v>
      </c>
      <c r="I3724" s="12">
        <f t="shared" si="176"/>
        <v>2.6831511126298582E-2</v>
      </c>
      <c r="J3724" s="12">
        <f>G3724*(D3724*Assumptions!$B$6+E3724*Assumptions!$B$7)</f>
        <v>1.8530886166792451E-3</v>
      </c>
    </row>
    <row r="3725" spans="1:10" x14ac:dyDescent="0.2">
      <c r="A3725" s="2">
        <v>3717</v>
      </c>
      <c r="B3725" s="14">
        <f>A3725*Assumptions!$B$12</f>
        <v>37.17</v>
      </c>
      <c r="C3725" s="15">
        <f>IF(A3725&lt;=Assumptions!$B$13,IF(OR(A3725=0,A3725=Assumptions!$B$13),0.5,1),0)*Assumptions!$B$12</f>
        <v>0</v>
      </c>
      <c r="D3725" s="12">
        <f>D3724*(1-Assumptions!$B$12*(Assumptions!$B$5+Assumptions!$B$6))</f>
        <v>0.32782763936387416</v>
      </c>
      <c r="E3725" s="12">
        <f>E3724+Assumptions!$B$12*(D3724*Assumptions!$B$5-E3724*Assumptions!$B$7)</f>
        <v>0.17199377012056416</v>
      </c>
      <c r="F3725" s="12">
        <f t="shared" si="174"/>
        <v>0.50017859051556168</v>
      </c>
      <c r="G3725" s="12">
        <f>EXP(-Assumptions!$B$8*B3725)</f>
        <v>0.15590631453285714</v>
      </c>
      <c r="H3725" s="12">
        <f t="shared" si="175"/>
        <v>5.1110399055228226E-2</v>
      </c>
      <c r="I3725" s="12">
        <f t="shared" si="176"/>
        <v>2.6814914822108602E-2</v>
      </c>
      <c r="J3725" s="12">
        <f>G3725*(D3725*Assumptions!$B$6+E3725*Assumptions!$B$7)</f>
        <v>1.8518497316577123E-3</v>
      </c>
    </row>
    <row r="3726" spans="1:10" x14ac:dyDescent="0.2">
      <c r="A3726" s="2">
        <v>3718</v>
      </c>
      <c r="B3726" s="14">
        <f>A3726*Assumptions!$B$12</f>
        <v>37.18</v>
      </c>
      <c r="C3726" s="15">
        <f>IF(A3726&lt;=Assumptions!$B$13,IF(OR(A3726=0,A3726=Assumptions!$B$13),0.5,1),0)*Assumptions!$B$12</f>
        <v>0</v>
      </c>
      <c r="D3726" s="12">
        <f>D3725*(1-Assumptions!$B$12*(Assumptions!$B$5+Assumptions!$B$6))</f>
        <v>0.327729291072065</v>
      </c>
      <c r="E3726" s="12">
        <f>E3725+Assumptions!$B$12*(D3725*Assumptions!$B$5-E3725*Assumptions!$B$7)</f>
        <v>0.17197333876337664</v>
      </c>
      <c r="F3726" s="12">
        <f t="shared" si="174"/>
        <v>0.50029737016455833</v>
      </c>
      <c r="G3726" s="12">
        <f>EXP(-Assumptions!$B$8*B3726)</f>
        <v>0.15582838086063242</v>
      </c>
      <c r="H3726" s="12">
        <f t="shared" si="175"/>
        <v>5.1069524788362804E-2</v>
      </c>
      <c r="I3726" s="12">
        <f t="shared" si="176"/>
        <v>2.6798326930694016E-2</v>
      </c>
      <c r="J3726" s="12">
        <f>G3726*(D3726*Assumptions!$B$6+E3726*Assumptions!$B$7)</f>
        <v>1.8506115944183286E-3</v>
      </c>
    </row>
    <row r="3727" spans="1:10" x14ac:dyDescent="0.2">
      <c r="A3727" s="2">
        <v>3719</v>
      </c>
      <c r="B3727" s="14">
        <f>A3727*Assumptions!$B$12</f>
        <v>37.19</v>
      </c>
      <c r="C3727" s="15">
        <f>IF(A3727&lt;=Assumptions!$B$13,IF(OR(A3727=0,A3727=Assumptions!$B$13),0.5,1),0)*Assumptions!$B$12</f>
        <v>0</v>
      </c>
      <c r="D3727" s="12">
        <f>D3726*(1-Assumptions!$B$12*(Assumptions!$B$5+Assumptions!$B$6))</f>
        <v>0.32763097228474342</v>
      </c>
      <c r="E3727" s="12">
        <f>E3726+Assumptions!$B$12*(D3726*Assumptions!$B$5-E3726*Assumptions!$B$7)</f>
        <v>0.17195289795220936</v>
      </c>
      <c r="F3727" s="12">
        <f t="shared" si="174"/>
        <v>0.50041612976304717</v>
      </c>
      <c r="G3727" s="12">
        <f>EXP(-Assumptions!$B$8*B3727)</f>
        <v>0.15575048614550369</v>
      </c>
      <c r="H3727" s="12">
        <f t="shared" si="175"/>
        <v>5.1028683209672833E-2</v>
      </c>
      <c r="I3727" s="12">
        <f t="shared" si="176"/>
        <v>2.6781747450184794E-2</v>
      </c>
      <c r="J3727" s="12">
        <f>G3727*(D3727*Assumptions!$B$6+E3727*Assumptions!$B$7)</f>
        <v>1.849374204605968E-3</v>
      </c>
    </row>
    <row r="3728" spans="1:10" x14ac:dyDescent="0.2">
      <c r="A3728" s="2">
        <v>3720</v>
      </c>
      <c r="B3728" s="14">
        <f>A3728*Assumptions!$B$12</f>
        <v>37.200000000000003</v>
      </c>
      <c r="C3728" s="15">
        <f>IF(A3728&lt;=Assumptions!$B$13,IF(OR(A3728=0,A3728=Assumptions!$B$13),0.5,1),0)*Assumptions!$B$12</f>
        <v>0</v>
      </c>
      <c r="D3728" s="12">
        <f>D3727*(1-Assumptions!$B$12*(Assumptions!$B$5+Assumptions!$B$6))</f>
        <v>0.32753268299305799</v>
      </c>
      <c r="E3728" s="12">
        <f>E3727+Assumptions!$B$12*(D3727*Assumptions!$B$5-E3727*Assumptions!$B$7)</f>
        <v>0.1719324476976902</v>
      </c>
      <c r="F3728" s="12">
        <f t="shared" si="174"/>
        <v>0.50053486930925173</v>
      </c>
      <c r="G3728" s="12">
        <f>EXP(-Assumptions!$B$8*B3728)</f>
        <v>0.15567263036799725</v>
      </c>
      <c r="H3728" s="12">
        <f t="shared" si="175"/>
        <v>5.0987874293016738E-2</v>
      </c>
      <c r="I3728" s="12">
        <f t="shared" si="176"/>
        <v>2.6765176378707546E-2</v>
      </c>
      <c r="J3728" s="12">
        <f>G3728*(D3728*Assumptions!$B$6+E3728*Assumptions!$B$7)</f>
        <v>1.8481375618655445E-3</v>
      </c>
    </row>
    <row r="3729" spans="1:10" x14ac:dyDescent="0.2">
      <c r="A3729" s="2">
        <v>3721</v>
      </c>
      <c r="B3729" s="14">
        <f>A3729*Assumptions!$B$12</f>
        <v>37.21</v>
      </c>
      <c r="C3729" s="15">
        <f>IF(A3729&lt;=Assumptions!$B$13,IF(OR(A3729=0,A3729=Assumptions!$B$13),0.5,1),0)*Assumptions!$B$12</f>
        <v>0</v>
      </c>
      <c r="D3729" s="12">
        <f>D3728*(1-Assumptions!$B$12*(Assumptions!$B$5+Assumptions!$B$6))</f>
        <v>0.32743442318816007</v>
      </c>
      <c r="E3729" s="12">
        <f>E3728+Assumptions!$B$12*(D3728*Assumptions!$B$5-E3728*Assumptions!$B$7)</f>
        <v>0.17191198801043997</v>
      </c>
      <c r="F3729" s="12">
        <f t="shared" si="174"/>
        <v>0.50065358880139998</v>
      </c>
      <c r="G3729" s="12">
        <f>EXP(-Assumptions!$B$8*B3729)</f>
        <v>0.15559481350864932</v>
      </c>
      <c r="H3729" s="12">
        <f t="shared" si="175"/>
        <v>5.0947098012273928E-2</v>
      </c>
      <c r="I3729" s="12">
        <f t="shared" si="176"/>
        <v>2.6748613714385566E-2</v>
      </c>
      <c r="J3729" s="12">
        <f>G3729*(D3729*Assumptions!$B$6+E3729*Assumptions!$B$7)</f>
        <v>1.8469016658420173E-3</v>
      </c>
    </row>
    <row r="3730" spans="1:10" x14ac:dyDescent="0.2">
      <c r="A3730" s="2">
        <v>3722</v>
      </c>
      <c r="B3730" s="14">
        <f>A3730*Assumptions!$B$12</f>
        <v>37.22</v>
      </c>
      <c r="C3730" s="15">
        <f>IF(A3730&lt;=Assumptions!$B$13,IF(OR(A3730=0,A3730=Assumptions!$B$13),0.5,1),0)*Assumptions!$B$12</f>
        <v>0</v>
      </c>
      <c r="D3730" s="12">
        <f>D3729*(1-Assumptions!$B$12*(Assumptions!$B$5+Assumptions!$B$6))</f>
        <v>0.32733619286120363</v>
      </c>
      <c r="E3730" s="12">
        <f>E3729+Assumptions!$B$12*(D3729*Assumptions!$B$5-E3729*Assumptions!$B$7)</f>
        <v>0.17189151890107238</v>
      </c>
      <c r="F3730" s="12">
        <f t="shared" si="174"/>
        <v>0.50077228823772402</v>
      </c>
      <c r="G3730" s="12">
        <f>EXP(-Assumptions!$B$8*B3730)</f>
        <v>0.15551703554800556</v>
      </c>
      <c r="H3730" s="12">
        <f t="shared" si="175"/>
        <v>5.0906354341344606E-2</v>
      </c>
      <c r="I3730" s="12">
        <f t="shared" si="176"/>
        <v>2.6732059455338741E-2</v>
      </c>
      <c r="J3730" s="12">
        <f>G3730*(D3730*Assumptions!$B$6+E3730*Assumptions!$B$7)</f>
        <v>1.8456665161803833E-3</v>
      </c>
    </row>
    <row r="3731" spans="1:10" x14ac:dyDescent="0.2">
      <c r="A3731" s="2">
        <v>3723</v>
      </c>
      <c r="B3731" s="14">
        <f>A3731*Assumptions!$B$12</f>
        <v>37.230000000000004</v>
      </c>
      <c r="C3731" s="15">
        <f>IF(A3731&lt;=Assumptions!$B$13,IF(OR(A3731=0,A3731=Assumptions!$B$13),0.5,1),0)*Assumptions!$B$12</f>
        <v>0</v>
      </c>
      <c r="D3731" s="12">
        <f>D3730*(1-Assumptions!$B$12*(Assumptions!$B$5+Assumptions!$B$6))</f>
        <v>0.3272379920033453</v>
      </c>
      <c r="E3731" s="12">
        <f>E3730+Assumptions!$B$12*(D3730*Assumptions!$B$5-E3730*Assumptions!$B$7)</f>
        <v>0.17187104038019407</v>
      </c>
      <c r="F3731" s="12">
        <f t="shared" si="174"/>
        <v>0.50089096761646068</v>
      </c>
      <c r="G3731" s="12">
        <f>EXP(-Assumptions!$B$8*B3731)</f>
        <v>0.15543929646662138</v>
      </c>
      <c r="H3731" s="12">
        <f t="shared" si="175"/>
        <v>5.086564325414987E-2</v>
      </c>
      <c r="I3731" s="12">
        <f t="shared" si="176"/>
        <v>2.6715513599683643E-2</v>
      </c>
      <c r="J3731" s="12">
        <f>G3731*(D3731*Assumptions!$B$6+E3731*Assumptions!$B$7)</f>
        <v>1.8444321125256808E-3</v>
      </c>
    </row>
    <row r="3732" spans="1:10" x14ac:dyDescent="0.2">
      <c r="A3732" s="2">
        <v>3724</v>
      </c>
      <c r="B3732" s="14">
        <f>A3732*Assumptions!$B$12</f>
        <v>37.24</v>
      </c>
      <c r="C3732" s="15">
        <f>IF(A3732&lt;=Assumptions!$B$13,IF(OR(A3732=0,A3732=Assumptions!$B$13),0.5,1),0)*Assumptions!$B$12</f>
        <v>0</v>
      </c>
      <c r="D3732" s="12">
        <f>D3731*(1-Assumptions!$B$12*(Assumptions!$B$5+Assumptions!$B$6))</f>
        <v>0.32713982060574431</v>
      </c>
      <c r="E3732" s="12">
        <f>E3731+Assumptions!$B$12*(D3731*Assumptions!$B$5-E3731*Assumptions!$B$7)</f>
        <v>0.17185055245840464</v>
      </c>
      <c r="F3732" s="12">
        <f t="shared" si="174"/>
        <v>0.50100962693585105</v>
      </c>
      <c r="G3732" s="12">
        <f>EXP(-Assumptions!$B$8*B3732)</f>
        <v>0.15536159624506227</v>
      </c>
      <c r="H3732" s="12">
        <f t="shared" si="175"/>
        <v>5.0824964724631751E-2</v>
      </c>
      <c r="I3732" s="12">
        <f t="shared" si="176"/>
        <v>2.6698976145533553E-2</v>
      </c>
      <c r="J3732" s="12">
        <f>G3732*(D3732*Assumptions!$B$6+E3732*Assumptions!$B$7)</f>
        <v>1.8431984545229953E-3</v>
      </c>
    </row>
    <row r="3733" spans="1:10" x14ac:dyDescent="0.2">
      <c r="A3733" s="2">
        <v>3725</v>
      </c>
      <c r="B3733" s="14">
        <f>A3733*Assumptions!$B$12</f>
        <v>37.25</v>
      </c>
      <c r="C3733" s="15">
        <f>IF(A3733&lt;=Assumptions!$B$13,IF(OR(A3733=0,A3733=Assumptions!$B$13),0.5,1),0)*Assumptions!$B$12</f>
        <v>0</v>
      </c>
      <c r="D3733" s="12">
        <f>D3732*(1-Assumptions!$B$12*(Assumptions!$B$5+Assumptions!$B$6))</f>
        <v>0.32704167865956257</v>
      </c>
      <c r="E3733" s="12">
        <f>E3732+Assumptions!$B$12*(D3732*Assumptions!$B$5-E3732*Assumptions!$B$7)</f>
        <v>0.1718300551462966</v>
      </c>
      <c r="F3733" s="12">
        <f t="shared" si="174"/>
        <v>0.50112826619414086</v>
      </c>
      <c r="G3733" s="12">
        <f>EXP(-Assumptions!$B$8*B3733)</f>
        <v>0.15528393486390299</v>
      </c>
      <c r="H3733" s="12">
        <f t="shared" si="175"/>
        <v>5.0784318726753007E-2</v>
      </c>
      <c r="I3733" s="12">
        <f t="shared" si="176"/>
        <v>2.668244709099838E-2</v>
      </c>
      <c r="J3733" s="12">
        <f>G3733*(D3733*Assumptions!$B$6+E3733*Assumptions!$B$7)</f>
        <v>1.8419655418174491E-3</v>
      </c>
    </row>
    <row r="3734" spans="1:10" x14ac:dyDescent="0.2">
      <c r="A3734" s="2">
        <v>3726</v>
      </c>
      <c r="B3734" s="14">
        <f>A3734*Assumptions!$B$12</f>
        <v>37.26</v>
      </c>
      <c r="C3734" s="15">
        <f>IF(A3734&lt;=Assumptions!$B$13,IF(OR(A3734=0,A3734=Assumptions!$B$13),0.5,1),0)*Assumptions!$B$12</f>
        <v>0</v>
      </c>
      <c r="D3734" s="12">
        <f>D3733*(1-Assumptions!$B$12*(Assumptions!$B$5+Assumptions!$B$6))</f>
        <v>0.3269435661559647</v>
      </c>
      <c r="E3734" s="12">
        <f>E3733+Assumptions!$B$12*(D3733*Assumptions!$B$5-E3733*Assumptions!$B$7)</f>
        <v>0.17180954845445537</v>
      </c>
      <c r="F3734" s="12">
        <f t="shared" si="174"/>
        <v>0.50124688538957984</v>
      </c>
      <c r="G3734" s="12">
        <f>EXP(-Assumptions!$B$8*B3734)</f>
        <v>0.15520631230372822</v>
      </c>
      <c r="H3734" s="12">
        <f t="shared" si="175"/>
        <v>5.074370523449729E-2</v>
      </c>
      <c r="I3734" s="12">
        <f t="shared" si="176"/>
        <v>2.6665926434184726E-2</v>
      </c>
      <c r="J3734" s="12">
        <f>G3734*(D3734*Assumptions!$B$6+E3734*Assumptions!$B$7)</f>
        <v>1.8407333740542093E-3</v>
      </c>
    </row>
    <row r="3735" spans="1:10" x14ac:dyDescent="0.2">
      <c r="A3735" s="2">
        <v>3727</v>
      </c>
      <c r="B3735" s="14">
        <f>A3735*Assumptions!$B$12</f>
        <v>37.270000000000003</v>
      </c>
      <c r="C3735" s="15">
        <f>IF(A3735&lt;=Assumptions!$B$13,IF(OR(A3735=0,A3735=Assumptions!$B$13),0.5,1),0)*Assumptions!$B$12</f>
        <v>0</v>
      </c>
      <c r="D3735" s="12">
        <f>D3734*(1-Assumptions!$B$12*(Assumptions!$B$5+Assumptions!$B$6))</f>
        <v>0.32684548308611794</v>
      </c>
      <c r="E3735" s="12">
        <f>E3734+Assumptions!$B$12*(D3734*Assumptions!$B$5-E3734*Assumptions!$B$7)</f>
        <v>0.17178903239345933</v>
      </c>
      <c r="F3735" s="12">
        <f t="shared" si="174"/>
        <v>0.50136548452042273</v>
      </c>
      <c r="G3735" s="12">
        <f>EXP(-Assumptions!$B$8*B3735)</f>
        <v>0.15512872854513229</v>
      </c>
      <c r="H3735" s="12">
        <f t="shared" si="175"/>
        <v>5.0703124221869018E-2</v>
      </c>
      <c r="I3735" s="12">
        <f t="shared" si="176"/>
        <v>2.6649414173195891E-2</v>
      </c>
      <c r="J3735" s="12">
        <f>G3735*(D3735*Assumptions!$B$6+E3735*Assumptions!$B$7)</f>
        <v>1.8395019508784848E-3</v>
      </c>
    </row>
    <row r="3736" spans="1:10" x14ac:dyDescent="0.2">
      <c r="A3736" s="2">
        <v>3728</v>
      </c>
      <c r="B3736" s="14">
        <f>A3736*Assumptions!$B$12</f>
        <v>37.28</v>
      </c>
      <c r="C3736" s="15">
        <f>IF(A3736&lt;=Assumptions!$B$13,IF(OR(A3736=0,A3736=Assumptions!$B$13),0.5,1),0)*Assumptions!$B$12</f>
        <v>0</v>
      </c>
      <c r="D3736" s="12">
        <f>D3735*(1-Assumptions!$B$12*(Assumptions!$B$5+Assumptions!$B$6))</f>
        <v>0.32674742944119212</v>
      </c>
      <c r="E3736" s="12">
        <f>E3735+Assumptions!$B$12*(D3735*Assumptions!$B$5-E3735*Assumptions!$B$7)</f>
        <v>0.17176850697387983</v>
      </c>
      <c r="F3736" s="12">
        <f t="shared" si="174"/>
        <v>0.50148406358492814</v>
      </c>
      <c r="G3736" s="12">
        <f>EXP(-Assumptions!$B$8*B3736)</f>
        <v>0.15505118356871936</v>
      </c>
      <c r="H3736" s="12">
        <f t="shared" si="175"/>
        <v>5.0662575662893457E-2</v>
      </c>
      <c r="I3736" s="12">
        <f t="shared" si="176"/>
        <v>2.6632910306131893E-2</v>
      </c>
      <c r="J3736" s="12">
        <f>G3736*(D3736*Assumptions!$B$6+E3736*Assumptions!$B$7)</f>
        <v>1.8382712719355293E-3</v>
      </c>
    </row>
    <row r="3737" spans="1:10" x14ac:dyDescent="0.2">
      <c r="A3737" s="2">
        <v>3729</v>
      </c>
      <c r="B3737" s="14">
        <f>A3737*Assumptions!$B$12</f>
        <v>37.29</v>
      </c>
      <c r="C3737" s="15">
        <f>IF(A3737&lt;=Assumptions!$B$13,IF(OR(A3737=0,A3737=Assumptions!$B$13),0.5,1),0)*Assumptions!$B$12</f>
        <v>0</v>
      </c>
      <c r="D3737" s="12">
        <f>D3736*(1-Assumptions!$B$12*(Assumptions!$B$5+Assumptions!$B$6))</f>
        <v>0.32664940521235974</v>
      </c>
      <c r="E3737" s="12">
        <f>E3736+Assumptions!$B$12*(D3736*Assumptions!$B$5-E3736*Assumptions!$B$7)</f>
        <v>0.17174797220628113</v>
      </c>
      <c r="F3737" s="12">
        <f t="shared" si="174"/>
        <v>0.50160262258135913</v>
      </c>
      <c r="G3737" s="12">
        <f>EXP(-Assumptions!$B$8*B3737)</f>
        <v>0.15497367735510315</v>
      </c>
      <c r="H3737" s="12">
        <f t="shared" si="175"/>
        <v>5.0622059531616588E-2</v>
      </c>
      <c r="I3737" s="12">
        <f t="shared" si="176"/>
        <v>2.6616414831089435E-2</v>
      </c>
      <c r="J3737" s="12">
        <f>G3737*(D3737*Assumptions!$B$6+E3737*Assumptions!$B$7)</f>
        <v>1.8370413368706377E-3</v>
      </c>
    </row>
    <row r="3738" spans="1:10" x14ac:dyDescent="0.2">
      <c r="A3738" s="2">
        <v>3730</v>
      </c>
      <c r="B3738" s="14">
        <f>A3738*Assumptions!$B$12</f>
        <v>37.300000000000004</v>
      </c>
      <c r="C3738" s="15">
        <f>IF(A3738&lt;=Assumptions!$B$13,IF(OR(A3738=0,A3738=Assumptions!$B$13),0.5,1),0)*Assumptions!$B$12</f>
        <v>0</v>
      </c>
      <c r="D3738" s="12">
        <f>D3737*(1-Assumptions!$B$12*(Assumptions!$B$5+Assumptions!$B$6))</f>
        <v>0.32655141039079605</v>
      </c>
      <c r="E3738" s="12">
        <f>E3737+Assumptions!$B$12*(D3737*Assumptions!$B$5-E3737*Assumptions!$B$7)</f>
        <v>0.17172742810122046</v>
      </c>
      <c r="F3738" s="12">
        <f t="shared" si="174"/>
        <v>0.50172116150798352</v>
      </c>
      <c r="G3738" s="12">
        <f>EXP(-Assumptions!$B$8*B3738)</f>
        <v>0.15489620988490702</v>
      </c>
      <c r="H3738" s="12">
        <f t="shared" si="175"/>
        <v>5.058157580210515E-2</v>
      </c>
      <c r="I3738" s="12">
        <f t="shared" si="176"/>
        <v>2.6599927746161923E-2</v>
      </c>
      <c r="J3738" s="12">
        <f>G3738*(D3738*Assumptions!$B$6+E3738*Assumptions!$B$7)</f>
        <v>1.8358121453291478E-3</v>
      </c>
    </row>
    <row r="3739" spans="1:10" x14ac:dyDescent="0.2">
      <c r="A3739" s="2">
        <v>3731</v>
      </c>
      <c r="B3739" s="14">
        <f>A3739*Assumptions!$B$12</f>
        <v>37.31</v>
      </c>
      <c r="C3739" s="15">
        <f>IF(A3739&lt;=Assumptions!$B$13,IF(OR(A3739=0,A3739=Assumptions!$B$13),0.5,1),0)*Assumptions!$B$12</f>
        <v>0</v>
      </c>
      <c r="D3739" s="12">
        <f>D3738*(1-Assumptions!$B$12*(Assumptions!$B$5+Assumptions!$B$6))</f>
        <v>0.32645344496767881</v>
      </c>
      <c r="E3739" s="12">
        <f>E3738+Assumptions!$B$12*(D3738*Assumptions!$B$5-E3738*Assumptions!$B$7)</f>
        <v>0.171706874669248</v>
      </c>
      <c r="F3739" s="12">
        <f t="shared" si="174"/>
        <v>0.50183968036307314</v>
      </c>
      <c r="G3739" s="12">
        <f>EXP(-Assumptions!$B$8*B3739)</f>
        <v>0.15481878113876421</v>
      </c>
      <c r="H3739" s="12">
        <f t="shared" si="175"/>
        <v>5.0541124448446675E-2</v>
      </c>
      <c r="I3739" s="12">
        <f t="shared" si="176"/>
        <v>2.6583449049439524E-2</v>
      </c>
      <c r="J3739" s="12">
        <f>G3739*(D3739*Assumptions!$B$6+E3739*Assumptions!$B$7)</f>
        <v>1.834583696956443E-3</v>
      </c>
    </row>
    <row r="3740" spans="1:10" x14ac:dyDescent="0.2">
      <c r="A3740" s="2">
        <v>3732</v>
      </c>
      <c r="B3740" s="14">
        <f>A3740*Assumptions!$B$12</f>
        <v>37.32</v>
      </c>
      <c r="C3740" s="15">
        <f>IF(A3740&lt;=Assumptions!$B$13,IF(OR(A3740=0,A3740=Assumptions!$B$13),0.5,1),0)*Assumptions!$B$12</f>
        <v>0</v>
      </c>
      <c r="D3740" s="12">
        <f>D3739*(1-Assumptions!$B$12*(Assumptions!$B$5+Assumptions!$B$6))</f>
        <v>0.32635550893418852</v>
      </c>
      <c r="E3740" s="12">
        <f>E3739+Assumptions!$B$12*(D3739*Assumptions!$B$5-E3739*Assumptions!$B$7)</f>
        <v>0.17168631192090691</v>
      </c>
      <c r="F3740" s="12">
        <f t="shared" si="174"/>
        <v>0.50195817914490459</v>
      </c>
      <c r="G3740" s="12">
        <f>EXP(-Assumptions!$B$8*B3740)</f>
        <v>0.15474139109731749</v>
      </c>
      <c r="H3740" s="12">
        <f t="shared" si="175"/>
        <v>5.0500705444749362E-2</v>
      </c>
      <c r="I3740" s="12">
        <f t="shared" si="176"/>
        <v>2.6566978739009098E-2</v>
      </c>
      <c r="J3740" s="12">
        <f>G3740*(D3740*Assumptions!$B$6+E3740*Assumptions!$B$7)</f>
        <v>1.8333559913979486E-3</v>
      </c>
    </row>
    <row r="3741" spans="1:10" x14ac:dyDescent="0.2">
      <c r="A3741" s="2">
        <v>3733</v>
      </c>
      <c r="B3741" s="14">
        <f>A3741*Assumptions!$B$12</f>
        <v>37.33</v>
      </c>
      <c r="C3741" s="15">
        <f>IF(A3741&lt;=Assumptions!$B$13,IF(OR(A3741=0,A3741=Assumptions!$B$13),0.5,1),0)*Assumptions!$B$12</f>
        <v>0</v>
      </c>
      <c r="D3741" s="12">
        <f>D3740*(1-Assumptions!$B$12*(Assumptions!$B$5+Assumptions!$B$6))</f>
        <v>0.3262576022815083</v>
      </c>
      <c r="E3741" s="12">
        <f>E3740+Assumptions!$B$12*(D3740*Assumptions!$B$5-E3740*Assumptions!$B$7)</f>
        <v>0.17166573986673331</v>
      </c>
      <c r="F3741" s="12">
        <f t="shared" si="174"/>
        <v>0.50207665785175848</v>
      </c>
      <c r="G3741" s="12">
        <f>EXP(-Assumptions!$B$8*B3741)</f>
        <v>0.15466403974121934</v>
      </c>
      <c r="H3741" s="12">
        <f t="shared" si="175"/>
        <v>5.0460318765142134E-2</v>
      </c>
      <c r="I3741" s="12">
        <f t="shared" si="176"/>
        <v>2.6550516812954263E-2</v>
      </c>
      <c r="J3741" s="12">
        <f>G3741*(D3741*Assumptions!$B$6+E3741*Assumptions!$B$7)</f>
        <v>1.8321290282991344E-3</v>
      </c>
    </row>
    <row r="3742" spans="1:10" x14ac:dyDescent="0.2">
      <c r="A3742" s="2">
        <v>3734</v>
      </c>
      <c r="B3742" s="14">
        <f>A3742*Assumptions!$B$12</f>
        <v>37.340000000000003</v>
      </c>
      <c r="C3742" s="15">
        <f>IF(A3742&lt;=Assumptions!$B$13,IF(OR(A3742=0,A3742=Assumptions!$B$13),0.5,1),0)*Assumptions!$B$12</f>
        <v>0</v>
      </c>
      <c r="D3742" s="12">
        <f>D3741*(1-Assumptions!$B$12*(Assumptions!$B$5+Assumptions!$B$6))</f>
        <v>0.32615972500082385</v>
      </c>
      <c r="E3742" s="12">
        <f>E3741+Assumptions!$B$12*(D3741*Assumptions!$B$5-E3741*Assumptions!$B$7)</f>
        <v>0.17164515851725623</v>
      </c>
      <c r="F3742" s="12">
        <f t="shared" si="174"/>
        <v>0.50219511648191983</v>
      </c>
      <c r="G3742" s="12">
        <f>EXP(-Assumptions!$B$8*B3742)</f>
        <v>0.15458672705113191</v>
      </c>
      <c r="H3742" s="12">
        <f t="shared" si="175"/>
        <v>5.04199643837746E-2</v>
      </c>
      <c r="I3742" s="12">
        <f t="shared" si="176"/>
        <v>2.6534063269355358E-2</v>
      </c>
      <c r="J3742" s="12">
        <f>G3742*(D3742*Assumptions!$B$6+E3742*Assumptions!$B$7)</f>
        <v>1.830902807305514E-3</v>
      </c>
    </row>
    <row r="3743" spans="1:10" x14ac:dyDescent="0.2">
      <c r="A3743" s="2">
        <v>3735</v>
      </c>
      <c r="B3743" s="14">
        <f>A3743*Assumptions!$B$12</f>
        <v>37.35</v>
      </c>
      <c r="C3743" s="15">
        <f>IF(A3743&lt;=Assumptions!$B$13,IF(OR(A3743=0,A3743=Assumptions!$B$13),0.5,1),0)*Assumptions!$B$12</f>
        <v>0</v>
      </c>
      <c r="D3743" s="12">
        <f>D3742*(1-Assumptions!$B$12*(Assumptions!$B$5+Assumptions!$B$6))</f>
        <v>0.32606187708332363</v>
      </c>
      <c r="E3743" s="12">
        <f>E3742+Assumptions!$B$12*(D3742*Assumptions!$B$5-E3742*Assumptions!$B$7)</f>
        <v>0.17162456788299776</v>
      </c>
      <c r="F3743" s="12">
        <f t="shared" si="174"/>
        <v>0.50231355503367858</v>
      </c>
      <c r="G3743" s="12">
        <f>EXP(-Assumptions!$B$8*B3743)</f>
        <v>0.15450945300772709</v>
      </c>
      <c r="H3743" s="12">
        <f t="shared" si="175"/>
        <v>5.0379642274817074E-2</v>
      </c>
      <c r="I3743" s="12">
        <f t="shared" si="176"/>
        <v>2.6517618106289512E-2</v>
      </c>
      <c r="J3743" s="12">
        <f>G3743*(D3743*Assumptions!$B$6+E3743*Assumptions!$B$7)</f>
        <v>1.8296773280626461E-3</v>
      </c>
    </row>
    <row r="3744" spans="1:10" x14ac:dyDescent="0.2">
      <c r="A3744" s="2">
        <v>3736</v>
      </c>
      <c r="B3744" s="14">
        <f>A3744*Assumptions!$B$12</f>
        <v>37.36</v>
      </c>
      <c r="C3744" s="15">
        <f>IF(A3744&lt;=Assumptions!$B$13,IF(OR(A3744=0,A3744=Assumptions!$B$13),0.5,1),0)*Assumptions!$B$12</f>
        <v>0</v>
      </c>
      <c r="D3744" s="12">
        <f>D3743*(1-Assumptions!$B$12*(Assumptions!$B$5+Assumptions!$B$6))</f>
        <v>0.32596405852019866</v>
      </c>
      <c r="E3744" s="12">
        <f>E3743+Assumptions!$B$12*(D3743*Assumptions!$B$5-E3743*Assumptions!$B$7)</f>
        <v>0.17160396797447294</v>
      </c>
      <c r="F3744" s="12">
        <f t="shared" si="174"/>
        <v>0.50243197350532842</v>
      </c>
      <c r="G3744" s="12">
        <f>EXP(-Assumptions!$B$8*B3744)</f>
        <v>0.15443221759168632</v>
      </c>
      <c r="H3744" s="12">
        <f t="shared" si="175"/>
        <v>5.0339352412460493E-2</v>
      </c>
      <c r="I3744" s="12">
        <f t="shared" si="176"/>
        <v>2.6501181321830578E-2</v>
      </c>
      <c r="J3744" s="12">
        <f>G3744*(D3744*Assumptions!$B$6+E3744*Assumptions!$B$7)</f>
        <v>1.8284525902161337E-3</v>
      </c>
    </row>
    <row r="3745" spans="1:10" x14ac:dyDescent="0.2">
      <c r="A3745" s="2">
        <v>3737</v>
      </c>
      <c r="B3745" s="14">
        <f>A3745*Assumptions!$B$12</f>
        <v>37.369999999999997</v>
      </c>
      <c r="C3745" s="15">
        <f>IF(A3745&lt;=Assumptions!$B$13,IF(OR(A3745=0,A3745=Assumptions!$B$13),0.5,1),0)*Assumptions!$B$12</f>
        <v>0</v>
      </c>
      <c r="D3745" s="12">
        <f>D3744*(1-Assumptions!$B$12*(Assumptions!$B$5+Assumptions!$B$6))</f>
        <v>0.32586626930264262</v>
      </c>
      <c r="E3745" s="12">
        <f>E3744+Assumptions!$B$12*(D3744*Assumptions!$B$5-E3744*Assumptions!$B$7)</f>
        <v>0.17158335880218975</v>
      </c>
      <c r="F3745" s="12">
        <f t="shared" si="174"/>
        <v>0.5025503718951676</v>
      </c>
      <c r="G3745" s="12">
        <f>EXP(-Assumptions!$B$8*B3745)</f>
        <v>0.15435502078370072</v>
      </c>
      <c r="H3745" s="12">
        <f t="shared" si="175"/>
        <v>5.0299094770916417E-2</v>
      </c>
      <c r="I3745" s="12">
        <f t="shared" si="176"/>
        <v>2.6484752914049177E-2</v>
      </c>
      <c r="J3745" s="12">
        <f>G3745*(D3745*Assumptions!$B$6+E3745*Assumptions!$B$7)</f>
        <v>1.8272285934116232E-3</v>
      </c>
    </row>
    <row r="3746" spans="1:10" x14ac:dyDescent="0.2">
      <c r="A3746" s="2">
        <v>3738</v>
      </c>
      <c r="B3746" s="14">
        <f>A3746*Assumptions!$B$12</f>
        <v>37.380000000000003</v>
      </c>
      <c r="C3746" s="15">
        <f>IF(A3746&lt;=Assumptions!$B$13,IF(OR(A3746=0,A3746=Assumptions!$B$13),0.5,1),0)*Assumptions!$B$12</f>
        <v>0</v>
      </c>
      <c r="D3746" s="12">
        <f>D3745*(1-Assumptions!$B$12*(Assumptions!$B$5+Assumptions!$B$6))</f>
        <v>0.32576850942185182</v>
      </c>
      <c r="E3746" s="12">
        <f>E3745+Assumptions!$B$12*(D3745*Assumptions!$B$5-E3745*Assumptions!$B$7)</f>
        <v>0.17156274037664918</v>
      </c>
      <c r="F3746" s="12">
        <f t="shared" si="174"/>
        <v>0.50266875020149893</v>
      </c>
      <c r="G3746" s="12">
        <f>EXP(-Assumptions!$B$8*B3746)</f>
        <v>0.15427786256447112</v>
      </c>
      <c r="H3746" s="12">
        <f t="shared" si="175"/>
        <v>5.0258869324417074E-2</v>
      </c>
      <c r="I3746" s="12">
        <f t="shared" si="176"/>
        <v>2.6468332881012722E-2</v>
      </c>
      <c r="J3746" s="12">
        <f>G3746*(D3746*Assumptions!$B$6+E3746*Assumptions!$B$7)</f>
        <v>1.826005337294807E-3</v>
      </c>
    </row>
    <row r="3747" spans="1:10" x14ac:dyDescent="0.2">
      <c r="A3747" s="2">
        <v>3739</v>
      </c>
      <c r="B3747" s="14">
        <f>A3747*Assumptions!$B$12</f>
        <v>37.39</v>
      </c>
      <c r="C3747" s="15">
        <f>IF(A3747&lt;=Assumptions!$B$13,IF(OR(A3747=0,A3747=Assumptions!$B$13),0.5,1),0)*Assumptions!$B$12</f>
        <v>0</v>
      </c>
      <c r="D3747" s="12">
        <f>D3746*(1-Assumptions!$B$12*(Assumptions!$B$5+Assumptions!$B$6))</f>
        <v>0.32567077886902529</v>
      </c>
      <c r="E3747" s="12">
        <f>E3746+Assumptions!$B$12*(D3746*Assumptions!$B$5-E3746*Assumptions!$B$7)</f>
        <v>0.17154211270834521</v>
      </c>
      <c r="F3747" s="12">
        <f t="shared" si="174"/>
        <v>0.50278710842262953</v>
      </c>
      <c r="G3747" s="12">
        <f>EXP(-Assumptions!$B$8*B3747)</f>
        <v>0.15420074291470801</v>
      </c>
      <c r="H3747" s="12">
        <f t="shared" si="175"/>
        <v>5.0218676047215291E-2</v>
      </c>
      <c r="I3747" s="12">
        <f t="shared" si="176"/>
        <v>2.6451921220785404E-2</v>
      </c>
      <c r="J3747" s="12">
        <f>G3747*(D3747*Assumptions!$B$6+E3747*Assumptions!$B$7)</f>
        <v>1.8247828215114232E-3</v>
      </c>
    </row>
    <row r="3748" spans="1:10" x14ac:dyDescent="0.2">
      <c r="A3748" s="2">
        <v>3740</v>
      </c>
      <c r="B3748" s="14">
        <f>A3748*Assumptions!$B$12</f>
        <v>37.4</v>
      </c>
      <c r="C3748" s="15">
        <f>IF(A3748&lt;=Assumptions!$B$13,IF(OR(A3748=0,A3748=Assumptions!$B$13),0.5,1),0)*Assumptions!$B$12</f>
        <v>0</v>
      </c>
      <c r="D3748" s="12">
        <f>D3747*(1-Assumptions!$B$12*(Assumptions!$B$5+Assumptions!$B$6))</f>
        <v>0.32557307763536458</v>
      </c>
      <c r="E3748" s="12">
        <f>E3747+Assumptions!$B$12*(D3747*Assumptions!$B$5-E3747*Assumptions!$B$7)</f>
        <v>0.17152147580776483</v>
      </c>
      <c r="F3748" s="12">
        <f t="shared" si="174"/>
        <v>0.50290544655687053</v>
      </c>
      <c r="G3748" s="12">
        <f>EXP(-Assumptions!$B$8*B3748)</f>
        <v>0.1541236618151314</v>
      </c>
      <c r="H3748" s="12">
        <f t="shared" si="175"/>
        <v>5.0178514913584452E-2</v>
      </c>
      <c r="I3748" s="12">
        <f t="shared" si="176"/>
        <v>2.643551793142819E-2</v>
      </c>
      <c r="J3748" s="12">
        <f>G3748*(D3748*Assumptions!$B$6+E3748*Assumptions!$B$7)</f>
        <v>1.8235610457072542E-3</v>
      </c>
    </row>
    <row r="3749" spans="1:10" x14ac:dyDescent="0.2">
      <c r="A3749" s="2">
        <v>3741</v>
      </c>
      <c r="B3749" s="14">
        <f>A3749*Assumptions!$B$12</f>
        <v>37.410000000000004</v>
      </c>
      <c r="C3749" s="15">
        <f>IF(A3749&lt;=Assumptions!$B$13,IF(OR(A3749=0,A3749=Assumptions!$B$13),0.5,1),0)*Assumptions!$B$12</f>
        <v>0</v>
      </c>
      <c r="D3749" s="12">
        <f>D3748*(1-Assumptions!$B$12*(Assumptions!$B$5+Assumptions!$B$6))</f>
        <v>0.32547540571207401</v>
      </c>
      <c r="E3749" s="12">
        <f>E3748+Assumptions!$B$12*(D3748*Assumptions!$B$5-E3748*Assumptions!$B$7)</f>
        <v>0.17150082968538802</v>
      </c>
      <c r="F3749" s="12">
        <f t="shared" si="174"/>
        <v>0.50302376460253795</v>
      </c>
      <c r="G3749" s="12">
        <f>EXP(-Assumptions!$B$8*B3749)</f>
        <v>0.15404661924647103</v>
      </c>
      <c r="H3749" s="12">
        <f t="shared" si="175"/>
        <v>5.0138385897818549E-2</v>
      </c>
      <c r="I3749" s="12">
        <f t="shared" si="176"/>
        <v>2.6419123010998843E-2</v>
      </c>
      <c r="J3749" s="12">
        <f>G3749*(D3749*Assumptions!$B$6+E3749*Assumptions!$B$7)</f>
        <v>1.8223400095281278E-3</v>
      </c>
    </row>
    <row r="3750" spans="1:10" x14ac:dyDescent="0.2">
      <c r="A3750" s="2">
        <v>3742</v>
      </c>
      <c r="B3750" s="14">
        <f>A3750*Assumptions!$B$12</f>
        <v>37.42</v>
      </c>
      <c r="C3750" s="15">
        <f>IF(A3750&lt;=Assumptions!$B$13,IF(OR(A3750=0,A3750=Assumptions!$B$13),0.5,1),0)*Assumptions!$B$12</f>
        <v>0</v>
      </c>
      <c r="D3750" s="12">
        <f>D3749*(1-Assumptions!$B$12*(Assumptions!$B$5+Assumptions!$B$6))</f>
        <v>0.32537776309036037</v>
      </c>
      <c r="E3750" s="12">
        <f>E3749+Assumptions!$B$12*(D3749*Assumptions!$B$5-E3749*Assumptions!$B$7)</f>
        <v>0.17148017435168775</v>
      </c>
      <c r="F3750" s="12">
        <f t="shared" si="174"/>
        <v>0.50314206255795191</v>
      </c>
      <c r="G3750" s="12">
        <f>EXP(-Assumptions!$B$8*B3750)</f>
        <v>0.15396961518946631</v>
      </c>
      <c r="H3750" s="12">
        <f t="shared" si="175"/>
        <v>5.0098288974232123E-2</v>
      </c>
      <c r="I3750" s="12">
        <f t="shared" si="176"/>
        <v>2.6402736457551954E-2</v>
      </c>
      <c r="J3750" s="12">
        <f>G3750*(D3750*Assumptions!$B$6+E3750*Assumptions!$B$7)</f>
        <v>1.821119712619919E-3</v>
      </c>
    </row>
    <row r="3751" spans="1:10" x14ac:dyDescent="0.2">
      <c r="A3751" s="2">
        <v>3743</v>
      </c>
      <c r="B3751" s="14">
        <f>A3751*Assumptions!$B$12</f>
        <v>37.43</v>
      </c>
      <c r="C3751" s="15">
        <f>IF(A3751&lt;=Assumptions!$B$13,IF(OR(A3751=0,A3751=Assumptions!$B$13),0.5,1),0)*Assumptions!$B$12</f>
        <v>0</v>
      </c>
      <c r="D3751" s="12">
        <f>D3750*(1-Assumptions!$B$12*(Assumptions!$B$5+Assumptions!$B$6))</f>
        <v>0.32528014976143327</v>
      </c>
      <c r="E3751" s="12">
        <f>E3750+Assumptions!$B$12*(D3750*Assumptions!$B$5-E3750*Assumptions!$B$7)</f>
        <v>0.17145950981712998</v>
      </c>
      <c r="F3751" s="12">
        <f t="shared" si="174"/>
        <v>0.50326034042143675</v>
      </c>
      <c r="G3751" s="12">
        <f>EXP(-Assumptions!$B$8*B3751)</f>
        <v>0.15389264962486618</v>
      </c>
      <c r="H3751" s="12">
        <f t="shared" si="175"/>
        <v>5.0058224117160245E-2</v>
      </c>
      <c r="I3751" s="12">
        <f t="shared" si="176"/>
        <v>2.6386358269138887E-2</v>
      </c>
      <c r="J3751" s="12">
        <f>G3751*(D3751*Assumptions!$B$6+E3751*Assumptions!$B$7)</f>
        <v>1.8199001546285469E-3</v>
      </c>
    </row>
    <row r="3752" spans="1:10" x14ac:dyDescent="0.2">
      <c r="A3752" s="2">
        <v>3744</v>
      </c>
      <c r="B3752" s="14">
        <f>A3752*Assumptions!$B$12</f>
        <v>37.44</v>
      </c>
      <c r="C3752" s="15">
        <f>IF(A3752&lt;=Assumptions!$B$13,IF(OR(A3752=0,A3752=Assumptions!$B$13),0.5,1),0)*Assumptions!$B$12</f>
        <v>0</v>
      </c>
      <c r="D3752" s="12">
        <f>D3751*(1-Assumptions!$B$12*(Assumptions!$B$5+Assumptions!$B$6))</f>
        <v>0.32518256571650483</v>
      </c>
      <c r="E3752" s="12">
        <f>E3751+Assumptions!$B$12*(D3751*Assumptions!$B$5-E3751*Assumptions!$B$7)</f>
        <v>0.1714388360921737</v>
      </c>
      <c r="F3752" s="12">
        <f t="shared" si="174"/>
        <v>0.50337859819132147</v>
      </c>
      <c r="G3752" s="12">
        <f>EXP(-Assumptions!$B$8*B3752)</f>
        <v>0.15381572253342932</v>
      </c>
      <c r="H3752" s="12">
        <f t="shared" si="175"/>
        <v>5.0018191300958553E-2</v>
      </c>
      <c r="I3752" s="12">
        <f t="shared" si="176"/>
        <v>2.6369988443807856E-2</v>
      </c>
      <c r="J3752" s="12">
        <f>G3752*(D3752*Assumptions!$B$6+E3752*Assumptions!$B$7)</f>
        <v>1.8186813351999784E-3</v>
      </c>
    </row>
    <row r="3753" spans="1:10" x14ac:dyDescent="0.2">
      <c r="A3753" s="2">
        <v>3745</v>
      </c>
      <c r="B3753" s="14">
        <f>A3753*Assumptions!$B$12</f>
        <v>37.450000000000003</v>
      </c>
      <c r="C3753" s="15">
        <f>IF(A3753&lt;=Assumptions!$B$13,IF(OR(A3753=0,A3753=Assumptions!$B$13),0.5,1),0)*Assumptions!$B$12</f>
        <v>0</v>
      </c>
      <c r="D3753" s="12">
        <f>D3752*(1-Assumptions!$B$12*(Assumptions!$B$5+Assumptions!$B$6))</f>
        <v>0.32508501094678988</v>
      </c>
      <c r="E3753" s="12">
        <f>E3752+Assumptions!$B$12*(D3752*Assumptions!$B$5-E3752*Assumptions!$B$7)</f>
        <v>0.17141815318727091</v>
      </c>
      <c r="F3753" s="12">
        <f t="shared" si="174"/>
        <v>0.50349683586593919</v>
      </c>
      <c r="G3753" s="12">
        <f>EXP(-Assumptions!$B$8*B3753)</f>
        <v>0.15373883389592374</v>
      </c>
      <c r="H3753" s="12">
        <f t="shared" si="175"/>
        <v>4.9978190500003079E-2</v>
      </c>
      <c r="I3753" s="12">
        <f t="shared" si="176"/>
        <v>2.6353626979603854E-2</v>
      </c>
      <c r="J3753" s="12">
        <f>G3753*(D3753*Assumptions!$B$6+E3753*Assumptions!$B$7)</f>
        <v>1.8174632539802236E-3</v>
      </c>
    </row>
    <row r="3754" spans="1:10" x14ac:dyDescent="0.2">
      <c r="A3754" s="2">
        <v>3746</v>
      </c>
      <c r="B3754" s="14">
        <f>A3754*Assumptions!$B$12</f>
        <v>37.46</v>
      </c>
      <c r="C3754" s="15">
        <f>IF(A3754&lt;=Assumptions!$B$13,IF(OR(A3754=0,A3754=Assumptions!$B$13),0.5,1),0)*Assumptions!$B$12</f>
        <v>0</v>
      </c>
      <c r="D3754" s="12">
        <f>D3753*(1-Assumptions!$B$12*(Assumptions!$B$5+Assumptions!$B$6))</f>
        <v>0.32498748544350586</v>
      </c>
      <c r="E3754" s="12">
        <f>E3753+Assumptions!$B$12*(D3753*Assumptions!$B$5-E3753*Assumptions!$B$7)</f>
        <v>0.17139746111286663</v>
      </c>
      <c r="F3754" s="12">
        <f t="shared" si="174"/>
        <v>0.50361505344362745</v>
      </c>
      <c r="G3754" s="12">
        <f>EXP(-Assumptions!$B$8*B3754)</f>
        <v>0.15366198369312753</v>
      </c>
      <c r="H3754" s="12">
        <f t="shared" si="175"/>
        <v>4.9938221688690519E-2</v>
      </c>
      <c r="I3754" s="12">
        <f t="shared" si="176"/>
        <v>2.6337273874568773E-2</v>
      </c>
      <c r="J3754" s="12">
        <f>G3754*(D3754*Assumptions!$B$6+E3754*Assumptions!$B$7)</f>
        <v>1.8162459106153439E-3</v>
      </c>
    </row>
    <row r="3755" spans="1:10" x14ac:dyDescent="0.2">
      <c r="A3755" s="2">
        <v>3747</v>
      </c>
      <c r="B3755" s="14">
        <f>A3755*Assumptions!$B$12</f>
        <v>37.47</v>
      </c>
      <c r="C3755" s="15">
        <f>IF(A3755&lt;=Assumptions!$B$13,IF(OR(A3755=0,A3755=Assumptions!$B$13),0.5,1),0)*Assumptions!$B$12</f>
        <v>0</v>
      </c>
      <c r="D3755" s="12">
        <f>D3754*(1-Assumptions!$B$12*(Assumptions!$B$5+Assumptions!$B$6))</f>
        <v>0.32488998919787282</v>
      </c>
      <c r="E3755" s="12">
        <f>E3754+Assumptions!$B$12*(D3754*Assumptions!$B$5-E3754*Assumptions!$B$7)</f>
        <v>0.1713767598793989</v>
      </c>
      <c r="F3755" s="12">
        <f t="shared" si="174"/>
        <v>0.50373325092272825</v>
      </c>
      <c r="G3755" s="12">
        <f>EXP(-Assumptions!$B$8*B3755)</f>
        <v>0.1535851719058281</v>
      </c>
      <c r="H3755" s="12">
        <f t="shared" si="175"/>
        <v>4.9898284841437934E-2</v>
      </c>
      <c r="I3755" s="12">
        <f t="shared" si="176"/>
        <v>2.6320929126741305E-2</v>
      </c>
      <c r="J3755" s="12">
        <f>G3755*(D3755*Assumptions!$B$6+E3755*Assumptions!$B$7)</f>
        <v>1.8150293047514447E-3</v>
      </c>
    </row>
    <row r="3756" spans="1:10" x14ac:dyDescent="0.2">
      <c r="A3756" s="2">
        <v>3748</v>
      </c>
      <c r="B3756" s="14">
        <f>A3756*Assumptions!$B$12</f>
        <v>37.480000000000004</v>
      </c>
      <c r="C3756" s="15">
        <f>IF(A3756&lt;=Assumptions!$B$13,IF(OR(A3756=0,A3756=Assumptions!$B$13),0.5,1),0)*Assumptions!$B$12</f>
        <v>0</v>
      </c>
      <c r="D3756" s="12">
        <f>D3755*(1-Assumptions!$B$12*(Assumptions!$B$5+Assumptions!$B$6))</f>
        <v>0.32479252220111349</v>
      </c>
      <c r="E3756" s="12">
        <f>E3755+Assumptions!$B$12*(D3755*Assumptions!$B$5-E3755*Assumptions!$B$7)</f>
        <v>0.17135604949729877</v>
      </c>
      <c r="F3756" s="12">
        <f t="shared" si="174"/>
        <v>0.5038514283015878</v>
      </c>
      <c r="G3756" s="12">
        <f>EXP(-Assumptions!$B$8*B3756)</f>
        <v>0.15350839851482231</v>
      </c>
      <c r="H3756" s="12">
        <f t="shared" si="175"/>
        <v>4.98583799326828E-2</v>
      </c>
      <c r="I3756" s="12">
        <f t="shared" si="176"/>
        <v>2.6304592734156956E-2</v>
      </c>
      <c r="J3756" s="12">
        <f>G3756*(D3756*Assumptions!$B$6+E3756*Assumptions!$B$7)</f>
        <v>1.8138134360346757E-3</v>
      </c>
    </row>
    <row r="3757" spans="1:10" x14ac:dyDescent="0.2">
      <c r="A3757" s="2">
        <v>3749</v>
      </c>
      <c r="B3757" s="14">
        <f>A3757*Assumptions!$B$12</f>
        <v>37.49</v>
      </c>
      <c r="C3757" s="15">
        <f>IF(A3757&lt;=Assumptions!$B$13,IF(OR(A3757=0,A3757=Assumptions!$B$13),0.5,1),0)*Assumptions!$B$12</f>
        <v>0</v>
      </c>
      <c r="D3757" s="12">
        <f>D3756*(1-Assumptions!$B$12*(Assumptions!$B$5+Assumptions!$B$6))</f>
        <v>0.32469508444445316</v>
      </c>
      <c r="E3757" s="12">
        <f>E3756+Assumptions!$B$12*(D3756*Assumptions!$B$5-E3756*Assumptions!$B$7)</f>
        <v>0.17133532997699033</v>
      </c>
      <c r="F3757" s="12">
        <f t="shared" si="174"/>
        <v>0.50396958557855653</v>
      </c>
      <c r="G3757" s="12">
        <f>EXP(-Assumptions!$B$8*B3757)</f>
        <v>0.15343166350091703</v>
      </c>
      <c r="H3757" s="12">
        <f t="shared" si="175"/>
        <v>4.9818506936883174E-2</v>
      </c>
      <c r="I3757" s="12">
        <f t="shared" si="176"/>
        <v>2.628826469484816E-2</v>
      </c>
      <c r="J3757" s="12">
        <f>G3757*(D3757*Assumptions!$B$6+E3757*Assumptions!$B$7)</f>
        <v>1.81259830411124E-3</v>
      </c>
    </row>
    <row r="3758" spans="1:10" x14ac:dyDescent="0.2">
      <c r="A3758" s="2">
        <v>3750</v>
      </c>
      <c r="B3758" s="14">
        <f>A3758*Assumptions!$B$12</f>
        <v>37.5</v>
      </c>
      <c r="C3758" s="15">
        <f>IF(A3758&lt;=Assumptions!$B$13,IF(OR(A3758=0,A3758=Assumptions!$B$13),0.5,1),0)*Assumptions!$B$12</f>
        <v>0</v>
      </c>
      <c r="D3758" s="12">
        <f>D3757*(1-Assumptions!$B$12*(Assumptions!$B$5+Assumptions!$B$6))</f>
        <v>0.32459767591911987</v>
      </c>
      <c r="E3758" s="12">
        <f>E3757+Assumptions!$B$12*(D3757*Assumptions!$B$5-E3757*Assumptions!$B$7)</f>
        <v>0.17131460132889073</v>
      </c>
      <c r="F3758" s="12">
        <f t="shared" si="174"/>
        <v>0.50408772275198943</v>
      </c>
      <c r="G3758" s="12">
        <f>EXP(-Assumptions!$B$8*B3758)</f>
        <v>0.15335496684492847</v>
      </c>
      <c r="H3758" s="12">
        <f t="shared" si="175"/>
        <v>4.9778665828517463E-2</v>
      </c>
      <c r="I3758" s="12">
        <f t="shared" si="176"/>
        <v>2.6271945006844176E-2</v>
      </c>
      <c r="J3758" s="12">
        <f>G3758*(D3758*Assumptions!$B$6+E3758*Assumptions!$B$7)</f>
        <v>1.8113839086273834E-3</v>
      </c>
    </row>
    <row r="3759" spans="1:10" x14ac:dyDescent="0.2">
      <c r="A3759" s="2">
        <v>3751</v>
      </c>
      <c r="B3759" s="14">
        <f>A3759*Assumptions!$B$12</f>
        <v>37.51</v>
      </c>
      <c r="C3759" s="15">
        <f>IF(A3759&lt;=Assumptions!$B$13,IF(OR(A3759=0,A3759=Assumptions!$B$13),0.5,1),0)*Assumptions!$B$12</f>
        <v>0</v>
      </c>
      <c r="D3759" s="12">
        <f>D3758*(1-Assumptions!$B$12*(Assumptions!$B$5+Assumptions!$B$6))</f>
        <v>0.32450029661634416</v>
      </c>
      <c r="E3759" s="12">
        <f>E3758+Assumptions!$B$12*(D3758*Assumptions!$B$5-E3758*Assumptions!$B$7)</f>
        <v>0.17129386356341011</v>
      </c>
      <c r="F3759" s="12">
        <f t="shared" si="174"/>
        <v>0.50420583982024569</v>
      </c>
      <c r="G3759" s="12">
        <f>EXP(-Assumptions!$B$8*B3759)</f>
        <v>0.15327830852768237</v>
      </c>
      <c r="H3759" s="12">
        <f t="shared" si="175"/>
        <v>4.9738856582084448E-2</v>
      </c>
      <c r="I3759" s="12">
        <f t="shared" si="176"/>
        <v>2.6255633668171106E-2</v>
      </c>
      <c r="J3759" s="12">
        <f>G3759*(D3759*Assumptions!$B$6+E3759*Assumptions!$B$7)</f>
        <v>1.8101702492293998E-3</v>
      </c>
    </row>
    <row r="3760" spans="1:10" x14ac:dyDescent="0.2">
      <c r="A3760" s="2">
        <v>3752</v>
      </c>
      <c r="B3760" s="14">
        <f>A3760*Assumptions!$B$12</f>
        <v>37.520000000000003</v>
      </c>
      <c r="C3760" s="15">
        <f>IF(A3760&lt;=Assumptions!$B$13,IF(OR(A3760=0,A3760=Assumptions!$B$13),0.5,1),0)*Assumptions!$B$12</f>
        <v>0</v>
      </c>
      <c r="D3760" s="12">
        <f>D3759*(1-Assumptions!$B$12*(Assumptions!$B$5+Assumptions!$B$6))</f>
        <v>0.32440294652735929</v>
      </c>
      <c r="E3760" s="12">
        <f>E3759+Assumptions!$B$12*(D3759*Assumptions!$B$5-E3759*Assumptions!$B$7)</f>
        <v>0.17127311669095169</v>
      </c>
      <c r="F3760" s="12">
        <f t="shared" si="174"/>
        <v>0.50432393678168908</v>
      </c>
      <c r="G3760" s="12">
        <f>EXP(-Assumptions!$B$8*B3760)</f>
        <v>0.15320168853001415</v>
      </c>
      <c r="H3760" s="12">
        <f t="shared" si="175"/>
        <v>4.9699079172103332E-2</v>
      </c>
      <c r="I3760" s="12">
        <f t="shared" si="176"/>
        <v>2.6239330676851948E-2</v>
      </c>
      <c r="J3760" s="12">
        <f>G3760*(D3760*Assumptions!$B$6+E3760*Assumptions!$B$7)</f>
        <v>1.8089573255636309E-3</v>
      </c>
    </row>
    <row r="3761" spans="1:10" x14ac:dyDescent="0.2">
      <c r="A3761" s="2">
        <v>3753</v>
      </c>
      <c r="B3761" s="14">
        <f>A3761*Assumptions!$B$12</f>
        <v>37.53</v>
      </c>
      <c r="C3761" s="15">
        <f>IF(A3761&lt;=Assumptions!$B$13,IF(OR(A3761=0,A3761=Assumptions!$B$13),0.5,1),0)*Assumptions!$B$12</f>
        <v>0</v>
      </c>
      <c r="D3761" s="12">
        <f>D3760*(1-Assumptions!$B$12*(Assumptions!$B$5+Assumptions!$B$6))</f>
        <v>0.3243056256434011</v>
      </c>
      <c r="E3761" s="12">
        <f>E3760+Assumptions!$B$12*(D3760*Assumptions!$B$5-E3760*Assumptions!$B$7)</f>
        <v>0.17125236072191169</v>
      </c>
      <c r="F3761" s="12">
        <f t="shared" si="174"/>
        <v>0.50444201363468721</v>
      </c>
      <c r="G3761" s="12">
        <f>EXP(-Assumptions!$B$8*B3761)</f>
        <v>0.15312510683276892</v>
      </c>
      <c r="H3761" s="12">
        <f t="shared" si="175"/>
        <v>4.9659333573113758E-2</v>
      </c>
      <c r="I3761" s="12">
        <f t="shared" si="176"/>
        <v>2.6223036030906609E-2</v>
      </c>
      <c r="J3761" s="12">
        <f>G3761*(D3761*Assumptions!$B$6+E3761*Assumptions!$B$7)</f>
        <v>1.8077451372764679E-3</v>
      </c>
    </row>
    <row r="3762" spans="1:10" x14ac:dyDescent="0.2">
      <c r="A3762" s="2">
        <v>3754</v>
      </c>
      <c r="B3762" s="14">
        <f>A3762*Assumptions!$B$12</f>
        <v>37.54</v>
      </c>
      <c r="C3762" s="15">
        <f>IF(A3762&lt;=Assumptions!$B$13,IF(OR(A3762=0,A3762=Assumptions!$B$13),0.5,1),0)*Assumptions!$B$12</f>
        <v>0</v>
      </c>
      <c r="D3762" s="12">
        <f>D3761*(1-Assumptions!$B$12*(Assumptions!$B$5+Assumptions!$B$6))</f>
        <v>0.32420833395570808</v>
      </c>
      <c r="E3762" s="12">
        <f>E3761+Assumptions!$B$12*(D3761*Assumptions!$B$5-E3761*Assumptions!$B$7)</f>
        <v>0.17123159566667942</v>
      </c>
      <c r="F3762" s="12">
        <f t="shared" si="174"/>
        <v>0.50456007037761252</v>
      </c>
      <c r="G3762" s="12">
        <f>EXP(-Assumptions!$B$8*B3762)</f>
        <v>0.1530485634168012</v>
      </c>
      <c r="H3762" s="12">
        <f t="shared" si="175"/>
        <v>4.9619619759675652E-2</v>
      </c>
      <c r="I3762" s="12">
        <f t="shared" si="176"/>
        <v>2.6206749728351849E-2</v>
      </c>
      <c r="J3762" s="12">
        <f>G3762*(D3762*Assumptions!$B$6+E3762*Assumptions!$B$7)</f>
        <v>1.8065336840143492E-3</v>
      </c>
    </row>
    <row r="3763" spans="1:10" x14ac:dyDescent="0.2">
      <c r="A3763" s="2">
        <v>3755</v>
      </c>
      <c r="B3763" s="14">
        <f>A3763*Assumptions!$B$12</f>
        <v>37.550000000000004</v>
      </c>
      <c r="C3763" s="15">
        <f>IF(A3763&lt;=Assumptions!$B$13,IF(OR(A3763=0,A3763=Assumptions!$B$13),0.5,1),0)*Assumptions!$B$12</f>
        <v>0</v>
      </c>
      <c r="D3763" s="12">
        <f>D3762*(1-Assumptions!$B$12*(Assumptions!$B$5+Assumptions!$B$6))</f>
        <v>0.32411107145552137</v>
      </c>
      <c r="E3763" s="12">
        <f>E3762+Assumptions!$B$12*(D3762*Assumptions!$B$5-E3762*Assumptions!$B$7)</f>
        <v>0.17121082153563721</v>
      </c>
      <c r="F3763" s="12">
        <f t="shared" si="174"/>
        <v>0.50467810700884153</v>
      </c>
      <c r="G3763" s="12">
        <f>EXP(-Assumptions!$B$8*B3763)</f>
        <v>0.15297205826297505</v>
      </c>
      <c r="H3763" s="12">
        <f t="shared" si="175"/>
        <v>4.9579937706369287E-2</v>
      </c>
      <c r="I3763" s="12">
        <f t="shared" si="176"/>
        <v>2.619047176720132E-2</v>
      </c>
      <c r="J3763" s="12">
        <f>G3763*(D3763*Assumptions!$B$6+E3763*Assumptions!$B$7)</f>
        <v>1.805322965423759E-3</v>
      </c>
    </row>
    <row r="3764" spans="1:10" x14ac:dyDescent="0.2">
      <c r="A3764" s="2">
        <v>3756</v>
      </c>
      <c r="B3764" s="14">
        <f>A3764*Assumptions!$B$12</f>
        <v>37.56</v>
      </c>
      <c r="C3764" s="15">
        <f>IF(A3764&lt;=Assumptions!$B$13,IF(OR(A3764=0,A3764=Assumptions!$B$13),0.5,1),0)*Assumptions!$B$12</f>
        <v>0</v>
      </c>
      <c r="D3764" s="12">
        <f>D3763*(1-Assumptions!$B$12*(Assumptions!$B$5+Assumptions!$B$6))</f>
        <v>0.32401383813408474</v>
      </c>
      <c r="E3764" s="12">
        <f>E3763+Assumptions!$B$12*(D3763*Assumptions!$B$5-E3763*Assumptions!$B$7)</f>
        <v>0.17119003833916049</v>
      </c>
      <c r="F3764" s="12">
        <f t="shared" si="174"/>
        <v>0.50479612352675485</v>
      </c>
      <c r="G3764" s="12">
        <f>EXP(-Assumptions!$B$8*B3764)</f>
        <v>0.15289559135216438</v>
      </c>
      <c r="H3764" s="12">
        <f t="shared" si="175"/>
        <v>4.9540287387795354E-2</v>
      </c>
      <c r="I3764" s="12">
        <f t="shared" si="176"/>
        <v>2.6174202145465637E-2</v>
      </c>
      <c r="J3764" s="12">
        <f>G3764*(D3764*Assumptions!$B$6+E3764*Assumptions!$B$7)</f>
        <v>1.8041129811512356E-3</v>
      </c>
    </row>
    <row r="3765" spans="1:10" x14ac:dyDescent="0.2">
      <c r="A3765" s="2">
        <v>3757</v>
      </c>
      <c r="B3765" s="14">
        <f>A3765*Assumptions!$B$12</f>
        <v>37.57</v>
      </c>
      <c r="C3765" s="15">
        <f>IF(A3765&lt;=Assumptions!$B$13,IF(OR(A3765=0,A3765=Assumptions!$B$13),0.5,1),0)*Assumptions!$B$12</f>
        <v>0</v>
      </c>
      <c r="D3765" s="12">
        <f>D3764*(1-Assumptions!$B$12*(Assumptions!$B$5+Assumptions!$B$6))</f>
        <v>0.32391663398264453</v>
      </c>
      <c r="E3765" s="12">
        <f>E3764+Assumptions!$B$12*(D3764*Assumptions!$B$5-E3764*Assumptions!$B$7)</f>
        <v>0.17116924608761774</v>
      </c>
      <c r="F3765" s="12">
        <f t="shared" si="174"/>
        <v>0.50491411992973778</v>
      </c>
      <c r="G3765" s="12">
        <f>EXP(-Assumptions!$B$8*B3765)</f>
        <v>0.15281916266525231</v>
      </c>
      <c r="H3765" s="12">
        <f t="shared" si="175"/>
        <v>4.9500668778574744E-2</v>
      </c>
      <c r="I3765" s="12">
        <f t="shared" si="176"/>
        <v>2.6157940861152258E-2</v>
      </c>
      <c r="J3765" s="12">
        <f>G3765*(D3765*Assumptions!$B$6+E3765*Assumptions!$B$7)</f>
        <v>1.8029037308433607E-3</v>
      </c>
    </row>
    <row r="3766" spans="1:10" x14ac:dyDescent="0.2">
      <c r="A3766" s="2">
        <v>3758</v>
      </c>
      <c r="B3766" s="14">
        <f>A3766*Assumptions!$B$12</f>
        <v>37.58</v>
      </c>
      <c r="C3766" s="15">
        <f>IF(A3766&lt;=Assumptions!$B$13,IF(OR(A3766=0,A3766=Assumptions!$B$13),0.5,1),0)*Assumptions!$B$12</f>
        <v>0</v>
      </c>
      <c r="D3766" s="12">
        <f>D3765*(1-Assumptions!$B$12*(Assumptions!$B$5+Assumptions!$B$6))</f>
        <v>0.32381945899244974</v>
      </c>
      <c r="E3766" s="12">
        <f>E3765+Assumptions!$B$12*(D3765*Assumptions!$B$5-E3765*Assumptions!$B$7)</f>
        <v>0.17114844479137045</v>
      </c>
      <c r="F3766" s="12">
        <f t="shared" si="174"/>
        <v>0.50503209621617984</v>
      </c>
      <c r="G3766" s="12">
        <f>EXP(-Assumptions!$B$8*B3766)</f>
        <v>0.15274277218313168</v>
      </c>
      <c r="H3766" s="12">
        <f t="shared" si="175"/>
        <v>4.9461081853348701E-2</v>
      </c>
      <c r="I3766" s="12">
        <f t="shared" si="176"/>
        <v>2.6141687912265586E-2</v>
      </c>
      <c r="J3766" s="12">
        <f>G3766*(D3766*Assumptions!$B$6+E3766*Assumptions!$B$7)</f>
        <v>1.8016952141467666E-3</v>
      </c>
    </row>
    <row r="3767" spans="1:10" x14ac:dyDescent="0.2">
      <c r="A3767" s="2">
        <v>3759</v>
      </c>
      <c r="B3767" s="14">
        <f>A3767*Assumptions!$B$12</f>
        <v>37.590000000000003</v>
      </c>
      <c r="C3767" s="15">
        <f>IF(A3767&lt;=Assumptions!$B$13,IF(OR(A3767=0,A3767=Assumptions!$B$13),0.5,1),0)*Assumptions!$B$12</f>
        <v>0</v>
      </c>
      <c r="D3767" s="12">
        <f>D3766*(1-Assumptions!$B$12*(Assumptions!$B$5+Assumptions!$B$6))</f>
        <v>0.32372231315475203</v>
      </c>
      <c r="E3767" s="12">
        <f>E3766+Assumptions!$B$12*(D3766*Assumptions!$B$5-E3766*Assumptions!$B$7)</f>
        <v>0.17112763446077325</v>
      </c>
      <c r="F3767" s="12">
        <f t="shared" si="174"/>
        <v>0.50515005238447475</v>
      </c>
      <c r="G3767" s="12">
        <f>EXP(-Assumptions!$B$8*B3767)</f>
        <v>0.15266641988670487</v>
      </c>
      <c r="H3767" s="12">
        <f t="shared" si="175"/>
        <v>4.9421526586778737E-2</v>
      </c>
      <c r="I3767" s="12">
        <f t="shared" si="176"/>
        <v>2.6125443296806956E-2</v>
      </c>
      <c r="J3767" s="12">
        <f>G3767*(D3767*Assumptions!$B$6+E3767*Assumptions!$B$7)</f>
        <v>1.8004874307081353E-3</v>
      </c>
    </row>
    <row r="3768" spans="1:10" x14ac:dyDescent="0.2">
      <c r="A3768" s="2">
        <v>3760</v>
      </c>
      <c r="B3768" s="14">
        <f>A3768*Assumptions!$B$12</f>
        <v>37.6</v>
      </c>
      <c r="C3768" s="15">
        <f>IF(A3768&lt;=Assumptions!$B$13,IF(OR(A3768=0,A3768=Assumptions!$B$13),0.5,1),0)*Assumptions!$B$12</f>
        <v>0</v>
      </c>
      <c r="D3768" s="12">
        <f>D3767*(1-Assumptions!$B$12*(Assumptions!$B$5+Assumptions!$B$6))</f>
        <v>0.32362519646080562</v>
      </c>
      <c r="E3768" s="12">
        <f>E3767+Assumptions!$B$12*(D3767*Assumptions!$B$5-E3767*Assumptions!$B$7)</f>
        <v>0.17110681510617382</v>
      </c>
      <c r="F3768" s="12">
        <f t="shared" si="174"/>
        <v>0.50526798843302045</v>
      </c>
      <c r="G3768" s="12">
        <f>EXP(-Assumptions!$B$8*B3768)</f>
        <v>0.15259010575688386</v>
      </c>
      <c r="H3768" s="12">
        <f t="shared" si="175"/>
        <v>4.9382002953546646E-2</v>
      </c>
      <c r="I3768" s="12">
        <f t="shared" si="176"/>
        <v>2.6109207012774638E-2</v>
      </c>
      <c r="J3768" s="12">
        <f>G3768*(D3768*Assumptions!$B$6+E3768*Assumptions!$B$7)</f>
        <v>1.7992803801741982E-3</v>
      </c>
    </row>
    <row r="3769" spans="1:10" x14ac:dyDescent="0.2">
      <c r="A3769" s="2">
        <v>3761</v>
      </c>
      <c r="B3769" s="14">
        <f>A3769*Assumptions!$B$12</f>
        <v>37.61</v>
      </c>
      <c r="C3769" s="15">
        <f>IF(A3769&lt;=Assumptions!$B$13,IF(OR(A3769=0,A3769=Assumptions!$B$13),0.5,1),0)*Assumptions!$B$12</f>
        <v>0</v>
      </c>
      <c r="D3769" s="12">
        <f>D3768*(1-Assumptions!$B$12*(Assumptions!$B$5+Assumptions!$B$6))</f>
        <v>0.3235281089018674</v>
      </c>
      <c r="E3769" s="12">
        <f>E3768+Assumptions!$B$12*(D3768*Assumptions!$B$5-E3768*Assumptions!$B$7)</f>
        <v>0.17108598673791289</v>
      </c>
      <c r="F3769" s="12">
        <f t="shared" si="174"/>
        <v>0.5053859043602198</v>
      </c>
      <c r="G3769" s="12">
        <f>EXP(-Assumptions!$B$8*B3769)</f>
        <v>0.15251382977459008</v>
      </c>
      <c r="H3769" s="12">
        <f t="shared" si="175"/>
        <v>4.9342510928354441E-2</v>
      </c>
      <c r="I3769" s="12">
        <f t="shared" si="176"/>
        <v>2.6092979058163823E-2</v>
      </c>
      <c r="J3769" s="12">
        <f>G3769*(D3769*Assumptions!$B$6+E3769*Assumptions!$B$7)</f>
        <v>1.7980740621917355E-3</v>
      </c>
    </row>
    <row r="3770" spans="1:10" x14ac:dyDescent="0.2">
      <c r="A3770" s="2">
        <v>3762</v>
      </c>
      <c r="B3770" s="14">
        <f>A3770*Assumptions!$B$12</f>
        <v>37.619999999999997</v>
      </c>
      <c r="C3770" s="15">
        <f>IF(A3770&lt;=Assumptions!$B$13,IF(OR(A3770=0,A3770=Assumptions!$B$13),0.5,1),0)*Assumptions!$B$12</f>
        <v>0</v>
      </c>
      <c r="D3770" s="12">
        <f>D3769*(1-Assumptions!$B$12*(Assumptions!$B$5+Assumptions!$B$6))</f>
        <v>0.32343105046919685</v>
      </c>
      <c r="E3770" s="12">
        <f>E3769+Assumptions!$B$12*(D3769*Assumptions!$B$5-E3769*Assumptions!$B$7)</f>
        <v>0.1710651493663243</v>
      </c>
      <c r="F3770" s="12">
        <f t="shared" si="174"/>
        <v>0.50550380016447882</v>
      </c>
      <c r="G3770" s="12">
        <f>EXP(-Assumptions!$B$8*B3770)</f>
        <v>0.15243759192075454</v>
      </c>
      <c r="H3770" s="12">
        <f t="shared" si="175"/>
        <v>4.9303050485924392E-2</v>
      </c>
      <c r="I3770" s="12">
        <f t="shared" si="176"/>
        <v>2.6076759430966667E-2</v>
      </c>
      <c r="J3770" s="12">
        <f>G3770*(D3770*Assumptions!$B$6+E3770*Assumptions!$B$7)</f>
        <v>1.7968684764075771E-3</v>
      </c>
    </row>
    <row r="3771" spans="1:10" x14ac:dyDescent="0.2">
      <c r="A3771" s="2">
        <v>3763</v>
      </c>
      <c r="B3771" s="14">
        <f>A3771*Assumptions!$B$12</f>
        <v>37.630000000000003</v>
      </c>
      <c r="C3771" s="15">
        <f>IF(A3771&lt;=Assumptions!$B$13,IF(OR(A3771=0,A3771=Assumptions!$B$13),0.5,1),0)*Assumptions!$B$12</f>
        <v>0</v>
      </c>
      <c r="D3771" s="12">
        <f>D3770*(1-Assumptions!$B$12*(Assumptions!$B$5+Assumptions!$B$6))</f>
        <v>0.32333402115405607</v>
      </c>
      <c r="E3771" s="12">
        <f>E3770+Assumptions!$B$12*(D3770*Assumptions!$B$5-E3770*Assumptions!$B$7)</f>
        <v>0.17104430300173498</v>
      </c>
      <c r="F3771" s="12">
        <f t="shared" si="174"/>
        <v>0.50562167584420892</v>
      </c>
      <c r="G3771" s="12">
        <f>EXP(-Assumptions!$B$8*B3771)</f>
        <v>0.15236139217631772</v>
      </c>
      <c r="H3771" s="12">
        <f t="shared" si="175"/>
        <v>4.9263621600998946E-2</v>
      </c>
      <c r="I3771" s="12">
        <f t="shared" si="176"/>
        <v>2.6060548129172263E-2</v>
      </c>
      <c r="J3771" s="12">
        <f>G3771*(D3771*Assumptions!$B$6+E3771*Assumptions!$B$7)</f>
        <v>1.7956636224686026E-3</v>
      </c>
    </row>
    <row r="3772" spans="1:10" x14ac:dyDescent="0.2">
      <c r="A3772" s="2">
        <v>3764</v>
      </c>
      <c r="B3772" s="14">
        <f>A3772*Assumptions!$B$12</f>
        <v>37.64</v>
      </c>
      <c r="C3772" s="15">
        <f>IF(A3772&lt;=Assumptions!$B$13,IF(OR(A3772=0,A3772=Assumptions!$B$13),0.5,1),0)*Assumptions!$B$12</f>
        <v>0</v>
      </c>
      <c r="D3772" s="12">
        <f>D3771*(1-Assumptions!$B$12*(Assumptions!$B$5+Assumptions!$B$6))</f>
        <v>0.32323702094770984</v>
      </c>
      <c r="E3772" s="12">
        <f>E3771+Assumptions!$B$12*(D3771*Assumptions!$B$5-E3771*Assumptions!$B$7)</f>
        <v>0.17102344765446492</v>
      </c>
      <c r="F3772" s="12">
        <f t="shared" si="174"/>
        <v>0.50573953139782524</v>
      </c>
      <c r="G3772" s="12">
        <f>EXP(-Assumptions!$B$8*B3772)</f>
        <v>0.15228523052222981</v>
      </c>
      <c r="H3772" s="12">
        <f t="shared" si="175"/>
        <v>4.9224224248340817E-2</v>
      </c>
      <c r="I3772" s="12">
        <f t="shared" si="176"/>
        <v>2.6044345150766694E-2</v>
      </c>
      <c r="J3772" s="12">
        <f>G3772*(D3772*Assumptions!$B$6+E3772*Assumptions!$B$7)</f>
        <v>1.794459500021743E-3</v>
      </c>
    </row>
    <row r="3773" spans="1:10" x14ac:dyDescent="0.2">
      <c r="A3773" s="2">
        <v>3765</v>
      </c>
      <c r="B3773" s="14">
        <f>A3773*Assumptions!$B$12</f>
        <v>37.65</v>
      </c>
      <c r="C3773" s="15">
        <f>IF(A3773&lt;=Assumptions!$B$13,IF(OR(A3773=0,A3773=Assumptions!$B$13),0.5,1),0)*Assumptions!$B$12</f>
        <v>0</v>
      </c>
      <c r="D3773" s="12">
        <f>D3772*(1-Assumptions!$B$12*(Assumptions!$B$5+Assumptions!$B$6))</f>
        <v>0.32314004984142553</v>
      </c>
      <c r="E3773" s="12">
        <f>E3772+Assumptions!$B$12*(D3772*Assumptions!$B$5-E3772*Assumptions!$B$7)</f>
        <v>0.17100258333482724</v>
      </c>
      <c r="F3773" s="12">
        <f t="shared" si="174"/>
        <v>0.50585736682374727</v>
      </c>
      <c r="G3773" s="12">
        <f>EXP(-Assumptions!$B$8*B3773)</f>
        <v>0.15220910693945031</v>
      </c>
      <c r="H3773" s="12">
        <f t="shared" si="175"/>
        <v>4.9184858402732838E-2</v>
      </c>
      <c r="I3773" s="12">
        <f t="shared" si="176"/>
        <v>2.6028150493732981E-2</v>
      </c>
      <c r="J3773" s="12">
        <f>G3773*(D3773*Assumptions!$B$6+E3773*Assumptions!$B$7)</f>
        <v>1.7932561087139775E-3</v>
      </c>
    </row>
    <row r="3774" spans="1:10" x14ac:dyDescent="0.2">
      <c r="A3774" s="2">
        <v>3766</v>
      </c>
      <c r="B3774" s="14">
        <f>A3774*Assumptions!$B$12</f>
        <v>37.660000000000004</v>
      </c>
      <c r="C3774" s="15">
        <f>IF(A3774&lt;=Assumptions!$B$13,IF(OR(A3774=0,A3774=Assumptions!$B$13),0.5,1),0)*Assumptions!$B$12</f>
        <v>0</v>
      </c>
      <c r="D3774" s="12">
        <f>D3773*(1-Assumptions!$B$12*(Assumptions!$B$5+Assumptions!$B$6))</f>
        <v>0.32304310782647311</v>
      </c>
      <c r="E3774" s="12">
        <f>E3773+Assumptions!$B$12*(D3773*Assumptions!$B$5-E3773*Assumptions!$B$7)</f>
        <v>0.17098171005312809</v>
      </c>
      <c r="F3774" s="12">
        <f t="shared" si="174"/>
        <v>0.50597518212039883</v>
      </c>
      <c r="G3774" s="12">
        <f>EXP(-Assumptions!$B$8*B3774)</f>
        <v>0.1521330214089483</v>
      </c>
      <c r="H3774" s="12">
        <f t="shared" si="175"/>
        <v>4.9145524038978025E-2</v>
      </c>
      <c r="I3774" s="12">
        <f t="shared" si="176"/>
        <v>2.6011964156051125E-2</v>
      </c>
      <c r="J3774" s="12">
        <f>G3774*(D3774*Assumptions!$B$6+E3774*Assumptions!$B$7)</f>
        <v>1.792053448192337E-3</v>
      </c>
    </row>
    <row r="3775" spans="1:10" x14ac:dyDescent="0.2">
      <c r="A3775" s="2">
        <v>3767</v>
      </c>
      <c r="B3775" s="14">
        <f>A3775*Assumptions!$B$12</f>
        <v>37.67</v>
      </c>
      <c r="C3775" s="15">
        <f>IF(A3775&lt;=Assumptions!$B$13,IF(OR(A3775=0,A3775=Assumptions!$B$13),0.5,1),0)*Assumptions!$B$12</f>
        <v>0</v>
      </c>
      <c r="D3775" s="12">
        <f>D3774*(1-Assumptions!$B$12*(Assumptions!$B$5+Assumptions!$B$6))</f>
        <v>0.32294619489412518</v>
      </c>
      <c r="E3775" s="12">
        <f>E3774+Assumptions!$B$12*(D3774*Assumptions!$B$5-E3774*Assumptions!$B$7)</f>
        <v>0.17096082781966682</v>
      </c>
      <c r="F3775" s="12">
        <f t="shared" si="174"/>
        <v>0.50609297728620795</v>
      </c>
      <c r="G3775" s="12">
        <f>EXP(-Assumptions!$B$8*B3775)</f>
        <v>0.15205697391170248</v>
      </c>
      <c r="H3775" s="12">
        <f t="shared" si="175"/>
        <v>4.9106221131899573E-2</v>
      </c>
      <c r="I3775" s="12">
        <f t="shared" si="176"/>
        <v>2.5995786135698137E-2</v>
      </c>
      <c r="J3775" s="12">
        <f>G3775*(D3775*Assumptions!$B$6+E3775*Assumptions!$B$7)</f>
        <v>1.7908515181039024E-3</v>
      </c>
    </row>
    <row r="3776" spans="1:10" x14ac:dyDescent="0.2">
      <c r="A3776" s="2">
        <v>3768</v>
      </c>
      <c r="B3776" s="14">
        <f>A3776*Assumptions!$B$12</f>
        <v>37.68</v>
      </c>
      <c r="C3776" s="15">
        <f>IF(A3776&lt;=Assumptions!$B$13,IF(OR(A3776=0,A3776=Assumptions!$B$13),0.5,1),0)*Assumptions!$B$12</f>
        <v>0</v>
      </c>
      <c r="D3776" s="12">
        <f>D3775*(1-Assumptions!$B$12*(Assumptions!$B$5+Assumptions!$B$6))</f>
        <v>0.32284931103565695</v>
      </c>
      <c r="E3776" s="12">
        <f>E3775+Assumptions!$B$12*(D3775*Assumptions!$B$5-E3775*Assumptions!$B$7)</f>
        <v>0.17093993664473581</v>
      </c>
      <c r="F3776" s="12">
        <f t="shared" si="174"/>
        <v>0.50621075231960722</v>
      </c>
      <c r="G3776" s="12">
        <f>EXP(-Assumptions!$B$8*B3776)</f>
        <v>0.1519809644287009</v>
      </c>
      <c r="H3776" s="12">
        <f t="shared" si="175"/>
        <v>4.9066949656340772E-2</v>
      </c>
      <c r="I3776" s="12">
        <f t="shared" si="176"/>
        <v>2.597961643064798E-2</v>
      </c>
      <c r="J3776" s="12">
        <f>G3776*(D3776*Assumptions!$B$6+E3776*Assumptions!$B$7)</f>
        <v>1.7896503180958069E-3</v>
      </c>
    </row>
    <row r="3777" spans="1:10" x14ac:dyDescent="0.2">
      <c r="A3777" s="2">
        <v>3769</v>
      </c>
      <c r="B3777" s="14">
        <f>A3777*Assumptions!$B$12</f>
        <v>37.69</v>
      </c>
      <c r="C3777" s="15">
        <f>IF(A3777&lt;=Assumptions!$B$13,IF(OR(A3777=0,A3777=Assumptions!$B$13),0.5,1),0)*Assumptions!$B$12</f>
        <v>0</v>
      </c>
      <c r="D3777" s="12">
        <f>D3776*(1-Assumptions!$B$12*(Assumptions!$B$5+Assumptions!$B$6))</f>
        <v>0.32275245624234628</v>
      </c>
      <c r="E3777" s="12">
        <f>E3776+Assumptions!$B$12*(D3776*Assumptions!$B$5-E3776*Assumptions!$B$7)</f>
        <v>0.17091903653862056</v>
      </c>
      <c r="F3777" s="12">
        <f t="shared" si="174"/>
        <v>0.50632850721903311</v>
      </c>
      <c r="G3777" s="12">
        <f>EXP(-Assumptions!$B$8*B3777)</f>
        <v>0.15190499294094123</v>
      </c>
      <c r="H3777" s="12">
        <f t="shared" si="175"/>
        <v>4.9027709587165055E-2</v>
      </c>
      <c r="I3777" s="12">
        <f t="shared" si="176"/>
        <v>2.5963455038871631E-2</v>
      </c>
      <c r="J3777" s="12">
        <f>G3777*(D3777*Assumptions!$B$6+E3777*Assumptions!$B$7)</f>
        <v>1.7884498478152322E-3</v>
      </c>
    </row>
    <row r="3778" spans="1:10" x14ac:dyDescent="0.2">
      <c r="A3778" s="2">
        <v>3770</v>
      </c>
      <c r="B3778" s="14">
        <f>A3778*Assumptions!$B$12</f>
        <v>37.700000000000003</v>
      </c>
      <c r="C3778" s="15">
        <f>IF(A3778&lt;=Assumptions!$B$13,IF(OR(A3778=0,A3778=Assumptions!$B$13),0.5,1),0)*Assumptions!$B$12</f>
        <v>0</v>
      </c>
      <c r="D3778" s="12">
        <f>D3777*(1-Assumptions!$B$12*(Assumptions!$B$5+Assumptions!$B$6))</f>
        <v>0.32265563050547358</v>
      </c>
      <c r="E3778" s="12">
        <f>E3777+Assumptions!$B$12*(D3777*Assumptions!$B$5-E3777*Assumptions!$B$7)</f>
        <v>0.17089812751159972</v>
      </c>
      <c r="F3778" s="12">
        <f t="shared" si="174"/>
        <v>0.50644624198292676</v>
      </c>
      <c r="G3778" s="12">
        <f>EXP(-Assumptions!$B$8*B3778)</f>
        <v>0.15182905942943056</v>
      </c>
      <c r="H3778" s="12">
        <f t="shared" si="175"/>
        <v>4.8988500899255938E-2</v>
      </c>
      <c r="I3778" s="12">
        <f t="shared" si="176"/>
        <v>2.5947301958337075E-2</v>
      </c>
      <c r="J3778" s="12">
        <f>G3778*(D3778*Assumptions!$B$6+E3778*Assumptions!$B$7)</f>
        <v>1.7872501069094132E-3</v>
      </c>
    </row>
    <row r="3779" spans="1:10" x14ac:dyDescent="0.2">
      <c r="A3779" s="2">
        <v>3771</v>
      </c>
      <c r="B3779" s="14">
        <f>A3779*Assumptions!$B$12</f>
        <v>37.71</v>
      </c>
      <c r="C3779" s="15">
        <f>IF(A3779&lt;=Assumptions!$B$13,IF(OR(A3779=0,A3779=Assumptions!$B$13),0.5,1),0)*Assumptions!$B$12</f>
        <v>0</v>
      </c>
      <c r="D3779" s="12">
        <f>D3778*(1-Assumptions!$B$12*(Assumptions!$B$5+Assumptions!$B$6))</f>
        <v>0.32255883381632194</v>
      </c>
      <c r="E3779" s="12">
        <f>E3778+Assumptions!$B$12*(D3778*Assumptions!$B$5-E3778*Assumptions!$B$7)</f>
        <v>0.170877209573945</v>
      </c>
      <c r="F3779" s="12">
        <f t="shared" si="174"/>
        <v>0.50656395660973308</v>
      </c>
      <c r="G3779" s="12">
        <f>EXP(-Assumptions!$B$8*B3779)</f>
        <v>0.15175316387518559</v>
      </c>
      <c r="H3779" s="12">
        <f t="shared" si="175"/>
        <v>4.8949323567517057E-2</v>
      </c>
      <c r="I3779" s="12">
        <f t="shared" si="176"/>
        <v>2.5931157187009307E-2</v>
      </c>
      <c r="J3779" s="12">
        <f>G3779*(D3779*Assumptions!$B$6+E3779*Assumptions!$B$7)</f>
        <v>1.7860510950256361E-3</v>
      </c>
    </row>
    <row r="3780" spans="1:10" x14ac:dyDescent="0.2">
      <c r="A3780" s="2">
        <v>3772</v>
      </c>
      <c r="B3780" s="14">
        <f>A3780*Assumptions!$B$12</f>
        <v>37.72</v>
      </c>
      <c r="C3780" s="15">
        <f>IF(A3780&lt;=Assumptions!$B$13,IF(OR(A3780=0,A3780=Assumptions!$B$13),0.5,1),0)*Assumptions!$B$12</f>
        <v>0</v>
      </c>
      <c r="D3780" s="12">
        <f>D3779*(1-Assumptions!$B$12*(Assumptions!$B$5+Assumptions!$B$6))</f>
        <v>0.32246206616617706</v>
      </c>
      <c r="E3780" s="12">
        <f>E3779+Assumptions!$B$12*(D3779*Assumptions!$B$5-E3779*Assumptions!$B$7)</f>
        <v>0.17085628273592129</v>
      </c>
      <c r="F3780" s="12">
        <f t="shared" si="174"/>
        <v>0.50668165109790175</v>
      </c>
      <c r="G3780" s="12">
        <f>EXP(-Assumptions!$B$8*B3780)</f>
        <v>0.15167730625923234</v>
      </c>
      <c r="H3780" s="12">
        <f t="shared" si="175"/>
        <v>4.8910177566872083E-2</v>
      </c>
      <c r="I3780" s="12">
        <f t="shared" si="176"/>
        <v>2.5915020722850325E-2</v>
      </c>
      <c r="J3780" s="12">
        <f>G3780*(D3780*Assumptions!$B$6+E3780*Assumptions!$B$7)</f>
        <v>1.7848528118112371E-3</v>
      </c>
    </row>
    <row r="3781" spans="1:10" x14ac:dyDescent="0.2">
      <c r="A3781" s="2">
        <v>3773</v>
      </c>
      <c r="B3781" s="14">
        <f>A3781*Assumptions!$B$12</f>
        <v>37.730000000000004</v>
      </c>
      <c r="C3781" s="15">
        <f>IF(A3781&lt;=Assumptions!$B$13,IF(OR(A3781=0,A3781=Assumptions!$B$13),0.5,1),0)*Assumptions!$B$12</f>
        <v>0</v>
      </c>
      <c r="D3781" s="12">
        <f>D3780*(1-Assumptions!$B$12*(Assumptions!$B$5+Assumptions!$B$6))</f>
        <v>0.32236532754632724</v>
      </c>
      <c r="E3781" s="12">
        <f>E3780+Assumptions!$B$12*(D3780*Assumptions!$B$5-E3780*Assumptions!$B$7)</f>
        <v>0.17083534700778658</v>
      </c>
      <c r="F3781" s="12">
        <f t="shared" si="174"/>
        <v>0.50679932544588624</v>
      </c>
      <c r="G3781" s="12">
        <f>EXP(-Assumptions!$B$8*B3781)</f>
        <v>0.15160148656260644</v>
      </c>
      <c r="H3781" s="12">
        <f t="shared" si="175"/>
        <v>4.8871062872264753E-2</v>
      </c>
      <c r="I3781" s="12">
        <f t="shared" si="176"/>
        <v>2.5898892563819165E-2</v>
      </c>
      <c r="J3781" s="12">
        <f>G3781*(D3781*Assumptions!$B$6+E3781*Assumptions!$B$7)</f>
        <v>1.7836552569136057E-3</v>
      </c>
    </row>
    <row r="3782" spans="1:10" x14ac:dyDescent="0.2">
      <c r="A3782" s="2">
        <v>3774</v>
      </c>
      <c r="B3782" s="14">
        <f>A3782*Assumptions!$B$12</f>
        <v>37.74</v>
      </c>
      <c r="C3782" s="15">
        <f>IF(A3782&lt;=Assumptions!$B$13,IF(OR(A3782=0,A3782=Assumptions!$B$13),0.5,1),0)*Assumptions!$B$12</f>
        <v>0</v>
      </c>
      <c r="D3782" s="12">
        <f>D3781*(1-Assumptions!$B$12*(Assumptions!$B$5+Assumptions!$B$6))</f>
        <v>0.32226861794806333</v>
      </c>
      <c r="E3782" s="12">
        <f>E3781+Assumptions!$B$12*(D3781*Assumptions!$B$5-E3781*Assumptions!$B$7)</f>
        <v>0.17081440239979195</v>
      </c>
      <c r="F3782" s="12">
        <f t="shared" si="174"/>
        <v>0.50691697965214466</v>
      </c>
      <c r="G3782" s="12">
        <f>EXP(-Assumptions!$B$8*B3782)</f>
        <v>0.15152570476635299</v>
      </c>
      <c r="H3782" s="12">
        <f t="shared" si="175"/>
        <v>4.8831979458658852E-2</v>
      </c>
      <c r="I3782" s="12">
        <f t="shared" si="176"/>
        <v>2.5882772707871895E-2</v>
      </c>
      <c r="J3782" s="12">
        <f>G3782*(D3782*Assumptions!$B$6+E3782*Assumptions!$B$7)</f>
        <v>1.7824584299801832E-3</v>
      </c>
    </row>
    <row r="3783" spans="1:10" x14ac:dyDescent="0.2">
      <c r="A3783" s="2">
        <v>3775</v>
      </c>
      <c r="B3783" s="14">
        <f>A3783*Assumptions!$B$12</f>
        <v>37.75</v>
      </c>
      <c r="C3783" s="15">
        <f>IF(A3783&lt;=Assumptions!$B$13,IF(OR(A3783=0,A3783=Assumptions!$B$13),0.5,1),0)*Assumptions!$B$12</f>
        <v>0</v>
      </c>
      <c r="D3783" s="12">
        <f>D3782*(1-Assumptions!$B$12*(Assumptions!$B$5+Assumptions!$B$6))</f>
        <v>0.32217193736267891</v>
      </c>
      <c r="E3783" s="12">
        <f>E3782+Assumptions!$B$12*(D3782*Assumptions!$B$5-E3782*Assumptions!$B$7)</f>
        <v>0.17079344892218168</v>
      </c>
      <c r="F3783" s="12">
        <f t="shared" si="174"/>
        <v>0.50703461371513936</v>
      </c>
      <c r="G3783" s="12">
        <f>EXP(-Assumptions!$B$8*B3783)</f>
        <v>0.15144996085152654</v>
      </c>
      <c r="H3783" s="12">
        <f t="shared" si="175"/>
        <v>4.879292730103818E-2</v>
      </c>
      <c r="I3783" s="12">
        <f t="shared" si="176"/>
        <v>2.5866661152961611E-2</v>
      </c>
      <c r="J3783" s="12">
        <f>G3783*(D3783*Assumptions!$B$6+E3783*Assumptions!$B$7)</f>
        <v>1.7812623306584625E-3</v>
      </c>
    </row>
    <row r="3784" spans="1:10" x14ac:dyDescent="0.2">
      <c r="A3784" s="2">
        <v>3776</v>
      </c>
      <c r="B3784" s="14">
        <f>A3784*Assumptions!$B$12</f>
        <v>37.76</v>
      </c>
      <c r="C3784" s="15">
        <f>IF(A3784&lt;=Assumptions!$B$13,IF(OR(A3784=0,A3784=Assumptions!$B$13),0.5,1),0)*Assumptions!$B$12</f>
        <v>0</v>
      </c>
      <c r="D3784" s="12">
        <f>D3783*(1-Assumptions!$B$12*(Assumptions!$B$5+Assumptions!$B$6))</f>
        <v>0.3220752857814701</v>
      </c>
      <c r="E3784" s="12">
        <f>E3783+Assumptions!$B$12*(D3783*Assumptions!$B$5-E3783*Assumptions!$B$7)</f>
        <v>0.17077248658519312</v>
      </c>
      <c r="F3784" s="12">
        <f t="shared" ref="F3784:F3847" si="177">1-D3784-E3784</f>
        <v>0.50715222763333667</v>
      </c>
      <c r="G3784" s="12">
        <f>EXP(-Assumptions!$B$8*B3784)</f>
        <v>0.15137425479919112</v>
      </c>
      <c r="H3784" s="12">
        <f t="shared" ref="H3784:H3847" si="178">G3784*D3784</f>
        <v>4.8753906374406547E-2</v>
      </c>
      <c r="I3784" s="12">
        <f t="shared" ref="I3784:I3847" si="179">G3784*E3784</f>
        <v>2.5850557897038471E-2</v>
      </c>
      <c r="J3784" s="12">
        <f>G3784*(D3784*Assumptions!$B$6+E3784*Assumptions!$B$7)</f>
        <v>1.7800669585959891E-3</v>
      </c>
    </row>
    <row r="3785" spans="1:10" x14ac:dyDescent="0.2">
      <c r="A3785" s="2">
        <v>3777</v>
      </c>
      <c r="B3785" s="14">
        <f>A3785*Assumptions!$B$12</f>
        <v>37.770000000000003</v>
      </c>
      <c r="C3785" s="15">
        <f>IF(A3785&lt;=Assumptions!$B$13,IF(OR(A3785=0,A3785=Assumptions!$B$13),0.5,1),0)*Assumptions!$B$12</f>
        <v>0</v>
      </c>
      <c r="D3785" s="12">
        <f>D3784*(1-Assumptions!$B$12*(Assumptions!$B$5+Assumptions!$B$6))</f>
        <v>0.32197866319573565</v>
      </c>
      <c r="E3785" s="12">
        <f>E3784+Assumptions!$B$12*(D3784*Assumptions!$B$5-E3784*Assumptions!$B$7)</f>
        <v>0.17075151539905681</v>
      </c>
      <c r="F3785" s="12">
        <f t="shared" si="177"/>
        <v>0.5072698214052076</v>
      </c>
      <c r="G3785" s="12">
        <f>EXP(-Assumptions!$B$8*B3785)</f>
        <v>0.15129858659042006</v>
      </c>
      <c r="H3785" s="12">
        <f t="shared" si="178"/>
        <v>4.8714916653787708E-2</v>
      </c>
      <c r="I3785" s="12">
        <f t="shared" si="179"/>
        <v>2.583446293804964E-2</v>
      </c>
      <c r="J3785" s="12">
        <f>G3785*(D3785*Assumptions!$B$6+E3785*Assumptions!$B$7)</f>
        <v>1.7788723134403593E-3</v>
      </c>
    </row>
    <row r="3786" spans="1:10" x14ac:dyDescent="0.2">
      <c r="A3786" s="2">
        <v>3778</v>
      </c>
      <c r="B3786" s="14">
        <f>A3786*Assumptions!$B$12</f>
        <v>37.78</v>
      </c>
      <c r="C3786" s="15">
        <f>IF(A3786&lt;=Assumptions!$B$13,IF(OR(A3786=0,A3786=Assumptions!$B$13),0.5,1),0)*Assumptions!$B$12</f>
        <v>0</v>
      </c>
      <c r="D3786" s="12">
        <f>D3785*(1-Assumptions!$B$12*(Assumptions!$B$5+Assumptions!$B$6))</f>
        <v>0.32188206959677695</v>
      </c>
      <c r="E3786" s="12">
        <f>E3785+Assumptions!$B$12*(D3785*Assumptions!$B$5-E3785*Assumptions!$B$7)</f>
        <v>0.17073053537399643</v>
      </c>
      <c r="F3786" s="12">
        <f t="shared" si="177"/>
        <v>0.50738739502922658</v>
      </c>
      <c r="G3786" s="12">
        <f>EXP(-Assumptions!$B$8*B3786)</f>
        <v>0.15122295620629653</v>
      </c>
      <c r="H3786" s="12">
        <f t="shared" si="178"/>
        <v>4.8675958114225495E-2</v>
      </c>
      <c r="I3786" s="12">
        <f t="shared" si="179"/>
        <v>2.5818376273939424E-2</v>
      </c>
      <c r="J3786" s="12">
        <f>G3786*(D3786*Assumptions!$B$6+E3786*Assumptions!$B$7)</f>
        <v>1.7776783948392262E-3</v>
      </c>
    </row>
    <row r="3787" spans="1:10" x14ac:dyDescent="0.2">
      <c r="A3787" s="2">
        <v>3779</v>
      </c>
      <c r="B3787" s="14">
        <f>A3787*Assumptions!$B$12</f>
        <v>37.79</v>
      </c>
      <c r="C3787" s="15">
        <f>IF(A3787&lt;=Assumptions!$B$13,IF(OR(A3787=0,A3787=Assumptions!$B$13),0.5,1),0)*Assumptions!$B$12</f>
        <v>0</v>
      </c>
      <c r="D3787" s="12">
        <f>D3786*(1-Assumptions!$B$12*(Assumptions!$B$5+Assumptions!$B$6))</f>
        <v>0.32178550497589792</v>
      </c>
      <c r="E3787" s="12">
        <f>E3786+Assumptions!$B$12*(D3786*Assumptions!$B$5-E3786*Assumptions!$B$7)</f>
        <v>0.17070954652022879</v>
      </c>
      <c r="F3787" s="12">
        <f t="shared" si="177"/>
        <v>0.50750494850387318</v>
      </c>
      <c r="G3787" s="12">
        <f>EXP(-Assumptions!$B$8*B3787)</f>
        <v>0.15114736362791287</v>
      </c>
      <c r="H3787" s="12">
        <f t="shared" si="178"/>
        <v>4.8637030730783605E-2</v>
      </c>
      <c r="I3787" s="12">
        <f t="shared" si="179"/>
        <v>2.5802297902649131E-2</v>
      </c>
      <c r="J3787" s="12">
        <f>G3787*(D3787*Assumptions!$B$6+E3787*Assumptions!$B$7)</f>
        <v>1.7764852024402928E-3</v>
      </c>
    </row>
    <row r="3788" spans="1:10" x14ac:dyDescent="0.2">
      <c r="A3788" s="2">
        <v>3780</v>
      </c>
      <c r="B3788" s="14">
        <f>A3788*Assumptions!$B$12</f>
        <v>37.800000000000004</v>
      </c>
      <c r="C3788" s="15">
        <f>IF(A3788&lt;=Assumptions!$B$13,IF(OR(A3788=0,A3788=Assumptions!$B$13),0.5,1),0)*Assumptions!$B$12</f>
        <v>0</v>
      </c>
      <c r="D3788" s="12">
        <f>D3787*(1-Assumptions!$B$12*(Assumptions!$B$5+Assumptions!$B$6))</f>
        <v>0.32168896932440516</v>
      </c>
      <c r="E3788" s="12">
        <f>E3787+Assumptions!$B$12*(D3787*Assumptions!$B$5-E3787*Assumptions!$B$7)</f>
        <v>0.17068854884796386</v>
      </c>
      <c r="F3788" s="12">
        <f t="shared" si="177"/>
        <v>0.50762248182763092</v>
      </c>
      <c r="G3788" s="12">
        <f>EXP(-Assumptions!$B$8*B3788)</f>
        <v>0.15107180883637078</v>
      </c>
      <c r="H3788" s="12">
        <f t="shared" si="178"/>
        <v>4.8598134478545683E-2</v>
      </c>
      <c r="I3788" s="12">
        <f t="shared" si="179"/>
        <v>2.5786227822117133E-2</v>
      </c>
      <c r="J3788" s="12">
        <f>G3788*(D3788*Assumptions!$B$6+E3788*Assumptions!$B$7)</f>
        <v>1.7752927358913135E-3</v>
      </c>
    </row>
    <row r="3789" spans="1:10" x14ac:dyDescent="0.2">
      <c r="A3789" s="2">
        <v>3781</v>
      </c>
      <c r="B3789" s="14">
        <f>A3789*Assumptions!$B$12</f>
        <v>37.81</v>
      </c>
      <c r="C3789" s="15">
        <f>IF(A3789&lt;=Assumptions!$B$13,IF(OR(A3789=0,A3789=Assumptions!$B$13),0.5,1),0)*Assumptions!$B$12</f>
        <v>0</v>
      </c>
      <c r="D3789" s="12">
        <f>D3788*(1-Assumptions!$B$12*(Assumptions!$B$5+Assumptions!$B$6))</f>
        <v>0.32159246263360786</v>
      </c>
      <c r="E3789" s="12">
        <f>E3788+Assumptions!$B$12*(D3788*Assumptions!$B$5-E3788*Assumptions!$B$7)</f>
        <v>0.17066754236740475</v>
      </c>
      <c r="F3789" s="12">
        <f t="shared" si="177"/>
        <v>0.50773999499898737</v>
      </c>
      <c r="G3789" s="12">
        <f>EXP(-Assumptions!$B$8*B3789)</f>
        <v>0.15099629181278179</v>
      </c>
      <c r="H3789" s="12">
        <f t="shared" si="178"/>
        <v>4.8559269332615375E-2</v>
      </c>
      <c r="I3789" s="12">
        <f t="shared" si="179"/>
        <v>2.5770166030278947E-2</v>
      </c>
      <c r="J3789" s="12">
        <f>G3789*(D3789*Assumptions!$B$6+E3789*Assumptions!$B$7)</f>
        <v>1.7741009948401012E-3</v>
      </c>
    </row>
    <row r="3790" spans="1:10" x14ac:dyDescent="0.2">
      <c r="A3790" s="2">
        <v>3782</v>
      </c>
      <c r="B3790" s="14">
        <f>A3790*Assumptions!$B$12</f>
        <v>37.82</v>
      </c>
      <c r="C3790" s="15">
        <f>IF(A3790&lt;=Assumptions!$B$13,IF(OR(A3790=0,A3790=Assumptions!$B$13),0.5,1),0)*Assumptions!$B$12</f>
        <v>0</v>
      </c>
      <c r="D3790" s="12">
        <f>D3789*(1-Assumptions!$B$12*(Assumptions!$B$5+Assumptions!$B$6))</f>
        <v>0.32149598489481779</v>
      </c>
      <c r="E3790" s="12">
        <f>E3789+Assumptions!$B$12*(D3789*Assumptions!$B$5-E3789*Assumptions!$B$7)</f>
        <v>0.17064652708874778</v>
      </c>
      <c r="F3790" s="12">
        <f t="shared" si="177"/>
        <v>0.50785748801643438</v>
      </c>
      <c r="G3790" s="12">
        <f>EXP(-Assumptions!$B$8*B3790)</f>
        <v>0.15092081253826656</v>
      </c>
      <c r="H3790" s="12">
        <f t="shared" si="178"/>
        <v>4.8520435268116169E-2</v>
      </c>
      <c r="I3790" s="12">
        <f t="shared" si="179"/>
        <v>2.5754112525067131E-2</v>
      </c>
      <c r="J3790" s="12">
        <f>G3790*(D3790*Assumptions!$B$6+E3790*Assumptions!$B$7)</f>
        <v>1.7729099789345183E-3</v>
      </c>
    </row>
    <row r="3791" spans="1:10" x14ac:dyDescent="0.2">
      <c r="A3791" s="2">
        <v>3783</v>
      </c>
      <c r="B3791" s="14">
        <f>A3791*Assumptions!$B$12</f>
        <v>37.83</v>
      </c>
      <c r="C3791" s="15">
        <f>IF(A3791&lt;=Assumptions!$B$13,IF(OR(A3791=0,A3791=Assumptions!$B$13),0.5,1),0)*Assumptions!$B$12</f>
        <v>0</v>
      </c>
      <c r="D3791" s="12">
        <f>D3790*(1-Assumptions!$B$12*(Assumptions!$B$5+Assumptions!$B$6))</f>
        <v>0.32139953609934935</v>
      </c>
      <c r="E3791" s="12">
        <f>E3790+Assumptions!$B$12*(D3790*Assumptions!$B$5-E3790*Assumptions!$B$7)</f>
        <v>0.17062550302218238</v>
      </c>
      <c r="F3791" s="12">
        <f t="shared" si="177"/>
        <v>0.50797496087846827</v>
      </c>
      <c r="G3791" s="12">
        <f>EXP(-Assumptions!$B$8*B3791)</f>
        <v>0.1508453709939552</v>
      </c>
      <c r="H3791" s="12">
        <f t="shared" si="178"/>
        <v>4.8481632260191448E-2</v>
      </c>
      <c r="I3791" s="12">
        <f t="shared" si="179"/>
        <v>2.5738067304411326E-2</v>
      </c>
      <c r="J3791" s="12">
        <f>G3791*(D3791*Assumptions!$B$6+E3791*Assumptions!$B$7)</f>
        <v>1.7717196878224808E-3</v>
      </c>
    </row>
    <row r="3792" spans="1:10" x14ac:dyDescent="0.2">
      <c r="A3792" s="2">
        <v>3784</v>
      </c>
      <c r="B3792" s="14">
        <f>A3792*Assumptions!$B$12</f>
        <v>37.840000000000003</v>
      </c>
      <c r="C3792" s="15">
        <f>IF(A3792&lt;=Assumptions!$B$13,IF(OR(A3792=0,A3792=Assumptions!$B$13),0.5,1),0)*Assumptions!$B$12</f>
        <v>0</v>
      </c>
      <c r="D3792" s="12">
        <f>D3791*(1-Assumptions!$B$12*(Assumptions!$B$5+Assumptions!$B$6))</f>
        <v>0.32130311623851954</v>
      </c>
      <c r="E3792" s="12">
        <f>E3791+Assumptions!$B$12*(D3791*Assumptions!$B$5-E3791*Assumptions!$B$7)</f>
        <v>0.17060447017789115</v>
      </c>
      <c r="F3792" s="12">
        <f t="shared" si="177"/>
        <v>0.50809241358358925</v>
      </c>
      <c r="G3792" s="12">
        <f>EXP(-Assumptions!$B$8*B3792)</f>
        <v>0.15076996716098731</v>
      </c>
      <c r="H3792" s="12">
        <f t="shared" si="178"/>
        <v>4.8442860284004477E-2</v>
      </c>
      <c r="I3792" s="12">
        <f t="shared" si="179"/>
        <v>2.572203036623829E-2</v>
      </c>
      <c r="J3792" s="12">
        <f>G3792*(D3792*Assumptions!$B$6+E3792*Assumptions!$B$7)</f>
        <v>1.7705301211519593E-3</v>
      </c>
    </row>
    <row r="3793" spans="1:10" x14ac:dyDescent="0.2">
      <c r="A3793" s="2">
        <v>3785</v>
      </c>
      <c r="B3793" s="14">
        <f>A3793*Assumptions!$B$12</f>
        <v>37.85</v>
      </c>
      <c r="C3793" s="15">
        <f>IF(A3793&lt;=Assumptions!$B$13,IF(OR(A3793=0,A3793=Assumptions!$B$13),0.5,1),0)*Assumptions!$B$12</f>
        <v>0</v>
      </c>
      <c r="D3793" s="12">
        <f>D3792*(1-Assumptions!$B$12*(Assumptions!$B$5+Assumptions!$B$6))</f>
        <v>0.32120672530364797</v>
      </c>
      <c r="E3793" s="12">
        <f>E3792+Assumptions!$B$12*(D3792*Assumptions!$B$5-E3792*Assumptions!$B$7)</f>
        <v>0.17058342856604991</v>
      </c>
      <c r="F3793" s="12">
        <f t="shared" si="177"/>
        <v>0.50820984613030218</v>
      </c>
      <c r="G3793" s="12">
        <f>EXP(-Assumptions!$B$8*B3793)</f>
        <v>0.1506946010205121</v>
      </c>
      <c r="H3793" s="12">
        <f t="shared" si="178"/>
        <v>4.840411931473846E-2</v>
      </c>
      <c r="I3793" s="12">
        <f t="shared" si="179"/>
        <v>2.5706001708471919E-2</v>
      </c>
      <c r="J3793" s="12">
        <f>G3793*(D3793*Assumptions!$B$6+E3793*Assumptions!$B$7)</f>
        <v>1.7693412785709805E-3</v>
      </c>
    </row>
    <row r="3794" spans="1:10" x14ac:dyDescent="0.2">
      <c r="A3794" s="2">
        <v>3786</v>
      </c>
      <c r="B3794" s="14">
        <f>A3794*Assumptions!$B$12</f>
        <v>37.86</v>
      </c>
      <c r="C3794" s="15">
        <f>IF(A3794&lt;=Assumptions!$B$13,IF(OR(A3794=0,A3794=Assumptions!$B$13),0.5,1),0)*Assumptions!$B$12</f>
        <v>0</v>
      </c>
      <c r="D3794" s="12">
        <f>D3793*(1-Assumptions!$B$12*(Assumptions!$B$5+Assumptions!$B$6))</f>
        <v>0.32111036328605691</v>
      </c>
      <c r="E3794" s="12">
        <f>E3793+Assumptions!$B$12*(D3793*Assumptions!$B$5-E3793*Assumptions!$B$7)</f>
        <v>0.17056237819682762</v>
      </c>
      <c r="F3794" s="12">
        <f t="shared" si="177"/>
        <v>0.50832725851711547</v>
      </c>
      <c r="G3794" s="12">
        <f>EXP(-Assumptions!$B$8*B3794)</f>
        <v>0.15061927255368793</v>
      </c>
      <c r="H3794" s="12">
        <f t="shared" si="178"/>
        <v>4.8365409327596351E-2</v>
      </c>
      <c r="I3794" s="12">
        <f t="shared" si="179"/>
        <v>2.568998132903318E-2</v>
      </c>
      <c r="J3794" s="12">
        <f>G3794*(D3794*Assumptions!$B$6+E3794*Assumptions!$B$7)</f>
        <v>1.7681531597276226E-3</v>
      </c>
    </row>
    <row r="3795" spans="1:10" x14ac:dyDescent="0.2">
      <c r="A3795" s="2">
        <v>3787</v>
      </c>
      <c r="B3795" s="14">
        <f>A3795*Assumptions!$B$12</f>
        <v>37.869999999999997</v>
      </c>
      <c r="C3795" s="15">
        <f>IF(A3795&lt;=Assumptions!$B$13,IF(OR(A3795=0,A3795=Assumptions!$B$13),0.5,1),0)*Assumptions!$B$12</f>
        <v>0</v>
      </c>
      <c r="D3795" s="12">
        <f>D3794*(1-Assumptions!$B$12*(Assumptions!$B$5+Assumptions!$B$6))</f>
        <v>0.32101403017707109</v>
      </c>
      <c r="E3795" s="12">
        <f>E3794+Assumptions!$B$12*(D3794*Assumptions!$B$5-E3794*Assumptions!$B$7)</f>
        <v>0.17054131908038642</v>
      </c>
      <c r="F3795" s="12">
        <f t="shared" si="177"/>
        <v>0.50844465074254253</v>
      </c>
      <c r="G3795" s="12">
        <f>EXP(-Assumptions!$B$8*B3795)</f>
        <v>0.15054398174168265</v>
      </c>
      <c r="H3795" s="12">
        <f t="shared" si="178"/>
        <v>4.8326730297800956E-2</v>
      </c>
      <c r="I3795" s="12">
        <f t="shared" si="179"/>
        <v>2.5673969225840167E-2</v>
      </c>
      <c r="J3795" s="12">
        <f>G3795*(D3795*Assumptions!$B$6+E3795*Assumptions!$B$7)</f>
        <v>1.7669657642700178E-3</v>
      </c>
    </row>
    <row r="3796" spans="1:10" x14ac:dyDescent="0.2">
      <c r="A3796" s="2">
        <v>3788</v>
      </c>
      <c r="B3796" s="14">
        <f>A3796*Assumptions!$B$12</f>
        <v>37.880000000000003</v>
      </c>
      <c r="C3796" s="15">
        <f>IF(A3796&lt;=Assumptions!$B$13,IF(OR(A3796=0,A3796=Assumptions!$B$13),0.5,1),0)*Assumptions!$B$12</f>
        <v>0</v>
      </c>
      <c r="D3796" s="12">
        <f>D3795*(1-Assumptions!$B$12*(Assumptions!$B$5+Assumptions!$B$6))</f>
        <v>0.32091772596801799</v>
      </c>
      <c r="E3796" s="12">
        <f>E3795+Assumptions!$B$12*(D3795*Assumptions!$B$5-E3795*Assumptions!$B$7)</f>
        <v>0.17052025122688164</v>
      </c>
      <c r="F3796" s="12">
        <f t="shared" si="177"/>
        <v>0.50856202280510032</v>
      </c>
      <c r="G3796" s="12">
        <f>EXP(-Assumptions!$B$8*B3796)</f>
        <v>0.15046872856567356</v>
      </c>
      <c r="H3796" s="12">
        <f t="shared" si="178"/>
        <v>4.8288082200594905E-2</v>
      </c>
      <c r="I3796" s="12">
        <f t="shared" si="179"/>
        <v>2.5657965396808115E-2</v>
      </c>
      <c r="J3796" s="12">
        <f>G3796*(D3796*Assumptions!$B$6+E3796*Assumptions!$B$7)</f>
        <v>1.765779091846355E-3</v>
      </c>
    </row>
    <row r="3797" spans="1:10" x14ac:dyDescent="0.2">
      <c r="A3797" s="2">
        <v>3789</v>
      </c>
      <c r="B3797" s="14">
        <f>A3797*Assumptions!$B$12</f>
        <v>37.89</v>
      </c>
      <c r="C3797" s="15">
        <f>IF(A3797&lt;=Assumptions!$B$13,IF(OR(A3797=0,A3797=Assumptions!$B$13),0.5,1),0)*Assumptions!$B$12</f>
        <v>0</v>
      </c>
      <c r="D3797" s="12">
        <f>D3796*(1-Assumptions!$B$12*(Assumptions!$B$5+Assumptions!$B$6))</f>
        <v>0.3208214506502276</v>
      </c>
      <c r="E3797" s="12">
        <f>E3796+Assumptions!$B$12*(D3796*Assumptions!$B$5-E3796*Assumptions!$B$7)</f>
        <v>0.1704991746464618</v>
      </c>
      <c r="F3797" s="12">
        <f t="shared" si="177"/>
        <v>0.50867937470331059</v>
      </c>
      <c r="G3797" s="12">
        <f>EXP(-Assumptions!$B$8*B3797)</f>
        <v>0.15039351300684742</v>
      </c>
      <c r="H3797" s="12">
        <f t="shared" si="178"/>
        <v>4.824946501124066E-2</v>
      </c>
      <c r="I3797" s="12">
        <f t="shared" si="179"/>
        <v>2.5641969839849402E-2</v>
      </c>
      <c r="J3797" s="12">
        <f>G3797*(D3797*Assumptions!$B$6+E3797*Assumptions!$B$7)</f>
        <v>1.7645931421048765E-3</v>
      </c>
    </row>
    <row r="3798" spans="1:10" x14ac:dyDescent="0.2">
      <c r="A3798" s="2">
        <v>3790</v>
      </c>
      <c r="B3798" s="14">
        <f>A3798*Assumptions!$B$12</f>
        <v>37.9</v>
      </c>
      <c r="C3798" s="15">
        <f>IF(A3798&lt;=Assumptions!$B$13,IF(OR(A3798=0,A3798=Assumptions!$B$13),0.5,1),0)*Assumptions!$B$12</f>
        <v>0</v>
      </c>
      <c r="D3798" s="12">
        <f>D3797*(1-Assumptions!$B$12*(Assumptions!$B$5+Assumptions!$B$6))</f>
        <v>0.32072520421503253</v>
      </c>
      <c r="E3798" s="12">
        <f>E3797+Assumptions!$B$12*(D3797*Assumptions!$B$5-E3797*Assumptions!$B$7)</f>
        <v>0.17047808934926861</v>
      </c>
      <c r="F3798" s="12">
        <f t="shared" si="177"/>
        <v>0.50879670643569885</v>
      </c>
      <c r="G3798" s="12">
        <f>EXP(-Assumptions!$B$8*B3798)</f>
        <v>0.15031833504640033</v>
      </c>
      <c r="H3798" s="12">
        <f t="shared" si="178"/>
        <v>4.821087870502043E-2</v>
      </c>
      <c r="I3798" s="12">
        <f t="shared" si="179"/>
        <v>2.562598255287353E-2</v>
      </c>
      <c r="J3798" s="12">
        <f>G3798*(D3798*Assumptions!$B$6+E3798*Assumptions!$B$7)</f>
        <v>1.763407914693881E-3</v>
      </c>
    </row>
    <row r="3799" spans="1:10" x14ac:dyDescent="0.2">
      <c r="A3799" s="2">
        <v>3791</v>
      </c>
      <c r="B3799" s="14">
        <f>A3799*Assumptions!$B$12</f>
        <v>37.910000000000004</v>
      </c>
      <c r="C3799" s="15">
        <f>IF(A3799&lt;=Assumptions!$B$13,IF(OR(A3799=0,A3799=Assumptions!$B$13),0.5,1),0)*Assumptions!$B$12</f>
        <v>0</v>
      </c>
      <c r="D3799" s="12">
        <f>D3798*(1-Assumptions!$B$12*(Assumptions!$B$5+Assumptions!$B$6))</f>
        <v>0.32062898665376804</v>
      </c>
      <c r="E3799" s="12">
        <f>E3798+Assumptions!$B$12*(D3798*Assumptions!$B$5-E3798*Assumptions!$B$7)</f>
        <v>0.17045699534543698</v>
      </c>
      <c r="F3799" s="12">
        <f t="shared" si="177"/>
        <v>0.50891401800079494</v>
      </c>
      <c r="G3799" s="12">
        <f>EXP(-Assumptions!$B$8*B3799)</f>
        <v>0.15024319466553773</v>
      </c>
      <c r="H3799" s="12">
        <f t="shared" si="178"/>
        <v>4.8172323257236173E-2</v>
      </c>
      <c r="I3799" s="12">
        <f t="shared" si="179"/>
        <v>2.5610003533787149E-2</v>
      </c>
      <c r="J3799" s="12">
        <f>G3799*(D3799*Assumptions!$B$6+E3799*Assumptions!$B$7)</f>
        <v>1.762223409261719E-3</v>
      </c>
    </row>
    <row r="3800" spans="1:10" x14ac:dyDescent="0.2">
      <c r="A3800" s="2">
        <v>3792</v>
      </c>
      <c r="B3800" s="14">
        <f>A3800*Assumptions!$B$12</f>
        <v>37.92</v>
      </c>
      <c r="C3800" s="15">
        <f>IF(A3800&lt;=Assumptions!$B$13,IF(OR(A3800=0,A3800=Assumptions!$B$13),0.5,1),0)*Assumptions!$B$12</f>
        <v>0</v>
      </c>
      <c r="D3800" s="12">
        <f>D3799*(1-Assumptions!$B$12*(Assumptions!$B$5+Assumptions!$B$6))</f>
        <v>0.3205327979577719</v>
      </c>
      <c r="E3800" s="12">
        <f>E3799+Assumptions!$B$12*(D3799*Assumptions!$B$5-E3799*Assumptions!$B$7)</f>
        <v>0.17043589264509501</v>
      </c>
      <c r="F3800" s="12">
        <f t="shared" si="177"/>
        <v>0.50903130939713304</v>
      </c>
      <c r="G3800" s="12">
        <f>EXP(-Assumptions!$B$8*B3800)</f>
        <v>0.15016809184547464</v>
      </c>
      <c r="H3800" s="12">
        <f t="shared" si="178"/>
        <v>4.8133798643209658E-2</v>
      </c>
      <c r="I3800" s="12">
        <f t="shared" si="179"/>
        <v>2.5594032780494082E-2</v>
      </c>
      <c r="J3800" s="12">
        <f>G3800*(D3800*Assumptions!$B$6+E3800*Assumptions!$B$7)</f>
        <v>1.7610396254568008E-3</v>
      </c>
    </row>
    <row r="3801" spans="1:10" x14ac:dyDescent="0.2">
      <c r="A3801" s="2">
        <v>3793</v>
      </c>
      <c r="B3801" s="14">
        <f>A3801*Assumptions!$B$12</f>
        <v>37.93</v>
      </c>
      <c r="C3801" s="15">
        <f>IF(A3801&lt;=Assumptions!$B$13,IF(OR(A3801=0,A3801=Assumptions!$B$13),0.5,1),0)*Assumptions!$B$12</f>
        <v>0</v>
      </c>
      <c r="D3801" s="12">
        <f>D3800*(1-Assumptions!$B$12*(Assumptions!$B$5+Assumptions!$B$6))</f>
        <v>0.32043663811838458</v>
      </c>
      <c r="E3801" s="12">
        <f>E3800+Assumptions!$B$12*(D3800*Assumptions!$B$5-E3800*Assumptions!$B$7)</f>
        <v>0.17041478125836401</v>
      </c>
      <c r="F3801" s="12">
        <f t="shared" si="177"/>
        <v>0.50914858062325141</v>
      </c>
      <c r="G3801" s="12">
        <f>EXP(-Assumptions!$B$8*B3801)</f>
        <v>0.15009302656743528</v>
      </c>
      <c r="H3801" s="12">
        <f t="shared" si="178"/>
        <v>4.8095304838282345E-2</v>
      </c>
      <c r="I3801" s="12">
        <f t="shared" si="179"/>
        <v>2.5578070290895302E-2</v>
      </c>
      <c r="J3801" s="12">
        <f>G3801*(D3801*Assumptions!$B$6+E3801*Assumptions!$B$7)</f>
        <v>1.7598565629275886E-3</v>
      </c>
    </row>
    <row r="3802" spans="1:10" x14ac:dyDescent="0.2">
      <c r="A3802" s="2">
        <v>3794</v>
      </c>
      <c r="B3802" s="14">
        <f>A3802*Assumptions!$B$12</f>
        <v>37.94</v>
      </c>
      <c r="C3802" s="15">
        <f>IF(A3802&lt;=Assumptions!$B$13,IF(OR(A3802=0,A3802=Assumptions!$B$13),0.5,1),0)*Assumptions!$B$12</f>
        <v>0</v>
      </c>
      <c r="D3802" s="12">
        <f>D3801*(1-Assumptions!$B$12*(Assumptions!$B$5+Assumptions!$B$6))</f>
        <v>0.32034050712694906</v>
      </c>
      <c r="E3802" s="12">
        <f>E3801+Assumptions!$B$12*(D3801*Assumptions!$B$5-E3801*Assumptions!$B$7)</f>
        <v>0.17039366119535851</v>
      </c>
      <c r="F3802" s="12">
        <f t="shared" si="177"/>
        <v>0.50926583167769246</v>
      </c>
      <c r="G3802" s="12">
        <f>EXP(-Assumptions!$B$8*B3802)</f>
        <v>0.15001799881265335</v>
      </c>
      <c r="H3802" s="12">
        <f t="shared" si="178"/>
        <v>4.8056841817815416E-2</v>
      </c>
      <c r="I3802" s="12">
        <f t="shared" si="179"/>
        <v>2.556211606288895E-2</v>
      </c>
      <c r="J3802" s="12">
        <f>G3802*(D3802*Assumptions!$B$6+E3802*Assumptions!$B$7)</f>
        <v>1.7586742213226017E-3</v>
      </c>
    </row>
    <row r="3803" spans="1:10" x14ac:dyDescent="0.2">
      <c r="A3803" s="2">
        <v>3795</v>
      </c>
      <c r="B3803" s="14">
        <f>A3803*Assumptions!$B$12</f>
        <v>37.950000000000003</v>
      </c>
      <c r="C3803" s="15">
        <f>IF(A3803&lt;=Assumptions!$B$13,IF(OR(A3803=0,A3803=Assumptions!$B$13),0.5,1),0)*Assumptions!$B$12</f>
        <v>0</v>
      </c>
      <c r="D3803" s="12">
        <f>D3802*(1-Assumptions!$B$12*(Assumptions!$B$5+Assumptions!$B$6))</f>
        <v>0.32024440497481099</v>
      </c>
      <c r="E3803" s="12">
        <f>E3802+Assumptions!$B$12*(D3802*Assumptions!$B$5-E3802*Assumptions!$B$7)</f>
        <v>0.17037253246618622</v>
      </c>
      <c r="F3803" s="12">
        <f t="shared" si="177"/>
        <v>0.50938306255900279</v>
      </c>
      <c r="G3803" s="12">
        <f>EXP(-Assumptions!$B$8*B3803)</f>
        <v>0.14994300856237186</v>
      </c>
      <c r="H3803" s="12">
        <f t="shared" si="178"/>
        <v>4.8018409557189765E-2</v>
      </c>
      <c r="I3803" s="12">
        <f t="shared" si="179"/>
        <v>2.5546170094370338E-2</v>
      </c>
      <c r="J3803" s="12">
        <f>G3803*(D3803*Assumptions!$B$6+E3803*Assumptions!$B$7)</f>
        <v>1.7574926002904149E-3</v>
      </c>
    </row>
    <row r="3804" spans="1:10" x14ac:dyDescent="0.2">
      <c r="A3804" s="2">
        <v>3796</v>
      </c>
      <c r="B3804" s="14">
        <f>A3804*Assumptions!$B$12</f>
        <v>37.96</v>
      </c>
      <c r="C3804" s="15">
        <f>IF(A3804&lt;=Assumptions!$B$13,IF(OR(A3804=0,A3804=Assumptions!$B$13),0.5,1),0)*Assumptions!$B$12</f>
        <v>0</v>
      </c>
      <c r="D3804" s="12">
        <f>D3803*(1-Assumptions!$B$12*(Assumptions!$B$5+Assumptions!$B$6))</f>
        <v>0.32014833165331857</v>
      </c>
      <c r="E3804" s="12">
        <f>E3803+Assumptions!$B$12*(D3803*Assumptions!$B$5-E3803*Assumptions!$B$7)</f>
        <v>0.1703513950809481</v>
      </c>
      <c r="F3804" s="12">
        <f t="shared" si="177"/>
        <v>0.50950027326573333</v>
      </c>
      <c r="G3804" s="12">
        <f>EXP(-Assumptions!$B$8*B3804)</f>
        <v>0.14986805579784332</v>
      </c>
      <c r="H3804" s="12">
        <f t="shared" si="178"/>
        <v>4.7980008031806E-2</v>
      </c>
      <c r="I3804" s="12">
        <f t="shared" si="179"/>
        <v>2.5530232383231981E-2</v>
      </c>
      <c r="J3804" s="12">
        <f>G3804*(D3804*Assumptions!$B$6+E3804*Assumptions!$B$7)</f>
        <v>1.7563116994796589E-3</v>
      </c>
    </row>
    <row r="3805" spans="1:10" x14ac:dyDescent="0.2">
      <c r="A3805" s="2">
        <v>3797</v>
      </c>
      <c r="B3805" s="14">
        <f>A3805*Assumptions!$B$12</f>
        <v>37.97</v>
      </c>
      <c r="C3805" s="15">
        <f>IF(A3805&lt;=Assumptions!$B$13,IF(OR(A3805=0,A3805=Assumptions!$B$13),0.5,1),0)*Assumptions!$B$12</f>
        <v>0</v>
      </c>
      <c r="D3805" s="12">
        <f>D3804*(1-Assumptions!$B$12*(Assumptions!$B$5+Assumptions!$B$6))</f>
        <v>0.32005228715382261</v>
      </c>
      <c r="E3805" s="12">
        <f>E3804+Assumptions!$B$12*(D3804*Assumptions!$B$5-E3804*Assumptions!$B$7)</f>
        <v>0.17033024904973829</v>
      </c>
      <c r="F3805" s="12">
        <f t="shared" si="177"/>
        <v>0.50961746379643913</v>
      </c>
      <c r="G3805" s="12">
        <f>EXP(-Assumptions!$B$8*B3805)</f>
        <v>0.14979314050032952</v>
      </c>
      <c r="H3805" s="12">
        <f t="shared" si="178"/>
        <v>4.794163721708436E-2</v>
      </c>
      <c r="I3805" s="12">
        <f t="shared" si="179"/>
        <v>2.5514302927363567E-2</v>
      </c>
      <c r="J3805" s="12">
        <f>G3805*(D3805*Assumptions!$B$6+E3805*Assumptions!$B$7)</f>
        <v>1.7551315185390219E-3</v>
      </c>
    </row>
    <row r="3806" spans="1:10" x14ac:dyDescent="0.2">
      <c r="A3806" s="2">
        <v>3798</v>
      </c>
      <c r="B3806" s="14">
        <f>A3806*Assumptions!$B$12</f>
        <v>37.980000000000004</v>
      </c>
      <c r="C3806" s="15">
        <f>IF(A3806&lt;=Assumptions!$B$13,IF(OR(A3806=0,A3806=Assumptions!$B$13),0.5,1),0)*Assumptions!$B$12</f>
        <v>0</v>
      </c>
      <c r="D3806" s="12">
        <f>D3805*(1-Assumptions!$B$12*(Assumptions!$B$5+Assumptions!$B$6))</f>
        <v>0.31995627146767647</v>
      </c>
      <c r="E3806" s="12">
        <f>E3805+Assumptions!$B$12*(D3805*Assumptions!$B$5-E3805*Assumptions!$B$7)</f>
        <v>0.17030909438264419</v>
      </c>
      <c r="F3806" s="12">
        <f t="shared" si="177"/>
        <v>0.50973463414967934</v>
      </c>
      <c r="G3806" s="12">
        <f>EXP(-Assumptions!$B$8*B3806)</f>
        <v>0.14971826265110161</v>
      </c>
      <c r="H3806" s="12">
        <f t="shared" si="178"/>
        <v>4.7903297088464754E-2</v>
      </c>
      <c r="I3806" s="12">
        <f t="shared" si="179"/>
        <v>2.5498381724651974E-2</v>
      </c>
      <c r="J3806" s="12">
        <f>G3806*(D3806*Assumptions!$B$6+E3806*Assumptions!$B$7)</f>
        <v>1.7539520571172463E-3</v>
      </c>
    </row>
    <row r="3807" spans="1:10" x14ac:dyDescent="0.2">
      <c r="A3807" s="2">
        <v>3799</v>
      </c>
      <c r="B3807" s="14">
        <f>A3807*Assumptions!$B$12</f>
        <v>37.99</v>
      </c>
      <c r="C3807" s="15">
        <f>IF(A3807&lt;=Assumptions!$B$13,IF(OR(A3807=0,A3807=Assumptions!$B$13),0.5,1),0)*Assumptions!$B$12</f>
        <v>0</v>
      </c>
      <c r="D3807" s="12">
        <f>D3806*(1-Assumptions!$B$12*(Assumptions!$B$5+Assumptions!$B$6))</f>
        <v>0.31986028458623617</v>
      </c>
      <c r="E3807" s="12">
        <f>E3806+Assumptions!$B$12*(D3806*Assumptions!$B$5-E3806*Assumptions!$B$7)</f>
        <v>0.17028793108974641</v>
      </c>
      <c r="F3807" s="12">
        <f t="shared" si="177"/>
        <v>0.50985178432401745</v>
      </c>
      <c r="G3807" s="12">
        <f>EXP(-Assumptions!$B$8*B3807)</f>
        <v>0.14964342223144014</v>
      </c>
      <c r="H3807" s="12">
        <f t="shared" si="178"/>
        <v>4.7864987621406743E-2</v>
      </c>
      <c r="I3807" s="12">
        <f t="shared" si="179"/>
        <v>2.5482468772981305E-2</v>
      </c>
      <c r="J3807" s="12">
        <f>G3807*(D3807*Assumptions!$B$6+E3807*Assumptions!$B$7)</f>
        <v>1.7527733148631327E-3</v>
      </c>
    </row>
    <row r="3808" spans="1:10" x14ac:dyDescent="0.2">
      <c r="A3808" s="2">
        <v>3800</v>
      </c>
      <c r="B3808" s="14">
        <f>A3808*Assumptions!$B$12</f>
        <v>38</v>
      </c>
      <c r="C3808" s="15">
        <f>IF(A3808&lt;=Assumptions!$B$13,IF(OR(A3808=0,A3808=Assumptions!$B$13),0.5,1),0)*Assumptions!$B$12</f>
        <v>0</v>
      </c>
      <c r="D3808" s="12">
        <f>D3807*(1-Assumptions!$B$12*(Assumptions!$B$5+Assumptions!$B$6))</f>
        <v>0.31976432650086029</v>
      </c>
      <c r="E3808" s="12">
        <f>E3807+Assumptions!$B$12*(D3807*Assumptions!$B$5-E3807*Assumptions!$B$7)</f>
        <v>0.17026675918111878</v>
      </c>
      <c r="F3808" s="12">
        <f t="shared" si="177"/>
        <v>0.50996891431802094</v>
      </c>
      <c r="G3808" s="12">
        <f>EXP(-Assumptions!$B$8*B3808)</f>
        <v>0.14956861922263504</v>
      </c>
      <c r="H3808" s="12">
        <f t="shared" si="178"/>
        <v>4.7826708791389519E-2</v>
      </c>
      <c r="I3808" s="12">
        <f t="shared" si="179"/>
        <v>2.5466564070232851E-2</v>
      </c>
      <c r="J3808" s="12">
        <f>G3808*(D3808*Assumptions!$B$6+E3808*Assumptions!$B$7)</f>
        <v>1.7515952914255381E-3</v>
      </c>
    </row>
    <row r="3809" spans="1:10" x14ac:dyDescent="0.2">
      <c r="A3809" s="2">
        <v>3801</v>
      </c>
      <c r="B3809" s="14">
        <f>A3809*Assumptions!$B$12</f>
        <v>38.01</v>
      </c>
      <c r="C3809" s="15">
        <f>IF(A3809&lt;=Assumptions!$B$13,IF(OR(A3809=0,A3809=Assumptions!$B$13),0.5,1),0)*Assumptions!$B$12</f>
        <v>0</v>
      </c>
      <c r="D3809" s="12">
        <f>D3808*(1-Assumptions!$B$12*(Assumptions!$B$5+Assumptions!$B$6))</f>
        <v>0.31966839720291002</v>
      </c>
      <c r="E3809" s="12">
        <f>E3808+Assumptions!$B$12*(D3808*Assumptions!$B$5-E3808*Assumptions!$B$7)</f>
        <v>0.17024557866682838</v>
      </c>
      <c r="F3809" s="12">
        <f t="shared" si="177"/>
        <v>0.51008602413026161</v>
      </c>
      <c r="G3809" s="12">
        <f>EXP(-Assumptions!$B$8*B3809)</f>
        <v>0.14949385360598549</v>
      </c>
      <c r="H3809" s="12">
        <f t="shared" si="178"/>
        <v>4.7788460573911853E-2</v>
      </c>
      <c r="I3809" s="12">
        <f t="shared" si="179"/>
        <v>2.5450667614285129E-2</v>
      </c>
      <c r="J3809" s="12">
        <f>G3809*(D3809*Assumptions!$B$6+E3809*Assumptions!$B$7)</f>
        <v>1.7504179864533751E-3</v>
      </c>
    </row>
    <row r="3810" spans="1:10" x14ac:dyDescent="0.2">
      <c r="A3810" s="2">
        <v>3802</v>
      </c>
      <c r="B3810" s="14">
        <f>A3810*Assumptions!$B$12</f>
        <v>38.020000000000003</v>
      </c>
      <c r="C3810" s="15">
        <f>IF(A3810&lt;=Assumptions!$B$13,IF(OR(A3810=0,A3810=Assumptions!$B$13),0.5,1),0)*Assumptions!$B$12</f>
        <v>0</v>
      </c>
      <c r="D3810" s="12">
        <f>D3809*(1-Assumptions!$B$12*(Assumptions!$B$5+Assumptions!$B$6))</f>
        <v>0.31957249668374915</v>
      </c>
      <c r="E3810" s="12">
        <f>E3809+Assumptions!$B$12*(D3809*Assumptions!$B$5-E3809*Assumptions!$B$7)</f>
        <v>0.17022438955693556</v>
      </c>
      <c r="F3810" s="12">
        <f t="shared" si="177"/>
        <v>0.51020311375931526</v>
      </c>
      <c r="G3810" s="12">
        <f>EXP(-Assumptions!$B$8*B3810)</f>
        <v>0.14941912536280011</v>
      </c>
      <c r="H3810" s="12">
        <f t="shared" si="178"/>
        <v>4.7750242944492136E-2</v>
      </c>
      <c r="I3810" s="12">
        <f t="shared" si="179"/>
        <v>2.5434779403013877E-2</v>
      </c>
      <c r="J3810" s="12">
        <f>G3810*(D3810*Assumptions!$B$6+E3810*Assumptions!$B$7)</f>
        <v>1.7492413995956152E-3</v>
      </c>
    </row>
    <row r="3811" spans="1:10" x14ac:dyDescent="0.2">
      <c r="A3811" s="2">
        <v>3803</v>
      </c>
      <c r="B3811" s="14">
        <f>A3811*Assumptions!$B$12</f>
        <v>38.03</v>
      </c>
      <c r="C3811" s="15">
        <f>IF(A3811&lt;=Assumptions!$B$13,IF(OR(A3811=0,A3811=Assumptions!$B$13),0.5,1),0)*Assumptions!$B$12</f>
        <v>0</v>
      </c>
      <c r="D3811" s="12">
        <f>D3810*(1-Assumptions!$B$12*(Assumptions!$B$5+Assumptions!$B$6))</f>
        <v>0.31947662493474405</v>
      </c>
      <c r="E3811" s="12">
        <f>E3810+Assumptions!$B$12*(D3810*Assumptions!$B$5-E3810*Assumptions!$B$7)</f>
        <v>0.17020319186149385</v>
      </c>
      <c r="F3811" s="12">
        <f t="shared" si="177"/>
        <v>0.51032018320376205</v>
      </c>
      <c r="G3811" s="12">
        <f>EXP(-Assumptions!$B$8*B3811)</f>
        <v>0.14934443447439688</v>
      </c>
      <c r="H3811" s="12">
        <f t="shared" si="178"/>
        <v>4.771205587866835E-2</v>
      </c>
      <c r="I3811" s="12">
        <f t="shared" si="179"/>
        <v>2.5418899434292069E-2</v>
      </c>
      <c r="J3811" s="12">
        <f>G3811*(D3811*Assumptions!$B$6+E3811*Assumptions!$B$7)</f>
        <v>1.748065530501287E-3</v>
      </c>
    </row>
    <row r="3812" spans="1:10" x14ac:dyDescent="0.2">
      <c r="A3812" s="2">
        <v>3804</v>
      </c>
      <c r="B3812" s="14">
        <f>A3812*Assumptions!$B$12</f>
        <v>38.04</v>
      </c>
      <c r="C3812" s="15">
        <f>IF(A3812&lt;=Assumptions!$B$13,IF(OR(A3812=0,A3812=Assumptions!$B$13),0.5,1),0)*Assumptions!$B$12</f>
        <v>0</v>
      </c>
      <c r="D3812" s="12">
        <f>D3811*(1-Assumptions!$B$12*(Assumptions!$B$5+Assumptions!$B$6))</f>
        <v>0.31938078194726366</v>
      </c>
      <c r="E3812" s="12">
        <f>E3811+Assumptions!$B$12*(D3811*Assumptions!$B$5-E3811*Assumptions!$B$7)</f>
        <v>0.17018198559055006</v>
      </c>
      <c r="F3812" s="12">
        <f t="shared" si="177"/>
        <v>0.51043723246218631</v>
      </c>
      <c r="G3812" s="12">
        <f>EXP(-Assumptions!$B$8*B3812)</f>
        <v>0.14926978092210305</v>
      </c>
      <c r="H3812" s="12">
        <f t="shared" si="178"/>
        <v>4.7673899351998013E-2</v>
      </c>
      <c r="I3812" s="12">
        <f t="shared" si="179"/>
        <v>2.5403027705989907E-2</v>
      </c>
      <c r="J3812" s="12">
        <f>G3812*(D3812*Assumptions!$B$6+E3812*Assumptions!$B$7)</f>
        <v>1.7468903788194754E-3</v>
      </c>
    </row>
    <row r="3813" spans="1:10" x14ac:dyDescent="0.2">
      <c r="A3813" s="2">
        <v>3805</v>
      </c>
      <c r="B3813" s="14">
        <f>A3813*Assumptions!$B$12</f>
        <v>38.050000000000004</v>
      </c>
      <c r="C3813" s="15">
        <f>IF(A3813&lt;=Assumptions!$B$13,IF(OR(A3813=0,A3813=Assumptions!$B$13),0.5,1),0)*Assumptions!$B$12</f>
        <v>0</v>
      </c>
      <c r="D3813" s="12">
        <f>D3812*(1-Assumptions!$B$12*(Assumptions!$B$5+Assumptions!$B$6))</f>
        <v>0.3192849677126795</v>
      </c>
      <c r="E3813" s="12">
        <f>E3812+Assumptions!$B$12*(D3812*Assumptions!$B$5-E3812*Assumptions!$B$7)</f>
        <v>0.17016077075414424</v>
      </c>
      <c r="F3813" s="12">
        <f t="shared" si="177"/>
        <v>0.51055426153317629</v>
      </c>
      <c r="G3813" s="12">
        <f>EXP(-Assumptions!$B$8*B3813)</f>
        <v>0.14919516468725519</v>
      </c>
      <c r="H3813" s="12">
        <f t="shared" si="178"/>
        <v>4.7635773340058175E-2</v>
      </c>
      <c r="I3813" s="12">
        <f t="shared" si="179"/>
        <v>2.5387164215974825E-2</v>
      </c>
      <c r="J3813" s="12">
        <f>G3813*(D3813*Assumptions!$B$6+E3813*Assumptions!$B$7)</f>
        <v>1.7457159441993232E-3</v>
      </c>
    </row>
    <row r="3814" spans="1:10" x14ac:dyDescent="0.2">
      <c r="A3814" s="2">
        <v>3806</v>
      </c>
      <c r="B3814" s="14">
        <f>A3814*Assumptions!$B$12</f>
        <v>38.06</v>
      </c>
      <c r="C3814" s="15">
        <f>IF(A3814&lt;=Assumptions!$B$13,IF(OR(A3814=0,A3814=Assumptions!$B$13),0.5,1),0)*Assumptions!$B$12</f>
        <v>0</v>
      </c>
      <c r="D3814" s="12">
        <f>D3813*(1-Assumptions!$B$12*(Assumptions!$B$5+Assumptions!$B$6))</f>
        <v>0.3191891822223657</v>
      </c>
      <c r="E3814" s="12">
        <f>E3813+Assumptions!$B$12*(D3813*Assumptions!$B$5-E3813*Assumptions!$B$7)</f>
        <v>0.17013954736230971</v>
      </c>
      <c r="F3814" s="12">
        <f t="shared" si="177"/>
        <v>0.51067127041532456</v>
      </c>
      <c r="G3814" s="12">
        <f>EXP(-Assumptions!$B$8*B3814)</f>
        <v>0.14912058575119932</v>
      </c>
      <c r="H3814" s="12">
        <f t="shared" si="178"/>
        <v>4.7597677818445469E-2</v>
      </c>
      <c r="I3814" s="12">
        <f t="shared" si="179"/>
        <v>2.5371308962111545E-2</v>
      </c>
      <c r="J3814" s="12">
        <f>G3814*(D3814*Assumptions!$B$6+E3814*Assumptions!$B$7)</f>
        <v>1.7445422262900323E-3</v>
      </c>
    </row>
    <row r="3815" spans="1:10" x14ac:dyDescent="0.2">
      <c r="A3815" s="2">
        <v>3807</v>
      </c>
      <c r="B3815" s="14">
        <f>A3815*Assumptions!$B$12</f>
        <v>38.07</v>
      </c>
      <c r="C3815" s="15">
        <f>IF(A3815&lt;=Assumptions!$B$13,IF(OR(A3815=0,A3815=Assumptions!$B$13),0.5,1),0)*Assumptions!$B$12</f>
        <v>0</v>
      </c>
      <c r="D3815" s="12">
        <f>D3814*(1-Assumptions!$B$12*(Assumptions!$B$5+Assumptions!$B$6))</f>
        <v>0.31909342546769898</v>
      </c>
      <c r="E3815" s="12">
        <f>E3814+Assumptions!$B$12*(D3814*Assumptions!$B$5-E3814*Assumptions!$B$7)</f>
        <v>0.17011831542507302</v>
      </c>
      <c r="F3815" s="12">
        <f t="shared" si="177"/>
        <v>0.51078825910722803</v>
      </c>
      <c r="G3815" s="12">
        <f>EXP(-Assumptions!$B$8*B3815)</f>
        <v>0.14904604409529065</v>
      </c>
      <c r="H3815" s="12">
        <f t="shared" si="178"/>
        <v>4.7559612762776003E-2</v>
      </c>
      <c r="I3815" s="12">
        <f t="shared" si="179"/>
        <v>2.5355461942261997E-2</v>
      </c>
      <c r="J3815" s="12">
        <f>G3815*(D3815*Assumptions!$B$6+E3815*Assumptions!$B$7)</f>
        <v>1.7433692247408601E-3</v>
      </c>
    </row>
    <row r="3816" spans="1:10" x14ac:dyDescent="0.2">
      <c r="A3816" s="2">
        <v>3808</v>
      </c>
      <c r="B3816" s="14">
        <f>A3816*Assumptions!$B$12</f>
        <v>38.08</v>
      </c>
      <c r="C3816" s="15">
        <f>IF(A3816&lt;=Assumptions!$B$13,IF(OR(A3816=0,A3816=Assumptions!$B$13),0.5,1),0)*Assumptions!$B$12</f>
        <v>0</v>
      </c>
      <c r="D3816" s="12">
        <f>D3815*(1-Assumptions!$B$12*(Assumptions!$B$5+Assumptions!$B$6))</f>
        <v>0.31899769744005868</v>
      </c>
      <c r="E3816" s="12">
        <f>E3815+Assumptions!$B$12*(D3815*Assumptions!$B$5-E3815*Assumptions!$B$7)</f>
        <v>0.17009707495245402</v>
      </c>
      <c r="F3816" s="12">
        <f t="shared" si="177"/>
        <v>0.51090522760748724</v>
      </c>
      <c r="G3816" s="12">
        <f>EXP(-Assumptions!$B$8*B3816)</f>
        <v>0.14897153970089383</v>
      </c>
      <c r="H3816" s="12">
        <f t="shared" si="178"/>
        <v>4.752157814868542E-2</v>
      </c>
      <c r="I3816" s="12">
        <f t="shared" si="179"/>
        <v>2.5339623154285416E-2</v>
      </c>
      <c r="J3816" s="12">
        <f>G3816*(D3816*Assumptions!$B$6+E3816*Assumptions!$B$7)</f>
        <v>1.7421969392011252E-3</v>
      </c>
    </row>
    <row r="3817" spans="1:10" x14ac:dyDescent="0.2">
      <c r="A3817" s="2">
        <v>3809</v>
      </c>
      <c r="B3817" s="14">
        <f>A3817*Assumptions!$B$12</f>
        <v>38.090000000000003</v>
      </c>
      <c r="C3817" s="15">
        <f>IF(A3817&lt;=Assumptions!$B$13,IF(OR(A3817=0,A3817=Assumptions!$B$13),0.5,1),0)*Assumptions!$B$12</f>
        <v>0</v>
      </c>
      <c r="D3817" s="12">
        <f>D3816*(1-Assumptions!$B$12*(Assumptions!$B$5+Assumptions!$B$6))</f>
        <v>0.31890199813082665</v>
      </c>
      <c r="E3817" s="12">
        <f>E3816+Assumptions!$B$12*(D3816*Assumptions!$B$5-E3816*Assumptions!$B$7)</f>
        <v>0.1700758259544658</v>
      </c>
      <c r="F3817" s="12">
        <f t="shared" si="177"/>
        <v>0.51102217591470755</v>
      </c>
      <c r="G3817" s="12">
        <f>EXP(-Assumptions!$B$8*B3817)</f>
        <v>0.14889707254938259</v>
      </c>
      <c r="H3817" s="12">
        <f t="shared" si="178"/>
        <v>4.7483573951828763E-2</v>
      </c>
      <c r="I3817" s="12">
        <f t="shared" si="179"/>
        <v>2.5323792596038258E-2</v>
      </c>
      <c r="J3817" s="12">
        <f>G3817*(D3817*Assumptions!$B$6+E3817*Assumptions!$B$7)</f>
        <v>1.7410253693202007E-3</v>
      </c>
    </row>
    <row r="3818" spans="1:10" x14ac:dyDescent="0.2">
      <c r="A3818" s="2">
        <v>3810</v>
      </c>
      <c r="B3818" s="14">
        <f>A3818*Assumptions!$B$12</f>
        <v>38.1</v>
      </c>
      <c r="C3818" s="15">
        <f>IF(A3818&lt;=Assumptions!$B$13,IF(OR(A3818=0,A3818=Assumptions!$B$13),0.5,1),0)*Assumptions!$B$12</f>
        <v>0</v>
      </c>
      <c r="D3818" s="12">
        <f>D3817*(1-Assumptions!$B$12*(Assumptions!$B$5+Assumptions!$B$6))</f>
        <v>0.31880632753138743</v>
      </c>
      <c r="E3818" s="12">
        <f>E3817+Assumptions!$B$12*(D3817*Assumptions!$B$5-E3817*Assumptions!$B$7)</f>
        <v>0.17005456844111472</v>
      </c>
      <c r="F3818" s="12">
        <f t="shared" si="177"/>
        <v>0.51113910402749774</v>
      </c>
      <c r="G3818" s="12">
        <f>EXP(-Assumptions!$B$8*B3818)</f>
        <v>0.14882264262214034</v>
      </c>
      <c r="H3818" s="12">
        <f t="shared" si="178"/>
        <v>4.7445600147880691E-2</v>
      </c>
      <c r="I3818" s="12">
        <f t="shared" si="179"/>
        <v>2.5307970265374322E-2</v>
      </c>
      <c r="J3818" s="12">
        <f>G3818*(D3818*Assumptions!$B$6+E3818*Assumptions!$B$7)</f>
        <v>1.7398545147475231E-3</v>
      </c>
    </row>
    <row r="3819" spans="1:10" x14ac:dyDescent="0.2">
      <c r="A3819" s="2">
        <v>3811</v>
      </c>
      <c r="B3819" s="14">
        <f>A3819*Assumptions!$B$12</f>
        <v>38.11</v>
      </c>
      <c r="C3819" s="15">
        <f>IF(A3819&lt;=Assumptions!$B$13,IF(OR(A3819=0,A3819=Assumptions!$B$13),0.5,1),0)*Assumptions!$B$12</f>
        <v>0</v>
      </c>
      <c r="D3819" s="12">
        <f>D3818*(1-Assumptions!$B$12*(Assumptions!$B$5+Assumptions!$B$6))</f>
        <v>0.31871068563312804</v>
      </c>
      <c r="E3819" s="12">
        <f>E3818+Assumptions!$B$12*(D3818*Assumptions!$B$5-E3818*Assumptions!$B$7)</f>
        <v>0.17003330242240045</v>
      </c>
      <c r="F3819" s="12">
        <f t="shared" si="177"/>
        <v>0.51125601194447146</v>
      </c>
      <c r="G3819" s="12">
        <f>EXP(-Assumptions!$B$8*B3819)</f>
        <v>0.14874824990055957</v>
      </c>
      <c r="H3819" s="12">
        <f t="shared" si="178"/>
        <v>4.7407656712535211E-2</v>
      </c>
      <c r="I3819" s="12">
        <f t="shared" si="179"/>
        <v>2.5292156160144644E-2</v>
      </c>
      <c r="J3819" s="12">
        <f>G3819*(D3819*Assumptions!$B$6+E3819*Assumptions!$B$7)</f>
        <v>1.7386843751325842E-3</v>
      </c>
    </row>
    <row r="3820" spans="1:10" x14ac:dyDescent="0.2">
      <c r="A3820" s="2">
        <v>3812</v>
      </c>
      <c r="B3820" s="14">
        <f>A3820*Assumptions!$B$12</f>
        <v>38.119999999999997</v>
      </c>
      <c r="C3820" s="15">
        <f>IF(A3820&lt;=Assumptions!$B$13,IF(OR(A3820=0,A3820=Assumptions!$B$13),0.5,1),0)*Assumptions!$B$12</f>
        <v>0</v>
      </c>
      <c r="D3820" s="12">
        <f>D3819*(1-Assumptions!$B$12*(Assumptions!$B$5+Assumptions!$B$6))</f>
        <v>0.31861507242743814</v>
      </c>
      <c r="E3820" s="12">
        <f>E3819+Assumptions!$B$12*(D3819*Assumptions!$B$5-E3819*Assumptions!$B$7)</f>
        <v>0.17001202790831588</v>
      </c>
      <c r="F3820" s="12">
        <f t="shared" si="177"/>
        <v>0.51137289966424593</v>
      </c>
      <c r="G3820" s="12">
        <f>EXP(-Assumptions!$B$8*B3820)</f>
        <v>0.148673894366042</v>
      </c>
      <c r="H3820" s="12">
        <f t="shared" si="178"/>
        <v>4.7369743621505762E-2</v>
      </c>
      <c r="I3820" s="12">
        <f t="shared" si="179"/>
        <v>2.5276350278197541E-2</v>
      </c>
      <c r="J3820" s="12">
        <f>G3820*(D3820*Assumptions!$B$6+E3820*Assumptions!$B$7)</f>
        <v>1.7375149501249348E-3</v>
      </c>
    </row>
    <row r="3821" spans="1:10" x14ac:dyDescent="0.2">
      <c r="A3821" s="2">
        <v>3813</v>
      </c>
      <c r="B3821" s="14">
        <f>A3821*Assumptions!$B$12</f>
        <v>38.130000000000003</v>
      </c>
      <c r="C3821" s="15">
        <f>IF(A3821&lt;=Assumptions!$B$13,IF(OR(A3821=0,A3821=Assumptions!$B$13),0.5,1),0)*Assumptions!$B$12</f>
        <v>0</v>
      </c>
      <c r="D3821" s="12">
        <f>D3820*(1-Assumptions!$B$12*(Assumptions!$B$5+Assumptions!$B$6))</f>
        <v>0.31851948790570994</v>
      </c>
      <c r="E3821" s="12">
        <f>E3820+Assumptions!$B$12*(D3820*Assumptions!$B$5-E3820*Assumptions!$B$7)</f>
        <v>0.16999074490884722</v>
      </c>
      <c r="F3821" s="12">
        <f t="shared" si="177"/>
        <v>0.51148976718544281</v>
      </c>
      <c r="G3821" s="12">
        <f>EXP(-Assumptions!$B$8*B3821)</f>
        <v>0.14859957599999873</v>
      </c>
      <c r="H3821" s="12">
        <f t="shared" si="178"/>
        <v>4.7331860850525223E-2</v>
      </c>
      <c r="I3821" s="12">
        <f t="shared" si="179"/>
        <v>2.526055261737864E-2</v>
      </c>
      <c r="J3821" s="12">
        <f>G3821*(D3821*Assumptions!$B$6+E3821*Assumptions!$B$7)</f>
        <v>1.736346239374184E-3</v>
      </c>
    </row>
    <row r="3822" spans="1:10" x14ac:dyDescent="0.2">
      <c r="A3822" s="2">
        <v>3814</v>
      </c>
      <c r="B3822" s="14">
        <f>A3822*Assumptions!$B$12</f>
        <v>38.14</v>
      </c>
      <c r="C3822" s="15">
        <f>IF(A3822&lt;=Assumptions!$B$13,IF(OR(A3822=0,A3822=Assumptions!$B$13),0.5,1),0)*Assumptions!$B$12</f>
        <v>0</v>
      </c>
      <c r="D3822" s="12">
        <f>D3821*(1-Assumptions!$B$12*(Assumptions!$B$5+Assumptions!$B$6))</f>
        <v>0.31842393205933822</v>
      </c>
      <c r="E3822" s="12">
        <f>E3821+Assumptions!$B$12*(D3821*Assumptions!$B$5-E3821*Assumptions!$B$7)</f>
        <v>0.16996945343397393</v>
      </c>
      <c r="F3822" s="12">
        <f t="shared" si="177"/>
        <v>0.51160661450668776</v>
      </c>
      <c r="G3822" s="12">
        <f>EXP(-Assumptions!$B$8*B3822)</f>
        <v>0.14852529478385032</v>
      </c>
      <c r="H3822" s="12">
        <f t="shared" si="178"/>
        <v>4.7294008375345933E-2</v>
      </c>
      <c r="I3822" s="12">
        <f t="shared" si="179"/>
        <v>2.5244763175530899E-2</v>
      </c>
      <c r="J3822" s="12">
        <f>G3822*(D3822*Assumptions!$B$6+E3822*Assumptions!$B$7)</f>
        <v>1.7351782425300043E-3</v>
      </c>
    </row>
    <row r="3823" spans="1:10" x14ac:dyDescent="0.2">
      <c r="A3823" s="2">
        <v>3815</v>
      </c>
      <c r="B3823" s="14">
        <f>A3823*Assumptions!$B$12</f>
        <v>38.15</v>
      </c>
      <c r="C3823" s="15">
        <f>IF(A3823&lt;=Assumptions!$B$13,IF(OR(A3823=0,A3823=Assumptions!$B$13),0.5,1),0)*Assumptions!$B$12</f>
        <v>0</v>
      </c>
      <c r="D3823" s="12">
        <f>D3822*(1-Assumptions!$B$12*(Assumptions!$B$5+Assumptions!$B$6))</f>
        <v>0.31832840487972042</v>
      </c>
      <c r="E3823" s="12">
        <f>E3822+Assumptions!$B$12*(D3822*Assumptions!$B$5-E3822*Assumptions!$B$7)</f>
        <v>0.16994815349366882</v>
      </c>
      <c r="F3823" s="12">
        <f t="shared" si="177"/>
        <v>0.51172344162661076</v>
      </c>
      <c r="G3823" s="12">
        <f>EXP(-Assumptions!$B$8*B3823)</f>
        <v>0.14845105069902637</v>
      </c>
      <c r="H3823" s="12">
        <f t="shared" si="178"/>
        <v>4.7256186171739566E-2</v>
      </c>
      <c r="I3823" s="12">
        <f t="shared" si="179"/>
        <v>2.5228981950494545E-2</v>
      </c>
      <c r="J3823" s="12">
        <f>G3823*(D3823*Assumptions!$B$6+E3823*Assumptions!$B$7)</f>
        <v>1.7340109592421228E-3</v>
      </c>
    </row>
    <row r="3824" spans="1:10" x14ac:dyDescent="0.2">
      <c r="A3824" s="2">
        <v>3816</v>
      </c>
      <c r="B3824" s="14">
        <f>A3824*Assumptions!$B$12</f>
        <v>38.160000000000004</v>
      </c>
      <c r="C3824" s="15">
        <f>IF(A3824&lt;=Assumptions!$B$13,IF(OR(A3824=0,A3824=Assumptions!$B$13),0.5,1),0)*Assumptions!$B$12</f>
        <v>0</v>
      </c>
      <c r="D3824" s="12">
        <f>D3823*(1-Assumptions!$B$12*(Assumptions!$B$5+Assumptions!$B$6))</f>
        <v>0.31823290635825652</v>
      </c>
      <c r="E3824" s="12">
        <f>E3823+Assumptions!$B$12*(D3823*Assumptions!$B$5-E3823*Assumptions!$B$7)</f>
        <v>0.16992684509789793</v>
      </c>
      <c r="F3824" s="12">
        <f t="shared" si="177"/>
        <v>0.51184024854384558</v>
      </c>
      <c r="G3824" s="12">
        <f>EXP(-Assumptions!$B$8*B3824)</f>
        <v>0.1483768437269658</v>
      </c>
      <c r="H3824" s="12">
        <f t="shared" si="178"/>
        <v>4.7218394215497166E-2</v>
      </c>
      <c r="I3824" s="12">
        <f t="shared" si="179"/>
        <v>2.5213208940107125E-2</v>
      </c>
      <c r="J3824" s="12">
        <f>G3824*(D3824*Assumptions!$B$6+E3824*Assumptions!$B$7)</f>
        <v>1.7328443891603282E-3</v>
      </c>
    </row>
    <row r="3825" spans="1:10" x14ac:dyDescent="0.2">
      <c r="A3825" s="2">
        <v>3817</v>
      </c>
      <c r="B3825" s="14">
        <f>A3825*Assumptions!$B$12</f>
        <v>38.17</v>
      </c>
      <c r="C3825" s="15">
        <f>IF(A3825&lt;=Assumptions!$B$13,IF(OR(A3825=0,A3825=Assumptions!$B$13),0.5,1),0)*Assumptions!$B$12</f>
        <v>0</v>
      </c>
      <c r="D3825" s="12">
        <f>D3824*(1-Assumptions!$B$12*(Assumptions!$B$5+Assumptions!$B$6))</f>
        <v>0.31813743648634907</v>
      </c>
      <c r="E3825" s="12">
        <f>E3824+Assumptions!$B$12*(D3824*Assumptions!$B$5-E3824*Assumptions!$B$7)</f>
        <v>0.16990552825662064</v>
      </c>
      <c r="F3825" s="12">
        <f t="shared" si="177"/>
        <v>0.51195703525703029</v>
      </c>
      <c r="G3825" s="12">
        <f>EXP(-Assumptions!$B$8*B3825)</f>
        <v>0.14830267384911702</v>
      </c>
      <c r="H3825" s="12">
        <f t="shared" si="178"/>
        <v>4.7180632482429208E-2</v>
      </c>
      <c r="I3825" s="12">
        <f t="shared" si="179"/>
        <v>2.5197444142203547E-2</v>
      </c>
      <c r="J3825" s="12">
        <f>G3825*(D3825*Assumptions!$B$6+E3825*Assumptions!$B$7)</f>
        <v>1.7316785319344695E-3</v>
      </c>
    </row>
    <row r="3826" spans="1:10" x14ac:dyDescent="0.2">
      <c r="A3826" s="2">
        <v>3818</v>
      </c>
      <c r="B3826" s="14">
        <f>A3826*Assumptions!$B$12</f>
        <v>38.18</v>
      </c>
      <c r="C3826" s="15">
        <f>IF(A3826&lt;=Assumptions!$B$13,IF(OR(A3826=0,A3826=Assumptions!$B$13),0.5,1),0)*Assumptions!$B$12</f>
        <v>0</v>
      </c>
      <c r="D3826" s="12">
        <f>D3825*(1-Assumptions!$B$12*(Assumptions!$B$5+Assumptions!$B$6))</f>
        <v>0.31804199525540316</v>
      </c>
      <c r="E3826" s="12">
        <f>E3825+Assumptions!$B$12*(D3825*Assumptions!$B$5-E3825*Assumptions!$B$7)</f>
        <v>0.16988420297978959</v>
      </c>
      <c r="F3826" s="12">
        <f t="shared" si="177"/>
        <v>0.51207380176480721</v>
      </c>
      <c r="G3826" s="12">
        <f>EXP(-Assumptions!$B$8*B3826)</f>
        <v>0.14822854104693745</v>
      </c>
      <c r="H3826" s="12">
        <f t="shared" si="178"/>
        <v>4.7142900948365415E-2</v>
      </c>
      <c r="I3826" s="12">
        <f t="shared" si="179"/>
        <v>2.5181687554615993E-2</v>
      </c>
      <c r="J3826" s="12">
        <f>G3826*(D3826*Assumptions!$B$6+E3826*Assumptions!$B$7)</f>
        <v>1.7305133872144538E-3</v>
      </c>
    </row>
    <row r="3827" spans="1:10" x14ac:dyDescent="0.2">
      <c r="A3827" s="2">
        <v>3819</v>
      </c>
      <c r="B3827" s="14">
        <f>A3827*Assumptions!$B$12</f>
        <v>38.19</v>
      </c>
      <c r="C3827" s="15">
        <f>IF(A3827&lt;=Assumptions!$B$13,IF(OR(A3827=0,A3827=Assumptions!$B$13),0.5,1),0)*Assumptions!$B$12</f>
        <v>0</v>
      </c>
      <c r="D3827" s="12">
        <f>D3826*(1-Assumptions!$B$12*(Assumptions!$B$5+Assumptions!$B$6))</f>
        <v>0.31794658265682657</v>
      </c>
      <c r="E3827" s="12">
        <f>E3826+Assumptions!$B$12*(D3826*Assumptions!$B$5-E3826*Assumptions!$B$7)</f>
        <v>0.16986286927735078</v>
      </c>
      <c r="F3827" s="12">
        <f t="shared" si="177"/>
        <v>0.51219054806582265</v>
      </c>
      <c r="G3827" s="12">
        <f>EXP(-Assumptions!$B$8*B3827)</f>
        <v>0.14815444530189389</v>
      </c>
      <c r="H3827" s="12">
        <f t="shared" si="178"/>
        <v>4.7105199589154899E-2</v>
      </c>
      <c r="I3827" s="12">
        <f t="shared" si="179"/>
        <v>2.5165939175174019E-2</v>
      </c>
      <c r="J3827" s="12">
        <f>G3827*(D3827*Assumptions!$B$6+E3827*Assumptions!$B$7)</f>
        <v>1.72934895465025E-3</v>
      </c>
    </row>
    <row r="3828" spans="1:10" x14ac:dyDescent="0.2">
      <c r="A3828" s="2">
        <v>3820</v>
      </c>
      <c r="B3828" s="14">
        <f>A3828*Assumptions!$B$12</f>
        <v>38.200000000000003</v>
      </c>
      <c r="C3828" s="15">
        <f>IF(A3828&lt;=Assumptions!$B$13,IF(OR(A3828=0,A3828=Assumptions!$B$13),0.5,1),0)*Assumptions!$B$12</f>
        <v>0</v>
      </c>
      <c r="D3828" s="12">
        <f>D3827*(1-Assumptions!$B$12*(Assumptions!$B$5+Assumptions!$B$6))</f>
        <v>0.31785119868202955</v>
      </c>
      <c r="E3828" s="12">
        <f>E3827+Assumptions!$B$12*(D3827*Assumptions!$B$5-E3827*Assumptions!$B$7)</f>
        <v>0.16984152715924347</v>
      </c>
      <c r="F3828" s="12">
        <f t="shared" si="177"/>
        <v>0.5123072741587269</v>
      </c>
      <c r="G3828" s="12">
        <f>EXP(-Assumptions!$B$8*B3828)</f>
        <v>0.14808038659546244</v>
      </c>
      <c r="H3828" s="12">
        <f t="shared" si="178"/>
        <v>4.7067528380666079E-2</v>
      </c>
      <c r="I3828" s="12">
        <f t="shared" si="179"/>
        <v>2.5150199001704506E-2</v>
      </c>
      <c r="J3828" s="12">
        <f>G3828*(D3828*Assumptions!$B$6+E3828*Assumptions!$B$7)</f>
        <v>1.728185233891886E-3</v>
      </c>
    </row>
    <row r="3829" spans="1:10" x14ac:dyDescent="0.2">
      <c r="A3829" s="2">
        <v>3821</v>
      </c>
      <c r="B3829" s="14">
        <f>A3829*Assumptions!$B$12</f>
        <v>38.21</v>
      </c>
      <c r="C3829" s="15">
        <f>IF(A3829&lt;=Assumptions!$B$13,IF(OR(A3829=0,A3829=Assumptions!$B$13),0.5,1),0)*Assumptions!$B$12</f>
        <v>0</v>
      </c>
      <c r="D3829" s="12">
        <f>D3828*(1-Assumptions!$B$12*(Assumptions!$B$5+Assumptions!$B$6))</f>
        <v>0.31775584332242496</v>
      </c>
      <c r="E3829" s="12">
        <f>E3828+Assumptions!$B$12*(D3828*Assumptions!$B$5-E3828*Assumptions!$B$7)</f>
        <v>0.16982017663540025</v>
      </c>
      <c r="F3829" s="12">
        <f t="shared" si="177"/>
        <v>0.51242398004217471</v>
      </c>
      <c r="G3829" s="12">
        <f>EXP(-Assumptions!$B$8*B3829)</f>
        <v>0.14800636490912841</v>
      </c>
      <c r="H3829" s="12">
        <f t="shared" si="178"/>
        <v>4.7029887298786661E-2</v>
      </c>
      <c r="I3829" s="12">
        <f t="shared" si="179"/>
        <v>2.5134467032031694E-2</v>
      </c>
      <c r="J3829" s="12">
        <f>G3829*(D3829*Assumptions!$B$6+E3829*Assumptions!$B$7)</f>
        <v>1.7270222245894516E-3</v>
      </c>
    </row>
    <row r="3830" spans="1:10" x14ac:dyDescent="0.2">
      <c r="A3830" s="2">
        <v>3822</v>
      </c>
      <c r="B3830" s="14">
        <f>A3830*Assumptions!$B$12</f>
        <v>38.22</v>
      </c>
      <c r="C3830" s="15">
        <f>IF(A3830&lt;=Assumptions!$B$13,IF(OR(A3830=0,A3830=Assumptions!$B$13),0.5,1),0)*Assumptions!$B$12</f>
        <v>0</v>
      </c>
      <c r="D3830" s="12">
        <f>D3829*(1-Assumptions!$B$12*(Assumptions!$B$5+Assumptions!$B$6))</f>
        <v>0.31766051656942823</v>
      </c>
      <c r="E3830" s="12">
        <f>E3829+Assumptions!$B$12*(D3829*Assumptions!$B$5-E3829*Assumptions!$B$7)</f>
        <v>0.16979881771574704</v>
      </c>
      <c r="F3830" s="12">
        <f t="shared" si="177"/>
        <v>0.51254066571482482</v>
      </c>
      <c r="G3830" s="12">
        <f>EXP(-Assumptions!$B$8*B3830)</f>
        <v>0.1479323802243864</v>
      </c>
      <c r="H3830" s="12">
        <f t="shared" si="178"/>
        <v>4.6992276319423654E-2</v>
      </c>
      <c r="I3830" s="12">
        <f t="shared" si="179"/>
        <v>2.5118743263977169E-2</v>
      </c>
      <c r="J3830" s="12">
        <f>G3830*(D3830*Assumptions!$B$6+E3830*Assumptions!$B$7)</f>
        <v>1.725859926393095E-3</v>
      </c>
    </row>
    <row r="3831" spans="1:10" x14ac:dyDescent="0.2">
      <c r="A3831" s="2">
        <v>3823</v>
      </c>
      <c r="B3831" s="14">
        <f>A3831*Assumptions!$B$12</f>
        <v>38.230000000000004</v>
      </c>
      <c r="C3831" s="15">
        <f>IF(A3831&lt;=Assumptions!$B$13,IF(OR(A3831=0,A3831=Assumptions!$B$13),0.5,1),0)*Assumptions!$B$12</f>
        <v>0</v>
      </c>
      <c r="D3831" s="12">
        <f>D3830*(1-Assumptions!$B$12*(Assumptions!$B$5+Assumptions!$B$6))</f>
        <v>0.3175652184144574</v>
      </c>
      <c r="E3831" s="12">
        <f>E3830+Assumptions!$B$12*(D3830*Assumptions!$B$5-E3830*Assumptions!$B$7)</f>
        <v>0.16977745041020303</v>
      </c>
      <c r="F3831" s="12">
        <f t="shared" si="177"/>
        <v>0.51265733117533951</v>
      </c>
      <c r="G3831" s="12">
        <f>EXP(-Assumptions!$B$8*B3831)</f>
        <v>0.14785843252274017</v>
      </c>
      <c r="H3831" s="12">
        <f t="shared" si="178"/>
        <v>4.6954695418503292E-2</v>
      </c>
      <c r="I3831" s="12">
        <f t="shared" si="179"/>
        <v>2.510302769535987E-2</v>
      </c>
      <c r="J3831" s="12">
        <f>G3831*(D3831*Assumptions!$B$6+E3831*Assumptions!$B$7)</f>
        <v>1.7246983389530264E-3</v>
      </c>
    </row>
    <row r="3832" spans="1:10" x14ac:dyDescent="0.2">
      <c r="A3832" s="2">
        <v>3824</v>
      </c>
      <c r="B3832" s="14">
        <f>A3832*Assumptions!$B$12</f>
        <v>38.24</v>
      </c>
      <c r="C3832" s="15">
        <f>IF(A3832&lt;=Assumptions!$B$13,IF(OR(A3832=0,A3832=Assumptions!$B$13),0.5,1),0)*Assumptions!$B$12</f>
        <v>0</v>
      </c>
      <c r="D3832" s="12">
        <f>D3831*(1-Assumptions!$B$12*(Assumptions!$B$5+Assumptions!$B$6))</f>
        <v>0.31746994884893309</v>
      </c>
      <c r="E3832" s="12">
        <f>E3831+Assumptions!$B$12*(D3831*Assumptions!$B$5-E3831*Assumptions!$B$7)</f>
        <v>0.16975607472868082</v>
      </c>
      <c r="F3832" s="12">
        <f t="shared" si="177"/>
        <v>0.51277397642238609</v>
      </c>
      <c r="G3832" s="12">
        <f>EXP(-Assumptions!$B$8*B3832)</f>
        <v>0.14778452178570287</v>
      </c>
      <c r="H3832" s="12">
        <f t="shared" si="178"/>
        <v>4.6917144571971124E-2</v>
      </c>
      <c r="I3832" s="12">
        <f t="shared" si="179"/>
        <v>2.5087320323996135E-2</v>
      </c>
      <c r="J3832" s="12">
        <f>G3832*(D3832*Assumptions!$B$6+E3832*Assumptions!$B$7)</f>
        <v>1.7235374619195181E-3</v>
      </c>
    </row>
    <row r="3833" spans="1:10" x14ac:dyDescent="0.2">
      <c r="A3833" s="2">
        <v>3825</v>
      </c>
      <c r="B3833" s="14">
        <f>A3833*Assumptions!$B$12</f>
        <v>38.25</v>
      </c>
      <c r="C3833" s="15">
        <f>IF(A3833&lt;=Assumptions!$B$13,IF(OR(A3833=0,A3833=Assumptions!$B$13),0.5,1),0)*Assumptions!$B$12</f>
        <v>0</v>
      </c>
      <c r="D3833" s="12">
        <f>D3832*(1-Assumptions!$B$12*(Assumptions!$B$5+Assumptions!$B$6))</f>
        <v>0.3173747078642784</v>
      </c>
      <c r="E3833" s="12">
        <f>E3832+Assumptions!$B$12*(D3832*Assumptions!$B$5-E3832*Assumptions!$B$7)</f>
        <v>0.16973469068108626</v>
      </c>
      <c r="F3833" s="12">
        <f t="shared" si="177"/>
        <v>0.51289060145463539</v>
      </c>
      <c r="G3833" s="12">
        <f>EXP(-Assumptions!$B$8*B3833)</f>
        <v>0.14771064799479677</v>
      </c>
      <c r="H3833" s="12">
        <f t="shared" si="178"/>
        <v>4.687962375579189E-2</v>
      </c>
      <c r="I3833" s="12">
        <f t="shared" si="179"/>
        <v>2.5071621147699646E-2</v>
      </c>
      <c r="J3833" s="12">
        <f>G3833*(D3833*Assumptions!$B$6+E3833*Assumptions!$B$7)</f>
        <v>1.7223772949429012E-3</v>
      </c>
    </row>
    <row r="3834" spans="1:10" x14ac:dyDescent="0.2">
      <c r="A3834" s="2">
        <v>3826</v>
      </c>
      <c r="B3834" s="14">
        <f>A3834*Assumptions!$B$12</f>
        <v>38.26</v>
      </c>
      <c r="C3834" s="15">
        <f>IF(A3834&lt;=Assumptions!$B$13,IF(OR(A3834=0,A3834=Assumptions!$B$13),0.5,1),0)*Assumptions!$B$12</f>
        <v>0</v>
      </c>
      <c r="D3834" s="12">
        <f>D3833*(1-Assumptions!$B$12*(Assumptions!$B$5+Assumptions!$B$6))</f>
        <v>0.31727949545191914</v>
      </c>
      <c r="E3834" s="12">
        <f>E3833+Assumptions!$B$12*(D3833*Assumptions!$B$5-E3833*Assumptions!$B$7)</f>
        <v>0.16971329827731857</v>
      </c>
      <c r="F3834" s="12">
        <f t="shared" si="177"/>
        <v>0.51300720627076224</v>
      </c>
      <c r="G3834" s="12">
        <f>EXP(-Assumptions!$B$8*B3834)</f>
        <v>0.14763681113155347</v>
      </c>
      <c r="H3834" s="12">
        <f t="shared" si="178"/>
        <v>4.6842132945949563E-2</v>
      </c>
      <c r="I3834" s="12">
        <f t="shared" si="179"/>
        <v>2.5055930164281481E-2</v>
      </c>
      <c r="J3834" s="12">
        <f>G3834*(D3834*Assumptions!$B$6+E3834*Assumptions!$B$7)</f>
        <v>1.7212178376735698E-3</v>
      </c>
    </row>
    <row r="3835" spans="1:10" x14ac:dyDescent="0.2">
      <c r="A3835" s="2">
        <v>3827</v>
      </c>
      <c r="B3835" s="14">
        <f>A3835*Assumptions!$B$12</f>
        <v>38.270000000000003</v>
      </c>
      <c r="C3835" s="15">
        <f>IF(A3835&lt;=Assumptions!$B$13,IF(OR(A3835=0,A3835=Assumptions!$B$13),0.5,1),0)*Assumptions!$B$12</f>
        <v>0</v>
      </c>
      <c r="D3835" s="12">
        <f>D3834*(1-Assumptions!$B$12*(Assumptions!$B$5+Assumptions!$B$6))</f>
        <v>0.31718431160328359</v>
      </c>
      <c r="E3835" s="12">
        <f>E3834+Assumptions!$B$12*(D3834*Assumptions!$B$5-E3834*Assumptions!$B$7)</f>
        <v>0.16969189752727029</v>
      </c>
      <c r="F3835" s="12">
        <f t="shared" si="177"/>
        <v>0.51312379086944615</v>
      </c>
      <c r="G3835" s="12">
        <f>EXP(-Assumptions!$B$8*B3835)</f>
        <v>0.14756301117751369</v>
      </c>
      <c r="H3835" s="12">
        <f t="shared" si="178"/>
        <v>4.680467211844732E-2</v>
      </c>
      <c r="I3835" s="12">
        <f t="shared" si="179"/>
        <v>2.5040247371550094E-2</v>
      </c>
      <c r="J3835" s="12">
        <f>G3835*(D3835*Assumptions!$B$6+E3835*Assumptions!$B$7)</f>
        <v>1.7200590897619781E-3</v>
      </c>
    </row>
    <row r="3836" spans="1:10" x14ac:dyDescent="0.2">
      <c r="A3836" s="2">
        <v>3828</v>
      </c>
      <c r="B3836" s="14">
        <f>A3836*Assumptions!$B$12</f>
        <v>38.28</v>
      </c>
      <c r="C3836" s="15">
        <f>IF(A3836&lt;=Assumptions!$B$13,IF(OR(A3836=0,A3836=Assumptions!$B$13),0.5,1),0)*Assumptions!$B$12</f>
        <v>0</v>
      </c>
      <c r="D3836" s="12">
        <f>D3835*(1-Assumptions!$B$12*(Assumptions!$B$5+Assumptions!$B$6))</f>
        <v>0.31708915630980261</v>
      </c>
      <c r="E3836" s="12">
        <f>E3835+Assumptions!$B$12*(D3835*Assumptions!$B$5-E3835*Assumptions!$B$7)</f>
        <v>0.1696704884408273</v>
      </c>
      <c r="F3836" s="12">
        <f t="shared" si="177"/>
        <v>0.51324035524937006</v>
      </c>
      <c r="G3836" s="12">
        <f>EXP(-Assumptions!$B$8*B3836)</f>
        <v>0.14748924811422748</v>
      </c>
      <c r="H3836" s="12">
        <f t="shared" si="178"/>
        <v>4.6767241249307534E-2</v>
      </c>
      <c r="I3836" s="12">
        <f t="shared" si="179"/>
        <v>2.5024572767311341E-2</v>
      </c>
      <c r="J3836" s="12">
        <f>G3836*(D3836*Assumptions!$B$6+E3836*Assumptions!$B$7)</f>
        <v>1.7189010508586425E-3</v>
      </c>
    </row>
    <row r="3837" spans="1:10" x14ac:dyDescent="0.2">
      <c r="A3837" s="2">
        <v>3829</v>
      </c>
      <c r="B3837" s="14">
        <f>A3837*Assumptions!$B$12</f>
        <v>38.29</v>
      </c>
      <c r="C3837" s="15">
        <f>IF(A3837&lt;=Assumptions!$B$13,IF(OR(A3837=0,A3837=Assumptions!$B$13),0.5,1),0)*Assumptions!$B$12</f>
        <v>0</v>
      </c>
      <c r="D3837" s="12">
        <f>D3836*(1-Assumptions!$B$12*(Assumptions!$B$5+Assumptions!$B$6))</f>
        <v>0.31699402956290967</v>
      </c>
      <c r="E3837" s="12">
        <f>E3836+Assumptions!$B$12*(D3836*Assumptions!$B$5-E3836*Assumptions!$B$7)</f>
        <v>0.16964907102786886</v>
      </c>
      <c r="F3837" s="12">
        <f t="shared" si="177"/>
        <v>0.51335689940922147</v>
      </c>
      <c r="G3837" s="12">
        <f>EXP(-Assumptions!$B$8*B3837)</f>
        <v>0.14741552192325408</v>
      </c>
      <c r="H3837" s="12">
        <f t="shared" si="178"/>
        <v>4.6729840314571759E-2</v>
      </c>
      <c r="I3837" s="12">
        <f t="shared" si="179"/>
        <v>2.500890634936849E-2</v>
      </c>
      <c r="J3837" s="12">
        <f>G3837*(D3837*Assumptions!$B$6+E3837*Assumptions!$B$7)</f>
        <v>1.7177437206141422E-3</v>
      </c>
    </row>
    <row r="3838" spans="1:10" x14ac:dyDescent="0.2">
      <c r="A3838" s="2">
        <v>3830</v>
      </c>
      <c r="B3838" s="14">
        <f>A3838*Assumptions!$B$12</f>
        <v>38.300000000000004</v>
      </c>
      <c r="C3838" s="15">
        <f>IF(A3838&lt;=Assumptions!$B$13,IF(OR(A3838=0,A3838=Assumptions!$B$13),0.5,1),0)*Assumptions!$B$12</f>
        <v>0</v>
      </c>
      <c r="D3838" s="12">
        <f>D3837*(1-Assumptions!$B$12*(Assumptions!$B$5+Assumptions!$B$6))</f>
        <v>0.31689893135404079</v>
      </c>
      <c r="E3838" s="12">
        <f>E3837+Assumptions!$B$12*(D3837*Assumptions!$B$5-E3837*Assumptions!$B$7)</f>
        <v>0.16962764529826752</v>
      </c>
      <c r="F3838" s="12">
        <f t="shared" si="177"/>
        <v>0.51347342334769164</v>
      </c>
      <c r="G3838" s="12">
        <f>EXP(-Assumptions!$B$8*B3838)</f>
        <v>0.1473418325861619</v>
      </c>
      <c r="H3838" s="12">
        <f t="shared" si="178"/>
        <v>4.6692469290300694E-2</v>
      </c>
      <c r="I3838" s="12">
        <f t="shared" si="179"/>
        <v>2.4993248115522185E-2</v>
      </c>
      <c r="J3838" s="12">
        <f>G3838*(D3838*Assumptions!$B$6+E3838*Assumptions!$B$7)</f>
        <v>1.7165870986791164E-3</v>
      </c>
    </row>
    <row r="3839" spans="1:10" x14ac:dyDescent="0.2">
      <c r="A3839" s="2">
        <v>3831</v>
      </c>
      <c r="B3839" s="14">
        <f>A3839*Assumptions!$B$12</f>
        <v>38.31</v>
      </c>
      <c r="C3839" s="15">
        <f>IF(A3839&lt;=Assumptions!$B$13,IF(OR(A3839=0,A3839=Assumptions!$B$13),0.5,1),0)*Assumptions!$B$12</f>
        <v>0</v>
      </c>
      <c r="D3839" s="12">
        <f>D3838*(1-Assumptions!$B$12*(Assumptions!$B$5+Assumptions!$B$6))</f>
        <v>0.31680386167463459</v>
      </c>
      <c r="E3839" s="12">
        <f>E3838+Assumptions!$B$12*(D3838*Assumptions!$B$5-E3838*Assumptions!$B$7)</f>
        <v>0.16960621126188918</v>
      </c>
      <c r="F3839" s="12">
        <f t="shared" si="177"/>
        <v>0.51358992706347628</v>
      </c>
      <c r="G3839" s="12">
        <f>EXP(-Assumptions!$B$8*B3839)</f>
        <v>0.14726818008452866</v>
      </c>
      <c r="H3839" s="12">
        <f t="shared" si="178"/>
        <v>4.6655128152574193E-2</v>
      </c>
      <c r="I3839" s="12">
        <f t="shared" si="179"/>
        <v>2.497759806357051E-2</v>
      </c>
      <c r="J3839" s="12">
        <f>G3839*(D3839*Assumptions!$B$6+E3839*Assumptions!$B$7)</f>
        <v>1.7154311847042676E-3</v>
      </c>
    </row>
    <row r="3840" spans="1:10" x14ac:dyDescent="0.2">
      <c r="A3840" s="2">
        <v>3832</v>
      </c>
      <c r="B3840" s="14">
        <f>A3840*Assumptions!$B$12</f>
        <v>38.32</v>
      </c>
      <c r="C3840" s="15">
        <f>IF(A3840&lt;=Assumptions!$B$13,IF(OR(A3840=0,A3840=Assumptions!$B$13),0.5,1),0)*Assumptions!$B$12</f>
        <v>0</v>
      </c>
      <c r="D3840" s="12">
        <f>D3839*(1-Assumptions!$B$12*(Assumptions!$B$5+Assumptions!$B$6))</f>
        <v>0.31670882051613219</v>
      </c>
      <c r="E3840" s="12">
        <f>E3839+Assumptions!$B$12*(D3839*Assumptions!$B$5-E3839*Assumptions!$B$7)</f>
        <v>0.16958476892859317</v>
      </c>
      <c r="F3840" s="12">
        <f t="shared" si="177"/>
        <v>0.51370641055527466</v>
      </c>
      <c r="G3840" s="12">
        <f>EXP(-Assumptions!$B$8*B3840)</f>
        <v>0.14719456439994122</v>
      </c>
      <c r="H3840" s="12">
        <f t="shared" si="178"/>
        <v>4.6617816877491246E-2</v>
      </c>
      <c r="I3840" s="12">
        <f t="shared" si="179"/>
        <v>2.4961956191308959E-2</v>
      </c>
      <c r="J3840" s="12">
        <f>G3840*(D3840*Assumptions!$B$6+E3840*Assumptions!$B$7)</f>
        <v>1.7142759783403605E-3</v>
      </c>
    </row>
    <row r="3841" spans="1:10" x14ac:dyDescent="0.2">
      <c r="A3841" s="2">
        <v>3833</v>
      </c>
      <c r="B3841" s="14">
        <f>A3841*Assumptions!$B$12</f>
        <v>38.33</v>
      </c>
      <c r="C3841" s="15">
        <f>IF(A3841&lt;=Assumptions!$B$13,IF(OR(A3841=0,A3841=Assumptions!$B$13),0.5,1),0)*Assumptions!$B$12</f>
        <v>0</v>
      </c>
      <c r="D3841" s="12">
        <f>D3840*(1-Assumptions!$B$12*(Assumptions!$B$5+Assumptions!$B$6))</f>
        <v>0.31661380786997739</v>
      </c>
      <c r="E3841" s="12">
        <f>E3840+Assumptions!$B$12*(D3840*Assumptions!$B$5-E3840*Assumptions!$B$7)</f>
        <v>0.1695633183082321</v>
      </c>
      <c r="F3841" s="12">
        <f t="shared" si="177"/>
        <v>0.51382287382179048</v>
      </c>
      <c r="G3841" s="12">
        <f>EXP(-Assumptions!$B$8*B3841)</f>
        <v>0.14712098551399563</v>
      </c>
      <c r="H3841" s="12">
        <f t="shared" si="178"/>
        <v>4.658053544116994E-2</v>
      </c>
      <c r="I3841" s="12">
        <f t="shared" si="179"/>
        <v>2.4946322496530445E-2</v>
      </c>
      <c r="J3841" s="12">
        <f>G3841*(D3841*Assumptions!$B$6+E3841*Assumptions!$B$7)</f>
        <v>1.7131214792382215E-3</v>
      </c>
    </row>
    <row r="3842" spans="1:10" x14ac:dyDescent="0.2">
      <c r="A3842" s="2">
        <v>3834</v>
      </c>
      <c r="B3842" s="14">
        <f>A3842*Assumptions!$B$12</f>
        <v>38.340000000000003</v>
      </c>
      <c r="C3842" s="15">
        <f>IF(A3842&lt;=Assumptions!$B$13,IF(OR(A3842=0,A3842=Assumptions!$B$13),0.5,1),0)*Assumptions!$B$12</f>
        <v>0</v>
      </c>
      <c r="D3842" s="12">
        <f>D3841*(1-Assumptions!$B$12*(Assumptions!$B$5+Assumptions!$B$6))</f>
        <v>0.31651882372761642</v>
      </c>
      <c r="E3842" s="12">
        <f>E3841+Assumptions!$B$12*(D3841*Assumptions!$B$5-E3841*Assumptions!$B$7)</f>
        <v>0.16954185941065197</v>
      </c>
      <c r="F3842" s="12">
        <f t="shared" si="177"/>
        <v>0.51393931686173167</v>
      </c>
      <c r="G3842" s="12">
        <f>EXP(-Assumptions!$B$8*B3842)</f>
        <v>0.14704744340829717</v>
      </c>
      <c r="H3842" s="12">
        <f t="shared" si="178"/>
        <v>4.6543283819747462E-2</v>
      </c>
      <c r="I3842" s="12">
        <f t="shared" si="179"/>
        <v>2.493069697702532E-2</v>
      </c>
      <c r="J3842" s="12">
        <f>G3842*(D3842*Assumptions!$B$6+E3842*Assumptions!$B$7)</f>
        <v>1.7119676870487408E-3</v>
      </c>
    </row>
    <row r="3843" spans="1:10" x14ac:dyDescent="0.2">
      <c r="A3843" s="2">
        <v>3835</v>
      </c>
      <c r="B3843" s="14">
        <f>A3843*Assumptions!$B$12</f>
        <v>38.35</v>
      </c>
      <c r="C3843" s="15">
        <f>IF(A3843&lt;=Assumptions!$B$13,IF(OR(A3843=0,A3843=Assumptions!$B$13),0.5,1),0)*Assumptions!$B$12</f>
        <v>0</v>
      </c>
      <c r="D3843" s="12">
        <f>D3842*(1-Assumptions!$B$12*(Assumptions!$B$5+Assumptions!$B$6))</f>
        <v>0.31642386808049816</v>
      </c>
      <c r="E3843" s="12">
        <f>E3842+Assumptions!$B$12*(D3842*Assumptions!$B$5-E3842*Assumptions!$B$7)</f>
        <v>0.16952039224569218</v>
      </c>
      <c r="F3843" s="12">
        <f t="shared" si="177"/>
        <v>0.51405573967380969</v>
      </c>
      <c r="G3843" s="12">
        <f>EXP(-Assumptions!$B$8*B3843)</f>
        <v>0.14697393806446035</v>
      </c>
      <c r="H3843" s="12">
        <f t="shared" si="178"/>
        <v>4.6506061989380107E-2</v>
      </c>
      <c r="I3843" s="12">
        <f t="shared" si="179"/>
        <v>2.4915079630581389E-2</v>
      </c>
      <c r="J3843" s="12">
        <f>G3843*(D3843*Assumptions!$B$6+E3843*Assumptions!$B$7)</f>
        <v>1.7108146014228707E-3</v>
      </c>
    </row>
    <row r="3844" spans="1:10" x14ac:dyDescent="0.2">
      <c r="A3844" s="2">
        <v>3836</v>
      </c>
      <c r="B3844" s="14">
        <f>A3844*Assumptions!$B$12</f>
        <v>38.36</v>
      </c>
      <c r="C3844" s="15">
        <f>IF(A3844&lt;=Assumptions!$B$13,IF(OR(A3844=0,A3844=Assumptions!$B$13),0.5,1),0)*Assumptions!$B$12</f>
        <v>0</v>
      </c>
      <c r="D3844" s="12">
        <f>D3843*(1-Assumptions!$B$12*(Assumptions!$B$5+Assumptions!$B$6))</f>
        <v>0.31632894092007402</v>
      </c>
      <c r="E3844" s="12">
        <f>E3843+Assumptions!$B$12*(D3843*Assumptions!$B$5-E3843*Assumptions!$B$7)</f>
        <v>0.16949891682318544</v>
      </c>
      <c r="F3844" s="12">
        <f t="shared" si="177"/>
        <v>0.51417214225674057</v>
      </c>
      <c r="G3844" s="12">
        <f>EXP(-Assumptions!$B$8*B3844)</f>
        <v>0.14690046946410881</v>
      </c>
      <c r="H3844" s="12">
        <f t="shared" si="178"/>
        <v>4.6468869926243217E-2</v>
      </c>
      <c r="I3844" s="12">
        <f t="shared" si="179"/>
        <v>2.489947045498387E-2</v>
      </c>
      <c r="J3844" s="12">
        <f>G3844*(D3844*Assumptions!$B$6+E3844*Assumptions!$B$7)</f>
        <v>1.7096622220116257E-3</v>
      </c>
    </row>
    <row r="3845" spans="1:10" x14ac:dyDescent="0.2">
      <c r="A3845" s="2">
        <v>3837</v>
      </c>
      <c r="B3845" s="14">
        <f>A3845*Assumptions!$B$12</f>
        <v>38.369999999999997</v>
      </c>
      <c r="C3845" s="15">
        <f>IF(A3845&lt;=Assumptions!$B$13,IF(OR(A3845=0,A3845=Assumptions!$B$13),0.5,1),0)*Assumptions!$B$12</f>
        <v>0</v>
      </c>
      <c r="D3845" s="12">
        <f>D3844*(1-Assumptions!$B$12*(Assumptions!$B$5+Assumptions!$B$6))</f>
        <v>0.316234042237798</v>
      </c>
      <c r="E3845" s="12">
        <f>E3844+Assumptions!$B$12*(D3844*Assumptions!$B$5-E3844*Assumptions!$B$7)</f>
        <v>0.16947743315295785</v>
      </c>
      <c r="F3845" s="12">
        <f t="shared" si="177"/>
        <v>0.51428852460924412</v>
      </c>
      <c r="G3845" s="12">
        <f>EXP(-Assumptions!$B$8*B3845)</f>
        <v>0.14682703758887544</v>
      </c>
      <c r="H3845" s="12">
        <f t="shared" si="178"/>
        <v>4.6431707606531189E-2</v>
      </c>
      <c r="I3845" s="12">
        <f t="shared" si="179"/>
        <v>2.4883869448015468E-2</v>
      </c>
      <c r="J3845" s="12">
        <f>G3845*(D3845*Assumptions!$B$6+E3845*Assumptions!$B$7)</f>
        <v>1.7085105484660854E-3</v>
      </c>
    </row>
    <row r="3846" spans="1:10" x14ac:dyDescent="0.2">
      <c r="A3846" s="2">
        <v>3838</v>
      </c>
      <c r="B3846" s="14">
        <f>A3846*Assumptions!$B$12</f>
        <v>38.380000000000003</v>
      </c>
      <c r="C3846" s="15">
        <f>IF(A3846&lt;=Assumptions!$B$13,IF(OR(A3846=0,A3846=Assumptions!$B$13),0.5,1),0)*Assumptions!$B$12</f>
        <v>0</v>
      </c>
      <c r="D3846" s="12">
        <f>D3845*(1-Assumptions!$B$12*(Assumptions!$B$5+Assumptions!$B$6))</f>
        <v>0.31613917202512665</v>
      </c>
      <c r="E3846" s="12">
        <f>E3845+Assumptions!$B$12*(D3845*Assumptions!$B$5-E3845*Assumptions!$B$7)</f>
        <v>0.16945594124482893</v>
      </c>
      <c r="F3846" s="12">
        <f t="shared" si="177"/>
        <v>0.51440488673004436</v>
      </c>
      <c r="G3846" s="12">
        <f>EXP(-Assumptions!$B$8*B3846)</f>
        <v>0.14675364242040212</v>
      </c>
      <c r="H3846" s="12">
        <f t="shared" si="178"/>
        <v>4.6394575006457432E-2</v>
      </c>
      <c r="I3846" s="12">
        <f t="shared" si="179"/>
        <v>2.4868276607456295E-2</v>
      </c>
      <c r="J3846" s="12">
        <f>G3846*(D3846*Assumptions!$B$6+E3846*Assumptions!$B$7)</f>
        <v>1.7073595804373892E-3</v>
      </c>
    </row>
    <row r="3847" spans="1:10" x14ac:dyDescent="0.2">
      <c r="A3847" s="2">
        <v>3839</v>
      </c>
      <c r="B3847" s="14">
        <f>A3847*Assumptions!$B$12</f>
        <v>38.39</v>
      </c>
      <c r="C3847" s="15">
        <f>IF(A3847&lt;=Assumptions!$B$13,IF(OR(A3847=0,A3847=Assumptions!$B$13),0.5,1),0)*Assumptions!$B$12</f>
        <v>0</v>
      </c>
      <c r="D3847" s="12">
        <f>D3846*(1-Assumptions!$B$12*(Assumptions!$B$5+Assumptions!$B$6))</f>
        <v>0.31604433027351914</v>
      </c>
      <c r="E3847" s="12">
        <f>E3846+Assumptions!$B$12*(D3846*Assumptions!$B$5-E3846*Assumptions!$B$7)</f>
        <v>0.16943444110861156</v>
      </c>
      <c r="F3847" s="12">
        <f t="shared" si="177"/>
        <v>0.51452122861786931</v>
      </c>
      <c r="G3847" s="12">
        <f>EXP(-Assumptions!$B$8*B3847)</f>
        <v>0.14668028394034024</v>
      </c>
      <c r="H3847" s="12">
        <f t="shared" si="178"/>
        <v>4.6357472102254459E-2</v>
      </c>
      <c r="I3847" s="12">
        <f t="shared" si="179"/>
        <v>2.4852691931084001E-2</v>
      </c>
      <c r="J3847" s="12">
        <f>G3847*(D3847*Assumptions!$B$6+E3847*Assumptions!$B$7)</f>
        <v>1.7062093175767446E-3</v>
      </c>
    </row>
    <row r="3848" spans="1:10" x14ac:dyDescent="0.2">
      <c r="A3848" s="2">
        <v>3840</v>
      </c>
      <c r="B3848" s="14">
        <f>A3848*Assumptions!$B$12</f>
        <v>38.4</v>
      </c>
      <c r="C3848" s="15">
        <f>IF(A3848&lt;=Assumptions!$B$13,IF(OR(A3848=0,A3848=Assumptions!$B$13),0.5,1),0)*Assumptions!$B$12</f>
        <v>0</v>
      </c>
      <c r="D3848" s="12">
        <f>D3847*(1-Assumptions!$B$12*(Assumptions!$B$5+Assumptions!$B$6))</f>
        <v>0.31594951697443707</v>
      </c>
      <c r="E3848" s="12">
        <f>E3847+Assumptions!$B$12*(D3847*Assumptions!$B$5-E3847*Assumptions!$B$7)</f>
        <v>0.16941293275411196</v>
      </c>
      <c r="F3848" s="12">
        <f t="shared" ref="F3848:F3911" si="180">1-D3848-E3848</f>
        <v>0.51463755027145097</v>
      </c>
      <c r="G3848" s="12">
        <f>EXP(-Assumptions!$B$8*B3848)</f>
        <v>0.14660696213035015</v>
      </c>
      <c r="H3848" s="12">
        <f t="shared" ref="H3848:H3911" si="181">G3848*D3848</f>
        <v>4.6320398870173717E-2</v>
      </c>
      <c r="I3848" s="12">
        <f t="shared" ref="I3848:I3911" si="182">G3848*E3848</f>
        <v>2.483711541667365E-2</v>
      </c>
      <c r="J3848" s="12">
        <f>G3848*(D3848*Assumptions!$B$6+E3848*Assumptions!$B$7)</f>
        <v>1.7050597595354199E-3</v>
      </c>
    </row>
    <row r="3849" spans="1:10" x14ac:dyDescent="0.2">
      <c r="A3849" s="2">
        <v>3841</v>
      </c>
      <c r="B3849" s="14">
        <f>A3849*Assumptions!$B$12</f>
        <v>38.410000000000004</v>
      </c>
      <c r="C3849" s="15">
        <f>IF(A3849&lt;=Assumptions!$B$13,IF(OR(A3849=0,A3849=Assumptions!$B$13),0.5,1),0)*Assumptions!$B$12</f>
        <v>0</v>
      </c>
      <c r="D3849" s="12">
        <f>D3848*(1-Assumptions!$B$12*(Assumptions!$B$5+Assumptions!$B$6))</f>
        <v>0.31585473211934473</v>
      </c>
      <c r="E3849" s="12">
        <f>E3848+Assumptions!$B$12*(D3848*Assumptions!$B$5-E3848*Assumptions!$B$7)</f>
        <v>0.1693914161911298</v>
      </c>
      <c r="F3849" s="12">
        <f t="shared" si="180"/>
        <v>0.51475385168952537</v>
      </c>
      <c r="G3849" s="12">
        <f>EXP(-Assumptions!$B$8*B3849)</f>
        <v>0.14653367697210126</v>
      </c>
      <c r="H3849" s="12">
        <f t="shared" si="181"/>
        <v>4.6283355286485639E-2</v>
      </c>
      <c r="I3849" s="12">
        <f t="shared" si="182"/>
        <v>2.4821547061997778E-2</v>
      </c>
      <c r="J3849" s="12">
        <f>G3849*(D3849*Assumptions!$B$6+E3849*Assumptions!$B$7)</f>
        <v>1.7039109059647454E-3</v>
      </c>
    </row>
    <row r="3850" spans="1:10" x14ac:dyDescent="0.2">
      <c r="A3850" s="2">
        <v>3842</v>
      </c>
      <c r="B3850" s="14">
        <f>A3850*Assumptions!$B$12</f>
        <v>38.42</v>
      </c>
      <c r="C3850" s="15">
        <f>IF(A3850&lt;=Assumptions!$B$13,IF(OR(A3850=0,A3850=Assumptions!$B$13),0.5,1),0)*Assumptions!$B$12</f>
        <v>0</v>
      </c>
      <c r="D3850" s="12">
        <f>D3849*(1-Assumptions!$B$12*(Assumptions!$B$5+Assumptions!$B$6))</f>
        <v>0.31575997569970893</v>
      </c>
      <c r="E3850" s="12">
        <f>E3849+Assumptions!$B$12*(D3849*Assumptions!$B$5-E3849*Assumptions!$B$7)</f>
        <v>0.1693698914294581</v>
      </c>
      <c r="F3850" s="12">
        <f t="shared" si="180"/>
        <v>0.51487013287083294</v>
      </c>
      <c r="G3850" s="12">
        <f>EXP(-Assumptions!$B$8*B3850)</f>
        <v>0.14646042844727242</v>
      </c>
      <c r="H3850" s="12">
        <f t="shared" si="181"/>
        <v>4.6246341327479699E-2</v>
      </c>
      <c r="I3850" s="12">
        <f t="shared" si="182"/>
        <v>2.4805986864826445E-2</v>
      </c>
      <c r="J3850" s="12">
        <f>G3850*(D3850*Assumptions!$B$6+E3850*Assumptions!$B$7)</f>
        <v>1.7027627565161193E-3</v>
      </c>
    </row>
    <row r="3851" spans="1:10" x14ac:dyDescent="0.2">
      <c r="A3851" s="2">
        <v>3843</v>
      </c>
      <c r="B3851" s="14">
        <f>A3851*Assumptions!$B$12</f>
        <v>38.43</v>
      </c>
      <c r="C3851" s="15">
        <f>IF(A3851&lt;=Assumptions!$B$13,IF(OR(A3851=0,A3851=Assumptions!$B$13),0.5,1),0)*Assumptions!$B$12</f>
        <v>0</v>
      </c>
      <c r="D3851" s="12">
        <f>D3850*(1-Assumptions!$B$12*(Assumptions!$B$5+Assumptions!$B$6))</f>
        <v>0.31566524770699905</v>
      </c>
      <c r="E3851" s="12">
        <f>E3850+Assumptions!$B$12*(D3850*Assumptions!$B$5-E3850*Assumptions!$B$7)</f>
        <v>0.16934835847888333</v>
      </c>
      <c r="F3851" s="12">
        <f t="shared" si="180"/>
        <v>0.5149863938141177</v>
      </c>
      <c r="G3851" s="12">
        <f>EXP(-Assumptions!$B$8*B3851)</f>
        <v>0.14638721653755152</v>
      </c>
      <c r="H3851" s="12">
        <f t="shared" si="181"/>
        <v>4.6209356969464307E-2</v>
      </c>
      <c r="I3851" s="12">
        <f t="shared" si="182"/>
        <v>2.4790434822927192E-2</v>
      </c>
      <c r="J3851" s="12">
        <f>G3851*(D3851*Assumptions!$B$6+E3851*Assumptions!$B$7)</f>
        <v>1.7016153108410027E-3</v>
      </c>
    </row>
    <row r="3852" spans="1:10" x14ac:dyDescent="0.2">
      <c r="A3852" s="2">
        <v>3844</v>
      </c>
      <c r="B3852" s="14">
        <f>A3852*Assumptions!$B$12</f>
        <v>38.44</v>
      </c>
      <c r="C3852" s="15">
        <f>IF(A3852&lt;=Assumptions!$B$13,IF(OR(A3852=0,A3852=Assumptions!$B$13),0.5,1),0)*Assumptions!$B$12</f>
        <v>0</v>
      </c>
      <c r="D3852" s="12">
        <f>D3851*(1-Assumptions!$B$12*(Assumptions!$B$5+Assumptions!$B$6))</f>
        <v>0.31557054813268698</v>
      </c>
      <c r="E3852" s="12">
        <f>E3851+Assumptions!$B$12*(D3851*Assumptions!$B$5-E3851*Assumptions!$B$7)</f>
        <v>0.16932681734918528</v>
      </c>
      <c r="F3852" s="12">
        <f t="shared" si="180"/>
        <v>0.51510263451812777</v>
      </c>
      <c r="G3852" s="12">
        <f>EXP(-Assumptions!$B$8*B3852)</f>
        <v>0.14631404122463545</v>
      </c>
      <c r="H3852" s="12">
        <f t="shared" si="181"/>
        <v>4.6172402188766767E-2</v>
      </c>
      <c r="I3852" s="12">
        <f t="shared" si="182"/>
        <v>2.4774890934065014E-2</v>
      </c>
      <c r="J3852" s="12">
        <f>G3852*(D3852*Assumptions!$B$6+E3852*Assumptions!$B$7)</f>
        <v>1.7004685685909186E-3</v>
      </c>
    </row>
    <row r="3853" spans="1:10" x14ac:dyDescent="0.2">
      <c r="A3853" s="2">
        <v>3845</v>
      </c>
      <c r="B3853" s="14">
        <f>A3853*Assumptions!$B$12</f>
        <v>38.450000000000003</v>
      </c>
      <c r="C3853" s="15">
        <f>IF(A3853&lt;=Assumptions!$B$13,IF(OR(A3853=0,A3853=Assumptions!$B$13),0.5,1),0)*Assumptions!$B$12</f>
        <v>0</v>
      </c>
      <c r="D3853" s="12">
        <f>D3852*(1-Assumptions!$B$12*(Assumptions!$B$5+Assumptions!$B$6))</f>
        <v>0.31547587696824719</v>
      </c>
      <c r="E3853" s="12">
        <f>E3852+Assumptions!$B$12*(D3852*Assumptions!$B$5-E3852*Assumptions!$B$7)</f>
        <v>0.16930526805013724</v>
      </c>
      <c r="F3853" s="12">
        <f t="shared" si="180"/>
        <v>0.51521885498161557</v>
      </c>
      <c r="G3853" s="12">
        <f>EXP(-Assumptions!$B$8*B3853)</f>
        <v>0.14624090249023042</v>
      </c>
      <c r="H3853" s="12">
        <f t="shared" si="181"/>
        <v>4.6135476961733368E-2</v>
      </c>
      <c r="I3853" s="12">
        <f t="shared" si="182"/>
        <v>2.4759355196002444E-2</v>
      </c>
      <c r="J3853" s="12">
        <f>G3853*(D3853*Assumptions!$B$6+E3853*Assumptions!$B$7)</f>
        <v>1.6993225294174557E-3</v>
      </c>
    </row>
    <row r="3854" spans="1:10" x14ac:dyDescent="0.2">
      <c r="A3854" s="2">
        <v>3846</v>
      </c>
      <c r="B3854" s="14">
        <f>A3854*Assumptions!$B$12</f>
        <v>38.46</v>
      </c>
      <c r="C3854" s="15">
        <f>IF(A3854&lt;=Assumptions!$B$13,IF(OR(A3854=0,A3854=Assumptions!$B$13),0.5,1),0)*Assumptions!$B$12</f>
        <v>0</v>
      </c>
      <c r="D3854" s="12">
        <f>D3853*(1-Assumptions!$B$12*(Assumptions!$B$5+Assumptions!$B$6))</f>
        <v>0.31538123420515674</v>
      </c>
      <c r="E3854" s="12">
        <f>E3853+Assumptions!$B$12*(D3853*Assumptions!$B$5-E3853*Assumptions!$B$7)</f>
        <v>0.16928371059150582</v>
      </c>
      <c r="F3854" s="12">
        <f t="shared" si="180"/>
        <v>0.51533505520333744</v>
      </c>
      <c r="G3854" s="12">
        <f>EXP(-Assumptions!$B$8*B3854)</f>
        <v>0.14616780031605184</v>
      </c>
      <c r="H3854" s="12">
        <f t="shared" si="181"/>
        <v>4.6098581264729328E-2</v>
      </c>
      <c r="I3854" s="12">
        <f t="shared" si="182"/>
        <v>2.4743827606499531E-2</v>
      </c>
      <c r="J3854" s="12">
        <f>G3854*(D3854*Assumptions!$B$6+E3854*Assumptions!$B$7)</f>
        <v>1.69817719297227E-3</v>
      </c>
    </row>
    <row r="3855" spans="1:10" x14ac:dyDescent="0.2">
      <c r="A3855" s="2">
        <v>3847</v>
      </c>
      <c r="B3855" s="14">
        <f>A3855*Assumptions!$B$12</f>
        <v>38.47</v>
      </c>
      <c r="C3855" s="15">
        <f>IF(A3855&lt;=Assumptions!$B$13,IF(OR(A3855=0,A3855=Assumptions!$B$13),0.5,1),0)*Assumptions!$B$12</f>
        <v>0</v>
      </c>
      <c r="D3855" s="12">
        <f>D3854*(1-Assumptions!$B$12*(Assumptions!$B$5+Assumptions!$B$6))</f>
        <v>0.3152866198348952</v>
      </c>
      <c r="E3855" s="12">
        <f>E3854+Assumptions!$B$12*(D3854*Assumptions!$B$5-E3854*Assumptions!$B$7)</f>
        <v>0.16926214498305109</v>
      </c>
      <c r="F3855" s="12">
        <f t="shared" si="180"/>
        <v>0.51545123518205371</v>
      </c>
      <c r="G3855" s="12">
        <f>EXP(-Assumptions!$B$8*B3855)</f>
        <v>0.14609473468382408</v>
      </c>
      <c r="H3855" s="12">
        <f t="shared" si="181"/>
        <v>4.6061715074138719E-2</v>
      </c>
      <c r="I3855" s="12">
        <f t="shared" si="182"/>
        <v>2.4728308163313815E-2</v>
      </c>
      <c r="J3855" s="12">
        <f>G3855*(D3855*Assumptions!$B$6+E3855*Assumptions!$B$7)</f>
        <v>1.6970325589070782E-3</v>
      </c>
    </row>
    <row r="3856" spans="1:10" x14ac:dyDescent="0.2">
      <c r="A3856" s="2">
        <v>3848</v>
      </c>
      <c r="B3856" s="14">
        <f>A3856*Assumptions!$B$12</f>
        <v>38.480000000000004</v>
      </c>
      <c r="C3856" s="15">
        <f>IF(A3856&lt;=Assumptions!$B$13,IF(OR(A3856=0,A3856=Assumptions!$B$13),0.5,1),0)*Assumptions!$B$12</f>
        <v>0</v>
      </c>
      <c r="D3856" s="12">
        <f>D3855*(1-Assumptions!$B$12*(Assumptions!$B$5+Assumptions!$B$6))</f>
        <v>0.31519203384894473</v>
      </c>
      <c r="E3856" s="12">
        <f>E3855+Assumptions!$B$12*(D3855*Assumptions!$B$5-E3855*Assumptions!$B$7)</f>
        <v>0.16924057123452654</v>
      </c>
      <c r="F3856" s="12">
        <f t="shared" si="180"/>
        <v>0.51556739491652881</v>
      </c>
      <c r="G3856" s="12">
        <f>EXP(-Assumptions!$B$8*B3856)</f>
        <v>0.14602170557528069</v>
      </c>
      <c r="H3856" s="12">
        <f t="shared" si="181"/>
        <v>4.6024878366364513E-2</v>
      </c>
      <c r="I3856" s="12">
        <f t="shared" si="182"/>
        <v>2.4712796864200352E-2</v>
      </c>
      <c r="J3856" s="12">
        <f>G3856*(D3856*Assumptions!$B$6+E3856*Assumptions!$B$7)</f>
        <v>1.6958886268736628E-3</v>
      </c>
    </row>
    <row r="3857" spans="1:10" x14ac:dyDescent="0.2">
      <c r="A3857" s="2">
        <v>3849</v>
      </c>
      <c r="B3857" s="14">
        <f>A3857*Assumptions!$B$12</f>
        <v>38.49</v>
      </c>
      <c r="C3857" s="15">
        <f>IF(A3857&lt;=Assumptions!$B$13,IF(OR(A3857=0,A3857=Assumptions!$B$13),0.5,1),0)*Assumptions!$B$12</f>
        <v>0</v>
      </c>
      <c r="D3857" s="12">
        <f>D3856*(1-Assumptions!$B$12*(Assumptions!$B$5+Assumptions!$B$6))</f>
        <v>0.31509747623879003</v>
      </c>
      <c r="E3857" s="12">
        <f>E3856+Assumptions!$B$12*(D3856*Assumptions!$B$5-E3856*Assumptions!$B$7)</f>
        <v>0.16921898935567906</v>
      </c>
      <c r="F3857" s="12">
        <f t="shared" si="180"/>
        <v>0.51568353440553094</v>
      </c>
      <c r="G3857" s="12">
        <f>EXP(-Assumptions!$B$8*B3857)</f>
        <v>0.14594871297216455</v>
      </c>
      <c r="H3857" s="12">
        <f t="shared" si="181"/>
        <v>4.5988071117828606E-2</v>
      </c>
      <c r="I3857" s="12">
        <f t="shared" si="182"/>
        <v>2.4697293706911771E-2</v>
      </c>
      <c r="J3857" s="12">
        <f>G3857*(D3857*Assumptions!$B$6+E3857*Assumptions!$B$7)</f>
        <v>1.6947453965238746E-3</v>
      </c>
    </row>
    <row r="3858" spans="1:10" x14ac:dyDescent="0.2">
      <c r="A3858" s="2">
        <v>3850</v>
      </c>
      <c r="B3858" s="14">
        <f>A3858*Assumptions!$B$12</f>
        <v>38.5</v>
      </c>
      <c r="C3858" s="15">
        <f>IF(A3858&lt;=Assumptions!$B$13,IF(OR(A3858=0,A3858=Assumptions!$B$13),0.5,1),0)*Assumptions!$B$12</f>
        <v>0</v>
      </c>
      <c r="D3858" s="12">
        <f>D3857*(1-Assumptions!$B$12*(Assumptions!$B$5+Assumptions!$B$6))</f>
        <v>0.31500294699591841</v>
      </c>
      <c r="E3858" s="12">
        <f>E3857+Assumptions!$B$12*(D3857*Assumptions!$B$5-E3857*Assumptions!$B$7)</f>
        <v>0.16919739935624897</v>
      </c>
      <c r="F3858" s="12">
        <f t="shared" si="180"/>
        <v>0.51579965364783265</v>
      </c>
      <c r="G3858" s="12">
        <f>EXP(-Assumptions!$B$8*B3858)</f>
        <v>0.14587575685622736</v>
      </c>
      <c r="H3858" s="12">
        <f t="shared" si="181"/>
        <v>4.595129330497167E-2</v>
      </c>
      <c r="I3858" s="12">
        <f t="shared" si="182"/>
        <v>2.4681798689198176E-2</v>
      </c>
      <c r="J3858" s="12">
        <f>G3858*(D3858*Assumptions!$B$6+E3858*Assumptions!$B$7)</f>
        <v>1.6936028675096255E-3</v>
      </c>
    </row>
    <row r="3859" spans="1:10" x14ac:dyDescent="0.2">
      <c r="A3859" s="2">
        <v>3851</v>
      </c>
      <c r="B3859" s="14">
        <f>A3859*Assumptions!$B$12</f>
        <v>38.51</v>
      </c>
      <c r="C3859" s="15">
        <f>IF(A3859&lt;=Assumptions!$B$13,IF(OR(A3859=0,A3859=Assumptions!$B$13),0.5,1),0)*Assumptions!$B$12</f>
        <v>0</v>
      </c>
      <c r="D3859" s="12">
        <f>D3858*(1-Assumptions!$B$12*(Assumptions!$B$5+Assumptions!$B$6))</f>
        <v>0.31490844611181962</v>
      </c>
      <c r="E3859" s="12">
        <f>E3858+Assumptions!$B$12*(D3858*Assumptions!$B$5-E3858*Assumptions!$B$7)</f>
        <v>0.16917580124597004</v>
      </c>
      <c r="F3859" s="12">
        <f t="shared" si="180"/>
        <v>0.51591575264221023</v>
      </c>
      <c r="G3859" s="12">
        <f>EXP(-Assumptions!$B$8*B3859)</f>
        <v>0.14580283720923018</v>
      </c>
      <c r="H3859" s="12">
        <f t="shared" si="181"/>
        <v>4.5914544904253271E-2</v>
      </c>
      <c r="I3859" s="12">
        <f t="shared" si="182"/>
        <v>2.466631180880725E-2</v>
      </c>
      <c r="J3859" s="12">
        <f>G3859*(D3859*Assumptions!$B$6+E3859*Assumptions!$B$7)</f>
        <v>1.6924610394828952E-3</v>
      </c>
    </row>
    <row r="3860" spans="1:10" x14ac:dyDescent="0.2">
      <c r="A3860" s="2">
        <v>3852</v>
      </c>
      <c r="B3860" s="14">
        <f>A3860*Assumptions!$B$12</f>
        <v>38.520000000000003</v>
      </c>
      <c r="C3860" s="15">
        <f>IF(A3860&lt;=Assumptions!$B$13,IF(OR(A3860=0,A3860=Assumptions!$B$13),0.5,1),0)*Assumptions!$B$12</f>
        <v>0</v>
      </c>
      <c r="D3860" s="12">
        <f>D3859*(1-Assumptions!$B$12*(Assumptions!$B$5+Assumptions!$B$6))</f>
        <v>0.31481397357798607</v>
      </c>
      <c r="E3860" s="12">
        <f>E3859+Assumptions!$B$12*(D3859*Assumptions!$B$5-E3859*Assumptions!$B$7)</f>
        <v>0.16915419503456941</v>
      </c>
      <c r="F3860" s="12">
        <f t="shared" si="180"/>
        <v>0.51603183138744457</v>
      </c>
      <c r="G3860" s="12">
        <f>EXP(-Assumptions!$B$8*B3860)</f>
        <v>0.145729954012943</v>
      </c>
      <c r="H3860" s="12">
        <f t="shared" si="181"/>
        <v>4.5877825892151766E-2</v>
      </c>
      <c r="I3860" s="12">
        <f t="shared" si="182"/>
        <v>2.4650833063484191E-2</v>
      </c>
      <c r="J3860" s="12">
        <f>G3860*(D3860*Assumptions!$B$6+E3860*Assumptions!$B$7)</f>
        <v>1.691319912095727E-3</v>
      </c>
    </row>
    <row r="3861" spans="1:10" x14ac:dyDescent="0.2">
      <c r="A3861" s="2">
        <v>3853</v>
      </c>
      <c r="B3861" s="14">
        <f>A3861*Assumptions!$B$12</f>
        <v>38.53</v>
      </c>
      <c r="C3861" s="15">
        <f>IF(A3861&lt;=Assumptions!$B$13,IF(OR(A3861=0,A3861=Assumptions!$B$13),0.5,1),0)*Assumptions!$B$12</f>
        <v>0</v>
      </c>
      <c r="D3861" s="12">
        <f>D3860*(1-Assumptions!$B$12*(Assumptions!$B$5+Assumptions!$B$6))</f>
        <v>0.31471952938591269</v>
      </c>
      <c r="E3861" s="12">
        <f>E3860+Assumptions!$B$12*(D3860*Assumptions!$B$5-E3860*Assumptions!$B$7)</f>
        <v>0.16913258073176773</v>
      </c>
      <c r="F3861" s="12">
        <f t="shared" si="180"/>
        <v>0.51614788988231963</v>
      </c>
      <c r="G3861" s="12">
        <f>EXP(-Assumptions!$B$8*B3861)</f>
        <v>0.14565710724914513</v>
      </c>
      <c r="H3861" s="12">
        <f t="shared" si="181"/>
        <v>4.5841136245164366E-2</v>
      </c>
      <c r="I3861" s="12">
        <f t="shared" si="182"/>
        <v>2.4635362450971789E-2</v>
      </c>
      <c r="J3861" s="12">
        <f>G3861*(D3861*Assumptions!$B$6+E3861*Assumptions!$B$7)</f>
        <v>1.6901794850002331E-3</v>
      </c>
    </row>
    <row r="3862" spans="1:10" x14ac:dyDescent="0.2">
      <c r="A3862" s="2">
        <v>3854</v>
      </c>
      <c r="B3862" s="14">
        <f>A3862*Assumptions!$B$12</f>
        <v>38.54</v>
      </c>
      <c r="C3862" s="15">
        <f>IF(A3862&lt;=Assumptions!$B$13,IF(OR(A3862=0,A3862=Assumptions!$B$13),0.5,1),0)*Assumptions!$B$12</f>
        <v>0</v>
      </c>
      <c r="D3862" s="12">
        <f>D3861*(1-Assumptions!$B$12*(Assumptions!$B$5+Assumptions!$B$6))</f>
        <v>0.31462511352709693</v>
      </c>
      <c r="E3862" s="12">
        <f>E3861+Assumptions!$B$12*(D3861*Assumptions!$B$5-E3861*Assumptions!$B$7)</f>
        <v>0.16911095834727904</v>
      </c>
      <c r="F3862" s="12">
        <f t="shared" si="180"/>
        <v>0.51626392812562394</v>
      </c>
      <c r="G3862" s="12">
        <f>EXP(-Assumptions!$B$8*B3862)</f>
        <v>0.14558429689962482</v>
      </c>
      <c r="H3862" s="12">
        <f t="shared" si="181"/>
        <v>4.5804475939807042E-2</v>
      </c>
      <c r="I3862" s="12">
        <f t="shared" si="182"/>
        <v>2.4619899969010359E-2</v>
      </c>
      <c r="J3862" s="12">
        <f>G3862*(D3862*Assumptions!$B$6+E3862*Assumptions!$B$7)</f>
        <v>1.6890397578485884E-3</v>
      </c>
    </row>
    <row r="3863" spans="1:10" x14ac:dyDescent="0.2">
      <c r="A3863" s="2">
        <v>3855</v>
      </c>
      <c r="B3863" s="14">
        <f>A3863*Assumptions!$B$12</f>
        <v>38.550000000000004</v>
      </c>
      <c r="C3863" s="15">
        <f>IF(A3863&lt;=Assumptions!$B$13,IF(OR(A3863=0,A3863=Assumptions!$B$13),0.5,1),0)*Assumptions!$B$12</f>
        <v>0</v>
      </c>
      <c r="D3863" s="12">
        <f>D3862*(1-Assumptions!$B$12*(Assumptions!$B$5+Assumptions!$B$6))</f>
        <v>0.31453072599303883</v>
      </c>
      <c r="E3863" s="12">
        <f>E3862+Assumptions!$B$12*(D3862*Assumptions!$B$5-E3862*Assumptions!$B$7)</f>
        <v>0.16908932789081083</v>
      </c>
      <c r="F3863" s="12">
        <f t="shared" si="180"/>
        <v>0.51637994611615046</v>
      </c>
      <c r="G3863" s="12">
        <f>EXP(-Assumptions!$B$8*B3863)</f>
        <v>0.14551152294617947</v>
      </c>
      <c r="H3863" s="12">
        <f t="shared" si="181"/>
        <v>4.5767844952614559E-2</v>
      </c>
      <c r="I3863" s="12">
        <f t="shared" si="182"/>
        <v>2.4604445615337783E-2</v>
      </c>
      <c r="J3863" s="12">
        <f>G3863*(D3863*Assumptions!$B$6+E3863*Assumptions!$B$7)</f>
        <v>1.6879007302930348E-3</v>
      </c>
    </row>
    <row r="3864" spans="1:10" x14ac:dyDescent="0.2">
      <c r="A3864" s="2">
        <v>3856</v>
      </c>
      <c r="B3864" s="14">
        <f>A3864*Assumptions!$B$12</f>
        <v>38.56</v>
      </c>
      <c r="C3864" s="15">
        <f>IF(A3864&lt;=Assumptions!$B$13,IF(OR(A3864=0,A3864=Assumptions!$B$13),0.5,1),0)*Assumptions!$B$12</f>
        <v>0</v>
      </c>
      <c r="D3864" s="12">
        <f>D3863*(1-Assumptions!$B$12*(Assumptions!$B$5+Assumptions!$B$6))</f>
        <v>0.31443636677524095</v>
      </c>
      <c r="E3864" s="12">
        <f>E3863+Assumptions!$B$12*(D3863*Assumptions!$B$5-E3863*Assumptions!$B$7)</f>
        <v>0.16906768937206404</v>
      </c>
      <c r="F3864" s="12">
        <f t="shared" si="180"/>
        <v>0.51649594385269493</v>
      </c>
      <c r="G3864" s="12">
        <f>EXP(-Assumptions!$B$8*B3864)</f>
        <v>0.14543878537061566</v>
      </c>
      <c r="H3864" s="12">
        <f t="shared" si="181"/>
        <v>4.5731243260140456E-2</v>
      </c>
      <c r="I3864" s="12">
        <f t="shared" si="182"/>
        <v>2.458899938768954E-2</v>
      </c>
      <c r="J3864" s="12">
        <f>G3864*(D3864*Assumptions!$B$6+E3864*Assumptions!$B$7)</f>
        <v>1.6867624019858817E-3</v>
      </c>
    </row>
    <row r="3865" spans="1:10" x14ac:dyDescent="0.2">
      <c r="A3865" s="2">
        <v>3857</v>
      </c>
      <c r="B3865" s="14">
        <f>A3865*Assumptions!$B$12</f>
        <v>38.57</v>
      </c>
      <c r="C3865" s="15">
        <f>IF(A3865&lt;=Assumptions!$B$13,IF(OR(A3865=0,A3865=Assumptions!$B$13),0.5,1),0)*Assumptions!$B$12</f>
        <v>0</v>
      </c>
      <c r="D3865" s="12">
        <f>D3864*(1-Assumptions!$B$12*(Assumptions!$B$5+Assumptions!$B$6))</f>
        <v>0.31434203586520837</v>
      </c>
      <c r="E3865" s="12">
        <f>E3864+Assumptions!$B$12*(D3864*Assumptions!$B$5-E3864*Assumptions!$B$7)</f>
        <v>0.16904604280073304</v>
      </c>
      <c r="F3865" s="12">
        <f t="shared" si="180"/>
        <v>0.51661192133405853</v>
      </c>
      <c r="G3865" s="12">
        <f>EXP(-Assumptions!$B$8*B3865)</f>
        <v>0.14536608415474894</v>
      </c>
      <c r="H3865" s="12">
        <f t="shared" si="181"/>
        <v>4.5694670838956987E-2</v>
      </c>
      <c r="I3865" s="12">
        <f t="shared" si="182"/>
        <v>2.4573561283798652E-2</v>
      </c>
      <c r="J3865" s="12">
        <f>G3865*(D3865*Assumptions!$B$6+E3865*Assumptions!$B$7)</f>
        <v>1.6856247725795025E-3</v>
      </c>
    </row>
    <row r="3866" spans="1:10" x14ac:dyDescent="0.2">
      <c r="A3866" s="2">
        <v>3858</v>
      </c>
      <c r="B3866" s="14">
        <f>A3866*Assumptions!$B$12</f>
        <v>38.58</v>
      </c>
      <c r="C3866" s="15">
        <f>IF(A3866&lt;=Assumptions!$B$13,IF(OR(A3866=0,A3866=Assumptions!$B$13),0.5,1),0)*Assumptions!$B$12</f>
        <v>0</v>
      </c>
      <c r="D3866" s="12">
        <f>D3865*(1-Assumptions!$B$12*(Assumptions!$B$5+Assumptions!$B$6))</f>
        <v>0.31424773325444882</v>
      </c>
      <c r="E3866" s="12">
        <f>E3865+Assumptions!$B$12*(D3865*Assumptions!$B$5-E3865*Assumptions!$B$7)</f>
        <v>0.16902438818650573</v>
      </c>
      <c r="F3866" s="12">
        <f t="shared" si="180"/>
        <v>0.51672787855904545</v>
      </c>
      <c r="G3866" s="12">
        <f>EXP(-Assumptions!$B$8*B3866)</f>
        <v>0.14529341928040401</v>
      </c>
      <c r="H3866" s="12">
        <f t="shared" si="181"/>
        <v>4.565812766565519E-2</v>
      </c>
      <c r="I3866" s="12">
        <f t="shared" si="182"/>
        <v>2.4558131301395742E-2</v>
      </c>
      <c r="J3866" s="12">
        <f>G3866*(D3866*Assumptions!$B$6+E3866*Assumptions!$B$7)</f>
        <v>1.6844878417263392E-3</v>
      </c>
    </row>
    <row r="3867" spans="1:10" x14ac:dyDescent="0.2">
      <c r="A3867" s="2">
        <v>3859</v>
      </c>
      <c r="B3867" s="14">
        <f>A3867*Assumptions!$B$12</f>
        <v>38.590000000000003</v>
      </c>
      <c r="C3867" s="15">
        <f>IF(A3867&lt;=Assumptions!$B$13,IF(OR(A3867=0,A3867=Assumptions!$B$13),0.5,1),0)*Assumptions!$B$12</f>
        <v>0</v>
      </c>
      <c r="D3867" s="12">
        <f>D3866*(1-Assumptions!$B$12*(Assumptions!$B$5+Assumptions!$B$6))</f>
        <v>0.3141534589344725</v>
      </c>
      <c r="E3867" s="12">
        <f>E3866+Assumptions!$B$12*(D3866*Assumptions!$B$5-E3866*Assumptions!$B$7)</f>
        <v>0.16900272553906337</v>
      </c>
      <c r="F3867" s="12">
        <f t="shared" si="180"/>
        <v>0.51684381552646408</v>
      </c>
      <c r="G3867" s="12">
        <f>EXP(-Assumptions!$B$8*B3867)</f>
        <v>0.14522079072941463</v>
      </c>
      <c r="H3867" s="12">
        <f t="shared" si="181"/>
        <v>4.5621613716844783E-2</v>
      </c>
      <c r="I3867" s="12">
        <f t="shared" si="182"/>
        <v>2.4542709438209017E-2</v>
      </c>
      <c r="J3867" s="12">
        <f>G3867*(D3867*Assumptions!$B$6+E3867*Assumptions!$B$7)</f>
        <v>1.6833516090788989E-3</v>
      </c>
    </row>
    <row r="3868" spans="1:10" x14ac:dyDescent="0.2">
      <c r="A3868" s="2">
        <v>3860</v>
      </c>
      <c r="B3868" s="14">
        <f>A3868*Assumptions!$B$12</f>
        <v>38.6</v>
      </c>
      <c r="C3868" s="15">
        <f>IF(A3868&lt;=Assumptions!$B$13,IF(OR(A3868=0,A3868=Assumptions!$B$13),0.5,1),0)*Assumptions!$B$12</f>
        <v>0</v>
      </c>
      <c r="D3868" s="12">
        <f>D3867*(1-Assumptions!$B$12*(Assumptions!$B$5+Assumptions!$B$6))</f>
        <v>0.31405921289679217</v>
      </c>
      <c r="E3868" s="12">
        <f>E3867+Assumptions!$B$12*(D3867*Assumptions!$B$5-E3867*Assumptions!$B$7)</f>
        <v>0.16898105486808074</v>
      </c>
      <c r="F3868" s="12">
        <f t="shared" si="180"/>
        <v>0.51695973223512715</v>
      </c>
      <c r="G3868" s="12">
        <f>EXP(-Assumptions!$B$8*B3868)</f>
        <v>0.1451481984836237</v>
      </c>
      <c r="H3868" s="12">
        <f t="shared" si="181"/>
        <v>4.5585128969154225E-2</v>
      </c>
      <c r="I3868" s="12">
        <f t="shared" si="182"/>
        <v>2.4527295691964289E-2</v>
      </c>
      <c r="J3868" s="12">
        <f>G3868*(D3868*Assumptions!$B$6+E3868*Assumptions!$B$7)</f>
        <v>1.6822160742897569E-3</v>
      </c>
    </row>
    <row r="3869" spans="1:10" x14ac:dyDescent="0.2">
      <c r="A3869" s="2">
        <v>3861</v>
      </c>
      <c r="B3869" s="14">
        <f>A3869*Assumptions!$B$12</f>
        <v>38.61</v>
      </c>
      <c r="C3869" s="15">
        <f>IF(A3869&lt;=Assumptions!$B$13,IF(OR(A3869=0,A3869=Assumptions!$B$13),0.5,1),0)*Assumptions!$B$12</f>
        <v>0</v>
      </c>
      <c r="D3869" s="12">
        <f>D3868*(1-Assumptions!$B$12*(Assumptions!$B$5+Assumptions!$B$6))</f>
        <v>0.31396499513292314</v>
      </c>
      <c r="E3869" s="12">
        <f>E3868+Assumptions!$B$12*(D3868*Assumptions!$B$5-E3868*Assumptions!$B$7)</f>
        <v>0.16895937618322607</v>
      </c>
      <c r="F3869" s="12">
        <f t="shared" si="180"/>
        <v>0.51707562868385082</v>
      </c>
      <c r="G3869" s="12">
        <f>EXP(-Assumptions!$B$8*B3869)</f>
        <v>0.14507564252488317</v>
      </c>
      <c r="H3869" s="12">
        <f t="shared" si="181"/>
        <v>4.5548673399230639E-2</v>
      </c>
      <c r="I3869" s="12">
        <f t="shared" si="182"/>
        <v>2.4511890060384966E-2</v>
      </c>
      <c r="J3869" s="12">
        <f>G3869*(D3869*Assumptions!$B$6+E3869*Assumptions!$B$7)</f>
        <v>1.6810812370115548E-3</v>
      </c>
    </row>
    <row r="3870" spans="1:10" x14ac:dyDescent="0.2">
      <c r="A3870" s="2">
        <v>3862</v>
      </c>
      <c r="B3870" s="14">
        <f>A3870*Assumptions!$B$12</f>
        <v>38.619999999999997</v>
      </c>
      <c r="C3870" s="15">
        <f>IF(A3870&lt;=Assumptions!$B$13,IF(OR(A3870=0,A3870=Assumptions!$B$13),0.5,1),0)*Assumptions!$B$12</f>
        <v>0</v>
      </c>
      <c r="D3870" s="12">
        <f>D3869*(1-Assumptions!$B$12*(Assumptions!$B$5+Assumptions!$B$6))</f>
        <v>0.3138708056343833</v>
      </c>
      <c r="E3870" s="12">
        <f>E3869+Assumptions!$B$12*(D3869*Assumptions!$B$5-E3869*Assumptions!$B$7)</f>
        <v>0.16893768949416105</v>
      </c>
      <c r="F3870" s="12">
        <f t="shared" si="180"/>
        <v>0.51719150487145571</v>
      </c>
      <c r="G3870" s="12">
        <f>EXP(-Assumptions!$B$8*B3870)</f>
        <v>0.14500312283505401</v>
      </c>
      <c r="H3870" s="12">
        <f t="shared" si="181"/>
        <v>4.5512246983739846E-2</v>
      </c>
      <c r="I3870" s="12">
        <f t="shared" si="182"/>
        <v>2.4496492541192048E-2</v>
      </c>
      <c r="J3870" s="12">
        <f>G3870*(D3870*Assumptions!$B$6+E3870*Assumptions!$B$7)</f>
        <v>1.6799470968970008E-3</v>
      </c>
    </row>
    <row r="3871" spans="1:10" x14ac:dyDescent="0.2">
      <c r="A3871" s="2">
        <v>3863</v>
      </c>
      <c r="B3871" s="14">
        <f>A3871*Assumptions!$B$12</f>
        <v>38.630000000000003</v>
      </c>
      <c r="C3871" s="15">
        <f>IF(A3871&lt;=Assumptions!$B$13,IF(OR(A3871=0,A3871=Assumptions!$B$13),0.5,1),0)*Assumptions!$B$12</f>
        <v>0</v>
      </c>
      <c r="D3871" s="12">
        <f>D3870*(1-Assumptions!$B$12*(Assumptions!$B$5+Assumptions!$B$6))</f>
        <v>0.31377664439269298</v>
      </c>
      <c r="E3871" s="12">
        <f>E3870+Assumptions!$B$12*(D3870*Assumptions!$B$5-E3870*Assumptions!$B$7)</f>
        <v>0.16891599481054084</v>
      </c>
      <c r="F3871" s="12">
        <f t="shared" si="180"/>
        <v>0.51730736079676609</v>
      </c>
      <c r="G3871" s="12">
        <f>EXP(-Assumptions!$B$8*B3871)</f>
        <v>0.14493063939600631</v>
      </c>
      <c r="H3871" s="12">
        <f t="shared" si="181"/>
        <v>4.5475849699366293E-2</v>
      </c>
      <c r="I3871" s="12">
        <f t="shared" si="182"/>
        <v>2.4481103132104168E-2</v>
      </c>
      <c r="J3871" s="12">
        <f>G3871*(D3871*Assumptions!$B$6+E3871*Assumptions!$B$7)</f>
        <v>1.6788136535988716E-3</v>
      </c>
    </row>
    <row r="3872" spans="1:10" x14ac:dyDescent="0.2">
      <c r="A3872" s="2">
        <v>3864</v>
      </c>
      <c r="B3872" s="14">
        <f>A3872*Assumptions!$B$12</f>
        <v>38.64</v>
      </c>
      <c r="C3872" s="15">
        <f>IF(A3872&lt;=Assumptions!$B$13,IF(OR(A3872=0,A3872=Assumptions!$B$13),0.5,1),0)*Assumptions!$B$12</f>
        <v>0</v>
      </c>
      <c r="D3872" s="12">
        <f>D3871*(1-Assumptions!$B$12*(Assumptions!$B$5+Assumptions!$B$6))</f>
        <v>0.3136825113993752</v>
      </c>
      <c r="E3872" s="12">
        <f>E3871+Assumptions!$B$12*(D3871*Assumptions!$B$5-E3871*Assumptions!$B$7)</f>
        <v>0.16889429214201412</v>
      </c>
      <c r="F3872" s="12">
        <f t="shared" si="180"/>
        <v>0.51742319645861068</v>
      </c>
      <c r="G3872" s="12">
        <f>EXP(-Assumptions!$B$8*B3872)</f>
        <v>0.14485819218961923</v>
      </c>
      <c r="H3872" s="12">
        <f t="shared" si="181"/>
        <v>4.5439481522813116E-2</v>
      </c>
      <c r="I3872" s="12">
        <f t="shared" si="182"/>
        <v>2.4465721830837579E-2</v>
      </c>
      <c r="J3872" s="12">
        <f>G3872*(D3872*Assumptions!$B$6+E3872*Assumptions!$B$7)</f>
        <v>1.6776809067700104E-3</v>
      </c>
    </row>
    <row r="3873" spans="1:10" x14ac:dyDescent="0.2">
      <c r="A3873" s="2">
        <v>3865</v>
      </c>
      <c r="B3873" s="14">
        <f>A3873*Assumptions!$B$12</f>
        <v>38.65</v>
      </c>
      <c r="C3873" s="15">
        <f>IF(A3873&lt;=Assumptions!$B$13,IF(OR(A3873=0,A3873=Assumptions!$B$13),0.5,1),0)*Assumptions!$B$12</f>
        <v>0</v>
      </c>
      <c r="D3873" s="12">
        <f>D3872*(1-Assumptions!$B$12*(Assumptions!$B$5+Assumptions!$B$6))</f>
        <v>0.31358840664595539</v>
      </c>
      <c r="E3873" s="12">
        <f>E3872+Assumptions!$B$12*(D3872*Assumptions!$B$5-E3872*Assumptions!$B$7)</f>
        <v>0.16887258149822298</v>
      </c>
      <c r="F3873" s="12">
        <f t="shared" si="180"/>
        <v>0.51753901185582163</v>
      </c>
      <c r="G3873" s="12">
        <f>EXP(-Assumptions!$B$8*B3873)</f>
        <v>0.14478578119778093</v>
      </c>
      <c r="H3873" s="12">
        <f t="shared" si="181"/>
        <v>4.5403142430802047E-2</v>
      </c>
      <c r="I3873" s="12">
        <f t="shared" si="182"/>
        <v>2.4450348635106142E-2</v>
      </c>
      <c r="J3873" s="12">
        <f>G3873*(D3873*Assumptions!$B$6+E3873*Assumptions!$B$7)</f>
        <v>1.6765488560633276E-3</v>
      </c>
    </row>
    <row r="3874" spans="1:10" x14ac:dyDescent="0.2">
      <c r="A3874" s="2">
        <v>3866</v>
      </c>
      <c r="B3874" s="14">
        <f>A3874*Assumptions!$B$12</f>
        <v>38.660000000000004</v>
      </c>
      <c r="C3874" s="15">
        <f>IF(A3874&lt;=Assumptions!$B$13,IF(OR(A3874=0,A3874=Assumptions!$B$13),0.5,1),0)*Assumptions!$B$12</f>
        <v>0</v>
      </c>
      <c r="D3874" s="12">
        <f>D3873*(1-Assumptions!$B$12*(Assumptions!$B$5+Assumptions!$B$6))</f>
        <v>0.31349433012396161</v>
      </c>
      <c r="E3874" s="12">
        <f>E3873+Assumptions!$B$12*(D3873*Assumptions!$B$5-E3873*Assumptions!$B$7)</f>
        <v>0.16885086288880308</v>
      </c>
      <c r="F3874" s="12">
        <f t="shared" si="180"/>
        <v>0.51765480698723532</v>
      </c>
      <c r="G3874" s="12">
        <f>EXP(-Assumptions!$B$8*B3874)</f>
        <v>0.14471340640238869</v>
      </c>
      <c r="H3874" s="12">
        <f t="shared" si="181"/>
        <v>4.5366832400073463E-2</v>
      </c>
      <c r="I3874" s="12">
        <f t="shared" si="182"/>
        <v>2.4434983542621372E-2</v>
      </c>
      <c r="J3874" s="12">
        <f>G3874*(D3874*Assumptions!$B$6+E3874*Assumptions!$B$7)</f>
        <v>1.6754175011318032E-3</v>
      </c>
    </row>
    <row r="3875" spans="1:10" x14ac:dyDescent="0.2">
      <c r="A3875" s="2">
        <v>3867</v>
      </c>
      <c r="B3875" s="14">
        <f>A3875*Assumptions!$B$12</f>
        <v>38.67</v>
      </c>
      <c r="C3875" s="15">
        <f>IF(A3875&lt;=Assumptions!$B$13,IF(OR(A3875=0,A3875=Assumptions!$B$13),0.5,1),0)*Assumptions!$B$12</f>
        <v>0</v>
      </c>
      <c r="D3875" s="12">
        <f>D3874*(1-Assumptions!$B$12*(Assumptions!$B$5+Assumptions!$B$6))</f>
        <v>0.31340028182492441</v>
      </c>
      <c r="E3875" s="12">
        <f>E3874+Assumptions!$B$12*(D3874*Assumptions!$B$5-E3874*Assumptions!$B$7)</f>
        <v>0.16882913632338348</v>
      </c>
      <c r="F3875" s="12">
        <f t="shared" si="180"/>
        <v>0.51777058185169211</v>
      </c>
      <c r="G3875" s="12">
        <f>EXP(-Assumptions!$B$8*B3875)</f>
        <v>0.1446410677853488</v>
      </c>
      <c r="H3875" s="12">
        <f t="shared" si="181"/>
        <v>4.5330551407386309E-2</v>
      </c>
      <c r="I3875" s="12">
        <f t="shared" si="182"/>
        <v>2.4419626551092404E-2</v>
      </c>
      <c r="J3875" s="12">
        <f>G3875*(D3875*Assumptions!$B$6+E3875*Assumptions!$B$7)</f>
        <v>1.6742868416284834E-3</v>
      </c>
    </row>
    <row r="3876" spans="1:10" x14ac:dyDescent="0.2">
      <c r="A3876" s="2">
        <v>3868</v>
      </c>
      <c r="B3876" s="14">
        <f>A3876*Assumptions!$B$12</f>
        <v>38.68</v>
      </c>
      <c r="C3876" s="15">
        <f>IF(A3876&lt;=Assumptions!$B$13,IF(OR(A3876=0,A3876=Assumptions!$B$13),0.5,1),0)*Assumptions!$B$12</f>
        <v>0</v>
      </c>
      <c r="D3876" s="12">
        <f>D3875*(1-Assumptions!$B$12*(Assumptions!$B$5+Assumptions!$B$6))</f>
        <v>0.31330626174037696</v>
      </c>
      <c r="E3876" s="12">
        <f>E3875+Assumptions!$B$12*(D3875*Assumptions!$B$5-E3875*Assumptions!$B$7)</f>
        <v>0.16880740181158677</v>
      </c>
      <c r="F3876" s="12">
        <f t="shared" si="180"/>
        <v>0.51788633644803617</v>
      </c>
      <c r="G3876" s="12">
        <f>EXP(-Assumptions!$B$8*B3876)</f>
        <v>0.14456876532857663</v>
      </c>
      <c r="H3876" s="12">
        <f t="shared" si="181"/>
        <v>4.529429942951816E-2</v>
      </c>
      <c r="I3876" s="12">
        <f t="shared" si="182"/>
        <v>2.4404277658226028E-2</v>
      </c>
      <c r="J3876" s="12">
        <f>G3876*(D3876*Assumptions!$B$6+E3876*Assumptions!$B$7)</f>
        <v>1.6731568772064831E-3</v>
      </c>
    </row>
    <row r="3877" spans="1:10" x14ac:dyDescent="0.2">
      <c r="A3877" s="2">
        <v>3869</v>
      </c>
      <c r="B3877" s="14">
        <f>A3877*Assumptions!$B$12</f>
        <v>38.69</v>
      </c>
      <c r="C3877" s="15">
        <f>IF(A3877&lt;=Assumptions!$B$13,IF(OR(A3877=0,A3877=Assumptions!$B$13),0.5,1),0)*Assumptions!$B$12</f>
        <v>0</v>
      </c>
      <c r="D3877" s="12">
        <f>D3876*(1-Assumptions!$B$12*(Assumptions!$B$5+Assumptions!$B$6))</f>
        <v>0.31321226986185485</v>
      </c>
      <c r="E3877" s="12">
        <f>E3876+Assumptions!$B$12*(D3876*Assumptions!$B$5-E3876*Assumptions!$B$7)</f>
        <v>0.16878565936302906</v>
      </c>
      <c r="F3877" s="12">
        <f t="shared" si="180"/>
        <v>0.51800207077511606</v>
      </c>
      <c r="G3877" s="12">
        <f>EXP(-Assumptions!$B$8*B3877)</f>
        <v>0.14449649901399658</v>
      </c>
      <c r="H3877" s="12">
        <f t="shared" si="181"/>
        <v>4.5258076443265141E-2</v>
      </c>
      <c r="I3877" s="12">
        <f t="shared" si="182"/>
        <v>2.438893686172669E-2</v>
      </c>
      <c r="J3877" s="12">
        <f>G3877*(D3877*Assumptions!$B$6+E3877*Assumptions!$B$7)</f>
        <v>1.6720276075189858E-3</v>
      </c>
    </row>
    <row r="3878" spans="1:10" x14ac:dyDescent="0.2">
      <c r="A3878" s="2">
        <v>3870</v>
      </c>
      <c r="B3878" s="14">
        <f>A3878*Assumptions!$B$12</f>
        <v>38.700000000000003</v>
      </c>
      <c r="C3878" s="15">
        <f>IF(A3878&lt;=Assumptions!$B$13,IF(OR(A3878=0,A3878=Assumptions!$B$13),0.5,1),0)*Assumptions!$B$12</f>
        <v>0</v>
      </c>
      <c r="D3878" s="12">
        <f>D3877*(1-Assumptions!$B$12*(Assumptions!$B$5+Assumptions!$B$6))</f>
        <v>0.31311830618089631</v>
      </c>
      <c r="E3878" s="12">
        <f>E3877+Assumptions!$B$12*(D3877*Assumptions!$B$5-E3877*Assumptions!$B$7)</f>
        <v>0.16876390898731991</v>
      </c>
      <c r="F3878" s="12">
        <f t="shared" si="180"/>
        <v>0.51811778483178372</v>
      </c>
      <c r="G3878" s="12">
        <f>EXP(-Assumptions!$B$8*B3878)</f>
        <v>0.14442426882354195</v>
      </c>
      <c r="H3878" s="12">
        <f t="shared" si="181"/>
        <v>4.5221882425441888E-2</v>
      </c>
      <c r="I3878" s="12">
        <f t="shared" si="182"/>
        <v>2.4373604159296458E-2</v>
      </c>
      <c r="J3878" s="12">
        <f>G3878*(D3878*Assumptions!$B$6+E3878*Assumptions!$B$7)</f>
        <v>1.670899032219242E-3</v>
      </c>
    </row>
    <row r="3879" spans="1:10" x14ac:dyDescent="0.2">
      <c r="A3879" s="2">
        <v>3871</v>
      </c>
      <c r="B3879" s="14">
        <f>A3879*Assumptions!$B$12</f>
        <v>38.71</v>
      </c>
      <c r="C3879" s="15">
        <f>IF(A3879&lt;=Assumptions!$B$13,IF(OR(A3879=0,A3879=Assumptions!$B$13),0.5,1),0)*Assumptions!$B$12</f>
        <v>0</v>
      </c>
      <c r="D3879" s="12">
        <f>D3878*(1-Assumptions!$B$12*(Assumptions!$B$5+Assumptions!$B$6))</f>
        <v>0.31302437068904204</v>
      </c>
      <c r="E3879" s="12">
        <f>E3878+Assumptions!$B$12*(D3878*Assumptions!$B$5-E3878*Assumptions!$B$7)</f>
        <v>0.16874215069406243</v>
      </c>
      <c r="F3879" s="12">
        <f t="shared" si="180"/>
        <v>0.5182334786168955</v>
      </c>
      <c r="G3879" s="12">
        <f>EXP(-Assumptions!$B$8*B3879)</f>
        <v>0.14435207473915532</v>
      </c>
      <c r="H3879" s="12">
        <f t="shared" si="181"/>
        <v>4.5185717352881655E-2</v>
      </c>
      <c r="I3879" s="12">
        <f t="shared" si="182"/>
        <v>2.435827954863511E-2</v>
      </c>
      <c r="J3879" s="12">
        <f>G3879*(D3879*Assumptions!$B$6+E3879*Assumptions!$B$7)</f>
        <v>1.669771150960572E-3</v>
      </c>
    </row>
    <row r="3880" spans="1:10" x14ac:dyDescent="0.2">
      <c r="A3880" s="2">
        <v>3872</v>
      </c>
      <c r="B3880" s="14">
        <f>A3880*Assumptions!$B$12</f>
        <v>38.72</v>
      </c>
      <c r="C3880" s="15">
        <f>IF(A3880&lt;=Assumptions!$B$13,IF(OR(A3880=0,A3880=Assumptions!$B$13),0.5,1),0)*Assumptions!$B$12</f>
        <v>0</v>
      </c>
      <c r="D3880" s="12">
        <f>D3879*(1-Assumptions!$B$12*(Assumptions!$B$5+Assumptions!$B$6))</f>
        <v>0.31293046337783537</v>
      </c>
      <c r="E3880" s="12">
        <f>E3879+Assumptions!$B$12*(D3879*Assumptions!$B$5-E3879*Assumptions!$B$7)</f>
        <v>0.1687203844928532</v>
      </c>
      <c r="F3880" s="12">
        <f t="shared" si="180"/>
        <v>0.51834915212931143</v>
      </c>
      <c r="G3880" s="12">
        <f>EXP(-Assumptions!$B$8*B3880)</f>
        <v>0.14427991674278817</v>
      </c>
      <c r="H3880" s="12">
        <f t="shared" si="181"/>
        <v>4.5149581202436208E-2</v>
      </c>
      <c r="I3880" s="12">
        <f t="shared" si="182"/>
        <v>2.434296302744007E-2</v>
      </c>
      <c r="J3880" s="12">
        <f>G3880*(D3880*Assumptions!$B$6+E3880*Assumptions!$B$7)</f>
        <v>1.6686439633963655E-3</v>
      </c>
    </row>
    <row r="3881" spans="1:10" x14ac:dyDescent="0.2">
      <c r="A3881" s="2">
        <v>3873</v>
      </c>
      <c r="B3881" s="14">
        <f>A3881*Assumptions!$B$12</f>
        <v>38.730000000000004</v>
      </c>
      <c r="C3881" s="15">
        <f>IF(A3881&lt;=Assumptions!$B$13,IF(OR(A3881=0,A3881=Assumptions!$B$13),0.5,1),0)*Assumptions!$B$12</f>
        <v>0</v>
      </c>
      <c r="D3881" s="12">
        <f>D3880*(1-Assumptions!$B$12*(Assumptions!$B$5+Assumptions!$B$6))</f>
        <v>0.31283658423882205</v>
      </c>
      <c r="E3881" s="12">
        <f>E3880+Assumptions!$B$12*(D3880*Assumptions!$B$5-E3880*Assumptions!$B$7)</f>
        <v>0.16869861039328235</v>
      </c>
      <c r="F3881" s="12">
        <f t="shared" si="180"/>
        <v>0.51846480536789552</v>
      </c>
      <c r="G3881" s="12">
        <f>EXP(-Assumptions!$B$8*B3881)</f>
        <v>0.14420779481640084</v>
      </c>
      <c r="H3881" s="12">
        <f t="shared" si="181"/>
        <v>4.5113473950975744E-2</v>
      </c>
      <c r="I3881" s="12">
        <f t="shared" si="182"/>
        <v>2.4327654593406408E-2</v>
      </c>
      <c r="J3881" s="12">
        <f>G3881*(D3881*Assumptions!$B$6+E3881*Assumptions!$B$7)</f>
        <v>1.6675174691800779E-3</v>
      </c>
    </row>
    <row r="3882" spans="1:10" x14ac:dyDescent="0.2">
      <c r="A3882" s="2">
        <v>3874</v>
      </c>
      <c r="B3882" s="14">
        <f>A3882*Assumptions!$B$12</f>
        <v>38.74</v>
      </c>
      <c r="C3882" s="15">
        <f>IF(A3882&lt;=Assumptions!$B$13,IF(OR(A3882=0,A3882=Assumptions!$B$13),0.5,1),0)*Assumptions!$B$12</f>
        <v>0</v>
      </c>
      <c r="D3882" s="12">
        <f>D3881*(1-Assumptions!$B$12*(Assumptions!$B$5+Assumptions!$B$6))</f>
        <v>0.3127427332635504</v>
      </c>
      <c r="E3882" s="12">
        <f>E3881+Assumptions!$B$12*(D3881*Assumptions!$B$5-E3881*Assumptions!$B$7)</f>
        <v>0.16867682840493348</v>
      </c>
      <c r="F3882" s="12">
        <f t="shared" si="180"/>
        <v>0.51858043833151612</v>
      </c>
      <c r="G3882" s="12">
        <f>EXP(-Assumptions!$B$8*B3882)</f>
        <v>0.14413570894196306</v>
      </c>
      <c r="H3882" s="12">
        <f t="shared" si="181"/>
        <v>4.507739557538909E-2</v>
      </c>
      <c r="I3882" s="12">
        <f t="shared" si="182"/>
        <v>2.4312354244226939E-2</v>
      </c>
      <c r="J3882" s="12">
        <f>G3882*(D3882*Assumptions!$B$6+E3882*Assumptions!$B$7)</f>
        <v>1.6663916679652379E-3</v>
      </c>
    </row>
    <row r="3883" spans="1:10" x14ac:dyDescent="0.2">
      <c r="A3883" s="2">
        <v>3875</v>
      </c>
      <c r="B3883" s="14">
        <f>A3883*Assumptions!$B$12</f>
        <v>38.75</v>
      </c>
      <c r="C3883" s="15">
        <f>IF(A3883&lt;=Assumptions!$B$13,IF(OR(A3883=0,A3883=Assumptions!$B$13),0.5,1),0)*Assumptions!$B$12</f>
        <v>0</v>
      </c>
      <c r="D3883" s="12">
        <f>D3882*(1-Assumptions!$B$12*(Assumptions!$B$5+Assumptions!$B$6))</f>
        <v>0.31264891044357135</v>
      </c>
      <c r="E3883" s="12">
        <f>E3882+Assumptions!$B$12*(D3882*Assumptions!$B$5-E3882*Assumptions!$B$7)</f>
        <v>0.16865503853738373</v>
      </c>
      <c r="F3883" s="12">
        <f t="shared" si="180"/>
        <v>0.51869605101904492</v>
      </c>
      <c r="G3883" s="12">
        <f>EXP(-Assumptions!$B$8*B3883)</f>
        <v>0.14406365910145327</v>
      </c>
      <c r="H3883" s="12">
        <f t="shared" si="181"/>
        <v>4.5041346052583454E-2</v>
      </c>
      <c r="I3883" s="12">
        <f t="shared" si="182"/>
        <v>2.4297061977592113E-2</v>
      </c>
      <c r="J3883" s="12">
        <f>G3883*(D3883*Assumptions!$B$6+E3883*Assumptions!$B$7)</f>
        <v>1.6652665594054403E-3</v>
      </c>
    </row>
    <row r="3884" spans="1:10" x14ac:dyDescent="0.2">
      <c r="A3884" s="2">
        <v>3876</v>
      </c>
      <c r="B3884" s="14">
        <f>A3884*Assumptions!$B$12</f>
        <v>38.76</v>
      </c>
      <c r="C3884" s="15">
        <f>IF(A3884&lt;=Assumptions!$B$13,IF(OR(A3884=0,A3884=Assumptions!$B$13),0.5,1),0)*Assumptions!$B$12</f>
        <v>0</v>
      </c>
      <c r="D3884" s="12">
        <f>D3883*(1-Assumptions!$B$12*(Assumptions!$B$5+Assumptions!$B$6))</f>
        <v>0.31255511577043826</v>
      </c>
      <c r="E3884" s="12">
        <f>E3883+Assumptions!$B$12*(D3883*Assumptions!$B$5-E3883*Assumptions!$B$7)</f>
        <v>0.16863324080020375</v>
      </c>
      <c r="F3884" s="12">
        <f t="shared" si="180"/>
        <v>0.51881164342935793</v>
      </c>
      <c r="G3884" s="12">
        <f>EXP(-Assumptions!$B$8*B3884)</f>
        <v>0.14399164527685901</v>
      </c>
      <c r="H3884" s="12">
        <f t="shared" si="181"/>
        <v>4.5005325359484545E-2</v>
      </c>
      <c r="I3884" s="12">
        <f t="shared" si="182"/>
        <v>2.4281777791190087E-2</v>
      </c>
      <c r="J3884" s="12">
        <f>G3884*(D3884*Assumptions!$B$6+E3884*Assumptions!$B$7)</f>
        <v>1.6641421431543499E-3</v>
      </c>
    </row>
    <row r="3885" spans="1:10" x14ac:dyDescent="0.2">
      <c r="A3885" s="2">
        <v>3877</v>
      </c>
      <c r="B3885" s="14">
        <f>A3885*Assumptions!$B$12</f>
        <v>38.770000000000003</v>
      </c>
      <c r="C3885" s="15">
        <f>IF(A3885&lt;=Assumptions!$B$13,IF(OR(A3885=0,A3885=Assumptions!$B$13),0.5,1),0)*Assumptions!$B$12</f>
        <v>0</v>
      </c>
      <c r="D3885" s="12">
        <f>D3884*(1-Assumptions!$B$12*(Assumptions!$B$5+Assumptions!$B$6))</f>
        <v>0.31246134923570712</v>
      </c>
      <c r="E3885" s="12">
        <f>E3884+Assumptions!$B$12*(D3884*Assumptions!$B$5-E3884*Assumptions!$B$7)</f>
        <v>0.16861143520295774</v>
      </c>
      <c r="F3885" s="12">
        <f t="shared" si="180"/>
        <v>0.51892721556133514</v>
      </c>
      <c r="G3885" s="12">
        <f>EXP(-Assumptions!$B$8*B3885)</f>
        <v>0.14391966745017673</v>
      </c>
      <c r="H3885" s="12">
        <f t="shared" si="181"/>
        <v>4.4969333473036499E-2</v>
      </c>
      <c r="I3885" s="12">
        <f t="shared" si="182"/>
        <v>2.42665016827067E-2</v>
      </c>
      <c r="J3885" s="12">
        <f>G3885*(D3885*Assumptions!$B$6+E3885*Assumptions!$B$7)</f>
        <v>1.6630184188657E-3</v>
      </c>
    </row>
    <row r="3886" spans="1:10" x14ac:dyDescent="0.2">
      <c r="A3886" s="2">
        <v>3878</v>
      </c>
      <c r="B3886" s="14">
        <f>A3886*Assumptions!$B$12</f>
        <v>38.78</v>
      </c>
      <c r="C3886" s="15">
        <f>IF(A3886&lt;=Assumptions!$B$13,IF(OR(A3886=0,A3886=Assumptions!$B$13),0.5,1),0)*Assumptions!$B$12</f>
        <v>0</v>
      </c>
      <c r="D3886" s="12">
        <f>D3885*(1-Assumptions!$B$12*(Assumptions!$B$5+Assumptions!$B$6))</f>
        <v>0.31236761083093639</v>
      </c>
      <c r="E3886" s="12">
        <f>E3885+Assumptions!$B$12*(D3885*Assumptions!$B$5-E3885*Assumptions!$B$7)</f>
        <v>0.16858962175520339</v>
      </c>
      <c r="F3886" s="12">
        <f t="shared" si="180"/>
        <v>0.51904276741386024</v>
      </c>
      <c r="G3886" s="12">
        <f>EXP(-Assumptions!$B$8*B3886)</f>
        <v>0.14384772560341216</v>
      </c>
      <c r="H3886" s="12">
        <f t="shared" si="181"/>
        <v>4.4933370370201973E-2</v>
      </c>
      <c r="I3886" s="12">
        <f t="shared" si="182"/>
        <v>2.4251233649825545E-2</v>
      </c>
      <c r="J3886" s="12">
        <f>G3886*(D3886*Assumptions!$B$6+E3886*Assumptions!$B$7)</f>
        <v>1.661895386193297E-3</v>
      </c>
    </row>
    <row r="3887" spans="1:10" x14ac:dyDescent="0.2">
      <c r="A3887" s="2">
        <v>3879</v>
      </c>
      <c r="B3887" s="14">
        <f>A3887*Assumptions!$B$12</f>
        <v>38.79</v>
      </c>
      <c r="C3887" s="15">
        <f>IF(A3887&lt;=Assumptions!$B$13,IF(OR(A3887=0,A3887=Assumptions!$B$13),0.5,1),0)*Assumptions!$B$12</f>
        <v>0</v>
      </c>
      <c r="D3887" s="12">
        <f>D3886*(1-Assumptions!$B$12*(Assumptions!$B$5+Assumptions!$B$6))</f>
        <v>0.31227390054768711</v>
      </c>
      <c r="E3887" s="12">
        <f>E3886+Assumptions!$B$12*(D3886*Assumptions!$B$5-E3886*Assumptions!$B$7)</f>
        <v>0.16856780046649197</v>
      </c>
      <c r="F3887" s="12">
        <f t="shared" si="180"/>
        <v>0.51915829898582089</v>
      </c>
      <c r="G3887" s="12">
        <f>EXP(-Assumptions!$B$8*B3887)</f>
        <v>0.14377581971857969</v>
      </c>
      <c r="H3887" s="12">
        <f t="shared" si="181"/>
        <v>4.4897436027961944E-2</v>
      </c>
      <c r="I3887" s="12">
        <f t="shared" si="182"/>
        <v>2.4235973690227865E-2</v>
      </c>
      <c r="J3887" s="12">
        <f>G3887*(D3887*Assumptions!$B$6+E3887*Assumptions!$B$7)</f>
        <v>1.6607730447910126E-3</v>
      </c>
    </row>
    <row r="3888" spans="1:10" x14ac:dyDescent="0.2">
      <c r="A3888" s="2">
        <v>3880</v>
      </c>
      <c r="B3888" s="14">
        <f>A3888*Assumptions!$B$12</f>
        <v>38.800000000000004</v>
      </c>
      <c r="C3888" s="15">
        <f>IF(A3888&lt;=Assumptions!$B$13,IF(OR(A3888=0,A3888=Assumptions!$B$13),0.5,1),0)*Assumptions!$B$12</f>
        <v>0</v>
      </c>
      <c r="D3888" s="12">
        <f>D3887*(1-Assumptions!$B$12*(Assumptions!$B$5+Assumptions!$B$6))</f>
        <v>0.3121802183775228</v>
      </c>
      <c r="E3888" s="12">
        <f>E3887+Assumptions!$B$12*(D3887*Assumptions!$B$5-E3887*Assumptions!$B$7)</f>
        <v>0.16854597134636826</v>
      </c>
      <c r="F3888" s="12">
        <f t="shared" si="180"/>
        <v>0.51927381027610886</v>
      </c>
      <c r="G3888" s="12">
        <f>EXP(-Assumptions!$B$8*B3888)</f>
        <v>0.14370394977770287</v>
      </c>
      <c r="H3888" s="12">
        <f t="shared" si="181"/>
        <v>4.4861530423315851E-2</v>
      </c>
      <c r="I3888" s="12">
        <f t="shared" si="182"/>
        <v>2.4220721801592651E-2</v>
      </c>
      <c r="J3888" s="12">
        <f>G3888*(D3888*Assumptions!$B$6+E3888*Assumptions!$B$7)</f>
        <v>1.659651394312791E-3</v>
      </c>
    </row>
    <row r="3889" spans="1:10" x14ac:dyDescent="0.2">
      <c r="A3889" s="2">
        <v>3881</v>
      </c>
      <c r="B3889" s="14">
        <f>A3889*Assumptions!$B$12</f>
        <v>38.81</v>
      </c>
      <c r="C3889" s="15">
        <f>IF(A3889&lt;=Assumptions!$B$13,IF(OR(A3889=0,A3889=Assumptions!$B$13),0.5,1),0)*Assumptions!$B$12</f>
        <v>0</v>
      </c>
      <c r="D3889" s="12">
        <f>D3888*(1-Assumptions!$B$12*(Assumptions!$B$5+Assumptions!$B$6))</f>
        <v>0.31208656431200954</v>
      </c>
      <c r="E3889" s="12">
        <f>E3888+Assumptions!$B$12*(D3888*Assumptions!$B$5-E3888*Assumptions!$B$7)</f>
        <v>0.16852413440437058</v>
      </c>
      <c r="F3889" s="12">
        <f t="shared" si="180"/>
        <v>0.51938930128361993</v>
      </c>
      <c r="G3889" s="12">
        <f>EXP(-Assumptions!$B$8*B3889)</f>
        <v>0.14363211576281432</v>
      </c>
      <c r="H3889" s="12">
        <f t="shared" si="181"/>
        <v>4.4825653533281551E-2</v>
      </c>
      <c r="I3889" s="12">
        <f t="shared" si="182"/>
        <v>2.4205477981596633E-2</v>
      </c>
      <c r="J3889" s="12">
        <f>G3889*(D3889*Assumptions!$B$6+E3889*Assumptions!$B$7)</f>
        <v>1.6585304344126472E-3</v>
      </c>
    </row>
    <row r="3890" spans="1:10" x14ac:dyDescent="0.2">
      <c r="A3890" s="2">
        <v>3882</v>
      </c>
      <c r="B3890" s="14">
        <f>A3890*Assumptions!$B$12</f>
        <v>38.82</v>
      </c>
      <c r="C3890" s="15">
        <f>IF(A3890&lt;=Assumptions!$B$13,IF(OR(A3890=0,A3890=Assumptions!$B$13),0.5,1),0)*Assumptions!$B$12</f>
        <v>0</v>
      </c>
      <c r="D3890" s="12">
        <f>D3889*(1-Assumptions!$B$12*(Assumptions!$B$5+Assumptions!$B$6))</f>
        <v>0.31199293834271596</v>
      </c>
      <c r="E3890" s="12">
        <f>E3889+Assumptions!$B$12*(D3889*Assumptions!$B$5-E3889*Assumptions!$B$7)</f>
        <v>0.16850228965003081</v>
      </c>
      <c r="F3890" s="12">
        <f t="shared" si="180"/>
        <v>0.5195047720072532</v>
      </c>
      <c r="G3890" s="12">
        <f>EXP(-Assumptions!$B$8*B3890)</f>
        <v>0.14356031765595542</v>
      </c>
      <c r="H3890" s="12">
        <f t="shared" si="181"/>
        <v>4.4789805334895218E-2</v>
      </c>
      <c r="I3890" s="12">
        <f t="shared" si="182"/>
        <v>2.4190242227914233E-2</v>
      </c>
      <c r="J3890" s="12">
        <f>G3890*(D3890*Assumptions!$B$6+E3890*Assumptions!$B$7)</f>
        <v>1.6574101647446641E-3</v>
      </c>
    </row>
    <row r="3891" spans="1:10" x14ac:dyDescent="0.2">
      <c r="A3891" s="2">
        <v>3883</v>
      </c>
      <c r="B3891" s="14">
        <f>A3891*Assumptions!$B$12</f>
        <v>38.83</v>
      </c>
      <c r="C3891" s="15">
        <f>IF(A3891&lt;=Assumptions!$B$13,IF(OR(A3891=0,A3891=Assumptions!$B$13),0.5,1),0)*Assumptions!$B$12</f>
        <v>0</v>
      </c>
      <c r="D3891" s="12">
        <f>D3890*(1-Assumptions!$B$12*(Assumptions!$B$5+Assumptions!$B$6))</f>
        <v>0.31189934046121315</v>
      </c>
      <c r="E3891" s="12">
        <f>E3890+Assumptions!$B$12*(D3890*Assumptions!$B$5-E3890*Assumptions!$B$7)</f>
        <v>0.16848043709287433</v>
      </c>
      <c r="F3891" s="12">
        <f t="shared" si="180"/>
        <v>0.51962022244591255</v>
      </c>
      <c r="G3891" s="12">
        <f>EXP(-Assumptions!$B$8*B3891)</f>
        <v>0.14348855543917668</v>
      </c>
      <c r="H3891" s="12">
        <f t="shared" si="181"/>
        <v>4.4753985805211428E-2</v>
      </c>
      <c r="I3891" s="12">
        <f t="shared" si="182"/>
        <v>2.4175014538217618E-2</v>
      </c>
      <c r="J3891" s="12">
        <f>G3891*(D3891*Assumptions!$B$6+E3891*Assumptions!$B$7)</f>
        <v>1.6562905849629955E-3</v>
      </c>
    </row>
    <row r="3892" spans="1:10" x14ac:dyDescent="0.2">
      <c r="A3892" s="2">
        <v>3884</v>
      </c>
      <c r="B3892" s="14">
        <f>A3892*Assumptions!$B$12</f>
        <v>38.840000000000003</v>
      </c>
      <c r="C3892" s="15">
        <f>IF(A3892&lt;=Assumptions!$B$13,IF(OR(A3892=0,A3892=Assumptions!$B$13),0.5,1),0)*Assumptions!$B$12</f>
        <v>0</v>
      </c>
      <c r="D3892" s="12">
        <f>D3891*(1-Assumptions!$B$12*(Assumptions!$B$5+Assumptions!$B$6))</f>
        <v>0.31180577065907478</v>
      </c>
      <c r="E3892" s="12">
        <f>E3891+Assumptions!$B$12*(D3891*Assumptions!$B$5-E3891*Assumptions!$B$7)</f>
        <v>0.16845857674242012</v>
      </c>
      <c r="F3892" s="12">
        <f t="shared" si="180"/>
        <v>0.51973565259850507</v>
      </c>
      <c r="G3892" s="12">
        <f>EXP(-Assumptions!$B$8*B3892)</f>
        <v>0.14341682909453754</v>
      </c>
      <c r="H3892" s="12">
        <f t="shared" si="181"/>
        <v>4.4718194921303092E-2</v>
      </c>
      <c r="I3892" s="12">
        <f t="shared" si="182"/>
        <v>2.4159794910176703E-2</v>
      </c>
      <c r="J3892" s="12">
        <f>G3892*(D3892*Assumptions!$B$6+E3892*Assumptions!$B$7)</f>
        <v>1.6551716947218662E-3</v>
      </c>
    </row>
    <row r="3893" spans="1:10" x14ac:dyDescent="0.2">
      <c r="A3893" s="2">
        <v>3885</v>
      </c>
      <c r="B3893" s="14">
        <f>A3893*Assumptions!$B$12</f>
        <v>38.85</v>
      </c>
      <c r="C3893" s="15">
        <f>IF(A3893&lt;=Assumptions!$B$13,IF(OR(A3893=0,A3893=Assumptions!$B$13),0.5,1),0)*Assumptions!$B$12</f>
        <v>0</v>
      </c>
      <c r="D3893" s="12">
        <f>D3892*(1-Assumptions!$B$12*(Assumptions!$B$5+Assumptions!$B$6))</f>
        <v>0.31171222892787709</v>
      </c>
      <c r="E3893" s="12">
        <f>E3892+Assumptions!$B$12*(D3892*Assumptions!$B$5-E3892*Assumptions!$B$7)</f>
        <v>0.16843670860818072</v>
      </c>
      <c r="F3893" s="12">
        <f t="shared" si="180"/>
        <v>0.51985106246394219</v>
      </c>
      <c r="G3893" s="12">
        <f>EXP(-Assumptions!$B$8*B3893)</f>
        <v>0.14334513860410644</v>
      </c>
      <c r="H3893" s="12">
        <f t="shared" si="181"/>
        <v>4.4682432660261499E-2</v>
      </c>
      <c r="I3893" s="12">
        <f t="shared" si="182"/>
        <v>2.4144583341459153E-2</v>
      </c>
      <c r="J3893" s="12">
        <f>G3893*(D3893*Assumptions!$B$6+E3893*Assumptions!$B$7)</f>
        <v>1.6540534936755726E-3</v>
      </c>
    </row>
    <row r="3894" spans="1:10" x14ac:dyDescent="0.2">
      <c r="A3894" s="2">
        <v>3886</v>
      </c>
      <c r="B3894" s="14">
        <f>A3894*Assumptions!$B$12</f>
        <v>38.86</v>
      </c>
      <c r="C3894" s="15">
        <f>IF(A3894&lt;=Assumptions!$B$13,IF(OR(A3894=0,A3894=Assumptions!$B$13),0.5,1),0)*Assumptions!$B$12</f>
        <v>0</v>
      </c>
      <c r="D3894" s="12">
        <f>D3893*(1-Assumptions!$B$12*(Assumptions!$B$5+Assumptions!$B$6))</f>
        <v>0.31161871525919871</v>
      </c>
      <c r="E3894" s="12">
        <f>E3893+Assumptions!$B$12*(D3893*Assumptions!$B$5-E3893*Assumptions!$B$7)</f>
        <v>0.1684148326996622</v>
      </c>
      <c r="F3894" s="12">
        <f t="shared" si="180"/>
        <v>0.51996645204113912</v>
      </c>
      <c r="G3894" s="12">
        <f>EXP(-Assumptions!$B$8*B3894)</f>
        <v>0.14327348394996073</v>
      </c>
      <c r="H3894" s="12">
        <f t="shared" si="181"/>
        <v>4.464669899919619E-2</v>
      </c>
      <c r="I3894" s="12">
        <f t="shared" si="182"/>
        <v>2.4129379829730374E-2</v>
      </c>
      <c r="J3894" s="12">
        <f>G3894*(D3894*Assumptions!$B$6+E3894*Assumptions!$B$7)</f>
        <v>1.6529359814784806E-3</v>
      </c>
    </row>
    <row r="3895" spans="1:10" x14ac:dyDescent="0.2">
      <c r="A3895" s="2">
        <v>3887</v>
      </c>
      <c r="B3895" s="14">
        <f>A3895*Assumptions!$B$12</f>
        <v>38.869999999999997</v>
      </c>
      <c r="C3895" s="15">
        <f>IF(A3895&lt;=Assumptions!$B$13,IF(OR(A3895=0,A3895=Assumptions!$B$13),0.5,1),0)*Assumptions!$B$12</f>
        <v>0</v>
      </c>
      <c r="D3895" s="12">
        <f>D3894*(1-Assumptions!$B$12*(Assumptions!$B$5+Assumptions!$B$6))</f>
        <v>0.31152522964462098</v>
      </c>
      <c r="E3895" s="12">
        <f>E3894+Assumptions!$B$12*(D3894*Assumptions!$B$5-E3894*Assumptions!$B$7)</f>
        <v>0.1683929490263642</v>
      </c>
      <c r="F3895" s="12">
        <f t="shared" si="180"/>
        <v>0.52008182132901482</v>
      </c>
      <c r="G3895" s="12">
        <f>EXP(-Assumptions!$B$8*B3895)</f>
        <v>0.14320186511418675</v>
      </c>
      <c r="H3895" s="12">
        <f t="shared" si="181"/>
        <v>4.461099391523507E-2</v>
      </c>
      <c r="I3895" s="12">
        <f t="shared" si="182"/>
        <v>2.4114184372653533E-2</v>
      </c>
      <c r="J3895" s="12">
        <f>G3895*(D3895*Assumptions!$B$6+E3895*Assumptions!$B$7)</f>
        <v>1.6518191577850273E-3</v>
      </c>
    </row>
    <row r="3896" spans="1:10" x14ac:dyDescent="0.2">
      <c r="A3896" s="2">
        <v>3888</v>
      </c>
      <c r="B3896" s="14">
        <f>A3896*Assumptions!$B$12</f>
        <v>38.880000000000003</v>
      </c>
      <c r="C3896" s="15">
        <f>IF(A3896&lt;=Assumptions!$B$13,IF(OR(A3896=0,A3896=Assumptions!$B$13),0.5,1),0)*Assumptions!$B$12</f>
        <v>0</v>
      </c>
      <c r="D3896" s="12">
        <f>D3895*(1-Assumptions!$B$12*(Assumptions!$B$5+Assumptions!$B$6))</f>
        <v>0.31143177207572759</v>
      </c>
      <c r="E3896" s="12">
        <f>E3895+Assumptions!$B$12*(D3895*Assumptions!$B$5-E3895*Assumptions!$B$7)</f>
        <v>0.16837105759777996</v>
      </c>
      <c r="F3896" s="12">
        <f t="shared" si="180"/>
        <v>0.52019717032649249</v>
      </c>
      <c r="G3896" s="12">
        <f>EXP(-Assumptions!$B$8*B3896)</f>
        <v>0.14313028207887979</v>
      </c>
      <c r="H3896" s="12">
        <f t="shared" si="181"/>
        <v>4.4575317385524289E-2</v>
      </c>
      <c r="I3896" s="12">
        <f t="shared" si="182"/>
        <v>2.4098996967889561E-2</v>
      </c>
      <c r="J3896" s="12">
        <f>G3896*(D3896*Assumptions!$B$6+E3896*Assumptions!$B$7)</f>
        <v>1.6507030222497208E-3</v>
      </c>
    </row>
    <row r="3897" spans="1:10" x14ac:dyDescent="0.2">
      <c r="A3897" s="2">
        <v>3889</v>
      </c>
      <c r="B3897" s="14">
        <f>A3897*Assumptions!$B$12</f>
        <v>38.89</v>
      </c>
      <c r="C3897" s="15">
        <f>IF(A3897&lt;=Assumptions!$B$13,IF(OR(A3897=0,A3897=Assumptions!$B$13),0.5,1),0)*Assumptions!$B$12</f>
        <v>0</v>
      </c>
      <c r="D3897" s="12">
        <f>D3896*(1-Assumptions!$B$12*(Assumptions!$B$5+Assumptions!$B$6))</f>
        <v>0.31133834254410486</v>
      </c>
      <c r="E3897" s="12">
        <f>E3896+Assumptions!$B$12*(D3896*Assumptions!$B$5-E3896*Assumptions!$B$7)</f>
        <v>0.16834915842339621</v>
      </c>
      <c r="F3897" s="12">
        <f t="shared" si="180"/>
        <v>0.52031249903249899</v>
      </c>
      <c r="G3897" s="12">
        <f>EXP(-Assumptions!$B$8*B3897)</f>
        <v>0.14305873482614412</v>
      </c>
      <c r="H3897" s="12">
        <f t="shared" si="181"/>
        <v>4.4539669387228323E-2</v>
      </c>
      <c r="I3897" s="12">
        <f t="shared" si="182"/>
        <v>2.4083817613097164E-2</v>
      </c>
      <c r="J3897" s="12">
        <f>G3897*(D3897*Assumptions!$B$6+E3897*Assumptions!$B$7)</f>
        <v>1.6495875745271412E-3</v>
      </c>
    </row>
    <row r="3898" spans="1:10" x14ac:dyDescent="0.2">
      <c r="A3898" s="2">
        <v>3890</v>
      </c>
      <c r="B3898" s="14">
        <f>A3898*Assumptions!$B$12</f>
        <v>38.9</v>
      </c>
      <c r="C3898" s="15">
        <f>IF(A3898&lt;=Assumptions!$B$13,IF(OR(A3898=0,A3898=Assumptions!$B$13),0.5,1),0)*Assumptions!$B$12</f>
        <v>0</v>
      </c>
      <c r="D3898" s="12">
        <f>D3897*(1-Assumptions!$B$12*(Assumptions!$B$5+Assumptions!$B$6))</f>
        <v>0.31124494104134165</v>
      </c>
      <c r="E3898" s="12">
        <f>E3897+Assumptions!$B$12*(D3897*Assumptions!$B$5-E3897*Assumptions!$B$7)</f>
        <v>0.16832725151269332</v>
      </c>
      <c r="F3898" s="12">
        <f t="shared" si="180"/>
        <v>0.52042780744596506</v>
      </c>
      <c r="G3898" s="12">
        <f>EXP(-Assumptions!$B$8*B3898)</f>
        <v>0.14298722333809288</v>
      </c>
      <c r="H3898" s="12">
        <f t="shared" si="181"/>
        <v>4.4504049897529874E-2</v>
      </c>
      <c r="I3898" s="12">
        <f t="shared" si="182"/>
        <v>2.4068646305932813E-2</v>
      </c>
      <c r="J3898" s="12">
        <f>G3898*(D3898*Assumptions!$B$6+E3898*Assumptions!$B$7)</f>
        <v>1.6484728142719394E-3</v>
      </c>
    </row>
    <row r="3899" spans="1:10" x14ac:dyDescent="0.2">
      <c r="A3899" s="2">
        <v>3891</v>
      </c>
      <c r="B3899" s="14">
        <f>A3899*Assumptions!$B$12</f>
        <v>38.910000000000004</v>
      </c>
      <c r="C3899" s="15">
        <f>IF(A3899&lt;=Assumptions!$B$13,IF(OR(A3899=0,A3899=Assumptions!$B$13),0.5,1),0)*Assumptions!$B$12</f>
        <v>0</v>
      </c>
      <c r="D3899" s="12">
        <f>D3898*(1-Assumptions!$B$12*(Assumptions!$B$5+Assumptions!$B$6))</f>
        <v>0.31115156755902923</v>
      </c>
      <c r="E3899" s="12">
        <f>E3898+Assumptions!$B$12*(D3898*Assumptions!$B$5-E3898*Assumptions!$B$7)</f>
        <v>0.16830533687514523</v>
      </c>
      <c r="F3899" s="12">
        <f t="shared" si="180"/>
        <v>0.52054309556582545</v>
      </c>
      <c r="G3899" s="12">
        <f>EXP(-Assumptions!$B$8*B3899)</f>
        <v>0.14291574759684819</v>
      </c>
      <c r="H3899" s="12">
        <f t="shared" si="181"/>
        <v>4.4468458893629881E-2</v>
      </c>
      <c r="I3899" s="12">
        <f t="shared" si="182"/>
        <v>2.4053483044050764E-2</v>
      </c>
      <c r="J3899" s="12">
        <f>G3899*(D3899*Assumptions!$B$6+E3899*Assumptions!$B$7)</f>
        <v>1.647358741138837E-3</v>
      </c>
    </row>
    <row r="3900" spans="1:10" x14ac:dyDescent="0.2">
      <c r="A3900" s="2">
        <v>3892</v>
      </c>
      <c r="B3900" s="14">
        <f>A3900*Assumptions!$B$12</f>
        <v>38.92</v>
      </c>
      <c r="C3900" s="15">
        <f>IF(A3900&lt;=Assumptions!$B$13,IF(OR(A3900=0,A3900=Assumptions!$B$13),0.5,1),0)*Assumptions!$B$12</f>
        <v>0</v>
      </c>
      <c r="D3900" s="12">
        <f>D3899*(1-Assumptions!$B$12*(Assumptions!$B$5+Assumptions!$B$6))</f>
        <v>0.31105822208876155</v>
      </c>
      <c r="E3900" s="12">
        <f>E3899+Assumptions!$B$12*(D3899*Assumptions!$B$5-E3899*Assumptions!$B$7)</f>
        <v>0.16828341452021947</v>
      </c>
      <c r="F3900" s="12">
        <f t="shared" si="180"/>
        <v>0.52065836339101901</v>
      </c>
      <c r="G3900" s="12">
        <f>EXP(-Assumptions!$B$8*B3900)</f>
        <v>0.1428443075845412</v>
      </c>
      <c r="H3900" s="12">
        <f t="shared" si="181"/>
        <v>4.4432896352747581E-2</v>
      </c>
      <c r="I3900" s="12">
        <f t="shared" si="182"/>
        <v>2.4038327825103078E-2</v>
      </c>
      <c r="J3900" s="12">
        <f>G3900*(D3900*Assumptions!$B$6+E3900*Assumptions!$B$7)</f>
        <v>1.6462453547826297E-3</v>
      </c>
    </row>
    <row r="3901" spans="1:10" x14ac:dyDescent="0.2">
      <c r="A3901" s="2">
        <v>3893</v>
      </c>
      <c r="B3901" s="14">
        <f>A3901*Assumptions!$B$12</f>
        <v>38.93</v>
      </c>
      <c r="C3901" s="15">
        <f>IF(A3901&lt;=Assumptions!$B$13,IF(OR(A3901=0,A3901=Assumptions!$B$13),0.5,1),0)*Assumptions!$B$12</f>
        <v>0</v>
      </c>
      <c r="D3901" s="12">
        <f>D3900*(1-Assumptions!$B$12*(Assumptions!$B$5+Assumptions!$B$6))</f>
        <v>0.31096490462213494</v>
      </c>
      <c r="E3901" s="12">
        <f>E3900+Assumptions!$B$12*(D3900*Assumptions!$B$5-E3900*Assumptions!$B$7)</f>
        <v>0.16826148445737713</v>
      </c>
      <c r="F3901" s="12">
        <f t="shared" si="180"/>
        <v>0.52077361092048791</v>
      </c>
      <c r="G3901" s="12">
        <f>EXP(-Assumptions!$B$8*B3901)</f>
        <v>0.14277290328331183</v>
      </c>
      <c r="H3901" s="12">
        <f t="shared" si="181"/>
        <v>4.4397362252120355E-2</v>
      </c>
      <c r="I3901" s="12">
        <f t="shared" si="182"/>
        <v>2.402318064673958E-2</v>
      </c>
      <c r="J3901" s="12">
        <f>G3901*(D3901*Assumptions!$B$6+E3901*Assumptions!$B$7)</f>
        <v>1.6451326548581828E-3</v>
      </c>
    </row>
    <row r="3902" spans="1:10" x14ac:dyDescent="0.2">
      <c r="A3902" s="2">
        <v>3894</v>
      </c>
      <c r="B3902" s="14">
        <f>A3902*Assumptions!$B$12</f>
        <v>38.94</v>
      </c>
      <c r="C3902" s="15">
        <f>IF(A3902&lt;=Assumptions!$B$13,IF(OR(A3902=0,A3902=Assumptions!$B$13),0.5,1),0)*Assumptions!$B$12</f>
        <v>0</v>
      </c>
      <c r="D3902" s="12">
        <f>D3901*(1-Assumptions!$B$12*(Assumptions!$B$5+Assumptions!$B$6))</f>
        <v>0.31087161515074829</v>
      </c>
      <c r="E3902" s="12">
        <f>E3901+Assumptions!$B$12*(D3901*Assumptions!$B$5-E3901*Assumptions!$B$7)</f>
        <v>0.16823954669607286</v>
      </c>
      <c r="F3902" s="12">
        <f t="shared" si="180"/>
        <v>0.52088883815317888</v>
      </c>
      <c r="G3902" s="12">
        <f>EXP(-Assumptions!$B$8*B3902)</f>
        <v>0.14270153467530902</v>
      </c>
      <c r="H3902" s="12">
        <f t="shared" si="181"/>
        <v>4.4361856569003828E-2</v>
      </c>
      <c r="I3902" s="12">
        <f t="shared" si="182"/>
        <v>2.4008041506607913E-2</v>
      </c>
      <c r="J3902" s="12">
        <f>G3902*(D3902*Assumptions!$B$6+E3902*Assumptions!$B$7)</f>
        <v>1.6440206410204337E-3</v>
      </c>
    </row>
    <row r="3903" spans="1:10" x14ac:dyDescent="0.2">
      <c r="A3903" s="2">
        <v>3895</v>
      </c>
      <c r="B3903" s="14">
        <f>A3903*Assumptions!$B$12</f>
        <v>38.950000000000003</v>
      </c>
      <c r="C3903" s="15">
        <f>IF(A3903&lt;=Assumptions!$B$13,IF(OR(A3903=0,A3903=Assumptions!$B$13),0.5,1),0)*Assumptions!$B$12</f>
        <v>0</v>
      </c>
      <c r="D3903" s="12">
        <f>D3902*(1-Assumptions!$B$12*(Assumptions!$B$5+Assumptions!$B$6))</f>
        <v>0.3107783536662031</v>
      </c>
      <c r="E3903" s="12">
        <f>E3902+Assumptions!$B$12*(D3902*Assumptions!$B$5-E3902*Assumptions!$B$7)</f>
        <v>0.16821760124575497</v>
      </c>
      <c r="F3903" s="12">
        <f t="shared" si="180"/>
        <v>0.52100404508804199</v>
      </c>
      <c r="G3903" s="12">
        <f>EXP(-Assumptions!$B$8*B3903)</f>
        <v>0.14263020174269062</v>
      </c>
      <c r="H3903" s="12">
        <f t="shared" si="181"/>
        <v>4.4326379280671804E-2</v>
      </c>
      <c r="I3903" s="12">
        <f t="shared" si="182"/>
        <v>2.3992910402353514E-2</v>
      </c>
      <c r="J3903" s="12">
        <f>G3903*(D3903*Assumptions!$B$6+E3903*Assumptions!$B$7)</f>
        <v>1.642909312924394E-3</v>
      </c>
    </row>
    <row r="3904" spans="1:10" x14ac:dyDescent="0.2">
      <c r="A3904" s="2">
        <v>3896</v>
      </c>
      <c r="B3904" s="14">
        <f>A3904*Assumptions!$B$12</f>
        <v>38.96</v>
      </c>
      <c r="C3904" s="15">
        <f>IF(A3904&lt;=Assumptions!$B$13,IF(OR(A3904=0,A3904=Assumptions!$B$13),0.5,1),0)*Assumptions!$B$12</f>
        <v>0</v>
      </c>
      <c r="D3904" s="12">
        <f>D3903*(1-Assumptions!$B$12*(Assumptions!$B$5+Assumptions!$B$6))</f>
        <v>0.31068512016010325</v>
      </c>
      <c r="E3904" s="12">
        <f>E3903+Assumptions!$B$12*(D3903*Assumptions!$B$5-E3903*Assumptions!$B$7)</f>
        <v>0.16819564811586532</v>
      </c>
      <c r="F3904" s="12">
        <f t="shared" si="180"/>
        <v>0.52111923172403141</v>
      </c>
      <c r="G3904" s="12">
        <f>EXP(-Assumptions!$B$8*B3904)</f>
        <v>0.1425589044676234</v>
      </c>
      <c r="H3904" s="12">
        <f t="shared" si="181"/>
        <v>4.4290930364416253E-2</v>
      </c>
      <c r="I3904" s="12">
        <f t="shared" si="182"/>
        <v>2.3977787331619645E-2</v>
      </c>
      <c r="J3904" s="12">
        <f>G3904*(D3904*Assumptions!$B$6+E3904*Assumptions!$B$7)</f>
        <v>1.641798670225145E-3</v>
      </c>
    </row>
    <row r="3905" spans="1:10" x14ac:dyDescent="0.2">
      <c r="A3905" s="2">
        <v>3897</v>
      </c>
      <c r="B3905" s="14">
        <f>A3905*Assumptions!$B$12</f>
        <v>38.97</v>
      </c>
      <c r="C3905" s="15">
        <f>IF(A3905&lt;=Assumptions!$B$13,IF(OR(A3905=0,A3905=Assumptions!$B$13),0.5,1),0)*Assumptions!$B$12</f>
        <v>0</v>
      </c>
      <c r="D3905" s="12">
        <f>D3904*(1-Assumptions!$B$12*(Assumptions!$B$5+Assumptions!$B$6))</f>
        <v>0.31059191462405522</v>
      </c>
      <c r="E3905" s="12">
        <f>E3904+Assumptions!$B$12*(D3904*Assumptions!$B$5-E3904*Assumptions!$B$7)</f>
        <v>0.1681736873158394</v>
      </c>
      <c r="F3905" s="12">
        <f t="shared" si="180"/>
        <v>0.52123439806010541</v>
      </c>
      <c r="G3905" s="12">
        <f>EXP(-Assumptions!$B$8*B3905)</f>
        <v>0.14248764283228305</v>
      </c>
      <c r="H3905" s="12">
        <f t="shared" si="181"/>
        <v>4.4255509797547332E-2</v>
      </c>
      <c r="I3905" s="12">
        <f t="shared" si="182"/>
        <v>2.3962672292047373E-2</v>
      </c>
      <c r="J3905" s="12">
        <f>G3905*(D3905*Assumptions!$B$6+E3905*Assumptions!$B$7)</f>
        <v>1.640688712577842E-3</v>
      </c>
    </row>
    <row r="3906" spans="1:10" x14ac:dyDescent="0.2">
      <c r="A3906" s="2">
        <v>3898</v>
      </c>
      <c r="B3906" s="14">
        <f>A3906*Assumptions!$B$12</f>
        <v>38.980000000000004</v>
      </c>
      <c r="C3906" s="15">
        <f>IF(A3906&lt;=Assumptions!$B$13,IF(OR(A3906=0,A3906=Assumptions!$B$13),0.5,1),0)*Assumptions!$B$12</f>
        <v>0</v>
      </c>
      <c r="D3906" s="12">
        <f>D3905*(1-Assumptions!$B$12*(Assumptions!$B$5+Assumptions!$B$6))</f>
        <v>0.31049873704966802</v>
      </c>
      <c r="E3906" s="12">
        <f>E3905+Assumptions!$B$12*(D3905*Assumptions!$B$5-E3905*Assumptions!$B$7)</f>
        <v>0.1681517188551063</v>
      </c>
      <c r="F3906" s="12">
        <f t="shared" si="180"/>
        <v>0.52134954409522571</v>
      </c>
      <c r="G3906" s="12">
        <f>EXP(-Assumptions!$B$8*B3906)</f>
        <v>0.14241641681885411</v>
      </c>
      <c r="H3906" s="12">
        <f t="shared" si="181"/>
        <v>4.4220117557393301E-2</v>
      </c>
      <c r="I3906" s="12">
        <f t="shared" si="182"/>
        <v>2.394756528127559E-2</v>
      </c>
      <c r="J3906" s="12">
        <f>G3906*(D3906*Assumptions!$B$6+E3906*Assumptions!$B$7)</f>
        <v>1.6395794396377125E-3</v>
      </c>
    </row>
    <row r="3907" spans="1:10" x14ac:dyDescent="0.2">
      <c r="A3907" s="2">
        <v>3899</v>
      </c>
      <c r="B3907" s="14">
        <f>A3907*Assumptions!$B$12</f>
        <v>38.99</v>
      </c>
      <c r="C3907" s="15">
        <f>IF(A3907&lt;=Assumptions!$B$13,IF(OR(A3907=0,A3907=Assumptions!$B$13),0.5,1),0)*Assumptions!$B$12</f>
        <v>0</v>
      </c>
      <c r="D3907" s="12">
        <f>D3906*(1-Assumptions!$B$12*(Assumptions!$B$5+Assumptions!$B$6))</f>
        <v>0.31040558742855312</v>
      </c>
      <c r="E3907" s="12">
        <f>E3906+Assumptions!$B$12*(D3906*Assumptions!$B$5-E3906*Assumptions!$B$7)</f>
        <v>0.16812974274308867</v>
      </c>
      <c r="F3907" s="12">
        <f t="shared" si="180"/>
        <v>0.52146466982835815</v>
      </c>
      <c r="G3907" s="12">
        <f>EXP(-Assumptions!$B$8*B3907)</f>
        <v>0.14234522640953015</v>
      </c>
      <c r="H3907" s="12">
        <f t="shared" si="181"/>
        <v>4.4184753621300601E-2</v>
      </c>
      <c r="I3907" s="12">
        <f t="shared" si="182"/>
        <v>2.3932466296941016E-2</v>
      </c>
      <c r="J3907" s="12">
        <f>G3907*(D3907*Assumptions!$B$6+E3907*Assumptions!$B$7)</f>
        <v>1.6384708510600568E-3</v>
      </c>
    </row>
    <row r="3908" spans="1:10" x14ac:dyDescent="0.2">
      <c r="A3908" s="2">
        <v>3900</v>
      </c>
      <c r="B3908" s="14">
        <f>A3908*Assumptions!$B$12</f>
        <v>39</v>
      </c>
      <c r="C3908" s="15">
        <f>IF(A3908&lt;=Assumptions!$B$13,IF(OR(A3908=0,A3908=Assumptions!$B$13),0.5,1),0)*Assumptions!$B$12</f>
        <v>0</v>
      </c>
      <c r="D3908" s="12">
        <f>D3907*(1-Assumptions!$B$12*(Assumptions!$B$5+Assumptions!$B$6))</f>
        <v>0.31031246575232457</v>
      </c>
      <c r="E3908" s="12">
        <f>E3907+Assumptions!$B$12*(D3907*Assumptions!$B$5-E3907*Assumptions!$B$7)</f>
        <v>0.16810775898920283</v>
      </c>
      <c r="F3908" s="12">
        <f t="shared" si="180"/>
        <v>0.52157977525847254</v>
      </c>
      <c r="G3908" s="12">
        <f>EXP(-Assumptions!$B$8*B3908)</f>
        <v>0.14227407158651353</v>
      </c>
      <c r="H3908" s="12">
        <f t="shared" si="181"/>
        <v>4.4149417966633756E-2</v>
      </c>
      <c r="I3908" s="12">
        <f t="shared" si="182"/>
        <v>2.3917375336678207E-2</v>
      </c>
      <c r="J3908" s="12">
        <f>G3908*(D3908*Assumptions!$B$6+E3908*Assumptions!$B$7)</f>
        <v>1.637362946500248E-3</v>
      </c>
    </row>
    <row r="3909" spans="1:10" x14ac:dyDescent="0.2">
      <c r="A3909" s="2">
        <v>3901</v>
      </c>
      <c r="B3909" s="14">
        <f>A3909*Assumptions!$B$12</f>
        <v>39.01</v>
      </c>
      <c r="C3909" s="15">
        <f>IF(A3909&lt;=Assumptions!$B$13,IF(OR(A3909=0,A3909=Assumptions!$B$13),0.5,1),0)*Assumptions!$B$12</f>
        <v>0</v>
      </c>
      <c r="D3909" s="12">
        <f>D3908*(1-Assumptions!$B$12*(Assumptions!$B$5+Assumptions!$B$6))</f>
        <v>0.31021937201259886</v>
      </c>
      <c r="E3909" s="12">
        <f>E3908+Assumptions!$B$12*(D3908*Assumptions!$B$5-E3908*Assumptions!$B$7)</f>
        <v>0.16808576760285868</v>
      </c>
      <c r="F3909" s="12">
        <f t="shared" si="180"/>
        <v>0.52169486038454249</v>
      </c>
      <c r="G3909" s="12">
        <f>EXP(-Assumptions!$B$8*B3909)</f>
        <v>0.1422029523320156</v>
      </c>
      <c r="H3909" s="12">
        <f t="shared" si="181"/>
        <v>4.4114110570775411E-2</v>
      </c>
      <c r="I3909" s="12">
        <f t="shared" si="182"/>
        <v>2.3902292398119564E-2</v>
      </c>
      <c r="J3909" s="12">
        <f>G3909*(D3909*Assumptions!$B$6+E3909*Assumptions!$B$7)</f>
        <v>1.6362557256137326E-3</v>
      </c>
    </row>
    <row r="3910" spans="1:10" x14ac:dyDescent="0.2">
      <c r="A3910" s="2">
        <v>3902</v>
      </c>
      <c r="B3910" s="14">
        <f>A3910*Assumptions!$B$12</f>
        <v>39.020000000000003</v>
      </c>
      <c r="C3910" s="15">
        <f>IF(A3910&lt;=Assumptions!$B$13,IF(OR(A3910=0,A3910=Assumptions!$B$13),0.5,1),0)*Assumptions!$B$12</f>
        <v>0</v>
      </c>
      <c r="D3910" s="12">
        <f>D3909*(1-Assumptions!$B$12*(Assumptions!$B$5+Assumptions!$B$6))</f>
        <v>0.31012630620099507</v>
      </c>
      <c r="E3910" s="12">
        <f>E3909+Assumptions!$B$12*(D3909*Assumptions!$B$5-E3909*Assumptions!$B$7)</f>
        <v>0.16806376859345976</v>
      </c>
      <c r="F3910" s="12">
        <f t="shared" si="180"/>
        <v>0.52180992520554514</v>
      </c>
      <c r="G3910" s="12">
        <f>EXP(-Assumptions!$B$8*B3910)</f>
        <v>0.14213186862825639</v>
      </c>
      <c r="H3910" s="12">
        <f t="shared" si="181"/>
        <v>4.4078831411126243E-2</v>
      </c>
      <c r="I3910" s="12">
        <f t="shared" si="182"/>
        <v>2.3887217478895304E-2</v>
      </c>
      <c r="J3910" s="12">
        <f>G3910*(D3910*Assumptions!$B$6+E3910*Assumptions!$B$7)</f>
        <v>1.6351491880560278E-3</v>
      </c>
    </row>
    <row r="3911" spans="1:10" x14ac:dyDescent="0.2">
      <c r="A3911" s="2">
        <v>3903</v>
      </c>
      <c r="B3911" s="14">
        <f>A3911*Assumptions!$B$12</f>
        <v>39.03</v>
      </c>
      <c r="C3911" s="15">
        <f>IF(A3911&lt;=Assumptions!$B$13,IF(OR(A3911=0,A3911=Assumptions!$B$13),0.5,1),0)*Assumptions!$B$12</f>
        <v>0</v>
      </c>
      <c r="D3911" s="12">
        <f>D3910*(1-Assumptions!$B$12*(Assumptions!$B$5+Assumptions!$B$6))</f>
        <v>0.3100332683091348</v>
      </c>
      <c r="E3911" s="12">
        <f>E3910+Assumptions!$B$12*(D3910*Assumptions!$B$5-E3910*Assumptions!$B$7)</f>
        <v>0.16804176197040321</v>
      </c>
      <c r="F3911" s="12">
        <f t="shared" si="180"/>
        <v>0.52192496972046198</v>
      </c>
      <c r="G3911" s="12">
        <f>EXP(-Assumptions!$B$8*B3911)</f>
        <v>0.14206082045746515</v>
      </c>
      <c r="H3911" s="12">
        <f t="shared" si="181"/>
        <v>4.404358046510512E-2</v>
      </c>
      <c r="I3911" s="12">
        <f t="shared" si="182"/>
        <v>2.3872150576633548E-2</v>
      </c>
      <c r="J3911" s="12">
        <f>G3911*(D3911*Assumptions!$B$6+E3911*Assumptions!$B$7)</f>
        <v>1.6340433334827286E-3</v>
      </c>
    </row>
    <row r="3912" spans="1:10" x14ac:dyDescent="0.2">
      <c r="A3912" s="2">
        <v>3904</v>
      </c>
      <c r="B3912" s="14">
        <f>A3912*Assumptions!$B$12</f>
        <v>39.04</v>
      </c>
      <c r="C3912" s="15">
        <f>IF(A3912&lt;=Assumptions!$B$13,IF(OR(A3912=0,A3912=Assumptions!$B$13),0.5,1),0)*Assumptions!$B$12</f>
        <v>0</v>
      </c>
      <c r="D3912" s="12">
        <f>D3911*(1-Assumptions!$B$12*(Assumptions!$B$5+Assumptions!$B$6))</f>
        <v>0.30994025832864208</v>
      </c>
      <c r="E3912" s="12">
        <f>E3911+Assumptions!$B$12*(D3911*Assumptions!$B$5-E3911*Assumptions!$B$7)</f>
        <v>0.16801974774307984</v>
      </c>
      <c r="F3912" s="12">
        <f t="shared" ref="F3912:F3975" si="183">1-D3912-E3912</f>
        <v>0.52203999392827805</v>
      </c>
      <c r="G3912" s="12">
        <f>EXP(-Assumptions!$B$8*B3912)</f>
        <v>0.14198980780187978</v>
      </c>
      <c r="H3912" s="12">
        <f t="shared" ref="H3912:H3975" si="184">G3912*D3912</f>
        <v>4.4008357710148861E-2</v>
      </c>
      <c r="I3912" s="12">
        <f t="shared" ref="I3912:I3975" si="185">G3912*E3912</f>
        <v>2.385709168896023E-2</v>
      </c>
      <c r="J3912" s="12">
        <f>G3912*(D3912*Assumptions!$B$6+E3912*Assumptions!$B$7)</f>
        <v>1.6329381615495001E-3</v>
      </c>
    </row>
    <row r="3913" spans="1:10" x14ac:dyDescent="0.2">
      <c r="A3913" s="2">
        <v>3905</v>
      </c>
      <c r="B3913" s="14">
        <f>A3913*Assumptions!$B$12</f>
        <v>39.050000000000004</v>
      </c>
      <c r="C3913" s="15">
        <f>IF(A3913&lt;=Assumptions!$B$13,IF(OR(A3913=0,A3913=Assumptions!$B$13),0.5,1),0)*Assumptions!$B$12</f>
        <v>0</v>
      </c>
      <c r="D3913" s="12">
        <f>D3912*(1-Assumptions!$B$12*(Assumptions!$B$5+Assumptions!$B$6))</f>
        <v>0.3098472762511435</v>
      </c>
      <c r="E3913" s="12">
        <f>E3912+Assumptions!$B$12*(D3912*Assumptions!$B$5-E3912*Assumptions!$B$7)</f>
        <v>0.16799772592087403</v>
      </c>
      <c r="F3913" s="12">
        <f t="shared" si="183"/>
        <v>0.52215499782798247</v>
      </c>
      <c r="G3913" s="12">
        <f>EXP(-Assumptions!$B$8*B3913)</f>
        <v>0.141918830643747</v>
      </c>
      <c r="H3913" s="12">
        <f t="shared" si="184"/>
        <v>4.3973163123712328E-2</v>
      </c>
      <c r="I3913" s="12">
        <f t="shared" si="185"/>
        <v>2.3842040813499145E-2</v>
      </c>
      <c r="J3913" s="12">
        <f>G3913*(D3913*Assumptions!$B$6+E3913*Assumptions!$B$7)</f>
        <v>1.6318336719120807E-3</v>
      </c>
    </row>
    <row r="3914" spans="1:10" x14ac:dyDescent="0.2">
      <c r="A3914" s="2">
        <v>3906</v>
      </c>
      <c r="B3914" s="14">
        <f>A3914*Assumptions!$B$12</f>
        <v>39.06</v>
      </c>
      <c r="C3914" s="15">
        <f>IF(A3914&lt;=Assumptions!$B$13,IF(OR(A3914=0,A3914=Assumptions!$B$13),0.5,1),0)*Assumptions!$B$12</f>
        <v>0</v>
      </c>
      <c r="D3914" s="12">
        <f>D3913*(1-Assumptions!$B$12*(Assumptions!$B$5+Assumptions!$B$6))</f>
        <v>0.30975432206826814</v>
      </c>
      <c r="E3914" s="12">
        <f>E3913+Assumptions!$B$12*(D3913*Assumptions!$B$5-E3913*Assumptions!$B$7)</f>
        <v>0.16797569651316382</v>
      </c>
      <c r="F3914" s="12">
        <f t="shared" si="183"/>
        <v>0.52226998141856806</v>
      </c>
      <c r="G3914" s="12">
        <f>EXP(-Assumptions!$B$8*B3914)</f>
        <v>0.14184788896532269</v>
      </c>
      <c r="H3914" s="12">
        <f t="shared" si="184"/>
        <v>4.3937996683268504E-2</v>
      </c>
      <c r="I3914" s="12">
        <f t="shared" si="185"/>
        <v>2.3826997947872002E-2</v>
      </c>
      <c r="J3914" s="12">
        <f>G3914*(D3914*Assumptions!$B$6+E3914*Assumptions!$B$7)</f>
        <v>1.6307298642262854E-3</v>
      </c>
    </row>
    <row r="3915" spans="1:10" x14ac:dyDescent="0.2">
      <c r="A3915" s="2">
        <v>3907</v>
      </c>
      <c r="B3915" s="14">
        <f>A3915*Assumptions!$B$12</f>
        <v>39.07</v>
      </c>
      <c r="C3915" s="15">
        <f>IF(A3915&lt;=Assumptions!$B$13,IF(OR(A3915=0,A3915=Assumptions!$B$13),0.5,1),0)*Assumptions!$B$12</f>
        <v>0</v>
      </c>
      <c r="D3915" s="12">
        <f>D3914*(1-Assumptions!$B$12*(Assumptions!$B$5+Assumptions!$B$6))</f>
        <v>0.3096613957716477</v>
      </c>
      <c r="E3915" s="12">
        <f>E3914+Assumptions!$B$12*(D3914*Assumptions!$B$5-E3914*Assumptions!$B$7)</f>
        <v>0.1679536595293209</v>
      </c>
      <c r="F3915" s="12">
        <f t="shared" si="183"/>
        <v>0.52238494469903141</v>
      </c>
      <c r="G3915" s="12">
        <f>EXP(-Assumptions!$B$8*B3915)</f>
        <v>0.14177698274887141</v>
      </c>
      <c r="H3915" s="12">
        <f t="shared" si="184"/>
        <v>4.3902858366308334E-2</v>
      </c>
      <c r="I3915" s="12">
        <f t="shared" si="185"/>
        <v>2.3811963089698351E-2</v>
      </c>
      <c r="J3915" s="12">
        <f>G3915*(D3915*Assumptions!$B$6+E3915*Assumptions!$B$7)</f>
        <v>1.629626738148001E-3</v>
      </c>
    </row>
    <row r="3916" spans="1:10" x14ac:dyDescent="0.2">
      <c r="A3916" s="2">
        <v>3908</v>
      </c>
      <c r="B3916" s="14">
        <f>A3916*Assumptions!$B$12</f>
        <v>39.08</v>
      </c>
      <c r="C3916" s="15">
        <f>IF(A3916&lt;=Assumptions!$B$13,IF(OR(A3916=0,A3916=Assumptions!$B$13),0.5,1),0)*Assumptions!$B$12</f>
        <v>0</v>
      </c>
      <c r="D3916" s="12">
        <f>D3915*(1-Assumptions!$B$12*(Assumptions!$B$5+Assumptions!$B$6))</f>
        <v>0.30956849735291619</v>
      </c>
      <c r="E3916" s="12">
        <f>E3915+Assumptions!$B$12*(D3915*Assumptions!$B$5-E3915*Assumptions!$B$7)</f>
        <v>0.16793161497871056</v>
      </c>
      <c r="F3916" s="12">
        <f t="shared" si="183"/>
        <v>0.52249988766837319</v>
      </c>
      <c r="G3916" s="12">
        <f>EXP(-Assumptions!$B$8*B3916)</f>
        <v>0.14170611197666649</v>
      </c>
      <c r="H3916" s="12">
        <f t="shared" si="184"/>
        <v>4.3867748150340724E-2</v>
      </c>
      <c r="I3916" s="12">
        <f t="shared" si="185"/>
        <v>2.3796936236595602E-2</v>
      </c>
      <c r="J3916" s="12">
        <f>G3916*(D3916*Assumptions!$B$6+E3916*Assumptions!$B$7)</f>
        <v>1.6285242933331875E-3</v>
      </c>
    </row>
    <row r="3917" spans="1:10" x14ac:dyDescent="0.2">
      <c r="A3917" s="2">
        <v>3909</v>
      </c>
      <c r="B3917" s="14">
        <f>A3917*Assumptions!$B$12</f>
        <v>39.090000000000003</v>
      </c>
      <c r="C3917" s="15">
        <f>IF(A3917&lt;=Assumptions!$B$13,IF(OR(A3917=0,A3917=Assumptions!$B$13),0.5,1),0)*Assumptions!$B$12</f>
        <v>0</v>
      </c>
      <c r="D3917" s="12">
        <f>D3916*(1-Assumptions!$B$12*(Assumptions!$B$5+Assumptions!$B$6))</f>
        <v>0.30947562680371032</v>
      </c>
      <c r="E3917" s="12">
        <f>E3916+Assumptions!$B$12*(D3916*Assumptions!$B$5-E3916*Assumptions!$B$7)</f>
        <v>0.16790956287069178</v>
      </c>
      <c r="F3917" s="12">
        <f t="shared" si="183"/>
        <v>0.52261481032559787</v>
      </c>
      <c r="G3917" s="12">
        <f>EXP(-Assumptions!$B$8*B3917)</f>
        <v>0.14163527663099026</v>
      </c>
      <c r="H3917" s="12">
        <f t="shared" si="184"/>
        <v>4.3832666012892617E-2</v>
      </c>
      <c r="I3917" s="12">
        <f t="shared" si="185"/>
        <v>2.3781917386179081E-2</v>
      </c>
      <c r="J3917" s="12">
        <f>G3917*(D3917*Assumptions!$B$6+E3917*Assumptions!$B$7)</f>
        <v>1.6274225294378804E-3</v>
      </c>
    </row>
    <row r="3918" spans="1:10" x14ac:dyDescent="0.2">
      <c r="A3918" s="2">
        <v>3910</v>
      </c>
      <c r="B3918" s="14">
        <f>A3918*Assumptions!$B$12</f>
        <v>39.1</v>
      </c>
      <c r="C3918" s="15">
        <f>IF(A3918&lt;=Assumptions!$B$13,IF(OR(A3918=0,A3918=Assumptions!$B$13),0.5,1),0)*Assumptions!$B$12</f>
        <v>0</v>
      </c>
      <c r="D3918" s="12">
        <f>D3917*(1-Assumptions!$B$12*(Assumptions!$B$5+Assumptions!$B$6))</f>
        <v>0.30938278411566922</v>
      </c>
      <c r="E3918" s="12">
        <f>E3917+Assumptions!$B$12*(D3917*Assumptions!$B$5-E3917*Assumptions!$B$7)</f>
        <v>0.16788750321461718</v>
      </c>
      <c r="F3918" s="12">
        <f t="shared" si="183"/>
        <v>0.52272971266971358</v>
      </c>
      <c r="G3918" s="12">
        <f>EXP(-Assumptions!$B$8*B3918)</f>
        <v>0.14156447669413402</v>
      </c>
      <c r="H3918" s="12">
        <f t="shared" si="184"/>
        <v>4.3797611931508953E-2</v>
      </c>
      <c r="I3918" s="12">
        <f t="shared" si="185"/>
        <v>2.3766906536062025E-2</v>
      </c>
      <c r="J3918" s="12">
        <f>G3918*(D3918*Assumptions!$B$6+E3918*Assumptions!$B$7)</f>
        <v>1.6263214461181908E-3</v>
      </c>
    </row>
    <row r="3919" spans="1:10" x14ac:dyDescent="0.2">
      <c r="A3919" s="2">
        <v>3911</v>
      </c>
      <c r="B3919" s="14">
        <f>A3919*Assumptions!$B$12</f>
        <v>39.11</v>
      </c>
      <c r="C3919" s="15">
        <f>IF(A3919&lt;=Assumptions!$B$13,IF(OR(A3919=0,A3919=Assumptions!$B$13),0.5,1),0)*Assumptions!$B$12</f>
        <v>0</v>
      </c>
      <c r="D3919" s="12">
        <f>D3918*(1-Assumptions!$B$12*(Assumptions!$B$5+Assumptions!$B$6))</f>
        <v>0.30928996928043451</v>
      </c>
      <c r="E3919" s="12">
        <f>E3918+Assumptions!$B$12*(D3918*Assumptions!$B$5-E3918*Assumptions!$B$7)</f>
        <v>0.167865436019833</v>
      </c>
      <c r="F3919" s="12">
        <f t="shared" si="183"/>
        <v>0.52284459469973243</v>
      </c>
      <c r="G3919" s="12">
        <f>EXP(-Assumptions!$B$8*B3919)</f>
        <v>0.14149371214839765</v>
      </c>
      <c r="H3919" s="12">
        <f t="shared" si="184"/>
        <v>4.376258588375255E-2</v>
      </c>
      <c r="I3919" s="12">
        <f t="shared" si="185"/>
        <v>2.3751903683855512E-2</v>
      </c>
      <c r="J3919" s="12">
        <f>G3919*(D3919*Assumptions!$B$6+E3919*Assumptions!$B$7)</f>
        <v>1.6252210430303012E-3</v>
      </c>
    </row>
    <row r="3920" spans="1:10" x14ac:dyDescent="0.2">
      <c r="A3920" s="2">
        <v>3912</v>
      </c>
      <c r="B3920" s="14">
        <f>A3920*Assumptions!$B$12</f>
        <v>39.119999999999997</v>
      </c>
      <c r="C3920" s="15">
        <f>IF(A3920&lt;=Assumptions!$B$13,IF(OR(A3920=0,A3920=Assumptions!$B$13),0.5,1),0)*Assumptions!$B$12</f>
        <v>0</v>
      </c>
      <c r="D3920" s="12">
        <f>D3919*(1-Assumptions!$B$12*(Assumptions!$B$5+Assumptions!$B$6))</f>
        <v>0.30919718228965037</v>
      </c>
      <c r="E3920" s="12">
        <f>E3919+Assumptions!$B$12*(D3919*Assumptions!$B$5-E3919*Assumptions!$B$7)</f>
        <v>0.16784336129567917</v>
      </c>
      <c r="F3920" s="12">
        <f t="shared" si="183"/>
        <v>0.52295945641467045</v>
      </c>
      <c r="G3920" s="12">
        <f>EXP(-Assumptions!$B$8*B3920)</f>
        <v>0.14142298297609007</v>
      </c>
      <c r="H3920" s="12">
        <f t="shared" si="184"/>
        <v>4.3727587847204243E-2</v>
      </c>
      <c r="I3920" s="12">
        <f t="shared" si="185"/>
        <v>2.3736908827168571E-2</v>
      </c>
      <c r="J3920" s="12">
        <f>G3920*(D3920*Assumptions!$B$6+E3920*Assumptions!$B$7)</f>
        <v>1.624121319830471E-3</v>
      </c>
    </row>
    <row r="3921" spans="1:10" x14ac:dyDescent="0.2">
      <c r="A3921" s="2">
        <v>3913</v>
      </c>
      <c r="B3921" s="14">
        <f>A3921*Assumptions!$B$12</f>
        <v>39.130000000000003</v>
      </c>
      <c r="C3921" s="15">
        <f>IF(A3921&lt;=Assumptions!$B$13,IF(OR(A3921=0,A3921=Assumptions!$B$13),0.5,1),0)*Assumptions!$B$12</f>
        <v>0</v>
      </c>
      <c r="D3921" s="12">
        <f>D3920*(1-Assumptions!$B$12*(Assumptions!$B$5+Assumptions!$B$6))</f>
        <v>0.3091044231349635</v>
      </c>
      <c r="E3921" s="12">
        <f>E3920+Assumptions!$B$12*(D3920*Assumptions!$B$5-E3920*Assumptions!$B$7)</f>
        <v>0.16782127905148927</v>
      </c>
      <c r="F3921" s="12">
        <f t="shared" si="183"/>
        <v>0.5230742978135472</v>
      </c>
      <c r="G3921" s="12">
        <f>EXP(-Assumptions!$B$8*B3921)</f>
        <v>0.14135228915952894</v>
      </c>
      <c r="H3921" s="12">
        <f t="shared" si="184"/>
        <v>4.3692617799462749E-2</v>
      </c>
      <c r="I3921" s="12">
        <f t="shared" si="185"/>
        <v>2.372192196360811E-2</v>
      </c>
      <c r="J3921" s="12">
        <f>G3921*(D3921*Assumptions!$B$6+E3921*Assumptions!$B$7)</f>
        <v>1.6230222761750329E-3</v>
      </c>
    </row>
    <row r="3922" spans="1:10" x14ac:dyDescent="0.2">
      <c r="A3922" s="2">
        <v>3914</v>
      </c>
      <c r="B3922" s="14">
        <f>A3922*Assumptions!$B$12</f>
        <v>39.14</v>
      </c>
      <c r="C3922" s="15">
        <f>IF(A3922&lt;=Assumptions!$B$13,IF(OR(A3922=0,A3922=Assumptions!$B$13),0.5,1),0)*Assumptions!$B$12</f>
        <v>0</v>
      </c>
      <c r="D3922" s="12">
        <f>D3921*(1-Assumptions!$B$12*(Assumptions!$B$5+Assumptions!$B$6))</f>
        <v>0.30901169180802301</v>
      </c>
      <c r="E3922" s="12">
        <f>E3921+Assumptions!$B$12*(D3921*Assumptions!$B$5-E3921*Assumptions!$B$7)</f>
        <v>0.16779918929659052</v>
      </c>
      <c r="F3922" s="12">
        <f t="shared" si="183"/>
        <v>0.52318911889538644</v>
      </c>
      <c r="G3922" s="12">
        <f>EXP(-Assumptions!$B$8*B3922)</f>
        <v>0.14128163068104085</v>
      </c>
      <c r="H3922" s="12">
        <f t="shared" si="184"/>
        <v>4.3657675718144724E-2</v>
      </c>
      <c r="I3922" s="12">
        <f t="shared" si="185"/>
        <v>2.3706943090778965E-2</v>
      </c>
      <c r="J3922" s="12">
        <f>G3922*(D3922*Assumptions!$B$6+E3922*Assumptions!$B$7)</f>
        <v>1.6219239117203955E-3</v>
      </c>
    </row>
    <row r="3923" spans="1:10" x14ac:dyDescent="0.2">
      <c r="A3923" s="2">
        <v>3915</v>
      </c>
      <c r="B3923" s="14">
        <f>A3923*Assumptions!$B$12</f>
        <v>39.15</v>
      </c>
      <c r="C3923" s="15">
        <f>IF(A3923&lt;=Assumptions!$B$13,IF(OR(A3923=0,A3923=Assumptions!$B$13),0.5,1),0)*Assumptions!$B$12</f>
        <v>0</v>
      </c>
      <c r="D3923" s="12">
        <f>D3922*(1-Assumptions!$B$12*(Assumptions!$B$5+Assumptions!$B$6))</f>
        <v>0.30891898830048059</v>
      </c>
      <c r="E3923" s="12">
        <f>E3922+Assumptions!$B$12*(D3922*Assumptions!$B$5-E3922*Assumptions!$B$7)</f>
        <v>0.16777709204030383</v>
      </c>
      <c r="F3923" s="12">
        <f t="shared" si="183"/>
        <v>0.52330391965921552</v>
      </c>
      <c r="G3923" s="12">
        <f>EXP(-Assumptions!$B$8*B3923)</f>
        <v>0.14121100752296117</v>
      </c>
      <c r="H3923" s="12">
        <f t="shared" si="184"/>
        <v>4.3622761580884718E-2</v>
      </c>
      <c r="I3923" s="12">
        <f t="shared" si="185"/>
        <v>2.3691972206283895E-2</v>
      </c>
      <c r="J3923" s="12">
        <f>G3923*(D3923*Assumptions!$B$6+E3923*Assumptions!$B$7)</f>
        <v>1.6208262261230419E-3</v>
      </c>
    </row>
    <row r="3924" spans="1:10" x14ac:dyDescent="0.2">
      <c r="A3924" s="2">
        <v>3916</v>
      </c>
      <c r="B3924" s="14">
        <f>A3924*Assumptions!$B$12</f>
        <v>39.160000000000004</v>
      </c>
      <c r="C3924" s="15">
        <f>IF(A3924&lt;=Assumptions!$B$13,IF(OR(A3924=0,A3924=Assumptions!$B$13),0.5,1),0)*Assumptions!$B$12</f>
        <v>0</v>
      </c>
      <c r="D3924" s="12">
        <f>D3923*(1-Assumptions!$B$12*(Assumptions!$B$5+Assumptions!$B$6))</f>
        <v>0.30882631260399046</v>
      </c>
      <c r="E3924" s="12">
        <f>E3923+Assumptions!$B$12*(D3923*Assumptions!$B$5-E3923*Assumptions!$B$7)</f>
        <v>0.16775498729194377</v>
      </c>
      <c r="F3924" s="12">
        <f t="shared" si="183"/>
        <v>0.52341870010406577</v>
      </c>
      <c r="G3924" s="12">
        <f>EXP(-Assumptions!$B$8*B3924)</f>
        <v>0.14114041966763408</v>
      </c>
      <c r="H3924" s="12">
        <f t="shared" si="184"/>
        <v>4.3587875365335163E-2</v>
      </c>
      <c r="I3924" s="12">
        <f t="shared" si="185"/>
        <v>2.3677009307723564E-2</v>
      </c>
      <c r="J3924" s="12">
        <f>G3924*(D3924*Assumptions!$B$6+E3924*Assumptions!$B$7)</f>
        <v>1.6197292190395301E-3</v>
      </c>
    </row>
    <row r="3925" spans="1:10" x14ac:dyDescent="0.2">
      <c r="A3925" s="2">
        <v>3917</v>
      </c>
      <c r="B3925" s="14">
        <f>A3925*Assumptions!$B$12</f>
        <v>39.17</v>
      </c>
      <c r="C3925" s="15">
        <f>IF(A3925&lt;=Assumptions!$B$13,IF(OR(A3925=0,A3925=Assumptions!$B$13),0.5,1),0)*Assumptions!$B$12</f>
        <v>0</v>
      </c>
      <c r="D3925" s="12">
        <f>D3924*(1-Assumptions!$B$12*(Assumptions!$B$5+Assumptions!$B$6))</f>
        <v>0.3087336647102093</v>
      </c>
      <c r="E3925" s="12">
        <f>E3924+Assumptions!$B$12*(D3924*Assumptions!$B$5-E3924*Assumptions!$B$7)</f>
        <v>0.1677328750608186</v>
      </c>
      <c r="F3925" s="12">
        <f t="shared" si="183"/>
        <v>0.52353346022897218</v>
      </c>
      <c r="G3925" s="12">
        <f>EXP(-Assumptions!$B$8*B3925)</f>
        <v>0.14106986709741268</v>
      </c>
      <c r="H3925" s="12">
        <f t="shared" si="184"/>
        <v>4.3553017049166393E-2</v>
      </c>
      <c r="I3925" s="12">
        <f t="shared" si="185"/>
        <v>2.3662054392696606E-2</v>
      </c>
      <c r="J3925" s="12">
        <f>G3925*(D3925*Assumptions!$B$6+E3925*Assumptions!$B$7)</f>
        <v>1.6186328901264945E-3</v>
      </c>
    </row>
    <row r="3926" spans="1:10" x14ac:dyDescent="0.2">
      <c r="A3926" s="2">
        <v>3918</v>
      </c>
      <c r="B3926" s="14">
        <f>A3926*Assumptions!$B$12</f>
        <v>39.18</v>
      </c>
      <c r="C3926" s="15">
        <f>IF(A3926&lt;=Assumptions!$B$13,IF(OR(A3926=0,A3926=Assumptions!$B$13),0.5,1),0)*Assumptions!$B$12</f>
        <v>0</v>
      </c>
      <c r="D3926" s="12">
        <f>D3925*(1-Assumptions!$B$12*(Assumptions!$B$5+Assumptions!$B$6))</f>
        <v>0.30864104461079622</v>
      </c>
      <c r="E3926" s="12">
        <f>E3925+Assumptions!$B$12*(D3925*Assumptions!$B$5-E3925*Assumptions!$B$7)</f>
        <v>0.16771075535623023</v>
      </c>
      <c r="F3926" s="12">
        <f t="shared" si="183"/>
        <v>0.52364820003297352</v>
      </c>
      <c r="G3926" s="12">
        <f>EXP(-Assumptions!$B$8*B3926)</f>
        <v>0.14099934979465875</v>
      </c>
      <c r="H3926" s="12">
        <f t="shared" si="184"/>
        <v>4.3518186610066532E-2</v>
      </c>
      <c r="I3926" s="12">
        <f t="shared" si="185"/>
        <v>2.3647107458799544E-2</v>
      </c>
      <c r="J3926" s="12">
        <f>G3926*(D3926*Assumptions!$B$6+E3926*Assumptions!$B$7)</f>
        <v>1.6175372390406428E-3</v>
      </c>
    </row>
    <row r="3927" spans="1:10" x14ac:dyDescent="0.2">
      <c r="A3927" s="2">
        <v>3919</v>
      </c>
      <c r="B3927" s="14">
        <f>A3927*Assumptions!$B$12</f>
        <v>39.19</v>
      </c>
      <c r="C3927" s="15">
        <f>IF(A3927&lt;=Assumptions!$B$13,IF(OR(A3927=0,A3927=Assumptions!$B$13),0.5,1),0)*Assumptions!$B$12</f>
        <v>0</v>
      </c>
      <c r="D3927" s="12">
        <f>D3926*(1-Assumptions!$B$12*(Assumptions!$B$5+Assumptions!$B$6))</f>
        <v>0.30854845229741301</v>
      </c>
      <c r="E3927" s="12">
        <f>E3926+Assumptions!$B$12*(D3926*Assumptions!$B$5-E3926*Assumptions!$B$7)</f>
        <v>0.16768862818747426</v>
      </c>
      <c r="F3927" s="12">
        <f t="shared" si="183"/>
        <v>0.52376291951511278</v>
      </c>
      <c r="G3927" s="12">
        <f>EXP(-Assumptions!$B$8*B3927)</f>
        <v>0.14092886774174304</v>
      </c>
      <c r="H3927" s="12">
        <f t="shared" si="184"/>
        <v>4.3483384025741631E-2</v>
      </c>
      <c r="I3927" s="12">
        <f t="shared" si="185"/>
        <v>2.3632168503626885E-2</v>
      </c>
      <c r="J3927" s="12">
        <f>G3927*(D3927*Assumptions!$B$6+E3927*Assumptions!$B$7)</f>
        <v>1.6164422654387607E-3</v>
      </c>
    </row>
    <row r="3928" spans="1:10" x14ac:dyDescent="0.2">
      <c r="A3928" s="2">
        <v>3920</v>
      </c>
      <c r="B3928" s="14">
        <f>A3928*Assumptions!$B$12</f>
        <v>39.200000000000003</v>
      </c>
      <c r="C3928" s="15">
        <f>IF(A3928&lt;=Assumptions!$B$13,IF(OR(A3928=0,A3928=Assumptions!$B$13),0.5,1),0)*Assumptions!$B$12</f>
        <v>0</v>
      </c>
      <c r="D3928" s="12">
        <f>D3927*(1-Assumptions!$B$12*(Assumptions!$B$5+Assumptions!$B$6))</f>
        <v>0.30845588776172378</v>
      </c>
      <c r="E3928" s="12">
        <f>E3927+Assumptions!$B$12*(D3927*Assumptions!$B$5-E3927*Assumptions!$B$7)</f>
        <v>0.16766649356384</v>
      </c>
      <c r="F3928" s="12">
        <f t="shared" si="183"/>
        <v>0.52387761867443616</v>
      </c>
      <c r="G3928" s="12">
        <f>EXP(-Assumptions!$B$8*B3928)</f>
        <v>0.14085842092104497</v>
      </c>
      <c r="H3928" s="12">
        <f t="shared" si="184"/>
        <v>4.3448609273915494E-2</v>
      </c>
      <c r="I3928" s="12">
        <f t="shared" si="185"/>
        <v>2.3617237524771052E-2</v>
      </c>
      <c r="J3928" s="12">
        <f>G3928*(D3928*Assumptions!$B$6+E3928*Assumptions!$B$7)</f>
        <v>1.6153479689777074E-3</v>
      </c>
    </row>
    <row r="3929" spans="1:10" x14ac:dyDescent="0.2">
      <c r="A3929" s="2">
        <v>3921</v>
      </c>
      <c r="B3929" s="14">
        <f>A3929*Assumptions!$B$12</f>
        <v>39.21</v>
      </c>
      <c r="C3929" s="15">
        <f>IF(A3929&lt;=Assumptions!$B$13,IF(OR(A3929=0,A3929=Assumptions!$B$13),0.5,1),0)*Assumptions!$B$12</f>
        <v>0</v>
      </c>
      <c r="D3929" s="12">
        <f>D3928*(1-Assumptions!$B$12*(Assumptions!$B$5+Assumptions!$B$6))</f>
        <v>0.30836335099539525</v>
      </c>
      <c r="E3929" s="12">
        <f>E3928+Assumptions!$B$12*(D3928*Assumptions!$B$5-E3928*Assumptions!$B$7)</f>
        <v>0.16764435149461043</v>
      </c>
      <c r="F3929" s="12">
        <f t="shared" si="183"/>
        <v>0.52399229750999432</v>
      </c>
      <c r="G3929" s="12">
        <f>EXP(-Assumptions!$B$8*B3929)</f>
        <v>0.14078800931495289</v>
      </c>
      <c r="H3929" s="12">
        <f t="shared" si="184"/>
        <v>4.3413862332329793E-2</v>
      </c>
      <c r="I3929" s="12">
        <f t="shared" si="185"/>
        <v>2.3602314519822448E-2</v>
      </c>
      <c r="J3929" s="12">
        <f>G3929*(D3929*Assumptions!$B$6+E3929*Assumptions!$B$7)</f>
        <v>1.6142543493144206E-3</v>
      </c>
    </row>
    <row r="3930" spans="1:10" x14ac:dyDescent="0.2">
      <c r="A3930" s="2">
        <v>3922</v>
      </c>
      <c r="B3930" s="14">
        <f>A3930*Assumptions!$B$12</f>
        <v>39.22</v>
      </c>
      <c r="C3930" s="15">
        <f>IF(A3930&lt;=Assumptions!$B$13,IF(OR(A3930=0,A3930=Assumptions!$B$13),0.5,1),0)*Assumptions!$B$12</f>
        <v>0</v>
      </c>
      <c r="D3930" s="12">
        <f>D3929*(1-Assumptions!$B$12*(Assumptions!$B$5+Assumptions!$B$6))</f>
        <v>0.30827084199009663</v>
      </c>
      <c r="E3930" s="12">
        <f>E3929+Assumptions!$B$12*(D3929*Assumptions!$B$5-E3929*Assumptions!$B$7)</f>
        <v>0.16762220198906222</v>
      </c>
      <c r="F3930" s="12">
        <f t="shared" si="183"/>
        <v>0.52410695602084123</v>
      </c>
      <c r="G3930" s="12">
        <f>EXP(-Assumptions!$B$8*B3930)</f>
        <v>0.14071763290586387</v>
      </c>
      <c r="H3930" s="12">
        <f t="shared" si="184"/>
        <v>4.337914317874398E-2</v>
      </c>
      <c r="I3930" s="12">
        <f t="shared" si="185"/>
        <v>2.3587399486369422E-2</v>
      </c>
      <c r="J3930" s="12">
        <f>G3930*(D3930*Assumptions!$B$6+E3930*Assumptions!$B$7)</f>
        <v>1.6131614061059109E-3</v>
      </c>
    </row>
    <row r="3931" spans="1:10" x14ac:dyDescent="0.2">
      <c r="A3931" s="2">
        <v>3923</v>
      </c>
      <c r="B3931" s="14">
        <f>A3931*Assumptions!$B$12</f>
        <v>39.230000000000004</v>
      </c>
      <c r="C3931" s="15">
        <f>IF(A3931&lt;=Assumptions!$B$13,IF(OR(A3931=0,A3931=Assumptions!$B$13),0.5,1),0)*Assumptions!$B$12</f>
        <v>0</v>
      </c>
      <c r="D3931" s="12">
        <f>D3930*(1-Assumptions!$B$12*(Assumptions!$B$5+Assumptions!$B$6))</f>
        <v>0.3081783607374996</v>
      </c>
      <c r="E3931" s="12">
        <f>E3930+Assumptions!$B$12*(D3930*Assumptions!$B$5-E3930*Assumptions!$B$7)</f>
        <v>0.1676000450564657</v>
      </c>
      <c r="F3931" s="12">
        <f t="shared" si="183"/>
        <v>0.52422159420603465</v>
      </c>
      <c r="G3931" s="12">
        <f>EXP(-Assumptions!$B$8*B3931)</f>
        <v>0.14064729167618378</v>
      </c>
      <c r="H3931" s="12">
        <f t="shared" si="184"/>
        <v>4.3344451790935289E-2</v>
      </c>
      <c r="I3931" s="12">
        <f t="shared" si="185"/>
        <v>2.3572492421998274E-2</v>
      </c>
      <c r="J3931" s="12">
        <f>G3931*(D3931*Assumptions!$B$6+E3931*Assumptions!$B$7)</f>
        <v>1.6120691390092668E-3</v>
      </c>
    </row>
    <row r="3932" spans="1:10" x14ac:dyDescent="0.2">
      <c r="A3932" s="2">
        <v>3924</v>
      </c>
      <c r="B3932" s="14">
        <f>A3932*Assumptions!$B$12</f>
        <v>39.24</v>
      </c>
      <c r="C3932" s="15">
        <f>IF(A3932&lt;=Assumptions!$B$13,IF(OR(A3932=0,A3932=Assumptions!$B$13),0.5,1),0)*Assumptions!$B$12</f>
        <v>0</v>
      </c>
      <c r="D3932" s="12">
        <f>D3931*(1-Assumptions!$B$12*(Assumptions!$B$5+Assumptions!$B$6))</f>
        <v>0.30808590722927837</v>
      </c>
      <c r="E3932" s="12">
        <f>E3931+Assumptions!$B$12*(D3931*Assumptions!$B$5-E3931*Assumptions!$B$7)</f>
        <v>0.16757788070608495</v>
      </c>
      <c r="F3932" s="12">
        <f t="shared" si="183"/>
        <v>0.52433621206463676</v>
      </c>
      <c r="G3932" s="12">
        <f>EXP(-Assumptions!$B$8*B3932)</f>
        <v>0.14057698560832735</v>
      </c>
      <c r="H3932" s="12">
        <f t="shared" si="184"/>
        <v>4.3309788146698738E-2</v>
      </c>
      <c r="I3932" s="12">
        <f t="shared" si="185"/>
        <v>2.3557593324293302E-2</v>
      </c>
      <c r="J3932" s="12">
        <f>G3932*(D3932*Assumptions!$B$6+E3932*Assumptions!$B$7)</f>
        <v>1.6109775476816526E-3</v>
      </c>
    </row>
    <row r="3933" spans="1:10" x14ac:dyDescent="0.2">
      <c r="A3933" s="2">
        <v>3925</v>
      </c>
      <c r="B3933" s="14">
        <f>A3933*Assumptions!$B$12</f>
        <v>39.25</v>
      </c>
      <c r="C3933" s="15">
        <f>IF(A3933&lt;=Assumptions!$B$13,IF(OR(A3933=0,A3933=Assumptions!$B$13),0.5,1),0)*Assumptions!$B$12</f>
        <v>0</v>
      </c>
      <c r="D3933" s="12">
        <f>D3932*(1-Assumptions!$B$12*(Assumptions!$B$5+Assumptions!$B$6))</f>
        <v>0.30799348145710959</v>
      </c>
      <c r="E3933" s="12">
        <f>E3932+Assumptions!$B$12*(D3932*Assumptions!$B$5-E3932*Assumptions!$B$7)</f>
        <v>0.16755570894717778</v>
      </c>
      <c r="F3933" s="12">
        <f t="shared" si="183"/>
        <v>0.52445080959571266</v>
      </c>
      <c r="G3933" s="12">
        <f>EXP(-Assumptions!$B$8*B3933)</f>
        <v>0.14050671468471809</v>
      </c>
      <c r="H3933" s="12">
        <f t="shared" si="184"/>
        <v>4.3275152223847112E-2</v>
      </c>
      <c r="I3933" s="12">
        <f t="shared" si="185"/>
        <v>2.3542702190836776E-2</v>
      </c>
      <c r="J3933" s="12">
        <f>G3933*(D3933*Assumptions!$B$6+E3933*Assumptions!$B$7)</f>
        <v>1.60988663178031E-3</v>
      </c>
    </row>
    <row r="3934" spans="1:10" x14ac:dyDescent="0.2">
      <c r="A3934" s="2">
        <v>3926</v>
      </c>
      <c r="B3934" s="14">
        <f>A3934*Assumptions!$B$12</f>
        <v>39.26</v>
      </c>
      <c r="C3934" s="15">
        <f>IF(A3934&lt;=Assumptions!$B$13,IF(OR(A3934=0,A3934=Assumptions!$B$13),0.5,1),0)*Assumptions!$B$12</f>
        <v>0</v>
      </c>
      <c r="D3934" s="12">
        <f>D3933*(1-Assumptions!$B$12*(Assumptions!$B$5+Assumptions!$B$6))</f>
        <v>0.30790108341267247</v>
      </c>
      <c r="E3934" s="12">
        <f>E3933+Assumptions!$B$12*(D3933*Assumptions!$B$5-E3933*Assumptions!$B$7)</f>
        <v>0.16753352978899561</v>
      </c>
      <c r="F3934" s="12">
        <f t="shared" si="183"/>
        <v>0.52456538679833187</v>
      </c>
      <c r="G3934" s="12">
        <f>EXP(-Assumptions!$B$8*B3934)</f>
        <v>0.14043647888778821</v>
      </c>
      <c r="H3934" s="12">
        <f t="shared" si="184"/>
        <v>4.3240544000210893E-2</v>
      </c>
      <c r="I3934" s="12">
        <f t="shared" si="185"/>
        <v>2.3527819019208918E-2</v>
      </c>
      <c r="J3934" s="12">
        <f>G3934*(D3934*Assumptions!$B$6+E3934*Assumptions!$B$7)</f>
        <v>1.6087963909625549E-3</v>
      </c>
    </row>
    <row r="3935" spans="1:10" x14ac:dyDescent="0.2">
      <c r="A3935" s="2">
        <v>3927</v>
      </c>
      <c r="B3935" s="14">
        <f>A3935*Assumptions!$B$12</f>
        <v>39.270000000000003</v>
      </c>
      <c r="C3935" s="15">
        <f>IF(A3935&lt;=Assumptions!$B$13,IF(OR(A3935=0,A3935=Assumptions!$B$13),0.5,1),0)*Assumptions!$B$12</f>
        <v>0</v>
      </c>
      <c r="D3935" s="12">
        <f>D3934*(1-Assumptions!$B$12*(Assumptions!$B$5+Assumptions!$B$6))</f>
        <v>0.30780871308764868</v>
      </c>
      <c r="E3935" s="12">
        <f>E3934+Assumptions!$B$12*(D3934*Assumptions!$B$5-E3934*Assumptions!$B$7)</f>
        <v>0.16751134324078365</v>
      </c>
      <c r="F3935" s="12">
        <f t="shared" si="183"/>
        <v>0.52467994367156767</v>
      </c>
      <c r="G3935" s="12">
        <f>EXP(-Assumptions!$B$8*B3935)</f>
        <v>0.14036627819997877</v>
      </c>
      <c r="H3935" s="12">
        <f t="shared" si="184"/>
        <v>4.3205963453638342E-2</v>
      </c>
      <c r="I3935" s="12">
        <f t="shared" si="185"/>
        <v>2.3512943806987971E-2</v>
      </c>
      <c r="J3935" s="12">
        <f>G3935*(D3935*Assumptions!$B$6+E3935*Assumptions!$B$7)</f>
        <v>1.6077068248857821E-3</v>
      </c>
    </row>
    <row r="3936" spans="1:10" x14ac:dyDescent="0.2">
      <c r="A3936" s="2">
        <v>3928</v>
      </c>
      <c r="B3936" s="14">
        <f>A3936*Assumptions!$B$12</f>
        <v>39.28</v>
      </c>
      <c r="C3936" s="15">
        <f>IF(A3936&lt;=Assumptions!$B$13,IF(OR(A3936=0,A3936=Assumptions!$B$13),0.5,1),0)*Assumptions!$B$12</f>
        <v>0</v>
      </c>
      <c r="D3936" s="12">
        <f>D3935*(1-Assumptions!$B$12*(Assumptions!$B$5+Assumptions!$B$6))</f>
        <v>0.30771637047372241</v>
      </c>
      <c r="E3936" s="12">
        <f>E3935+Assumptions!$B$12*(D3935*Assumptions!$B$5-E3935*Assumptions!$B$7)</f>
        <v>0.1674891493117808</v>
      </c>
      <c r="F3936" s="12">
        <f t="shared" si="183"/>
        <v>0.52479448021449671</v>
      </c>
      <c r="G3936" s="12">
        <f>EXP(-Assumptions!$B$8*B3936)</f>
        <v>0.14029611260373961</v>
      </c>
      <c r="H3936" s="12">
        <f t="shared" si="184"/>
        <v>4.3171410561995416E-2</v>
      </c>
      <c r="I3936" s="12">
        <f t="shared" si="185"/>
        <v>2.3498076551750156E-2</v>
      </c>
      <c r="J3936" s="12">
        <f>G3936*(D3936*Assumptions!$B$6+E3936*Assumptions!$B$7)</f>
        <v>1.6066179332074619E-3</v>
      </c>
    </row>
    <row r="3937" spans="1:10" x14ac:dyDescent="0.2">
      <c r="A3937" s="2">
        <v>3929</v>
      </c>
      <c r="B3937" s="14">
        <f>A3937*Assumptions!$B$12</f>
        <v>39.29</v>
      </c>
      <c r="C3937" s="15">
        <f>IF(A3937&lt;=Assumptions!$B$13,IF(OR(A3937=0,A3937=Assumptions!$B$13),0.5,1),0)*Assumptions!$B$12</f>
        <v>0</v>
      </c>
      <c r="D3937" s="12">
        <f>D3936*(1-Assumptions!$B$12*(Assumptions!$B$5+Assumptions!$B$6))</f>
        <v>0.30762405556258032</v>
      </c>
      <c r="E3937" s="12">
        <f>E3936+Assumptions!$B$12*(D3936*Assumptions!$B$5-E3936*Assumptions!$B$7)</f>
        <v>0.16746694801121964</v>
      </c>
      <c r="F3937" s="12">
        <f t="shared" si="183"/>
        <v>0.52490899642620004</v>
      </c>
      <c r="G3937" s="12">
        <f>EXP(-Assumptions!$B$8*B3937)</f>
        <v>0.14022598208152937</v>
      </c>
      <c r="H3937" s="12">
        <f t="shared" si="184"/>
        <v>4.3136885303165784E-2</v>
      </c>
      <c r="I3937" s="12">
        <f t="shared" si="185"/>
        <v>2.3483217251069693E-2</v>
      </c>
      <c r="J3937" s="12">
        <f>G3937*(D3937*Assumptions!$B$6+E3937*Assumptions!$B$7)</f>
        <v>1.6055297155851424E-3</v>
      </c>
    </row>
    <row r="3938" spans="1:10" x14ac:dyDescent="0.2">
      <c r="A3938" s="2">
        <v>3930</v>
      </c>
      <c r="B3938" s="14">
        <f>A3938*Assumptions!$B$12</f>
        <v>39.300000000000004</v>
      </c>
      <c r="C3938" s="15">
        <f>IF(A3938&lt;=Assumptions!$B$13,IF(OR(A3938=0,A3938=Assumptions!$B$13),0.5,1),0)*Assumptions!$B$12</f>
        <v>0</v>
      </c>
      <c r="D3938" s="12">
        <f>D3937*(1-Assumptions!$B$12*(Assumptions!$B$5+Assumptions!$B$6))</f>
        <v>0.30753176834591156</v>
      </c>
      <c r="E3938" s="12">
        <f>E3937+Assumptions!$B$12*(D3937*Assumptions!$B$5-E3937*Assumptions!$B$7)</f>
        <v>0.16744473934832654</v>
      </c>
      <c r="F3938" s="12">
        <f t="shared" si="183"/>
        <v>0.52502349230576195</v>
      </c>
      <c r="G3938" s="12">
        <f>EXP(-Assumptions!$B$8*B3938)</f>
        <v>0.14015588661581532</v>
      </c>
      <c r="H3938" s="12">
        <f t="shared" si="184"/>
        <v>4.3102387655050763E-2</v>
      </c>
      <c r="I3938" s="12">
        <f t="shared" si="185"/>
        <v>2.3468365902518804E-2</v>
      </c>
      <c r="J3938" s="12">
        <f>G3938*(D3938*Assumptions!$B$6+E3938*Assumptions!$B$7)</f>
        <v>1.6044421716764478E-3</v>
      </c>
    </row>
    <row r="3939" spans="1:10" x14ac:dyDescent="0.2">
      <c r="A3939" s="2">
        <v>3931</v>
      </c>
      <c r="B3939" s="14">
        <f>A3939*Assumptions!$B$12</f>
        <v>39.31</v>
      </c>
      <c r="C3939" s="15">
        <f>IF(A3939&lt;=Assumptions!$B$13,IF(OR(A3939=0,A3939=Assumptions!$B$13),0.5,1),0)*Assumptions!$B$12</f>
        <v>0</v>
      </c>
      <c r="D3939" s="12">
        <f>D3938*(1-Assumptions!$B$12*(Assumptions!$B$5+Assumptions!$B$6))</f>
        <v>0.30743950881540777</v>
      </c>
      <c r="E3939" s="12">
        <f>E3938+Assumptions!$B$12*(D3938*Assumptions!$B$5-E3938*Assumptions!$B$7)</f>
        <v>0.16742252333232155</v>
      </c>
      <c r="F3939" s="12">
        <f t="shared" si="183"/>
        <v>0.52513796785227063</v>
      </c>
      <c r="G3939" s="12">
        <f>EXP(-Assumptions!$B$8*B3939)</f>
        <v>0.1400858261890737</v>
      </c>
      <c r="H3939" s="12">
        <f t="shared" si="184"/>
        <v>4.3067917595569404E-2</v>
      </c>
      <c r="I3939" s="12">
        <f t="shared" si="185"/>
        <v>2.3453522503667733E-2</v>
      </c>
      <c r="J3939" s="12">
        <f>G3939*(D3939*Assumptions!$B$6+E3939*Assumptions!$B$7)</f>
        <v>1.6033553011390808E-3</v>
      </c>
    </row>
    <row r="3940" spans="1:10" x14ac:dyDescent="0.2">
      <c r="A3940" s="2">
        <v>3932</v>
      </c>
      <c r="B3940" s="14">
        <f>A3940*Assumptions!$B$12</f>
        <v>39.32</v>
      </c>
      <c r="C3940" s="15">
        <f>IF(A3940&lt;=Assumptions!$B$13,IF(OR(A3940=0,A3940=Assumptions!$B$13),0.5,1),0)*Assumptions!$B$12</f>
        <v>0</v>
      </c>
      <c r="D3940" s="12">
        <f>D3939*(1-Assumptions!$B$12*(Assumptions!$B$5+Assumptions!$B$6))</f>
        <v>0.30734727696276315</v>
      </c>
      <c r="E3940" s="12">
        <f>E3939+Assumptions!$B$12*(D3939*Assumptions!$B$5-E3939*Assumptions!$B$7)</f>
        <v>0.16740029997241848</v>
      </c>
      <c r="F3940" s="12">
        <f t="shared" si="183"/>
        <v>0.52525242306481834</v>
      </c>
      <c r="G3940" s="12">
        <f>EXP(-Assumptions!$B$8*B3940)</f>
        <v>0.14001580078378936</v>
      </c>
      <c r="H3940" s="12">
        <f t="shared" si="184"/>
        <v>4.3033475102658376E-2</v>
      </c>
      <c r="I3940" s="12">
        <f t="shared" si="185"/>
        <v>2.3438687052084725E-2</v>
      </c>
      <c r="J3940" s="12">
        <f>G3940*(D3940*Assumptions!$B$6+E3940*Assumptions!$B$7)</f>
        <v>1.60226910363082E-3</v>
      </c>
    </row>
    <row r="3941" spans="1:10" x14ac:dyDescent="0.2">
      <c r="A3941" s="2">
        <v>3933</v>
      </c>
      <c r="B3941" s="14">
        <f>A3941*Assumptions!$B$12</f>
        <v>39.33</v>
      </c>
      <c r="C3941" s="15">
        <f>IF(A3941&lt;=Assumptions!$B$13,IF(OR(A3941=0,A3941=Assumptions!$B$13),0.5,1),0)*Assumptions!$B$12</f>
        <v>0</v>
      </c>
      <c r="D3941" s="12">
        <f>D3940*(1-Assumptions!$B$12*(Assumptions!$B$5+Assumptions!$B$6))</f>
        <v>0.30725507277967434</v>
      </c>
      <c r="E3941" s="12">
        <f>E3940+Assumptions!$B$12*(D3940*Assumptions!$B$5-E3940*Assumptions!$B$7)</f>
        <v>0.16737806927782484</v>
      </c>
      <c r="F3941" s="12">
        <f t="shared" si="183"/>
        <v>0.52536685794250082</v>
      </c>
      <c r="G3941" s="12">
        <f>EXP(-Assumptions!$B$8*B3941)</f>
        <v>0.13994581038245596</v>
      </c>
      <c r="H3941" s="12">
        <f t="shared" si="184"/>
        <v>4.2999060154272011E-2</v>
      </c>
      <c r="I3941" s="12">
        <f t="shared" si="185"/>
        <v>2.3423859545336052E-2</v>
      </c>
      <c r="J3941" s="12">
        <f>G3941*(D3941*Assumptions!$B$6+E3941*Assumptions!$B$7)</f>
        <v>1.6011835788095226E-3</v>
      </c>
    </row>
    <row r="3942" spans="1:10" x14ac:dyDescent="0.2">
      <c r="A3942" s="2">
        <v>3934</v>
      </c>
      <c r="B3942" s="14">
        <f>A3942*Assumptions!$B$12</f>
        <v>39.340000000000003</v>
      </c>
      <c r="C3942" s="15">
        <f>IF(A3942&lt;=Assumptions!$B$13,IF(OR(A3942=0,A3942=Assumptions!$B$13),0.5,1),0)*Assumptions!$B$12</f>
        <v>0</v>
      </c>
      <c r="D3942" s="12">
        <f>D3941*(1-Assumptions!$B$12*(Assumptions!$B$5+Assumptions!$B$6))</f>
        <v>0.30716289625784043</v>
      </c>
      <c r="E3942" s="12">
        <f>E3941+Assumptions!$B$12*(D3941*Assumptions!$B$5-E3941*Assumptions!$B$7)</f>
        <v>0.16735583125774187</v>
      </c>
      <c r="F3942" s="12">
        <f t="shared" si="183"/>
        <v>0.52548127248441767</v>
      </c>
      <c r="G3942" s="12">
        <f>EXP(-Assumptions!$B$8*B3942)</f>
        <v>0.13987585496757582</v>
      </c>
      <c r="H3942" s="12">
        <f t="shared" si="184"/>
        <v>4.2964672728382225E-2</v>
      </c>
      <c r="I3942" s="12">
        <f t="shared" si="185"/>
        <v>2.3409039980985993E-2</v>
      </c>
      <c r="J3942" s="12">
        <f>G3942*(D3942*Assumptions!$B$6+E3942*Assumptions!$B$7)</f>
        <v>1.600098726333122E-3</v>
      </c>
    </row>
    <row r="3943" spans="1:10" x14ac:dyDescent="0.2">
      <c r="A3943" s="2">
        <v>3935</v>
      </c>
      <c r="B3943" s="14">
        <f>A3943*Assumptions!$B$12</f>
        <v>39.35</v>
      </c>
      <c r="C3943" s="15">
        <f>IF(A3943&lt;=Assumptions!$B$13,IF(OR(A3943=0,A3943=Assumptions!$B$13),0.5,1),0)*Assumptions!$B$12</f>
        <v>0</v>
      </c>
      <c r="D3943" s="12">
        <f>D3942*(1-Assumptions!$B$12*(Assumptions!$B$5+Assumptions!$B$6))</f>
        <v>0.30707074738896312</v>
      </c>
      <c r="E3943" s="12">
        <f>E3942+Assumptions!$B$12*(D3942*Assumptions!$B$5-E3942*Assumptions!$B$7)</f>
        <v>0.16733358592136457</v>
      </c>
      <c r="F3943" s="12">
        <f t="shared" si="183"/>
        <v>0.52559566668967228</v>
      </c>
      <c r="G3943" s="12">
        <f>EXP(-Assumptions!$B$8*B3943)</f>
        <v>0.13980593452166018</v>
      </c>
      <c r="H3943" s="12">
        <f t="shared" si="184"/>
        <v>4.2930312802978633E-2</v>
      </c>
      <c r="I3943" s="12">
        <f t="shared" si="185"/>
        <v>2.3394228356596894E-2</v>
      </c>
      <c r="J3943" s="12">
        <f>G3943*(D3943*Assumptions!$B$6+E3943*Assumptions!$B$7)</f>
        <v>1.5990145458596311E-3</v>
      </c>
    </row>
    <row r="3944" spans="1:10" x14ac:dyDescent="0.2">
      <c r="A3944" s="2">
        <v>3936</v>
      </c>
      <c r="B3944" s="14">
        <f>A3944*Assumptions!$B$12</f>
        <v>39.36</v>
      </c>
      <c r="C3944" s="15">
        <f>IF(A3944&lt;=Assumptions!$B$13,IF(OR(A3944=0,A3944=Assumptions!$B$13),0.5,1),0)*Assumptions!$B$12</f>
        <v>0</v>
      </c>
      <c r="D3944" s="12">
        <f>D3943*(1-Assumptions!$B$12*(Assumptions!$B$5+Assumptions!$B$6))</f>
        <v>0.30697862616474642</v>
      </c>
      <c r="E3944" s="12">
        <f>E3943+Assumptions!$B$12*(D3943*Assumptions!$B$5-E3943*Assumptions!$B$7)</f>
        <v>0.1673113332778817</v>
      </c>
      <c r="F3944" s="12">
        <f t="shared" si="183"/>
        <v>0.5257100405573718</v>
      </c>
      <c r="G3944" s="12">
        <f>EXP(-Assumptions!$B$8*B3944)</f>
        <v>0.13973604902722894</v>
      </c>
      <c r="H3944" s="12">
        <f t="shared" si="184"/>
        <v>4.289598035606839E-2</v>
      </c>
      <c r="I3944" s="12">
        <f t="shared" si="185"/>
        <v>2.3379424669729119E-2</v>
      </c>
      <c r="J3944" s="12">
        <f>G3944*(D3944*Assumptions!$B$6+E3944*Assumptions!$B$7)</f>
        <v>1.5979310370471398E-3</v>
      </c>
    </row>
    <row r="3945" spans="1:10" x14ac:dyDescent="0.2">
      <c r="A3945" s="2">
        <v>3937</v>
      </c>
      <c r="B3945" s="14">
        <f>A3945*Assumptions!$B$12</f>
        <v>39.369999999999997</v>
      </c>
      <c r="C3945" s="15">
        <f>IF(A3945&lt;=Assumptions!$B$13,IF(OR(A3945=0,A3945=Assumptions!$B$13),0.5,1),0)*Assumptions!$B$12</f>
        <v>0</v>
      </c>
      <c r="D3945" s="12">
        <f>D3944*(1-Assumptions!$B$12*(Assumptions!$B$5+Assumptions!$B$6))</f>
        <v>0.30688653257689702</v>
      </c>
      <c r="E3945" s="12">
        <f>E3944+Assumptions!$B$12*(D3944*Assumptions!$B$5-E3944*Assumptions!$B$7)</f>
        <v>0.16728907333647569</v>
      </c>
      <c r="F3945" s="12">
        <f t="shared" si="183"/>
        <v>0.52582439408662729</v>
      </c>
      <c r="G3945" s="12">
        <f>EXP(-Assumptions!$B$8*B3945)</f>
        <v>0.13966619846681066</v>
      </c>
      <c r="H3945" s="12">
        <f t="shared" si="184"/>
        <v>4.2861675365676255E-2</v>
      </c>
      <c r="I3945" s="12">
        <f t="shared" si="185"/>
        <v>2.3364628917941058E-2</v>
      </c>
      <c r="J3945" s="12">
        <f>G3945*(D3945*Assumptions!$B$6+E3945*Assumptions!$B$7)</f>
        <v>1.5968481995538156E-3</v>
      </c>
    </row>
    <row r="3946" spans="1:10" x14ac:dyDescent="0.2">
      <c r="A3946" s="2">
        <v>3938</v>
      </c>
      <c r="B3946" s="14">
        <f>A3946*Assumptions!$B$12</f>
        <v>39.380000000000003</v>
      </c>
      <c r="C3946" s="15">
        <f>IF(A3946&lt;=Assumptions!$B$13,IF(OR(A3946=0,A3946=Assumptions!$B$13),0.5,1),0)*Assumptions!$B$12</f>
        <v>0</v>
      </c>
      <c r="D3946" s="12">
        <f>D3945*(1-Assumptions!$B$12*(Assumptions!$B$5+Assumptions!$B$6))</f>
        <v>0.30679446661712395</v>
      </c>
      <c r="E3946" s="12">
        <f>E3945+Assumptions!$B$12*(D3945*Assumptions!$B$5-E3945*Assumptions!$B$7)</f>
        <v>0.16726680610632283</v>
      </c>
      <c r="F3946" s="12">
        <f t="shared" si="183"/>
        <v>0.52593872727655322</v>
      </c>
      <c r="G3946" s="12">
        <f>EXP(-Assumptions!$B$8*B3946)</f>
        <v>0.13959638282294268</v>
      </c>
      <c r="H3946" s="12">
        <f t="shared" si="184"/>
        <v>4.2827397809844542E-2</v>
      </c>
      <c r="I3946" s="12">
        <f t="shared" si="185"/>
        <v>2.3349841098789167E-2</v>
      </c>
      <c r="J3946" s="12">
        <f>G3946*(D3946*Assumptions!$B$6+E3946*Assumptions!$B$7)</f>
        <v>1.595766033037904E-3</v>
      </c>
    </row>
    <row r="3947" spans="1:10" x14ac:dyDescent="0.2">
      <c r="A3947" s="2">
        <v>3939</v>
      </c>
      <c r="B3947" s="14">
        <f>A3947*Assumptions!$B$12</f>
        <v>39.39</v>
      </c>
      <c r="C3947" s="15">
        <f>IF(A3947&lt;=Assumptions!$B$13,IF(OR(A3947=0,A3947=Assumptions!$B$13),0.5,1),0)*Assumptions!$B$12</f>
        <v>0</v>
      </c>
      <c r="D3947" s="12">
        <f>D3946*(1-Assumptions!$B$12*(Assumptions!$B$5+Assumptions!$B$6))</f>
        <v>0.30670242827713884</v>
      </c>
      <c r="E3947" s="12">
        <f>E3946+Assumptions!$B$12*(D3946*Assumptions!$B$5-E3946*Assumptions!$B$7)</f>
        <v>0.16724453159659308</v>
      </c>
      <c r="F3947" s="12">
        <f t="shared" si="183"/>
        <v>0.52605304012626797</v>
      </c>
      <c r="G3947" s="12">
        <f>EXP(-Assumptions!$B$8*B3947)</f>
        <v>0.13952660207817119</v>
      </c>
      <c r="H3947" s="12">
        <f t="shared" si="184"/>
        <v>4.279314766663319E-2</v>
      </c>
      <c r="I3947" s="12">
        <f t="shared" si="185"/>
        <v>2.3335061209827972E-2</v>
      </c>
      <c r="J3947" s="12">
        <f>G3947*(D3947*Assumptions!$B$6+E3947*Assumptions!$B$7)</f>
        <v>1.5946845371577307E-3</v>
      </c>
    </row>
    <row r="3948" spans="1:10" x14ac:dyDescent="0.2">
      <c r="A3948" s="2">
        <v>3940</v>
      </c>
      <c r="B3948" s="14">
        <f>A3948*Assumptions!$B$12</f>
        <v>39.4</v>
      </c>
      <c r="C3948" s="15">
        <f>IF(A3948&lt;=Assumptions!$B$13,IF(OR(A3948=0,A3948=Assumptions!$B$13),0.5,1),0)*Assumptions!$B$12</f>
        <v>0</v>
      </c>
      <c r="D3948" s="12">
        <f>D3947*(1-Assumptions!$B$12*(Assumptions!$B$5+Assumptions!$B$6))</f>
        <v>0.3066104175486557</v>
      </c>
      <c r="E3948" s="12">
        <f>E3947+Assumptions!$B$12*(D3947*Assumptions!$B$5-E3947*Assumptions!$B$7)</f>
        <v>0.1672222498164502</v>
      </c>
      <c r="F3948" s="12">
        <f t="shared" si="183"/>
        <v>0.52616733263489412</v>
      </c>
      <c r="G3948" s="12">
        <f>EXP(-Assumptions!$B$8*B3948)</f>
        <v>0.13945685621505094</v>
      </c>
      <c r="H3948" s="12">
        <f t="shared" si="184"/>
        <v>4.275892491411961E-2</v>
      </c>
      <c r="I3948" s="12">
        <f t="shared" si="185"/>
        <v>2.3320289248610026E-2</v>
      </c>
      <c r="J3948" s="12">
        <f>G3948*(D3948*Assumptions!$B$6+E3948*Assumptions!$B$7)</f>
        <v>1.5936037115716973E-3</v>
      </c>
    </row>
    <row r="3949" spans="1:10" x14ac:dyDescent="0.2">
      <c r="A3949" s="2">
        <v>3941</v>
      </c>
      <c r="B3949" s="14">
        <f>A3949*Assumptions!$B$12</f>
        <v>39.410000000000004</v>
      </c>
      <c r="C3949" s="15">
        <f>IF(A3949&lt;=Assumptions!$B$13,IF(OR(A3949=0,A3949=Assumptions!$B$13),0.5,1),0)*Assumptions!$B$12</f>
        <v>0</v>
      </c>
      <c r="D3949" s="12">
        <f>D3948*(1-Assumptions!$B$12*(Assumptions!$B$5+Assumptions!$B$6))</f>
        <v>0.30651843442339111</v>
      </c>
      <c r="E3949" s="12">
        <f>E3948+Assumptions!$B$12*(D3948*Assumptions!$B$5-E3948*Assumptions!$B$7)</f>
        <v>0.1671999607750517</v>
      </c>
      <c r="F3949" s="12">
        <f t="shared" si="183"/>
        <v>0.52628160480155717</v>
      </c>
      <c r="G3949" s="12">
        <f>EXP(-Assumptions!$B$8*B3949)</f>
        <v>0.1393871452161454</v>
      </c>
      <c r="H3949" s="12">
        <f t="shared" si="184"/>
        <v>4.2724729530398756E-2</v>
      </c>
      <c r="I3949" s="12">
        <f t="shared" si="185"/>
        <v>2.3305525212685946E-2</v>
      </c>
      <c r="J3949" s="12">
        <f>G3949*(D3949*Assumptions!$B$6+E3949*Assumptions!$B$7)</f>
        <v>1.5925235559382848E-3</v>
      </c>
    </row>
    <row r="3950" spans="1:10" x14ac:dyDescent="0.2">
      <c r="A3950" s="2">
        <v>3942</v>
      </c>
      <c r="B3950" s="14">
        <f>A3950*Assumptions!$B$12</f>
        <v>39.42</v>
      </c>
      <c r="C3950" s="15">
        <f>IF(A3950&lt;=Assumptions!$B$13,IF(OR(A3950=0,A3950=Assumptions!$B$13),0.5,1),0)*Assumptions!$B$12</f>
        <v>0</v>
      </c>
      <c r="D3950" s="12">
        <f>D3949*(1-Assumptions!$B$12*(Assumptions!$B$5+Assumptions!$B$6))</f>
        <v>0.30642647889306412</v>
      </c>
      <c r="E3950" s="12">
        <f>E3949+Assumptions!$B$12*(D3949*Assumptions!$B$5-E3949*Assumptions!$B$7)</f>
        <v>0.16717766448154886</v>
      </c>
      <c r="F3950" s="12">
        <f t="shared" si="183"/>
        <v>0.52639585662538702</v>
      </c>
      <c r="G3950" s="12">
        <f>EXP(-Assumptions!$B$8*B3950)</f>
        <v>0.13931746906402698</v>
      </c>
      <c r="H3950" s="12">
        <f t="shared" si="184"/>
        <v>4.2690561493583176E-2</v>
      </c>
      <c r="I3950" s="12">
        <f t="shared" si="185"/>
        <v>2.3290769099604466E-2</v>
      </c>
      <c r="J3950" s="12">
        <f>G3950*(D3950*Assumptions!$B$6+E3950*Assumptions!$B$7)</f>
        <v>1.5914440699160552E-3</v>
      </c>
    </row>
    <row r="3951" spans="1:10" x14ac:dyDescent="0.2">
      <c r="A3951" s="2">
        <v>3943</v>
      </c>
      <c r="B3951" s="14">
        <f>A3951*Assumptions!$B$12</f>
        <v>39.43</v>
      </c>
      <c r="C3951" s="15">
        <f>IF(A3951&lt;=Assumptions!$B$13,IF(OR(A3951=0,A3951=Assumptions!$B$13),0.5,1),0)*Assumptions!$B$12</f>
        <v>0</v>
      </c>
      <c r="D3951" s="12">
        <f>D3950*(1-Assumptions!$B$12*(Assumptions!$B$5+Assumptions!$B$6))</f>
        <v>0.30633455094939621</v>
      </c>
      <c r="E3951" s="12">
        <f>E3950+Assumptions!$B$12*(D3950*Assumptions!$B$5-E3950*Assumptions!$B$7)</f>
        <v>0.16715536094508671</v>
      </c>
      <c r="F3951" s="12">
        <f t="shared" si="183"/>
        <v>0.52651008810551714</v>
      </c>
      <c r="G3951" s="12">
        <f>EXP(-Assumptions!$B$8*B3951)</f>
        <v>0.13924782774127653</v>
      </c>
      <c r="H3951" s="12">
        <f t="shared" si="184"/>
        <v>4.2656420781802824E-2</v>
      </c>
      <c r="I3951" s="12">
        <f t="shared" si="185"/>
        <v>2.3276020906912335E-2</v>
      </c>
      <c r="J3951" s="12">
        <f>G3951*(D3951*Assumptions!$B$6+E3951*Assumptions!$B$7)</f>
        <v>1.590365253163645E-3</v>
      </c>
    </row>
    <row r="3952" spans="1:10" x14ac:dyDescent="0.2">
      <c r="A3952" s="2">
        <v>3944</v>
      </c>
      <c r="B3952" s="14">
        <f>A3952*Assumptions!$B$12</f>
        <v>39.44</v>
      </c>
      <c r="C3952" s="15">
        <f>IF(A3952&lt;=Assumptions!$B$13,IF(OR(A3952=0,A3952=Assumptions!$B$13),0.5,1),0)*Assumptions!$B$12</f>
        <v>0</v>
      </c>
      <c r="D3952" s="12">
        <f>D3951*(1-Assumptions!$B$12*(Assumptions!$B$5+Assumptions!$B$6))</f>
        <v>0.30624265058411138</v>
      </c>
      <c r="E3952" s="12">
        <f>E3951+Assumptions!$B$12*(D3951*Assumptions!$B$5-E3951*Assumptions!$B$7)</f>
        <v>0.16713305017480404</v>
      </c>
      <c r="F3952" s="12">
        <f t="shared" si="183"/>
        <v>0.52662429924108456</v>
      </c>
      <c r="G3952" s="12">
        <f>EXP(-Assumptions!$B$8*B3952)</f>
        <v>0.13917822123048373</v>
      </c>
      <c r="H3952" s="12">
        <f t="shared" si="184"/>
        <v>4.262230737320518E-2</v>
      </c>
      <c r="I3952" s="12">
        <f t="shared" si="185"/>
        <v>2.3261280632154414E-2</v>
      </c>
      <c r="J3952" s="12">
        <f>G3952*(D3952*Assumptions!$B$6+E3952*Assumptions!$B$7)</f>
        <v>1.5892871053397725E-3</v>
      </c>
    </row>
    <row r="3953" spans="1:10" x14ac:dyDescent="0.2">
      <c r="A3953" s="2">
        <v>3945</v>
      </c>
      <c r="B3953" s="14">
        <f>A3953*Assumptions!$B$12</f>
        <v>39.450000000000003</v>
      </c>
      <c r="C3953" s="15">
        <f>IF(A3953&lt;=Assumptions!$B$13,IF(OR(A3953=0,A3953=Assumptions!$B$13),0.5,1),0)*Assumptions!$B$12</f>
        <v>0</v>
      </c>
      <c r="D3953" s="12">
        <f>D3952*(1-Assumptions!$B$12*(Assumptions!$B$5+Assumptions!$B$6))</f>
        <v>0.30615077778893618</v>
      </c>
      <c r="E3953" s="12">
        <f>E3952+Assumptions!$B$12*(D3952*Assumptions!$B$5-E3952*Assumptions!$B$7)</f>
        <v>0.16711073217983347</v>
      </c>
      <c r="F3953" s="12">
        <f t="shared" si="183"/>
        <v>0.52673849003123041</v>
      </c>
      <c r="G3953" s="12">
        <f>EXP(-Assumptions!$B$8*B3953)</f>
        <v>0.13910864951424692</v>
      </c>
      <c r="H3953" s="12">
        <f t="shared" si="184"/>
        <v>4.2588221245955217E-2</v>
      </c>
      <c r="I3953" s="12">
        <f t="shared" si="185"/>
        <v>2.3246548272873639E-2</v>
      </c>
      <c r="J3953" s="12">
        <f>G3953*(D3953*Assumptions!$B$6+E3953*Assumptions!$B$7)</f>
        <v>1.5882096261032341E-3</v>
      </c>
    </row>
    <row r="3954" spans="1:10" x14ac:dyDescent="0.2">
      <c r="A3954" s="2">
        <v>3946</v>
      </c>
      <c r="B3954" s="14">
        <f>A3954*Assumptions!$B$12</f>
        <v>39.46</v>
      </c>
      <c r="C3954" s="15">
        <f>IF(A3954&lt;=Assumptions!$B$13,IF(OR(A3954=0,A3954=Assumptions!$B$13),0.5,1),0)*Assumptions!$B$12</f>
        <v>0</v>
      </c>
      <c r="D3954" s="12">
        <f>D3953*(1-Assumptions!$B$12*(Assumptions!$B$5+Assumptions!$B$6))</f>
        <v>0.30605893255559952</v>
      </c>
      <c r="E3954" s="12">
        <f>E3953+Assumptions!$B$12*(D3953*Assumptions!$B$5-E3953*Assumptions!$B$7)</f>
        <v>0.16708840696930133</v>
      </c>
      <c r="F3954" s="12">
        <f t="shared" si="183"/>
        <v>0.52685266047509915</v>
      </c>
      <c r="G3954" s="12">
        <f>EXP(-Assumptions!$B$8*B3954)</f>
        <v>0.13903911257517326</v>
      </c>
      <c r="H3954" s="12">
        <f t="shared" si="184"/>
        <v>4.2554162378235359E-2</v>
      </c>
      <c r="I3954" s="12">
        <f t="shared" si="185"/>
        <v>2.3231823826611053E-2</v>
      </c>
      <c r="J3954" s="12">
        <f>G3954*(D3954*Assumptions!$B$6+E3954*Assumptions!$B$7)</f>
        <v>1.5871328151129062E-3</v>
      </c>
    </row>
    <row r="3955" spans="1:10" x14ac:dyDescent="0.2">
      <c r="A3955" s="2">
        <v>3947</v>
      </c>
      <c r="B3955" s="14">
        <f>A3955*Assumptions!$B$12</f>
        <v>39.47</v>
      </c>
      <c r="C3955" s="15">
        <f>IF(A3955&lt;=Assumptions!$B$13,IF(OR(A3955=0,A3955=Assumptions!$B$13),0.5,1),0)*Assumptions!$B$12</f>
        <v>0</v>
      </c>
      <c r="D3955" s="12">
        <f>D3954*(1-Assumptions!$B$12*(Assumptions!$B$5+Assumptions!$B$6))</f>
        <v>0.30596711487583284</v>
      </c>
      <c r="E3955" s="12">
        <f>E3954+Assumptions!$B$12*(D3954*Assumptions!$B$5-E3954*Assumptions!$B$7)</f>
        <v>0.1670660745523278</v>
      </c>
      <c r="F3955" s="12">
        <f t="shared" si="183"/>
        <v>0.52696681057183936</v>
      </c>
      <c r="G3955" s="12">
        <f>EXP(-Assumptions!$B$8*B3955)</f>
        <v>0.13896961039587846</v>
      </c>
      <c r="H3955" s="12">
        <f t="shared" si="184"/>
        <v>4.2520130748245476E-2</v>
      </c>
      <c r="I3955" s="12">
        <f t="shared" si="185"/>
        <v>2.3217107290905779E-2</v>
      </c>
      <c r="J3955" s="12">
        <f>G3955*(D3955*Assumptions!$B$6+E3955*Assumptions!$B$7)</f>
        <v>1.5860566720277438E-3</v>
      </c>
    </row>
    <row r="3956" spans="1:10" x14ac:dyDescent="0.2">
      <c r="A3956" s="2">
        <v>3948</v>
      </c>
      <c r="B3956" s="14">
        <f>A3956*Assumptions!$B$12</f>
        <v>39.480000000000004</v>
      </c>
      <c r="C3956" s="15">
        <f>IF(A3956&lt;=Assumptions!$B$13,IF(OR(A3956=0,A3956=Assumptions!$B$13),0.5,1),0)*Assumptions!$B$12</f>
        <v>0</v>
      </c>
      <c r="D3956" s="12">
        <f>D3955*(1-Assumptions!$B$12*(Assumptions!$B$5+Assumptions!$B$6))</f>
        <v>0.30587532474137008</v>
      </c>
      <c r="E3956" s="12">
        <f>E3955+Assumptions!$B$12*(D3955*Assumptions!$B$5-E3955*Assumptions!$B$7)</f>
        <v>0.16704373493802679</v>
      </c>
      <c r="F3956" s="12">
        <f t="shared" si="183"/>
        <v>0.52708094032060304</v>
      </c>
      <c r="G3956" s="12">
        <f>EXP(-Assumptions!$B$8*B3956)</f>
        <v>0.13890014295898698</v>
      </c>
      <c r="H3956" s="12">
        <f t="shared" si="184"/>
        <v>4.2486126334202873E-2</v>
      </c>
      <c r="I3956" s="12">
        <f t="shared" si="185"/>
        <v>2.320239866329505E-2</v>
      </c>
      <c r="J3956" s="12">
        <f>G3956*(D3956*Assumptions!$B$6+E3956*Assumptions!$B$7)</f>
        <v>1.5849811965067814E-3</v>
      </c>
    </row>
    <row r="3957" spans="1:10" x14ac:dyDescent="0.2">
      <c r="A3957" s="2">
        <v>3949</v>
      </c>
      <c r="B3957" s="14">
        <f>A3957*Assumptions!$B$12</f>
        <v>39.49</v>
      </c>
      <c r="C3957" s="15">
        <f>IF(A3957&lt;=Assumptions!$B$13,IF(OR(A3957=0,A3957=Assumptions!$B$13),0.5,1),0)*Assumptions!$B$12</f>
        <v>0</v>
      </c>
      <c r="D3957" s="12">
        <f>D3956*(1-Assumptions!$B$12*(Assumptions!$B$5+Assumptions!$B$6))</f>
        <v>0.3057835621439477</v>
      </c>
      <c r="E3957" s="12">
        <f>E3956+Assumptions!$B$12*(D3956*Assumptions!$B$5-E3956*Assumptions!$B$7)</f>
        <v>0.16702138813550604</v>
      </c>
      <c r="F3957" s="12">
        <f t="shared" si="183"/>
        <v>0.5271950497205462</v>
      </c>
      <c r="G3957" s="12">
        <f>EXP(-Assumptions!$B$8*B3957)</f>
        <v>0.13883071024713198</v>
      </c>
      <c r="H3957" s="12">
        <f t="shared" si="184"/>
        <v>4.245214911434228E-2</v>
      </c>
      <c r="I3957" s="12">
        <f t="shared" si="185"/>
        <v>2.3187697941314207E-2</v>
      </c>
      <c r="J3957" s="12">
        <f>G3957*(D3957*Assumptions!$B$6+E3957*Assumptions!$B$7)</f>
        <v>1.583906388209133E-3</v>
      </c>
    </row>
    <row r="3958" spans="1:10" x14ac:dyDescent="0.2">
      <c r="A3958" s="2">
        <v>3950</v>
      </c>
      <c r="B3958" s="14">
        <f>A3958*Assumptions!$B$12</f>
        <v>39.5</v>
      </c>
      <c r="C3958" s="15">
        <f>IF(A3958&lt;=Assumptions!$B$13,IF(OR(A3958=0,A3958=Assumptions!$B$13),0.5,1),0)*Assumptions!$B$12</f>
        <v>0</v>
      </c>
      <c r="D3958" s="12">
        <f>D3957*(1-Assumptions!$B$12*(Assumptions!$B$5+Assumptions!$B$6))</f>
        <v>0.30569182707530451</v>
      </c>
      <c r="E3958" s="12">
        <f>E3957+Assumptions!$B$12*(D3957*Assumptions!$B$5-E3957*Assumptions!$B$7)</f>
        <v>0.16699903415386708</v>
      </c>
      <c r="F3958" s="12">
        <f t="shared" si="183"/>
        <v>0.52730913877082841</v>
      </c>
      <c r="G3958" s="12">
        <f>EXP(-Assumptions!$B$8*B3958)</f>
        <v>0.13876131224295524</v>
      </c>
      <c r="H3958" s="12">
        <f t="shared" si="184"/>
        <v>4.241819906691581E-2</v>
      </c>
      <c r="I3958" s="12">
        <f t="shared" si="185"/>
        <v>2.3173005122496697E-2</v>
      </c>
      <c r="J3958" s="12">
        <f>G3958*(D3958*Assumptions!$B$6+E3958*Assumptions!$B$7)</f>
        <v>1.582832246793993E-3</v>
      </c>
    </row>
    <row r="3959" spans="1:10" x14ac:dyDescent="0.2">
      <c r="A3959" s="2">
        <v>3951</v>
      </c>
      <c r="B3959" s="14">
        <f>A3959*Assumptions!$B$12</f>
        <v>39.51</v>
      </c>
      <c r="C3959" s="15">
        <f>IF(A3959&lt;=Assumptions!$B$13,IF(OR(A3959=0,A3959=Assumptions!$B$13),0.5,1),0)*Assumptions!$B$12</f>
        <v>0</v>
      </c>
      <c r="D3959" s="12">
        <f>D3958*(1-Assumptions!$B$12*(Assumptions!$B$5+Assumptions!$B$6))</f>
        <v>0.30560011952718191</v>
      </c>
      <c r="E3959" s="12">
        <f>E3958+Assumptions!$B$12*(D3958*Assumptions!$B$5-E3958*Assumptions!$B$7)</f>
        <v>0.1669766730022052</v>
      </c>
      <c r="F3959" s="12">
        <f t="shared" si="183"/>
        <v>0.52742320747061289</v>
      </c>
      <c r="G3959" s="12">
        <f>EXP(-Assumptions!$B$8*B3959)</f>
        <v>0.1386919489291073</v>
      </c>
      <c r="H3959" s="12">
        <f t="shared" si="184"/>
        <v>4.2384276170192997E-2</v>
      </c>
      <c r="I3959" s="12">
        <f t="shared" si="185"/>
        <v>2.3158320204374094E-2</v>
      </c>
      <c r="J3959" s="12">
        <f>G3959*(D3959*Assumptions!$B$6+E3959*Assumptions!$B$7)</f>
        <v>1.5817587719206348E-3</v>
      </c>
    </row>
    <row r="3960" spans="1:10" x14ac:dyDescent="0.2">
      <c r="A3960" s="2">
        <v>3952</v>
      </c>
      <c r="B3960" s="14">
        <f>A3960*Assumptions!$B$12</f>
        <v>39.520000000000003</v>
      </c>
      <c r="C3960" s="15">
        <f>IF(A3960&lt;=Assumptions!$B$13,IF(OR(A3960=0,A3960=Assumptions!$B$13),0.5,1),0)*Assumptions!$B$12</f>
        <v>0</v>
      </c>
      <c r="D3960" s="12">
        <f>D3959*(1-Assumptions!$B$12*(Assumptions!$B$5+Assumptions!$B$6))</f>
        <v>0.30550843949132378</v>
      </c>
      <c r="E3960" s="12">
        <f>E3959+Assumptions!$B$12*(D3959*Assumptions!$B$5-E3959*Assumptions!$B$7)</f>
        <v>0.16695430468960953</v>
      </c>
      <c r="F3960" s="12">
        <f t="shared" si="183"/>
        <v>0.52753725581906674</v>
      </c>
      <c r="G3960" s="12">
        <f>EXP(-Assumptions!$B$8*B3960)</f>
        <v>0.13862262028824729</v>
      </c>
      <c r="H3960" s="12">
        <f t="shared" si="184"/>
        <v>4.2350380402460752E-2</v>
      </c>
      <c r="I3960" s="12">
        <f t="shared" si="185"/>
        <v>2.3143643184476086E-2</v>
      </c>
      <c r="J3960" s="12">
        <f>G3960*(D3960*Assumptions!$B$6+E3960*Assumptions!$B$7)</f>
        <v>1.5806859632484119E-3</v>
      </c>
    </row>
    <row r="3961" spans="1:10" x14ac:dyDescent="0.2">
      <c r="A3961" s="2">
        <v>3953</v>
      </c>
      <c r="B3961" s="14">
        <f>A3961*Assumptions!$B$12</f>
        <v>39.53</v>
      </c>
      <c r="C3961" s="15">
        <f>IF(A3961&lt;=Assumptions!$B$13,IF(OR(A3961=0,A3961=Assumptions!$B$13),0.5,1),0)*Assumptions!$B$12</f>
        <v>0</v>
      </c>
      <c r="D3961" s="12">
        <f>D3960*(1-Assumptions!$B$12*(Assumptions!$B$5+Assumptions!$B$6))</f>
        <v>0.30541678695947638</v>
      </c>
      <c r="E3961" s="12">
        <f>E3960+Assumptions!$B$12*(D3960*Assumptions!$B$5-E3960*Assumptions!$B$7)</f>
        <v>0.16693192922516301</v>
      </c>
      <c r="F3961" s="12">
        <f t="shared" si="183"/>
        <v>0.52765128381536064</v>
      </c>
      <c r="G3961" s="12">
        <f>EXP(-Assumptions!$B$8*B3961)</f>
        <v>0.1385533263030431</v>
      </c>
      <c r="H3961" s="12">
        <f t="shared" si="184"/>
        <v>4.2316511742023326E-2</v>
      </c>
      <c r="I3961" s="12">
        <f t="shared" si="185"/>
        <v>2.3128974060330505E-2</v>
      </c>
      <c r="J3961" s="12">
        <f>G3961*(D3961*Assumptions!$B$6+E3961*Assumptions!$B$7)</f>
        <v>1.5796138204367588E-3</v>
      </c>
    </row>
    <row r="3962" spans="1:10" x14ac:dyDescent="0.2">
      <c r="A3962" s="2">
        <v>3954</v>
      </c>
      <c r="B3962" s="14">
        <f>A3962*Assumptions!$B$12</f>
        <v>39.54</v>
      </c>
      <c r="C3962" s="15">
        <f>IF(A3962&lt;=Assumptions!$B$13,IF(OR(A3962=0,A3962=Assumptions!$B$13),0.5,1),0)*Assumptions!$B$12</f>
        <v>0</v>
      </c>
      <c r="D3962" s="12">
        <f>D3961*(1-Assumptions!$B$12*(Assumptions!$B$5+Assumptions!$B$6))</f>
        <v>0.30532516192338854</v>
      </c>
      <c r="E3962" s="12">
        <f>E3961+Assumptions!$B$12*(D3961*Assumptions!$B$5-E3961*Assumptions!$B$7)</f>
        <v>0.16690954661794233</v>
      </c>
      <c r="F3962" s="12">
        <f t="shared" si="183"/>
        <v>0.52776529145866913</v>
      </c>
      <c r="G3962" s="12">
        <f>EXP(-Assumptions!$B$8*B3962)</f>
        <v>0.13848406695617121</v>
      </c>
      <c r="H3962" s="12">
        <f t="shared" si="184"/>
        <v>4.2282670167202357E-2</v>
      </c>
      <c r="I3962" s="12">
        <f t="shared" si="185"/>
        <v>2.3114312829463305E-2</v>
      </c>
      <c r="J3962" s="12">
        <f>G3962*(D3962*Assumptions!$B$6+E3962*Assumptions!$B$7)</f>
        <v>1.578542343145189E-3</v>
      </c>
    </row>
    <row r="3963" spans="1:10" x14ac:dyDescent="0.2">
      <c r="A3963" s="2">
        <v>3955</v>
      </c>
      <c r="B3963" s="14">
        <f>A3963*Assumptions!$B$12</f>
        <v>39.550000000000004</v>
      </c>
      <c r="C3963" s="15">
        <f>IF(A3963&lt;=Assumptions!$B$13,IF(OR(A3963=0,A3963=Assumptions!$B$13),0.5,1),0)*Assumptions!$B$12</f>
        <v>0</v>
      </c>
      <c r="D3963" s="12">
        <f>D3962*(1-Assumptions!$B$12*(Assumptions!$B$5+Assumptions!$B$6))</f>
        <v>0.30523356437481153</v>
      </c>
      <c r="E3963" s="12">
        <f>E3962+Assumptions!$B$12*(D3962*Assumptions!$B$5-E3962*Assumptions!$B$7)</f>
        <v>0.16688715687701802</v>
      </c>
      <c r="F3963" s="12">
        <f t="shared" si="183"/>
        <v>0.52787927874817042</v>
      </c>
      <c r="G3963" s="12">
        <f>EXP(-Assumptions!$B$8*B3963)</f>
        <v>0.13841484223031675</v>
      </c>
      <c r="H3963" s="12">
        <f t="shared" si="184"/>
        <v>4.2248855656336771E-2</v>
      </c>
      <c r="I3963" s="12">
        <f t="shared" si="185"/>
        <v>2.3099659489398572E-2</v>
      </c>
      <c r="J3963" s="12">
        <f>G3963*(D3963*Assumptions!$B$6+E3963*Assumptions!$B$7)</f>
        <v>1.5774715310332961E-3</v>
      </c>
    </row>
    <row r="3964" spans="1:10" x14ac:dyDescent="0.2">
      <c r="A3964" s="2">
        <v>3956</v>
      </c>
      <c r="B3964" s="14">
        <f>A3964*Assumptions!$B$12</f>
        <v>39.56</v>
      </c>
      <c r="C3964" s="15">
        <f>IF(A3964&lt;=Assumptions!$B$13,IF(OR(A3964=0,A3964=Assumptions!$B$13),0.5,1),0)*Assumptions!$B$12</f>
        <v>0</v>
      </c>
      <c r="D3964" s="12">
        <f>D3963*(1-Assumptions!$B$12*(Assumptions!$B$5+Assumptions!$B$6))</f>
        <v>0.3051419943054991</v>
      </c>
      <c r="E3964" s="12">
        <f>E3963+Assumptions!$B$12*(D3963*Assumptions!$B$5-E3963*Assumptions!$B$7)</f>
        <v>0.16686476001145448</v>
      </c>
      <c r="F3964" s="12">
        <f t="shared" si="183"/>
        <v>0.5279932456830464</v>
      </c>
      <c r="G3964" s="12">
        <f>EXP(-Assumptions!$B$8*B3964)</f>
        <v>0.13834565210817359</v>
      </c>
      <c r="H3964" s="12">
        <f t="shared" si="184"/>
        <v>4.2215068187782867E-2</v>
      </c>
      <c r="I3964" s="12">
        <f t="shared" si="185"/>
        <v>2.3085014037658558E-2</v>
      </c>
      <c r="J3964" s="12">
        <f>G3964*(D3964*Assumptions!$B$6+E3964*Assumptions!$B$7)</f>
        <v>1.5764013837607565E-3</v>
      </c>
    </row>
    <row r="3965" spans="1:10" x14ac:dyDescent="0.2">
      <c r="A3965" s="2">
        <v>3957</v>
      </c>
      <c r="B3965" s="14">
        <f>A3965*Assumptions!$B$12</f>
        <v>39.57</v>
      </c>
      <c r="C3965" s="15">
        <f>IF(A3965&lt;=Assumptions!$B$13,IF(OR(A3965=0,A3965=Assumptions!$B$13),0.5,1),0)*Assumptions!$B$12</f>
        <v>0</v>
      </c>
      <c r="D3965" s="12">
        <f>D3964*(1-Assumptions!$B$12*(Assumptions!$B$5+Assumptions!$B$6))</f>
        <v>0.30505045170720746</v>
      </c>
      <c r="E3965" s="12">
        <f>E3964+Assumptions!$B$12*(D3964*Assumptions!$B$5-E3964*Assumptions!$B$7)</f>
        <v>0.16684235603030986</v>
      </c>
      <c r="F3965" s="12">
        <f t="shared" si="183"/>
        <v>0.52810719226248271</v>
      </c>
      <c r="G3965" s="12">
        <f>EXP(-Assumptions!$B$8*B3965)</f>
        <v>0.13827649657244417</v>
      </c>
      <c r="H3965" s="12">
        <f t="shared" si="184"/>
        <v>4.2181307739914221E-2</v>
      </c>
      <c r="I3965" s="12">
        <f t="shared" si="185"/>
        <v>2.3070376471763653E-2</v>
      </c>
      <c r="J3965" s="12">
        <f>G3965*(D3965*Assumptions!$B$6+E3965*Assumptions!$B$7)</f>
        <v>1.575331900987325E-3</v>
      </c>
    </row>
    <row r="3966" spans="1:10" x14ac:dyDescent="0.2">
      <c r="A3966" s="2">
        <v>3958</v>
      </c>
      <c r="B3966" s="14">
        <f>A3966*Assumptions!$B$12</f>
        <v>39.58</v>
      </c>
      <c r="C3966" s="15">
        <f>IF(A3966&lt;=Assumptions!$B$13,IF(OR(A3966=0,A3966=Assumptions!$B$13),0.5,1),0)*Assumptions!$B$12</f>
        <v>0</v>
      </c>
      <c r="D3966" s="12">
        <f>D3965*(1-Assumptions!$B$12*(Assumptions!$B$5+Assumptions!$B$6))</f>
        <v>0.30495893657169532</v>
      </c>
      <c r="E3966" s="12">
        <f>E3965+Assumptions!$B$12*(D3965*Assumptions!$B$5-E3965*Assumptions!$B$7)</f>
        <v>0.16681994494263616</v>
      </c>
      <c r="F3966" s="12">
        <f t="shared" si="183"/>
        <v>0.52822111848566844</v>
      </c>
      <c r="G3966" s="12">
        <f>EXP(-Assumptions!$B$8*B3966)</f>
        <v>0.13820737560583965</v>
      </c>
      <c r="H3966" s="12">
        <f t="shared" si="184"/>
        <v>4.2147574291121724E-2</v>
      </c>
      <c r="I3966" s="12">
        <f t="shared" si="185"/>
        <v>2.3055746789232407E-2</v>
      </c>
      <c r="J3966" s="12">
        <f>G3966*(D3966*Assumptions!$B$6+E3966*Assumptions!$B$7)</f>
        <v>1.5742630823728377E-3</v>
      </c>
    </row>
    <row r="3967" spans="1:10" x14ac:dyDescent="0.2">
      <c r="A3967" s="2">
        <v>3959</v>
      </c>
      <c r="B3967" s="14">
        <f>A3967*Assumptions!$B$12</f>
        <v>39.590000000000003</v>
      </c>
      <c r="C3967" s="15">
        <f>IF(A3967&lt;=Assumptions!$B$13,IF(OR(A3967=0,A3967=Assumptions!$B$13),0.5,1),0)*Assumptions!$B$12</f>
        <v>0</v>
      </c>
      <c r="D3967" s="12">
        <f>D3966*(1-Assumptions!$B$12*(Assumptions!$B$5+Assumptions!$B$6))</f>
        <v>0.30486744889072381</v>
      </c>
      <c r="E3967" s="12">
        <f>E3966+Assumptions!$B$12*(D3966*Assumptions!$B$5-E3966*Assumptions!$B$7)</f>
        <v>0.16679752675747919</v>
      </c>
      <c r="F3967" s="12">
        <f t="shared" si="183"/>
        <v>0.52833502435179702</v>
      </c>
      <c r="G3967" s="12">
        <f>EXP(-Assumptions!$B$8*B3967)</f>
        <v>0.13813828919107968</v>
      </c>
      <c r="H3967" s="12">
        <f t="shared" si="184"/>
        <v>4.2113867819813508E-2</v>
      </c>
      <c r="I3967" s="12">
        <f t="shared" si="185"/>
        <v>2.3041124987581513E-2</v>
      </c>
      <c r="J3967" s="12">
        <f>G3967*(D3967*Assumptions!$B$6+E3967*Assumptions!$B$7)</f>
        <v>1.5731949275772108E-3</v>
      </c>
    </row>
    <row r="3968" spans="1:10" x14ac:dyDescent="0.2">
      <c r="A3968" s="2">
        <v>3960</v>
      </c>
      <c r="B3968" s="14">
        <f>A3968*Assumptions!$B$12</f>
        <v>39.6</v>
      </c>
      <c r="C3968" s="15">
        <f>IF(A3968&lt;=Assumptions!$B$13,IF(OR(A3968=0,A3968=Assumptions!$B$13),0.5,1),0)*Assumptions!$B$12</f>
        <v>0</v>
      </c>
      <c r="D3968" s="12">
        <f>D3967*(1-Assumptions!$B$12*(Assumptions!$B$5+Assumptions!$B$6))</f>
        <v>0.3047759886560566</v>
      </c>
      <c r="E3968" s="12">
        <f>E3967+Assumptions!$B$12*(D3967*Assumptions!$B$5-E3967*Assumptions!$B$7)</f>
        <v>0.16677510148387859</v>
      </c>
      <c r="F3968" s="12">
        <f t="shared" si="183"/>
        <v>0.52844890986006487</v>
      </c>
      <c r="G3968" s="12">
        <f>EXP(-Assumptions!$B$8*B3968)</f>
        <v>0.1380692373108928</v>
      </c>
      <c r="H3968" s="12">
        <f t="shared" si="184"/>
        <v>4.2080188304415046E-2</v>
      </c>
      <c r="I3968" s="12">
        <f t="shared" si="185"/>
        <v>2.302651106432586E-2</v>
      </c>
      <c r="J3968" s="12">
        <f>G3968*(D3968*Assumptions!$B$6+E3968*Assumptions!$B$7)</f>
        <v>1.5721274362604438E-3</v>
      </c>
    </row>
    <row r="3969" spans="1:10" x14ac:dyDescent="0.2">
      <c r="A3969" s="2">
        <v>3961</v>
      </c>
      <c r="B3969" s="14">
        <f>A3969*Assumptions!$B$12</f>
        <v>39.61</v>
      </c>
      <c r="C3969" s="15">
        <f>IF(A3969&lt;=Assumptions!$B$13,IF(OR(A3969=0,A3969=Assumptions!$B$13),0.5,1),0)*Assumptions!$B$12</f>
        <v>0</v>
      </c>
      <c r="D3969" s="12">
        <f>D3968*(1-Assumptions!$B$12*(Assumptions!$B$5+Assumptions!$B$6))</f>
        <v>0.3046845558594598</v>
      </c>
      <c r="E3969" s="12">
        <f>E3968+Assumptions!$B$12*(D3968*Assumptions!$B$5-E3968*Assumptions!$B$7)</f>
        <v>0.16675266913086786</v>
      </c>
      <c r="F3969" s="12">
        <f t="shared" si="183"/>
        <v>0.52856277500967241</v>
      </c>
      <c r="G3969" s="12">
        <f>EXP(-Assumptions!$B$8*B3969)</f>
        <v>0.13800021994801592</v>
      </c>
      <c r="H3969" s="12">
        <f t="shared" si="184"/>
        <v>4.2046535723369E-2</v>
      </c>
      <c r="I3969" s="12">
        <f t="shared" si="185"/>
        <v>2.3011905016978491E-2</v>
      </c>
      <c r="J3969" s="12">
        <f>G3969*(D3969*Assumptions!$B$6+E3969*Assumptions!$B$7)</f>
        <v>1.5710606080826144E-3</v>
      </c>
    </row>
    <row r="3970" spans="1:10" x14ac:dyDescent="0.2">
      <c r="A3970" s="2">
        <v>3962</v>
      </c>
      <c r="B3970" s="14">
        <f>A3970*Assumptions!$B$12</f>
        <v>39.619999999999997</v>
      </c>
      <c r="C3970" s="15">
        <f>IF(A3970&lt;=Assumptions!$B$13,IF(OR(A3970=0,A3970=Assumptions!$B$13),0.5,1),0)*Assumptions!$B$12</f>
        <v>0</v>
      </c>
      <c r="D3970" s="12">
        <f>D3969*(1-Assumptions!$B$12*(Assumptions!$B$5+Assumptions!$B$6))</f>
        <v>0.30459315049270197</v>
      </c>
      <c r="E3970" s="12">
        <f>E3969+Assumptions!$B$12*(D3969*Assumptions!$B$5-E3969*Assumptions!$B$7)</f>
        <v>0.16673022970747431</v>
      </c>
      <c r="F3970" s="12">
        <f t="shared" si="183"/>
        <v>0.52867661979982372</v>
      </c>
      <c r="G3970" s="12">
        <f>EXP(-Assumptions!$B$8*B3970)</f>
        <v>0.13793123708519481</v>
      </c>
      <c r="H3970" s="12">
        <f t="shared" si="184"/>
        <v>4.20129100551353E-2</v>
      </c>
      <c r="I3970" s="12">
        <f t="shared" si="185"/>
        <v>2.2997306843050628E-2</v>
      </c>
      <c r="J3970" s="12">
        <f>G3970*(D3970*Assumptions!$B$6+E3970*Assumptions!$B$7)</f>
        <v>1.5699944427038847E-3</v>
      </c>
    </row>
    <row r="3971" spans="1:10" x14ac:dyDescent="0.2">
      <c r="A3971" s="2">
        <v>3963</v>
      </c>
      <c r="B3971" s="14">
        <f>A3971*Assumptions!$B$12</f>
        <v>39.630000000000003</v>
      </c>
      <c r="C3971" s="15">
        <f>IF(A3971&lt;=Assumptions!$B$13,IF(OR(A3971=0,A3971=Assumptions!$B$13),0.5,1),0)*Assumptions!$B$12</f>
        <v>0</v>
      </c>
      <c r="D3971" s="12">
        <f>D3970*(1-Assumptions!$B$12*(Assumptions!$B$5+Assumptions!$B$6))</f>
        <v>0.30450177254755417</v>
      </c>
      <c r="E3971" s="12">
        <f>E3970+Assumptions!$B$12*(D3970*Assumptions!$B$5-E3970*Assumptions!$B$7)</f>
        <v>0.16670778322271912</v>
      </c>
      <c r="F3971" s="12">
        <f t="shared" si="183"/>
        <v>0.52879044422972665</v>
      </c>
      <c r="G3971" s="12">
        <f>EXP(-Assumptions!$B$8*B3971)</f>
        <v>0.13786228870518358</v>
      </c>
      <c r="H3971" s="12">
        <f t="shared" si="184"/>
        <v>4.1979311278191059E-2</v>
      </c>
      <c r="I3971" s="12">
        <f t="shared" si="185"/>
        <v>2.2982716540051663E-2</v>
      </c>
      <c r="J3971" s="12">
        <f>G3971*(D3971*Assumptions!$B$6+E3971*Assumptions!$B$7)</f>
        <v>1.5689289397844935E-3</v>
      </c>
    </row>
    <row r="3972" spans="1:10" x14ac:dyDescent="0.2">
      <c r="A3972" s="2">
        <v>3964</v>
      </c>
      <c r="B3972" s="14">
        <f>A3972*Assumptions!$B$12</f>
        <v>39.64</v>
      </c>
      <c r="C3972" s="15">
        <f>IF(A3972&lt;=Assumptions!$B$13,IF(OR(A3972=0,A3972=Assumptions!$B$13),0.5,1),0)*Assumptions!$B$12</f>
        <v>0</v>
      </c>
      <c r="D3972" s="12">
        <f>D3971*(1-Assumptions!$B$12*(Assumptions!$B$5+Assumptions!$B$6))</f>
        <v>0.30441042201578994</v>
      </c>
      <c r="E3972" s="12">
        <f>E3971+Assumptions!$B$12*(D3971*Assumptions!$B$5-E3971*Assumptions!$B$7)</f>
        <v>0.16668532968561728</v>
      </c>
      <c r="F3972" s="12">
        <f t="shared" si="183"/>
        <v>0.52890424829859284</v>
      </c>
      <c r="G3972" s="12">
        <f>EXP(-Assumptions!$B$8*B3972)</f>
        <v>0.1377933747907453</v>
      </c>
      <c r="H3972" s="12">
        <f t="shared" si="184"/>
        <v>4.1945739371030688E-2</v>
      </c>
      <c r="I3972" s="12">
        <f t="shared" si="185"/>
        <v>2.2968134105489205E-2</v>
      </c>
      <c r="J3972" s="12">
        <f>G3972*(D3972*Assumptions!$B$6+E3972*Assumptions!$B$7)</f>
        <v>1.567864098984767E-3</v>
      </c>
    </row>
    <row r="3973" spans="1:10" x14ac:dyDescent="0.2">
      <c r="A3973" s="2">
        <v>3965</v>
      </c>
      <c r="B3973" s="14">
        <f>A3973*Assumptions!$B$12</f>
        <v>39.65</v>
      </c>
      <c r="C3973" s="15">
        <f>IF(A3973&lt;=Assumptions!$B$13,IF(OR(A3973=0,A3973=Assumptions!$B$13),0.5,1),0)*Assumptions!$B$12</f>
        <v>0</v>
      </c>
      <c r="D3973" s="12">
        <f>D3972*(1-Assumptions!$B$12*(Assumptions!$B$5+Assumptions!$B$6))</f>
        <v>0.30431909888918524</v>
      </c>
      <c r="E3973" s="12">
        <f>E3972+Assumptions!$B$12*(D3972*Assumptions!$B$5-E3972*Assumptions!$B$7)</f>
        <v>0.16666286910517764</v>
      </c>
      <c r="F3973" s="12">
        <f t="shared" si="183"/>
        <v>0.52901803200563702</v>
      </c>
      <c r="G3973" s="12">
        <f>EXP(-Assumptions!$B$8*B3973)</f>
        <v>0.1377244953246515</v>
      </c>
      <c r="H3973" s="12">
        <f t="shared" si="184"/>
        <v>4.1912194312165751E-2</v>
      </c>
      <c r="I3973" s="12">
        <f t="shared" si="185"/>
        <v>2.2953559536869044E-2</v>
      </c>
      <c r="J3973" s="12">
        <f>G3973*(D3973*Assumptions!$B$6+E3973*Assumptions!$B$7)</f>
        <v>1.5667999199651097E-3</v>
      </c>
    </row>
    <row r="3974" spans="1:10" x14ac:dyDescent="0.2">
      <c r="A3974" s="2">
        <v>3966</v>
      </c>
      <c r="B3974" s="14">
        <f>A3974*Assumptions!$B$12</f>
        <v>39.660000000000004</v>
      </c>
      <c r="C3974" s="15">
        <f>IF(A3974&lt;=Assumptions!$B$13,IF(OR(A3974=0,A3974=Assumptions!$B$13),0.5,1),0)*Assumptions!$B$12</f>
        <v>0</v>
      </c>
      <c r="D3974" s="12">
        <f>D3973*(1-Assumptions!$B$12*(Assumptions!$B$5+Assumptions!$B$6))</f>
        <v>0.30422780315951847</v>
      </c>
      <c r="E3974" s="12">
        <f>E3973+Assumptions!$B$12*(D3973*Assumptions!$B$5-E3973*Assumptions!$B$7)</f>
        <v>0.16664040149040288</v>
      </c>
      <c r="F3974" s="12">
        <f t="shared" si="183"/>
        <v>0.5291317953500787</v>
      </c>
      <c r="G3974" s="12">
        <f>EXP(-Assumptions!$B$8*B3974)</f>
        <v>0.13765565028968213</v>
      </c>
      <c r="H3974" s="12">
        <f t="shared" si="184"/>
        <v>4.1878676080124924E-2</v>
      </c>
      <c r="I3974" s="12">
        <f t="shared" si="185"/>
        <v>2.2938992831695124E-2</v>
      </c>
      <c r="J3974" s="12">
        <f>G3974*(D3974*Assumptions!$B$6+E3974*Assumptions!$B$7)</f>
        <v>1.5657364023860057E-3</v>
      </c>
    </row>
    <row r="3975" spans="1:10" x14ac:dyDescent="0.2">
      <c r="A3975" s="2">
        <v>3967</v>
      </c>
      <c r="B3975" s="14">
        <f>A3975*Assumptions!$B$12</f>
        <v>39.67</v>
      </c>
      <c r="C3975" s="15">
        <f>IF(A3975&lt;=Assumptions!$B$13,IF(OR(A3975=0,A3975=Assumptions!$B$13),0.5,1),0)*Assumptions!$B$12</f>
        <v>0</v>
      </c>
      <c r="D3975" s="12">
        <f>D3974*(1-Assumptions!$B$12*(Assumptions!$B$5+Assumptions!$B$6))</f>
        <v>0.30413653481857061</v>
      </c>
      <c r="E3975" s="12">
        <f>E3974+Assumptions!$B$12*(D3974*Assumptions!$B$5-E3974*Assumptions!$B$7)</f>
        <v>0.16661792685028959</v>
      </c>
      <c r="F3975" s="12">
        <f t="shared" si="183"/>
        <v>0.52924553833113985</v>
      </c>
      <c r="G3975" s="12">
        <f>EXP(-Assumptions!$B$8*B3975)</f>
        <v>0.13758683966862612</v>
      </c>
      <c r="H3975" s="12">
        <f t="shared" si="184"/>
        <v>4.1845184653454201E-2</v>
      </c>
      <c r="I3975" s="12">
        <f t="shared" si="185"/>
        <v>2.292443398746967E-2</v>
      </c>
      <c r="J3975" s="12">
        <f>G3975*(D3975*Assumptions!$B$6+E3975*Assumptions!$B$7)</f>
        <v>1.5646735459080255E-3</v>
      </c>
    </row>
    <row r="3976" spans="1:10" x14ac:dyDescent="0.2">
      <c r="A3976" s="2">
        <v>3968</v>
      </c>
      <c r="B3976" s="14">
        <f>A3976*Assumptions!$B$12</f>
        <v>39.68</v>
      </c>
      <c r="C3976" s="15">
        <f>IF(A3976&lt;=Assumptions!$B$13,IF(OR(A3976=0,A3976=Assumptions!$B$13),0.5,1),0)*Assumptions!$B$12</f>
        <v>0</v>
      </c>
      <c r="D3976" s="12">
        <f>D3975*(1-Assumptions!$B$12*(Assumptions!$B$5+Assumptions!$B$6))</f>
        <v>0.30404529385812507</v>
      </c>
      <c r="E3976" s="12">
        <f>E3975+Assumptions!$B$12*(D3975*Assumptions!$B$5-E3975*Assumptions!$B$7)</f>
        <v>0.16659544519382816</v>
      </c>
      <c r="F3976" s="12">
        <f t="shared" ref="F3976:F4039" si="186">1-D3976-E3976</f>
        <v>0.52935926094804675</v>
      </c>
      <c r="G3976" s="12">
        <f>EXP(-Assumptions!$B$8*B3976)</f>
        <v>0.13751806344428075</v>
      </c>
      <c r="H3976" s="12">
        <f t="shared" ref="H3976:H4039" si="187">G3976*D3976</f>
        <v>4.1811720010716626E-2</v>
      </c>
      <c r="I3976" s="12">
        <f t="shared" ref="I3976:I4008" si="188">G3976*E3976</f>
        <v>2.2909883001693058E-2</v>
      </c>
      <c r="J3976" s="12">
        <f>G3976*(D3976*Assumptions!$B$6+E3976*Assumptions!$B$7)</f>
        <v>1.5636113501918192E-3</v>
      </c>
    </row>
    <row r="3977" spans="1:10" x14ac:dyDescent="0.2">
      <c r="A3977" s="2">
        <v>3969</v>
      </c>
      <c r="B3977" s="14">
        <f>A3977*Assumptions!$B$12</f>
        <v>39.69</v>
      </c>
      <c r="C3977" s="15">
        <f>IF(A3977&lt;=Assumptions!$B$13,IF(OR(A3977=0,A3977=Assumptions!$B$13),0.5,1),0)*Assumptions!$B$12</f>
        <v>0</v>
      </c>
      <c r="D3977" s="12">
        <f>D3976*(1-Assumptions!$B$12*(Assumptions!$B$5+Assumptions!$B$6))</f>
        <v>0.30395408026996762</v>
      </c>
      <c r="E3977" s="12">
        <f>E3976+Assumptions!$B$12*(D3976*Assumptions!$B$5-E3976*Assumptions!$B$7)</f>
        <v>0.16657295653000287</v>
      </c>
      <c r="F3977" s="12">
        <f t="shared" si="186"/>
        <v>0.52947296320002946</v>
      </c>
      <c r="G3977" s="12">
        <f>EXP(-Assumptions!$B$8*B3977)</f>
        <v>0.13744932159945195</v>
      </c>
      <c r="H3977" s="12">
        <f t="shared" si="187"/>
        <v>4.1778282130492408E-2</v>
      </c>
      <c r="I3977" s="12">
        <f t="shared" si="188"/>
        <v>2.2895339871863894E-2</v>
      </c>
      <c r="J3977" s="12">
        <f>G3977*(D3977*Assumptions!$B$6+E3977*Assumptions!$B$7)</f>
        <v>1.5625498148981189E-3</v>
      </c>
    </row>
    <row r="3978" spans="1:10" x14ac:dyDescent="0.2">
      <c r="A3978" s="2">
        <v>3970</v>
      </c>
      <c r="B3978" s="14">
        <f>A3978*Assumptions!$B$12</f>
        <v>39.700000000000003</v>
      </c>
      <c r="C3978" s="15">
        <f>IF(A3978&lt;=Assumptions!$B$13,IF(OR(A3978=0,A3978=Assumptions!$B$13),0.5,1),0)*Assumptions!$B$12</f>
        <v>0</v>
      </c>
      <c r="D3978" s="12">
        <f>D3977*(1-Assumptions!$B$12*(Assumptions!$B$5+Assumptions!$B$6))</f>
        <v>0.30386289404588662</v>
      </c>
      <c r="E3978" s="12">
        <f>E3977+Assumptions!$B$12*(D3977*Assumptions!$B$5-E3977*Assumptions!$B$7)</f>
        <v>0.16655046086779185</v>
      </c>
      <c r="F3978" s="12">
        <f t="shared" si="186"/>
        <v>0.52958664508632158</v>
      </c>
      <c r="G3978" s="12">
        <f>EXP(-Assumptions!$B$8*B3978)</f>
        <v>0.13738061411695421</v>
      </c>
      <c r="H3978" s="12">
        <f t="shared" si="187"/>
        <v>4.1744870991378892E-2</v>
      </c>
      <c r="I3978" s="12">
        <f t="shared" si="188"/>
        <v>2.2880804595478994E-2</v>
      </c>
      <c r="J3978" s="12">
        <f>G3978*(D3978*Assumptions!$B$6+E3978*Assumptions!$B$7)</f>
        <v>1.5614889396877386E-3</v>
      </c>
    </row>
    <row r="3979" spans="1:10" x14ac:dyDescent="0.2">
      <c r="A3979" s="2">
        <v>3971</v>
      </c>
      <c r="B3979" s="14">
        <f>A3979*Assumptions!$B$12</f>
        <v>39.71</v>
      </c>
      <c r="C3979" s="15">
        <f>IF(A3979&lt;=Assumptions!$B$13,IF(OR(A3979=0,A3979=Assumptions!$B$13),0.5,1),0)*Assumptions!$B$12</f>
        <v>0</v>
      </c>
      <c r="D3979" s="12">
        <f>D3978*(1-Assumptions!$B$12*(Assumptions!$B$5+Assumptions!$B$6))</f>
        <v>0.30377173517767286</v>
      </c>
      <c r="E3979" s="12">
        <f>E3978+Assumptions!$B$12*(D3978*Assumptions!$B$5-E3978*Assumptions!$B$7)</f>
        <v>0.16652795821616714</v>
      </c>
      <c r="F3979" s="12">
        <f t="shared" si="186"/>
        <v>0.52970030660615997</v>
      </c>
      <c r="G3979" s="12">
        <f>EXP(-Assumptions!$B$8*B3979)</f>
        <v>0.1373119409796108</v>
      </c>
      <c r="H3979" s="12">
        <f t="shared" si="187"/>
        <v>4.1711486571990579E-2</v>
      </c>
      <c r="I3979" s="12">
        <f t="shared" si="188"/>
        <v>2.2866277170033436E-2</v>
      </c>
      <c r="J3979" s="12">
        <f>G3979*(D3979*Assumptions!$B$6+E3979*Assumptions!$B$7)</f>
        <v>1.5604287242215774E-3</v>
      </c>
    </row>
    <row r="3980" spans="1:10" x14ac:dyDescent="0.2">
      <c r="A3980" s="2">
        <v>3972</v>
      </c>
      <c r="B3980" s="14">
        <f>A3980*Assumptions!$B$12</f>
        <v>39.72</v>
      </c>
      <c r="C3980" s="15">
        <f>IF(A3980&lt;=Assumptions!$B$13,IF(OR(A3980=0,A3980=Assumptions!$B$13),0.5,1),0)*Assumptions!$B$12</f>
        <v>0</v>
      </c>
      <c r="D3980" s="12">
        <f>D3979*(1-Assumptions!$B$12*(Assumptions!$B$5+Assumptions!$B$6))</f>
        <v>0.30368060365711957</v>
      </c>
      <c r="E3980" s="12">
        <f>E3979+Assumptions!$B$12*(D3979*Assumptions!$B$5-E3979*Assumptions!$B$7)</f>
        <v>0.16650544858409461</v>
      </c>
      <c r="F3980" s="12">
        <f t="shared" si="186"/>
        <v>0.52981394775878576</v>
      </c>
      <c r="G3980" s="12">
        <f>EXP(-Assumptions!$B$8*B3980)</f>
        <v>0.13724330217025332</v>
      </c>
      <c r="H3980" s="12">
        <f t="shared" si="187"/>
        <v>4.1678128850958999E-2</v>
      </c>
      <c r="I3980" s="12">
        <f t="shared" si="188"/>
        <v>2.2851757593020473E-2</v>
      </c>
      <c r="J3980" s="12">
        <f>G3980*(D3980*Assumptions!$B$6+E3980*Assumptions!$B$7)</f>
        <v>1.5593691681606136E-3</v>
      </c>
    </row>
    <row r="3981" spans="1:10" x14ac:dyDescent="0.2">
      <c r="A3981" s="2">
        <v>3973</v>
      </c>
      <c r="B3981" s="14">
        <f>A3981*Assumptions!$B$12</f>
        <v>39.730000000000004</v>
      </c>
      <c r="C3981" s="15">
        <f>IF(A3981&lt;=Assumptions!$B$13,IF(OR(A3981=0,A3981=Assumptions!$B$13),0.5,1),0)*Assumptions!$B$12</f>
        <v>0</v>
      </c>
      <c r="D3981" s="12">
        <f>D3980*(1-Assumptions!$B$12*(Assumptions!$B$5+Assumptions!$B$6))</f>
        <v>0.30358949947602243</v>
      </c>
      <c r="E3981" s="12">
        <f>E3980+Assumptions!$B$12*(D3980*Assumptions!$B$5-E3980*Assumptions!$B$7)</f>
        <v>0.16648293198053399</v>
      </c>
      <c r="F3981" s="12">
        <f t="shared" si="186"/>
        <v>0.52992756854344358</v>
      </c>
      <c r="G3981" s="12">
        <f>EXP(-Assumptions!$B$8*B3981)</f>
        <v>0.13717469767172202</v>
      </c>
      <c r="H3981" s="12">
        <f t="shared" si="187"/>
        <v>4.1644797806932789E-2</v>
      </c>
      <c r="I3981" s="12">
        <f t="shared" si="188"/>
        <v>2.2837245861931612E-2</v>
      </c>
      <c r="J3981" s="12">
        <f>G3981*(D3981*Assumptions!$B$6+E3981*Assumptions!$B$7)</f>
        <v>1.5583102711659086E-3</v>
      </c>
    </row>
    <row r="3982" spans="1:10" x14ac:dyDescent="0.2">
      <c r="A3982" s="2">
        <v>3974</v>
      </c>
      <c r="B3982" s="14">
        <f>A3982*Assumptions!$B$12</f>
        <v>39.74</v>
      </c>
      <c r="C3982" s="15">
        <f>IF(A3982&lt;=Assumptions!$B$13,IF(OR(A3982=0,A3982=Assumptions!$B$13),0.5,1),0)*Assumptions!$B$12</f>
        <v>0</v>
      </c>
      <c r="D3982" s="12">
        <f>D3981*(1-Assumptions!$B$12*(Assumptions!$B$5+Assumptions!$B$6))</f>
        <v>0.30349842262617965</v>
      </c>
      <c r="E3982" s="12">
        <f>E3981+Assumptions!$B$12*(D3981*Assumptions!$B$5-E3981*Assumptions!$B$7)</f>
        <v>0.16646040841443893</v>
      </c>
      <c r="F3982" s="12">
        <f t="shared" si="186"/>
        <v>0.53004116895938136</v>
      </c>
      <c r="G3982" s="12">
        <f>EXP(-Assumptions!$B$8*B3982)</f>
        <v>0.13710612746686596</v>
      </c>
      <c r="H3982" s="12">
        <f t="shared" si="187"/>
        <v>4.1611493418577741E-2</v>
      </c>
      <c r="I3982" s="12">
        <f t="shared" si="188"/>
        <v>2.2822741974256631E-2</v>
      </c>
      <c r="J3982" s="12">
        <f>G3982*(D3982*Assumptions!$B$6+E3982*Assumptions!$B$7)</f>
        <v>1.557252032898609E-3</v>
      </c>
    </row>
    <row r="3983" spans="1:10" x14ac:dyDescent="0.2">
      <c r="A3983" s="2">
        <v>3975</v>
      </c>
      <c r="B3983" s="14">
        <f>A3983*Assumptions!$B$12</f>
        <v>39.75</v>
      </c>
      <c r="C3983" s="15">
        <f>IF(A3983&lt;=Assumptions!$B$13,IF(OR(A3983=0,A3983=Assumptions!$B$13),0.5,1),0)*Assumptions!$B$12</f>
        <v>0</v>
      </c>
      <c r="D3983" s="12">
        <f>D3982*(1-Assumptions!$B$12*(Assumptions!$B$5+Assumptions!$B$6))</f>
        <v>0.30340737309939181</v>
      </c>
      <c r="E3983" s="12">
        <f>E3982+Assumptions!$B$12*(D3982*Assumptions!$B$5-E3982*Assumptions!$B$7)</f>
        <v>0.16643787789475695</v>
      </c>
      <c r="F3983" s="12">
        <f t="shared" si="186"/>
        <v>0.53015474900585124</v>
      </c>
      <c r="G3983" s="12">
        <f>EXP(-Assumptions!$B$8*B3983)</f>
        <v>0.13703759153854245</v>
      </c>
      <c r="H3983" s="12">
        <f t="shared" si="187"/>
        <v>4.1578215664576604E-2</v>
      </c>
      <c r="I3983" s="12">
        <f t="shared" si="188"/>
        <v>2.2808245927483504E-2</v>
      </c>
      <c r="J3983" s="12">
        <f>G3983*(D3983*Assumptions!$B$6+E3983*Assumptions!$B$7)</f>
        <v>1.5561944530199415E-3</v>
      </c>
    </row>
    <row r="3984" spans="1:10" x14ac:dyDescent="0.2">
      <c r="A3984" s="2">
        <v>3976</v>
      </c>
      <c r="B3984" s="14">
        <f>A3984*Assumptions!$B$12</f>
        <v>39.76</v>
      </c>
      <c r="C3984" s="15">
        <f>IF(A3984&lt;=Assumptions!$B$13,IF(OR(A3984=0,A3984=Assumptions!$B$13),0.5,1),0)*Assumptions!$B$12</f>
        <v>0</v>
      </c>
      <c r="D3984" s="12">
        <f>D3983*(1-Assumptions!$B$12*(Assumptions!$B$5+Assumptions!$B$6))</f>
        <v>0.30331635088746201</v>
      </c>
      <c r="E3984" s="12">
        <f>E3983+Assumptions!$B$12*(D3983*Assumptions!$B$5-E3983*Assumptions!$B$7)</f>
        <v>0.16641534043042944</v>
      </c>
      <c r="F3984" s="12">
        <f t="shared" si="186"/>
        <v>0.5302683086821085</v>
      </c>
      <c r="G3984" s="12">
        <f>EXP(-Assumptions!$B$8*B3984)</f>
        <v>0.13696908986961753</v>
      </c>
      <c r="H3984" s="12">
        <f t="shared" si="187"/>
        <v>4.1544964523629227E-2</v>
      </c>
      <c r="I3984" s="12">
        <f t="shared" si="188"/>
        <v>2.2793757719098487E-2</v>
      </c>
      <c r="J3984" s="12">
        <f>G3984*(D3984*Assumptions!$B$6+E3984*Assumptions!$B$7)</f>
        <v>1.5551375311912165E-3</v>
      </c>
    </row>
    <row r="3985" spans="1:10" x14ac:dyDescent="0.2">
      <c r="A3985" s="2">
        <v>3977</v>
      </c>
      <c r="B3985" s="14">
        <f>A3985*Assumptions!$B$12</f>
        <v>39.770000000000003</v>
      </c>
      <c r="C3985" s="15">
        <f>IF(A3985&lt;=Assumptions!$B$13,IF(OR(A3985=0,A3985=Assumptions!$B$13),0.5,1),0)*Assumptions!$B$12</f>
        <v>0</v>
      </c>
      <c r="D3985" s="12">
        <f>D3984*(1-Assumptions!$B$12*(Assumptions!$B$5+Assumptions!$B$6))</f>
        <v>0.3032253559821958</v>
      </c>
      <c r="E3985" s="12">
        <f>E3984+Assumptions!$B$12*(D3984*Assumptions!$B$5-E3984*Assumptions!$B$7)</f>
        <v>0.16639279603039173</v>
      </c>
      <c r="F3985" s="12">
        <f t="shared" si="186"/>
        <v>0.5303818479874125</v>
      </c>
      <c r="G3985" s="12">
        <f>EXP(-Assumptions!$B$8*B3985)</f>
        <v>0.13690062244296577</v>
      </c>
      <c r="H3985" s="12">
        <f t="shared" si="187"/>
        <v>4.1511739974452483E-2</v>
      </c>
      <c r="I3985" s="12">
        <f t="shared" si="188"/>
        <v>2.2779277346586073E-2</v>
      </c>
      <c r="J3985" s="12">
        <f>G3985*(D3985*Assumptions!$B$6+E3985*Assumptions!$B$7)</f>
        <v>1.5540812670738285E-3</v>
      </c>
    </row>
    <row r="3986" spans="1:10" x14ac:dyDescent="0.2">
      <c r="A3986" s="2">
        <v>3978</v>
      </c>
      <c r="B3986" s="14">
        <f>A3986*Assumptions!$B$12</f>
        <v>39.78</v>
      </c>
      <c r="C3986" s="15">
        <f>IF(A3986&lt;=Assumptions!$B$13,IF(OR(A3986=0,A3986=Assumptions!$B$13),0.5,1),0)*Assumptions!$B$12</f>
        <v>0</v>
      </c>
      <c r="D3986" s="12">
        <f>D3985*(1-Assumptions!$B$12*(Assumptions!$B$5+Assumptions!$B$6))</f>
        <v>0.30313438837540113</v>
      </c>
      <c r="E3986" s="12">
        <f>E3985+Assumptions!$B$12*(D3985*Assumptions!$B$5-E3985*Assumptions!$B$7)</f>
        <v>0.16637024470357298</v>
      </c>
      <c r="F3986" s="12">
        <f t="shared" si="186"/>
        <v>0.53049536692102583</v>
      </c>
      <c r="G3986" s="12">
        <f>EXP(-Assumptions!$B$8*B3986)</f>
        <v>0.13683218924147036</v>
      </c>
      <c r="H3986" s="12">
        <f t="shared" si="187"/>
        <v>4.1478541995780265E-2</v>
      </c>
      <c r="I3986" s="12">
        <f t="shared" si="188"/>
        <v>2.2764804807429029E-2</v>
      </c>
      <c r="J3986" s="12">
        <f>G3986*(D3986*Assumptions!$B$6+E3986*Assumptions!$B$7)</f>
        <v>1.5530256603292541E-3</v>
      </c>
    </row>
    <row r="3987" spans="1:10" x14ac:dyDescent="0.2">
      <c r="A3987" s="2">
        <v>3979</v>
      </c>
      <c r="B3987" s="14">
        <f>A3987*Assumptions!$B$12</f>
        <v>39.79</v>
      </c>
      <c r="C3987" s="15">
        <f>IF(A3987&lt;=Assumptions!$B$13,IF(OR(A3987=0,A3987=Assumptions!$B$13),0.5,1),0)*Assumptions!$B$12</f>
        <v>0</v>
      </c>
      <c r="D3987" s="12">
        <f>D3986*(1-Assumptions!$B$12*(Assumptions!$B$5+Assumptions!$B$6))</f>
        <v>0.3030434480588885</v>
      </c>
      <c r="E3987" s="12">
        <f>E3986+Assumptions!$B$12*(D3986*Assumptions!$B$5-E3986*Assumptions!$B$7)</f>
        <v>0.16634768645889628</v>
      </c>
      <c r="F3987" s="12">
        <f t="shared" si="186"/>
        <v>0.5306088654822152</v>
      </c>
      <c r="G3987" s="12">
        <f>EXP(-Assumptions!$B$8*B3987)</f>
        <v>0.13676379024802296</v>
      </c>
      <c r="H3987" s="12">
        <f t="shared" si="187"/>
        <v>4.1445370566363465E-2</v>
      </c>
      <c r="I3987" s="12">
        <f t="shared" si="188"/>
        <v>2.2750340099108379E-2</v>
      </c>
      <c r="J3987" s="12">
        <f>G3987*(D3987*Assumptions!$B$6+E3987*Assumptions!$B$7)</f>
        <v>1.5519707106190536E-3</v>
      </c>
    </row>
    <row r="3988" spans="1:10" x14ac:dyDescent="0.2">
      <c r="A3988" s="2">
        <v>3980</v>
      </c>
      <c r="B3988" s="14">
        <f>A3988*Assumptions!$B$12</f>
        <v>39.800000000000004</v>
      </c>
      <c r="C3988" s="15">
        <f>IF(A3988&lt;=Assumptions!$B$13,IF(OR(A3988=0,A3988=Assumptions!$B$13),0.5,1),0)*Assumptions!$B$12</f>
        <v>0</v>
      </c>
      <c r="D3988" s="12">
        <f>D3987*(1-Assumptions!$B$12*(Assumptions!$B$5+Assumptions!$B$6))</f>
        <v>0.30295253502447084</v>
      </c>
      <c r="E3988" s="12">
        <f>E3987+Assumptions!$B$12*(D3987*Assumptions!$B$5-E3987*Assumptions!$B$7)</f>
        <v>0.1663251213052786</v>
      </c>
      <c r="F3988" s="12">
        <f t="shared" si="186"/>
        <v>0.53072234367025062</v>
      </c>
      <c r="G3988" s="12">
        <f>EXP(-Assumptions!$B$8*B3988)</f>
        <v>0.13669542544552382</v>
      </c>
      <c r="H3988" s="12">
        <f t="shared" si="187"/>
        <v>4.141222566497E-2</v>
      </c>
      <c r="I3988" s="12">
        <f t="shared" si="188"/>
        <v>2.2735883219103418E-2</v>
      </c>
      <c r="J3988" s="12">
        <f>G3988*(D3988*Assumptions!$B$6+E3988*Assumptions!$B$7)</f>
        <v>1.5509164176048709E-3</v>
      </c>
    </row>
    <row r="3989" spans="1:10" x14ac:dyDescent="0.2">
      <c r="A3989" s="2">
        <v>3981</v>
      </c>
      <c r="B3989" s="14">
        <f>A3989*Assumptions!$B$12</f>
        <v>39.81</v>
      </c>
      <c r="C3989" s="15">
        <f>IF(A3989&lt;=Assumptions!$B$13,IF(OR(A3989=0,A3989=Assumptions!$B$13),0.5,1),0)*Assumptions!$B$12</f>
        <v>0</v>
      </c>
      <c r="D3989" s="12">
        <f>D3988*(1-Assumptions!$B$12*(Assumptions!$B$5+Assumptions!$B$6))</f>
        <v>0.30286164926396353</v>
      </c>
      <c r="E3989" s="12">
        <f>E3988+Assumptions!$B$12*(D3988*Assumptions!$B$5-E3988*Assumptions!$B$7)</f>
        <v>0.16630254925163085</v>
      </c>
      <c r="F3989" s="12">
        <f t="shared" si="186"/>
        <v>0.53083580148440568</v>
      </c>
      <c r="G3989" s="12">
        <f>EXP(-Assumptions!$B$8*B3989)</f>
        <v>0.13662709481688179</v>
      </c>
      <c r="H3989" s="12">
        <f t="shared" si="187"/>
        <v>4.1379107270384741E-2</v>
      </c>
      <c r="I3989" s="12">
        <f t="shared" si="188"/>
        <v>2.272143416489172E-2</v>
      </c>
      <c r="J3989" s="12">
        <f>G3989*(D3989*Assumptions!$B$6+E3989*Assumptions!$B$7)</f>
        <v>1.5498627809484335E-3</v>
      </c>
    </row>
    <row r="3990" spans="1:10" x14ac:dyDescent="0.2">
      <c r="A3990" s="2">
        <v>3982</v>
      </c>
      <c r="B3990" s="14">
        <f>A3990*Assumptions!$B$12</f>
        <v>39.82</v>
      </c>
      <c r="C3990" s="15">
        <f>IF(A3990&lt;=Assumptions!$B$13,IF(OR(A3990=0,A3990=Assumptions!$B$13),0.5,1),0)*Assumptions!$B$12</f>
        <v>0</v>
      </c>
      <c r="D3990" s="12">
        <f>D3989*(1-Assumptions!$B$12*(Assumptions!$B$5+Assumptions!$B$6))</f>
        <v>0.30277079076918434</v>
      </c>
      <c r="E3990" s="12">
        <f>E3989+Assumptions!$B$12*(D3989*Assumptions!$B$5-E3989*Assumptions!$B$7)</f>
        <v>0.16627997030685782</v>
      </c>
      <c r="F3990" s="12">
        <f t="shared" si="186"/>
        <v>0.53094923892395784</v>
      </c>
      <c r="G3990" s="12">
        <f>EXP(-Assumptions!$B$8*B3990)</f>
        <v>0.13655879834501417</v>
      </c>
      <c r="H3990" s="12">
        <f t="shared" si="187"/>
        <v>4.134601536140952E-2</v>
      </c>
      <c r="I3990" s="12">
        <f t="shared" si="188"/>
        <v>2.2706992933949139E-2</v>
      </c>
      <c r="J3990" s="12">
        <f>G3990*(D3990*Assumptions!$B$6+E3990*Assumptions!$B$7)</f>
        <v>1.5488098003115522E-3</v>
      </c>
    </row>
    <row r="3991" spans="1:10" x14ac:dyDescent="0.2">
      <c r="A3991" s="2">
        <v>3983</v>
      </c>
      <c r="B3991" s="14">
        <f>A3991*Assumptions!$B$12</f>
        <v>39.83</v>
      </c>
      <c r="C3991" s="15">
        <f>IF(A3991&lt;=Assumptions!$B$13,IF(OR(A3991=0,A3991=Assumptions!$B$13),0.5,1),0)*Assumptions!$B$12</f>
        <v>0</v>
      </c>
      <c r="D3991" s="12">
        <f>D3990*(1-Assumptions!$B$12*(Assumptions!$B$5+Assumptions!$B$6))</f>
        <v>0.30267995953195359</v>
      </c>
      <c r="E3991" s="12">
        <f>E3990+Assumptions!$B$12*(D3990*Assumptions!$B$5-E3990*Assumptions!$B$7)</f>
        <v>0.16625738447985822</v>
      </c>
      <c r="F3991" s="12">
        <f t="shared" si="186"/>
        <v>0.53106265598818814</v>
      </c>
      <c r="G3991" s="12">
        <f>EXP(-Assumptions!$B$8*B3991)</f>
        <v>0.13649053601284683</v>
      </c>
      <c r="H3991" s="12">
        <f t="shared" si="187"/>
        <v>4.1312949916863136E-2</v>
      </c>
      <c r="I3991" s="12">
        <f t="shared" si="188"/>
        <v>2.2692559523749808E-2</v>
      </c>
      <c r="J3991" s="12">
        <f>G3991*(D3991*Assumptions!$B$6+E3991*Assumptions!$B$7)</f>
        <v>1.547757475356122E-3</v>
      </c>
    </row>
    <row r="3992" spans="1:10" x14ac:dyDescent="0.2">
      <c r="A3992" s="2">
        <v>3984</v>
      </c>
      <c r="B3992" s="14">
        <f>A3992*Assumptions!$B$12</f>
        <v>39.840000000000003</v>
      </c>
      <c r="C3992" s="15">
        <f>IF(A3992&lt;=Assumptions!$B$13,IF(OR(A3992=0,A3992=Assumptions!$B$13),0.5,1),0)*Assumptions!$B$12</f>
        <v>0</v>
      </c>
      <c r="D3992" s="12">
        <f>D3991*(1-Assumptions!$B$12*(Assumptions!$B$5+Assumptions!$B$6))</f>
        <v>0.30258915554409399</v>
      </c>
      <c r="E3992" s="12">
        <f>E3991+Assumptions!$B$12*(D3991*Assumptions!$B$5-E3991*Assumptions!$B$7)</f>
        <v>0.16623479177952469</v>
      </c>
      <c r="F3992" s="12">
        <f t="shared" si="186"/>
        <v>0.53117605267638124</v>
      </c>
      <c r="G3992" s="12">
        <f>EXP(-Assumptions!$B$8*B3992)</f>
        <v>0.13642230780331419</v>
      </c>
      <c r="H3992" s="12">
        <f t="shared" si="187"/>
        <v>4.1279910915581301E-2</v>
      </c>
      <c r="I3992" s="12">
        <f t="shared" si="188"/>
        <v>2.267813393176616E-2</v>
      </c>
      <c r="J3992" s="12">
        <f>G3992*(D3992*Assumptions!$B$6+E3992*Assumptions!$B$7)</f>
        <v>1.5467058057441209E-3</v>
      </c>
    </row>
    <row r="3993" spans="1:10" x14ac:dyDescent="0.2">
      <c r="A3993" s="2">
        <v>3985</v>
      </c>
      <c r="B3993" s="14">
        <f>A3993*Assumptions!$B$12</f>
        <v>39.85</v>
      </c>
      <c r="C3993" s="15">
        <f>IF(A3993&lt;=Assumptions!$B$13,IF(OR(A3993=0,A3993=Assumptions!$B$13),0.5,1),0)*Assumptions!$B$12</f>
        <v>0</v>
      </c>
      <c r="D3993" s="12">
        <f>D3992*(1-Assumptions!$B$12*(Assumptions!$B$5+Assumptions!$B$6))</f>
        <v>0.30249837879743074</v>
      </c>
      <c r="E3993" s="12">
        <f>E3992+Assumptions!$B$12*(D3992*Assumptions!$B$5-E3992*Assumptions!$B$7)</f>
        <v>0.16621219221474373</v>
      </c>
      <c r="F3993" s="12">
        <f t="shared" si="186"/>
        <v>0.53128942898782561</v>
      </c>
      <c r="G3993" s="12">
        <f>EXP(-Assumptions!$B$8*B3993)</f>
        <v>0.13635411369935924</v>
      </c>
      <c r="H3993" s="12">
        <f t="shared" si="187"/>
        <v>4.1246898336416711E-2</v>
      </c>
      <c r="I3993" s="12">
        <f t="shared" si="188"/>
        <v>2.2663716155468919E-2</v>
      </c>
      <c r="J3993" s="12">
        <f>G3993*(D3993*Assumptions!$B$6+E3993*Assumptions!$B$7)</f>
        <v>1.5456547911376131E-3</v>
      </c>
    </row>
    <row r="3994" spans="1:10" x14ac:dyDescent="0.2">
      <c r="A3994" s="2">
        <v>3986</v>
      </c>
      <c r="B3994" s="14">
        <f>A3994*Assumptions!$B$12</f>
        <v>39.86</v>
      </c>
      <c r="C3994" s="15">
        <f>IF(A3994&lt;=Assumptions!$B$13,IF(OR(A3994=0,A3994=Assumptions!$B$13),0.5,1),0)*Assumptions!$B$12</f>
        <v>0</v>
      </c>
      <c r="D3994" s="12">
        <f>D3993*(1-Assumptions!$B$12*(Assumptions!$B$5+Assumptions!$B$6))</f>
        <v>0.3024076292837915</v>
      </c>
      <c r="E3994" s="12">
        <f>E3993+Assumptions!$B$12*(D3993*Assumptions!$B$5-E3993*Assumptions!$B$7)</f>
        <v>0.16618958579439586</v>
      </c>
      <c r="F3994" s="12">
        <f t="shared" si="186"/>
        <v>0.53140278492181259</v>
      </c>
      <c r="G3994" s="12">
        <f>EXP(-Assumptions!$B$8*B3994)</f>
        <v>0.13628595368393343</v>
      </c>
      <c r="H3994" s="12">
        <f t="shared" si="187"/>
        <v>4.121391215823892E-2</v>
      </c>
      <c r="I3994" s="12">
        <f t="shared" si="188"/>
        <v>2.2649306192327114E-2</v>
      </c>
      <c r="J3994" s="12">
        <f>G3994*(D3994*Assumptions!$B$6+E3994*Assumptions!$B$7)</f>
        <v>1.5446044311987451E-3</v>
      </c>
    </row>
    <row r="3995" spans="1:10" x14ac:dyDescent="0.2">
      <c r="A3995" s="2">
        <v>3987</v>
      </c>
      <c r="B3995" s="14">
        <f>A3995*Assumptions!$B$12</f>
        <v>39.869999999999997</v>
      </c>
      <c r="C3995" s="15">
        <f>IF(A3995&lt;=Assumptions!$B$13,IF(OR(A3995=0,A3995=Assumptions!$B$13),0.5,1),0)*Assumptions!$B$12</f>
        <v>0</v>
      </c>
      <c r="D3995" s="12">
        <f>D3994*(1-Assumptions!$B$12*(Assumptions!$B$5+Assumptions!$B$6))</f>
        <v>0.30231690699500635</v>
      </c>
      <c r="E3995" s="12">
        <f>E3994+Assumptions!$B$12*(D3994*Assumptions!$B$5-E3994*Assumptions!$B$7)</f>
        <v>0.16616697252735541</v>
      </c>
      <c r="F3995" s="12">
        <f t="shared" si="186"/>
        <v>0.53151612047763819</v>
      </c>
      <c r="G3995" s="12">
        <f>EXP(-Assumptions!$B$8*B3995)</f>
        <v>0.13621782773999674</v>
      </c>
      <c r="H3995" s="12">
        <f t="shared" si="187"/>
        <v>4.1180952359934395E-2</v>
      </c>
      <c r="I3995" s="12">
        <f t="shared" si="188"/>
        <v>2.2634904039808071E-2</v>
      </c>
      <c r="J3995" s="12">
        <f>G3995*(D3995*Assumptions!$B$6+E3995*Assumptions!$B$7)</f>
        <v>1.5435547255897475E-3</v>
      </c>
    </row>
    <row r="3996" spans="1:10" x14ac:dyDescent="0.2">
      <c r="A3996" s="2">
        <v>3988</v>
      </c>
      <c r="B3996" s="14">
        <f>A3996*Assumptions!$B$12</f>
        <v>39.880000000000003</v>
      </c>
      <c r="C3996" s="15">
        <f>IF(A3996&lt;=Assumptions!$B$13,IF(OR(A3996=0,A3996=Assumptions!$B$13),0.5,1),0)*Assumptions!$B$12</f>
        <v>0</v>
      </c>
      <c r="D3996" s="12">
        <f>D3995*(1-Assumptions!$B$12*(Assumptions!$B$5+Assumptions!$B$6))</f>
        <v>0.30222621192290788</v>
      </c>
      <c r="E3996" s="12">
        <f>E3995+Assumptions!$B$12*(D3995*Assumptions!$B$5-E3995*Assumptions!$B$7)</f>
        <v>0.16614435242249073</v>
      </c>
      <c r="F3996" s="12">
        <f t="shared" si="186"/>
        <v>0.53162943565460141</v>
      </c>
      <c r="G3996" s="12">
        <f>EXP(-Assumptions!$B$8*B3996)</f>
        <v>0.13614973585051768</v>
      </c>
      <c r="H3996" s="12">
        <f t="shared" si="187"/>
        <v>4.1148018920406482E-2</v>
      </c>
      <c r="I3996" s="12">
        <f t="shared" si="188"/>
        <v>2.262050969537743E-2</v>
      </c>
      <c r="J3996" s="12">
        <f>G3996*(D3996*Assumptions!$B$6+E3996*Assumptions!$B$7)</f>
        <v>1.5425056739729365E-3</v>
      </c>
    </row>
    <row r="3997" spans="1:10" x14ac:dyDescent="0.2">
      <c r="A3997" s="2">
        <v>3989</v>
      </c>
      <c r="B3997" s="14">
        <f>A3997*Assumptions!$B$12</f>
        <v>39.89</v>
      </c>
      <c r="C3997" s="15">
        <f>IF(A3997&lt;=Assumptions!$B$13,IF(OR(A3997=0,A3997=Assumptions!$B$13),0.5,1),0)*Assumptions!$B$12</f>
        <v>0</v>
      </c>
      <c r="D3997" s="12">
        <f>D3996*(1-Assumptions!$B$12*(Assumptions!$B$5+Assumptions!$B$6))</f>
        <v>0.30213554405933102</v>
      </c>
      <c r="E3997" s="12">
        <f>E3996+Assumptions!$B$12*(D3996*Assumptions!$B$5-E3996*Assumptions!$B$7)</f>
        <v>0.16612172548866408</v>
      </c>
      <c r="F3997" s="12">
        <f t="shared" si="186"/>
        <v>0.53174273045200493</v>
      </c>
      <c r="G3997" s="12">
        <f>EXP(-Assumptions!$B$8*B3997)</f>
        <v>0.13608167799847332</v>
      </c>
      <c r="H3997" s="12">
        <f t="shared" si="187"/>
        <v>4.1115111818575432E-2</v>
      </c>
      <c r="I3997" s="12">
        <f t="shared" si="188"/>
        <v>2.2606123156499163E-2</v>
      </c>
      <c r="J3997" s="12">
        <f>G3997*(D3997*Assumptions!$B$6+E3997*Assumptions!$B$7)</f>
        <v>1.5414572760107125E-3</v>
      </c>
    </row>
    <row r="3998" spans="1:10" x14ac:dyDescent="0.2">
      <c r="A3998" s="2">
        <v>3990</v>
      </c>
      <c r="B3998" s="14">
        <f>A3998*Assumptions!$B$12</f>
        <v>39.9</v>
      </c>
      <c r="C3998" s="15">
        <f>IF(A3998&lt;=Assumptions!$B$13,IF(OR(A3998=0,A3998=Assumptions!$B$13),0.5,1),0)*Assumptions!$B$12</f>
        <v>0</v>
      </c>
      <c r="D3998" s="12">
        <f>D3997*(1-Assumptions!$B$12*(Assumptions!$B$5+Assumptions!$B$6))</f>
        <v>0.30204490339611323</v>
      </c>
      <c r="E3998" s="12">
        <f>E3997+Assumptions!$B$12*(D3997*Assumptions!$B$5-E3997*Assumptions!$B$7)</f>
        <v>0.16609909173473161</v>
      </c>
      <c r="F3998" s="12">
        <f t="shared" si="186"/>
        <v>0.53185600486915519</v>
      </c>
      <c r="G3998" s="12">
        <f>EXP(-Assumptions!$B$8*B3998)</f>
        <v>0.13601365416684916</v>
      </c>
      <c r="H3998" s="12">
        <f t="shared" si="187"/>
        <v>4.1082231033378304E-2</v>
      </c>
      <c r="I3998" s="12">
        <f t="shared" si="188"/>
        <v>2.2591744420635537E-2</v>
      </c>
      <c r="J3998" s="12">
        <f>G3998*(D3998*Assumptions!$B$6+E3998*Assumptions!$B$7)</f>
        <v>1.54040953136556E-3</v>
      </c>
    </row>
    <row r="3999" spans="1:10" x14ac:dyDescent="0.2">
      <c r="A3999" s="2">
        <v>3991</v>
      </c>
      <c r="B3999" s="14">
        <f>A3999*Assumptions!$B$12</f>
        <v>39.910000000000004</v>
      </c>
      <c r="C3999" s="15">
        <f>IF(A3999&lt;=Assumptions!$B$13,IF(OR(A3999=0,A3999=Assumptions!$B$13),0.5,1),0)*Assumptions!$B$12</f>
        <v>0</v>
      </c>
      <c r="D3999" s="12">
        <f>D3998*(1-Assumptions!$B$12*(Assumptions!$B$5+Assumptions!$B$6))</f>
        <v>0.30195428992509443</v>
      </c>
      <c r="E3999" s="12">
        <f>E3998+Assumptions!$B$12*(D3998*Assumptions!$B$5-E3998*Assumptions!$B$7)</f>
        <v>0.16607645116954348</v>
      </c>
      <c r="F3999" s="12">
        <f t="shared" si="186"/>
        <v>0.53196925890536206</v>
      </c>
      <c r="G3999" s="12">
        <f>EXP(-Assumptions!$B$8*B3999)</f>
        <v>0.13594566433863922</v>
      </c>
      <c r="H3999" s="12">
        <f t="shared" si="187"/>
        <v>4.1049376543769035E-2</v>
      </c>
      <c r="I3999" s="12">
        <f t="shared" si="188"/>
        <v>2.2577373485247163E-2</v>
      </c>
      <c r="J3999" s="12">
        <f>G3999*(D3999*Assumptions!$B$6+E3999*Assumptions!$B$7)</f>
        <v>1.5393624397000488E-3</v>
      </c>
    </row>
    <row r="4000" spans="1:10" x14ac:dyDescent="0.2">
      <c r="A4000" s="2">
        <v>3992</v>
      </c>
      <c r="B4000" s="14">
        <f>A4000*Assumptions!$B$12</f>
        <v>39.92</v>
      </c>
      <c r="C4000" s="15">
        <f>IF(A4000&lt;=Assumptions!$B$13,IF(OR(A4000=0,A4000=Assumptions!$B$13),0.5,1),0)*Assumptions!$B$12</f>
        <v>0</v>
      </c>
      <c r="D4000" s="12">
        <f>D3999*(1-Assumptions!$B$12*(Assumptions!$B$5+Assumptions!$B$6))</f>
        <v>0.30186370363811693</v>
      </c>
      <c r="E4000" s="12">
        <f>E3999+Assumptions!$B$12*(D3999*Assumptions!$B$5-E3999*Assumptions!$B$7)</f>
        <v>0.16605380380194373</v>
      </c>
      <c r="F4000" s="12">
        <f t="shared" si="186"/>
        <v>0.53208249255993945</v>
      </c>
      <c r="G4000" s="12">
        <f>EXP(-Assumptions!$B$8*B4000)</f>
        <v>0.13587770849684611</v>
      </c>
      <c r="H4000" s="12">
        <f t="shared" si="187"/>
        <v>4.1016548328718393E-2</v>
      </c>
      <c r="I4000" s="12">
        <f t="shared" si="188"/>
        <v>2.2563010347792987E-2</v>
      </c>
      <c r="J4000" s="12">
        <f>G4000*(D4000*Assumptions!$B$6+E4000*Assumptions!$B$7)</f>
        <v>1.5383160006768334E-3</v>
      </c>
    </row>
    <row r="4001" spans="1:10" x14ac:dyDescent="0.2">
      <c r="A4001" s="2">
        <v>3993</v>
      </c>
      <c r="B4001" s="14">
        <f>A4001*Assumptions!$B$12</f>
        <v>39.93</v>
      </c>
      <c r="C4001" s="15">
        <f>IF(A4001&lt;=Assumptions!$B$13,IF(OR(A4001=0,A4001=Assumptions!$B$13),0.5,1),0)*Assumptions!$B$12</f>
        <v>0</v>
      </c>
      <c r="D4001" s="12">
        <f>D4000*(1-Assumptions!$B$12*(Assumptions!$B$5+Assumptions!$B$6))</f>
        <v>0.30177314452702553</v>
      </c>
      <c r="E4001" s="12">
        <f>E4000+Assumptions!$B$12*(D4000*Assumptions!$B$5-E4000*Assumptions!$B$7)</f>
        <v>0.1660311496407704</v>
      </c>
      <c r="F4001" s="12">
        <f t="shared" si="186"/>
        <v>0.5321957058322041</v>
      </c>
      <c r="G4001" s="12">
        <f>EXP(-Assumptions!$B$8*B4001)</f>
        <v>0.13580978662448082</v>
      </c>
      <c r="H4001" s="12">
        <f t="shared" si="187"/>
        <v>4.0983746367213948E-2</v>
      </c>
      <c r="I4001" s="12">
        <f t="shared" si="188"/>
        <v>2.2548655005730271E-2</v>
      </c>
      <c r="J4001" s="12">
        <f>G4001*(D4001*Assumptions!$B$6+E4001*Assumptions!$B$7)</f>
        <v>1.5372702139586532E-3</v>
      </c>
    </row>
    <row r="4002" spans="1:10" x14ac:dyDescent="0.2">
      <c r="A4002" s="2">
        <v>3994</v>
      </c>
      <c r="B4002" s="14">
        <f>A4002*Assumptions!$B$12</f>
        <v>39.94</v>
      </c>
      <c r="C4002" s="15">
        <f>IF(A4002&lt;=Assumptions!$B$13,IF(OR(A4002=0,A4002=Assumptions!$B$13),0.5,1),0)*Assumptions!$B$12</f>
        <v>0</v>
      </c>
      <c r="D4002" s="12">
        <f>D4001*(1-Assumptions!$B$12*(Assumptions!$B$5+Assumptions!$B$6))</f>
        <v>0.30168261258366741</v>
      </c>
      <c r="E4002" s="12">
        <f>E4001+Assumptions!$B$12*(D4001*Assumptions!$B$5-E4001*Assumptions!$B$7)</f>
        <v>0.16600848869485541</v>
      </c>
      <c r="F4002" s="12">
        <f t="shared" si="186"/>
        <v>0.53230889872147724</v>
      </c>
      <c r="G4002" s="12">
        <f>EXP(-Assumptions!$B$8*B4002)</f>
        <v>0.13574189870456291</v>
      </c>
      <c r="H4002" s="12">
        <f t="shared" si="187"/>
        <v>4.095097063826008E-2</v>
      </c>
      <c r="I4002" s="12">
        <f t="shared" si="188"/>
        <v>2.2534307456514639E-2</v>
      </c>
      <c r="J4002" s="12">
        <f>G4002*(D4002*Assumptions!$B$6+E4002*Assumptions!$B$7)</f>
        <v>1.5362250792083328E-3</v>
      </c>
    </row>
    <row r="4003" spans="1:10" x14ac:dyDescent="0.2">
      <c r="A4003" s="2">
        <v>3995</v>
      </c>
      <c r="B4003" s="14">
        <f>A4003*Assumptions!$B$12</f>
        <v>39.950000000000003</v>
      </c>
      <c r="C4003" s="15">
        <f>IF(A4003&lt;=Assumptions!$B$13,IF(OR(A4003=0,A4003=Assumptions!$B$13),0.5,1),0)*Assumptions!$B$12</f>
        <v>0</v>
      </c>
      <c r="D4003" s="12">
        <f>D4002*(1-Assumptions!$B$12*(Assumptions!$B$5+Assumptions!$B$6))</f>
        <v>0.30159210779989232</v>
      </c>
      <c r="E4003" s="12">
        <f>E4002+Assumptions!$B$12*(D4002*Assumptions!$B$5-E4002*Assumptions!$B$7)</f>
        <v>0.16598582097302472</v>
      </c>
      <c r="F4003" s="12">
        <f t="shared" si="186"/>
        <v>0.53242207122708296</v>
      </c>
      <c r="G4003" s="12">
        <f>EXP(-Assumptions!$B$8*B4003)</f>
        <v>0.13567404472012032</v>
      </c>
      <c r="H4003" s="12">
        <f t="shared" si="187"/>
        <v>4.0918221120877937E-2</v>
      </c>
      <c r="I4003" s="12">
        <f t="shared" si="188"/>
        <v>2.2519967697600042E-2</v>
      </c>
      <c r="J4003" s="12">
        <f>G4003*(D4003*Assumptions!$B$6+E4003*Assumptions!$B$7)</f>
        <v>1.5351805960887813E-3</v>
      </c>
    </row>
    <row r="4004" spans="1:10" x14ac:dyDescent="0.2">
      <c r="A4004" s="2">
        <v>3996</v>
      </c>
      <c r="B4004" s="14">
        <f>A4004*Assumptions!$B$12</f>
        <v>39.96</v>
      </c>
      <c r="C4004" s="15">
        <f>IF(A4004&lt;=Assumptions!$B$13,IF(OR(A4004=0,A4004=Assumptions!$B$13),0.5,1),0)*Assumptions!$B$12</f>
        <v>0</v>
      </c>
      <c r="D4004" s="12">
        <f>D4003*(1-Assumptions!$B$12*(Assumptions!$B$5+Assumptions!$B$6))</f>
        <v>0.30150163016755238</v>
      </c>
      <c r="E4004" s="12">
        <f>E4003+Assumptions!$B$12*(D4003*Assumptions!$B$5-E4003*Assumptions!$B$7)</f>
        <v>0.16596314648409818</v>
      </c>
      <c r="F4004" s="12">
        <f t="shared" si="186"/>
        <v>0.53253522334834946</v>
      </c>
      <c r="G4004" s="12">
        <f>EXP(-Assumptions!$B$8*B4004)</f>
        <v>0.13560622465418967</v>
      </c>
      <c r="H4004" s="12">
        <f t="shared" si="187"/>
        <v>4.0885497794105517E-2</v>
      </c>
      <c r="I4004" s="12">
        <f t="shared" si="188"/>
        <v>2.2505635726438808E-2</v>
      </c>
      <c r="J4004" s="12">
        <f>G4004*(D4004*Assumptions!$B$6+E4004*Assumptions!$B$7)</f>
        <v>1.5341367642629955E-3</v>
      </c>
    </row>
    <row r="4005" spans="1:10" x14ac:dyDescent="0.2">
      <c r="A4005" s="2">
        <v>3997</v>
      </c>
      <c r="B4005" s="14">
        <f>A4005*Assumptions!$B$12</f>
        <v>39.97</v>
      </c>
      <c r="C4005" s="15">
        <f>IF(A4005&lt;=Assumptions!$B$13,IF(OR(A4005=0,A4005=Assumptions!$B$13),0.5,1),0)*Assumptions!$B$12</f>
        <v>0</v>
      </c>
      <c r="D4005" s="12">
        <f>D4004*(1-Assumptions!$B$12*(Assumptions!$B$5+Assumptions!$B$6))</f>
        <v>0.30141117967850212</v>
      </c>
      <c r="E4005" s="12">
        <f>E4004+Assumptions!$B$12*(D4004*Assumptions!$B$5-E4004*Assumptions!$B$7)</f>
        <v>0.16594046523688966</v>
      </c>
      <c r="F4005" s="12">
        <f t="shared" si="186"/>
        <v>0.53264835508460817</v>
      </c>
      <c r="G4005" s="12">
        <f>EXP(-Assumptions!$B$8*B4005)</f>
        <v>0.13553843848981592</v>
      </c>
      <c r="H4005" s="12">
        <f t="shared" si="187"/>
        <v>4.0852800636997512E-2</v>
      </c>
      <c r="I4005" s="12">
        <f t="shared" si="188"/>
        <v>2.2491311540481607E-2</v>
      </c>
      <c r="J4005" s="12">
        <f>G4005*(D4005*Assumptions!$B$6+E4005*Assumptions!$B$7)</f>
        <v>1.5330935833940554E-3</v>
      </c>
    </row>
    <row r="4006" spans="1:10" x14ac:dyDescent="0.2">
      <c r="A4006" s="2">
        <v>3998</v>
      </c>
      <c r="B4006" s="14">
        <f>A4006*Assumptions!$B$12</f>
        <v>39.980000000000004</v>
      </c>
      <c r="C4006" s="15">
        <f>IF(A4006&lt;=Assumptions!$B$13,IF(OR(A4006=0,A4006=Assumptions!$B$13),0.5,1),0)*Assumptions!$B$12</f>
        <v>0</v>
      </c>
      <c r="D4006" s="12">
        <f>D4005*(1-Assumptions!$B$12*(Assumptions!$B$5+Assumptions!$B$6))</f>
        <v>0.30132075632459859</v>
      </c>
      <c r="E4006" s="12">
        <f>E4005+Assumptions!$B$12*(D4005*Assumptions!$B$5-E4005*Assumptions!$B$7)</f>
        <v>0.1659177772402069</v>
      </c>
      <c r="F4006" s="12">
        <f t="shared" si="186"/>
        <v>0.53276146643519451</v>
      </c>
      <c r="G4006" s="12">
        <f>EXP(-Assumptions!$B$8*B4006)</f>
        <v>0.1354706862100524</v>
      </c>
      <c r="H4006" s="12">
        <f t="shared" si="187"/>
        <v>4.0820129628625357E-2</v>
      </c>
      <c r="I4006" s="12">
        <f t="shared" si="188"/>
        <v>2.2476995137177443E-2</v>
      </c>
      <c r="J4006" s="12">
        <f>G4006*(D4006*Assumptions!$B$6+E4006*Assumptions!$B$7)</f>
        <v>1.5320510531451257E-3</v>
      </c>
    </row>
    <row r="4007" spans="1:10" x14ac:dyDescent="0.2">
      <c r="A4007" s="2">
        <v>3999</v>
      </c>
      <c r="B4007" s="14">
        <f>A4007*Assumptions!$B$12</f>
        <v>39.99</v>
      </c>
      <c r="C4007" s="15">
        <f>IF(A4007&lt;=Assumptions!$B$13,IF(OR(A4007=0,A4007=Assumptions!$B$13),0.5,1),0)*Assumptions!$B$12</f>
        <v>0</v>
      </c>
      <c r="D4007" s="12">
        <f>D4006*(1-Assumptions!$B$12*(Assumptions!$B$5+Assumptions!$B$6))</f>
        <v>0.30123036009770121</v>
      </c>
      <c r="E4007" s="12">
        <f>E4006+Assumptions!$B$12*(D4006*Assumptions!$B$5-E4006*Assumptions!$B$7)</f>
        <v>0.1658950825028517</v>
      </c>
      <c r="F4007" s="12">
        <f t="shared" si="186"/>
        <v>0.53287455739944711</v>
      </c>
      <c r="G4007" s="12">
        <f>EXP(-Assumptions!$B$8*B4007)</f>
        <v>0.13540296779796121</v>
      </c>
      <c r="H4007" s="12">
        <f t="shared" si="187"/>
        <v>4.0787484748077293E-2</v>
      </c>
      <c r="I4007" s="12">
        <f t="shared" si="188"/>
        <v>2.2462686513973748E-2</v>
      </c>
      <c r="J4007" s="12">
        <f>G4007*(D4007*Assumptions!$B$6+E4007*Assumptions!$B$7)</f>
        <v>1.5310091731794604E-3</v>
      </c>
    </row>
    <row r="4008" spans="1:10" x14ac:dyDescent="0.2">
      <c r="A4008" s="2">
        <v>4000</v>
      </c>
      <c r="B4008" s="14">
        <f>A4008*Assumptions!$B$12</f>
        <v>40</v>
      </c>
      <c r="C4008" s="15">
        <f>IF(A4008&lt;=Assumptions!$B$13,IF(OR(A4008=0,A4008=Assumptions!$B$13),0.5,1),0)*Assumptions!$B$12</f>
        <v>0</v>
      </c>
      <c r="D4008" s="12">
        <f>D4007*(1-Assumptions!$B$12*(Assumptions!$B$5+Assumptions!$B$6))</f>
        <v>0.30113999098967192</v>
      </c>
      <c r="E4008" s="12">
        <f>E4007+Assumptions!$B$12*(D4007*Assumptions!$B$5-E4007*Assumptions!$B$7)</f>
        <v>0.16587238103361981</v>
      </c>
      <c r="F4008" s="12">
        <f t="shared" si="186"/>
        <v>0.53298762797670829</v>
      </c>
      <c r="G4008" s="12">
        <f>EXP(-Assumptions!$B$8*B4008)</f>
        <v>0.1353352832366127</v>
      </c>
      <c r="H4008" s="12">
        <f t="shared" si="187"/>
        <v>4.0754865974458244E-2</v>
      </c>
      <c r="I4008" s="12">
        <f t="shared" si="188"/>
        <v>2.2448385668316282E-2</v>
      </c>
      <c r="J4008" s="12">
        <f>G4008*(D4008*Assumptions!$B$6+E4008*Assumptions!$B$7)</f>
        <v>1.5299679431603965E-3</v>
      </c>
    </row>
  </sheetData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3"/>
  <sheetViews>
    <sheetView zoomScaleNormal="100" workbookViewId="0"/>
  </sheetViews>
  <sheetFormatPr baseColWidth="10" defaultColWidth="8.6640625" defaultRowHeight="15" x14ac:dyDescent="0.2"/>
  <cols>
    <col min="1" max="1" width="58" customWidth="1"/>
    <col min="2" max="2" width="18" customWidth="1"/>
  </cols>
  <sheetData>
    <row r="1" spans="1:2" ht="18" x14ac:dyDescent="0.2">
      <c r="A1" s="1" t="s">
        <v>56</v>
      </c>
    </row>
    <row r="2" spans="1:2" x14ac:dyDescent="0.2">
      <c r="A2" s="6" t="s">
        <v>57</v>
      </c>
    </row>
    <row r="4" spans="1:2" x14ac:dyDescent="0.2">
      <c r="A4" s="2" t="s">
        <v>58</v>
      </c>
      <c r="B4" s="12">
        <f>Assumptions!$B$5+Assumptions!$B$6</f>
        <v>0.03</v>
      </c>
    </row>
    <row r="5" spans="1:2" x14ac:dyDescent="0.2">
      <c r="A5" s="2" t="s">
        <v>59</v>
      </c>
      <c r="B5" s="12">
        <f>(1-EXP(-(B4+Assumptions!$B$8)*Assumptions!$B$9))/(B4+Assumptions!$B$8)</f>
        <v>9.9762935250668079</v>
      </c>
    </row>
    <row r="6" spans="1:2" x14ac:dyDescent="0.2">
      <c r="A6" s="2" t="s">
        <v>60</v>
      </c>
      <c r="B6" s="12">
        <f>Assumptions!$B$5/(Assumptions!$B$7-B4)*((1-EXP(-(B4+Assumptions!$B$8)*Assumptions!$B$9))/(B4+Assumptions!$B$8)-(1-EXP(-(Assumptions!$B$7+Assumptions!$B$8)*Assumptions!$B$9))/(Assumptions!$B$7+Assumptions!$B$8))</f>
        <v>1.3296463574329349</v>
      </c>
    </row>
    <row r="7" spans="1:2" x14ac:dyDescent="0.2">
      <c r="A7" s="2" t="s">
        <v>61</v>
      </c>
      <c r="B7" s="12">
        <f>Assumptions!$B$6*B5+Assumptions!$B$7*B6</f>
        <v>0.16624525312231483</v>
      </c>
    </row>
    <row r="8" spans="1:2" x14ac:dyDescent="0.2">
      <c r="A8" s="2" t="s">
        <v>52</v>
      </c>
      <c r="B8" s="17">
        <f>Assumptions!$B$10*B6</f>
        <v>15955.756289195218</v>
      </c>
    </row>
    <row r="9" spans="1:2" x14ac:dyDescent="0.2">
      <c r="A9" s="2" t="s">
        <v>53</v>
      </c>
      <c r="B9" s="17">
        <f>Assumptions!$B$11*B7</f>
        <v>8312.2626561157413</v>
      </c>
    </row>
    <row r="10" spans="1:2" x14ac:dyDescent="0.2">
      <c r="A10" s="2" t="s">
        <v>54</v>
      </c>
      <c r="B10" s="17">
        <f>B8+B9</f>
        <v>24268.01894531096</v>
      </c>
    </row>
    <row r="11" spans="1:2" x14ac:dyDescent="0.2">
      <c r="A11" s="2" t="s">
        <v>55</v>
      </c>
      <c r="B11" s="18">
        <f>B10/B5</f>
        <v>2432.5686573209005</v>
      </c>
    </row>
    <row r="13" spans="1:2" x14ac:dyDescent="0.2">
      <c r="A13" s="2" t="s">
        <v>62</v>
      </c>
      <c r="B13" s="3" t="str">
        <f>IF(ABS(Assumptions!$B$7-B4)&gt;0.000001,"OK","Equal: closed form not valid")</f>
        <v>OK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1"/>
  <sheetViews>
    <sheetView zoomScaleNormal="100" workbookViewId="0"/>
  </sheetViews>
  <sheetFormatPr baseColWidth="10" defaultColWidth="8.6640625" defaultRowHeight="15" x14ac:dyDescent="0.2"/>
  <cols>
    <col min="1" max="1" width="32" customWidth="1"/>
    <col min="2" max="6" width="18" customWidth="1"/>
  </cols>
  <sheetData>
    <row r="1" spans="1:6" ht="18" x14ac:dyDescent="0.2">
      <c r="A1" s="1" t="s">
        <v>63</v>
      </c>
    </row>
    <row r="2" spans="1:6" x14ac:dyDescent="0.2">
      <c r="A2" s="6" t="s">
        <v>64</v>
      </c>
    </row>
    <row r="4" spans="1:6" ht="31.5" customHeight="1" x14ac:dyDescent="0.2">
      <c r="A4" s="13" t="s">
        <v>15</v>
      </c>
      <c r="B4" s="13" t="s">
        <v>65</v>
      </c>
      <c r="C4" s="13" t="s">
        <v>66</v>
      </c>
      <c r="D4" s="13" t="s">
        <v>67</v>
      </c>
      <c r="E4" s="13" t="s">
        <v>68</v>
      </c>
      <c r="F4" s="13" t="s">
        <v>69</v>
      </c>
    </row>
    <row r="5" spans="1:6" x14ac:dyDescent="0.2">
      <c r="A5" s="2" t="s">
        <v>55</v>
      </c>
      <c r="B5" s="19">
        <v>2433.23</v>
      </c>
      <c r="C5" s="20">
        <f>Euler!M11</f>
        <v>2433.2268967944219</v>
      </c>
      <c r="D5" s="20">
        <f>'Closed form'!B11</f>
        <v>2432.5686573209005</v>
      </c>
      <c r="E5" s="21">
        <f t="shared" ref="E5:F8" si="0">B5-C5</f>
        <v>3.1032055780997325E-3</v>
      </c>
      <c r="F5" s="21">
        <f t="shared" si="0"/>
        <v>0.65823947352146206</v>
      </c>
    </row>
    <row r="6" spans="1:6" x14ac:dyDescent="0.2">
      <c r="A6" s="2" t="s">
        <v>52</v>
      </c>
      <c r="B6" s="19">
        <v>15960.66</v>
      </c>
      <c r="C6" s="20">
        <f>Euler!M8</f>
        <v>15960.657209061186</v>
      </c>
      <c r="D6" s="20">
        <f>'Closed form'!B8</f>
        <v>15955.756289195218</v>
      </c>
      <c r="E6" s="21">
        <f t="shared" si="0"/>
        <v>2.7909388136322377E-3</v>
      </c>
      <c r="F6" s="21">
        <f t="shared" si="0"/>
        <v>4.9009198659678077</v>
      </c>
    </row>
    <row r="7" spans="1:6" x14ac:dyDescent="0.2">
      <c r="A7" s="2" t="s">
        <v>53</v>
      </c>
      <c r="B7" s="19">
        <v>8313.1200000000008</v>
      </c>
      <c r="C7" s="20">
        <f>Euler!M9</f>
        <v>8313.1169015544074</v>
      </c>
      <c r="D7" s="20">
        <f>'Closed form'!B9</f>
        <v>8312.2626561157413</v>
      </c>
      <c r="E7" s="21">
        <f t="shared" si="0"/>
        <v>3.0984455934230937E-3</v>
      </c>
      <c r="F7" s="21">
        <f t="shared" si="0"/>
        <v>0.85424543866611202</v>
      </c>
    </row>
    <row r="8" spans="1:6" x14ac:dyDescent="0.2">
      <c r="A8" s="2" t="s">
        <v>54</v>
      </c>
      <c r="B8" s="19">
        <v>24273.77</v>
      </c>
      <c r="C8" s="20">
        <f>Euler!M10</f>
        <v>24273.774110615595</v>
      </c>
      <c r="D8" s="20">
        <f>'Closed form'!B10</f>
        <v>24268.01894531096</v>
      </c>
      <c r="E8" s="21">
        <f t="shared" si="0"/>
        <v>-4.1106155949819367E-3</v>
      </c>
      <c r="F8" s="21">
        <f t="shared" si="0"/>
        <v>5.7551653046357387</v>
      </c>
    </row>
    <row r="10" spans="1:6" x14ac:dyDescent="0.2">
      <c r="A10" s="3" t="s">
        <v>70</v>
      </c>
      <c r="B10" s="3" t="str">
        <f>IF(MAX(ABS(E5),ABS(E6),ABS(E7),ABS(E8))&lt;0.01,"Yes","No: check assumptions match the app")</f>
        <v>Yes</v>
      </c>
    </row>
    <row r="11" spans="1:6" x14ac:dyDescent="0.2">
      <c r="A11" s="2" t="s">
        <v>71</v>
      </c>
      <c r="B11" s="22">
        <f>F5/D5</f>
        <v>2.7059440708506512E-4</v>
      </c>
    </row>
  </sheetData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5"/>
  <sheetViews>
    <sheetView tabSelected="1" zoomScale="140" zoomScaleNormal="140" workbookViewId="0">
      <selection activeCell="D10" sqref="D10"/>
    </sheetView>
  </sheetViews>
  <sheetFormatPr baseColWidth="10" defaultColWidth="8.6640625" defaultRowHeight="15" x14ac:dyDescent="0.2"/>
  <cols>
    <col min="1" max="1" width="38" customWidth="1"/>
    <col min="2" max="5" width="16" customWidth="1"/>
  </cols>
  <sheetData>
    <row r="1" spans="1:5" ht="18" x14ac:dyDescent="0.2">
      <c r="A1" s="1" t="s">
        <v>72</v>
      </c>
    </row>
    <row r="2" spans="1:5" x14ac:dyDescent="0.2">
      <c r="A2" s="6" t="s">
        <v>87</v>
      </c>
    </row>
    <row r="4" spans="1:5" x14ac:dyDescent="0.2">
      <c r="A4" s="7" t="s">
        <v>73</v>
      </c>
      <c r="B4" s="7" t="s">
        <v>16</v>
      </c>
    </row>
    <row r="5" spans="1:5" x14ac:dyDescent="0.2">
      <c r="A5" s="2" t="s">
        <v>74</v>
      </c>
      <c r="B5" s="23">
        <v>70112.84</v>
      </c>
    </row>
    <row r="6" spans="1:5" x14ac:dyDescent="0.2">
      <c r="A6" s="2" t="s">
        <v>75</v>
      </c>
      <c r="B6" s="23">
        <v>14276.49</v>
      </c>
    </row>
    <row r="7" spans="1:5" x14ac:dyDescent="0.2">
      <c r="A7" s="2" t="s">
        <v>76</v>
      </c>
      <c r="B7" s="23">
        <v>7016</v>
      </c>
    </row>
    <row r="8" spans="1:5" x14ac:dyDescent="0.2">
      <c r="A8" s="2" t="s">
        <v>77</v>
      </c>
      <c r="B8" s="23">
        <v>3587</v>
      </c>
    </row>
    <row r="9" spans="1:5" x14ac:dyDescent="0.2">
      <c r="A9" s="2" t="s">
        <v>78</v>
      </c>
      <c r="B9" s="23">
        <v>2870</v>
      </c>
    </row>
    <row r="12" spans="1:5" ht="31.5" customHeight="1" x14ac:dyDescent="0.2">
      <c r="A12" s="13" t="s">
        <v>79</v>
      </c>
      <c r="B12" s="13" t="s">
        <v>80</v>
      </c>
      <c r="C12" s="13" t="s">
        <v>81</v>
      </c>
      <c r="D12" s="13" t="s">
        <v>82</v>
      </c>
      <c r="E12" s="13" t="s">
        <v>83</v>
      </c>
    </row>
    <row r="13" spans="1:5" x14ac:dyDescent="0.2">
      <c r="A13" s="2" t="s">
        <v>84</v>
      </c>
      <c r="B13" s="24">
        <f>IF(B5&gt;0,B7/B5,0)</f>
        <v>0.10006726300061444</v>
      </c>
      <c r="C13" s="24">
        <f>IF(B5&gt;0,SQRT(B7)/B5,0)</f>
        <v>1.1946680004046007E-3</v>
      </c>
      <c r="D13" s="24">
        <f>B13-1.96*C13</f>
        <v>9.772571371982143E-2</v>
      </c>
      <c r="E13" s="24">
        <f>B13+1.96*C13</f>
        <v>0.10240881228140745</v>
      </c>
    </row>
    <row r="14" spans="1:5" x14ac:dyDescent="0.2">
      <c r="A14" s="2" t="s">
        <v>85</v>
      </c>
      <c r="B14" s="24">
        <f>IF(B5&gt;0,B8/B5,0)</f>
        <v>5.1160386599658499E-2</v>
      </c>
      <c r="C14" s="24">
        <f>IF(B5&gt;0,SQRT(B8)/B5,0)</f>
        <v>8.5421684086333088E-4</v>
      </c>
      <c r="D14" s="24">
        <f>B14-1.96*C14</f>
        <v>4.9486121591566373E-2</v>
      </c>
      <c r="E14" s="24">
        <f>B14+1.96*C14</f>
        <v>5.2834651607750624E-2</v>
      </c>
    </row>
    <row r="15" spans="1:5" x14ac:dyDescent="0.2">
      <c r="A15" s="2" t="s">
        <v>86</v>
      </c>
      <c r="B15" s="24">
        <f>IF(B6&gt;0,B9/B6,0)</f>
        <v>0.20102980494505301</v>
      </c>
      <c r="C15" s="24">
        <f>IF(B6&gt;0,SQRT(B9)/B6,0)</f>
        <v>3.7524896486402118E-3</v>
      </c>
      <c r="D15" s="24">
        <f>B15-1.96*C15</f>
        <v>0.19367492523371821</v>
      </c>
      <c r="E15" s="24">
        <f>B15+1.96*C15</f>
        <v>0.20838468465638782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Guide</vt:lpstr>
      <vt:lpstr>Assumptions</vt:lpstr>
      <vt:lpstr>Euler</vt:lpstr>
      <vt:lpstr>Closed form</vt:lpstr>
      <vt:lpstr>Cross-check</vt:lpstr>
      <vt:lpstr>Experience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Pratham Sood</cp:lastModifiedBy>
  <cp:revision>0</cp:revision>
  <dcterms:created xsi:type="dcterms:W3CDTF">2026-10-25T06:45:52Z</dcterms:created>
  <dcterms:modified xsi:type="dcterms:W3CDTF">2026-10-25T06:52:39Z</dcterms:modified>
  <dc:language>en-US</dc:language>
</cp:coreProperties>
</file>