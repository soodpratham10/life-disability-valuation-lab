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/>
  <mc:AlternateContent xmlns:mc="http://schemas.openxmlformats.org/markup-compatibility/2006">
    <mc:Choice Requires="x15">
      <x15ac:absPath xmlns:x15ac="http://schemas.microsoft.com/office/spreadsheetml/2010/11/ac" url="/Users/prathamsood/Actuary/Github/odds-of-a-lifetime/odds-of-a-lifetime/excel/"/>
    </mc:Choice>
  </mc:AlternateContent>
  <xr:revisionPtr revIDLastSave="0" documentId="13_ncr:1_{38218743-29B1-B343-8343-16E57F7C3653}" xr6:coauthVersionLast="47" xr6:coauthVersionMax="47" xr10:uidLastSave="{00000000-0000-0000-0000-000000000000}"/>
  <bookViews>
    <workbookView xWindow="0" yWindow="680" windowWidth="34200" windowHeight="21460" tabRatio="500" activeTab="4" xr2:uid="{00000000-000D-0000-FFFF-FFFF00000000}"/>
  </bookViews>
  <sheets>
    <sheet name="Guide" sheetId="1" r:id="rId1"/>
    <sheet name="Assumptions" sheetId="2" r:id="rId2"/>
    <sheet name="Decrement table" sheetId="3" r:id="rId3"/>
    <sheet name="Cross-check" sheetId="4" r:id="rId4"/>
    <sheet name="Experience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34" i="5" l="1"/>
  <c r="G34" i="5"/>
  <c r="F34" i="5"/>
  <c r="E34" i="5"/>
  <c r="H33" i="5"/>
  <c r="G33" i="5"/>
  <c r="F33" i="5"/>
  <c r="E33" i="5"/>
  <c r="H32" i="5"/>
  <c r="G32" i="5"/>
  <c r="F32" i="5"/>
  <c r="E32" i="5"/>
  <c r="H31" i="5"/>
  <c r="G31" i="5"/>
  <c r="F31" i="5"/>
  <c r="E31" i="5"/>
  <c r="H30" i="5"/>
  <c r="G30" i="5"/>
  <c r="F30" i="5"/>
  <c r="E30" i="5"/>
  <c r="H29" i="5"/>
  <c r="G29" i="5"/>
  <c r="F29" i="5"/>
  <c r="E29" i="5"/>
  <c r="H28" i="5"/>
  <c r="G28" i="5"/>
  <c r="F28" i="5"/>
  <c r="E28" i="5"/>
  <c r="H27" i="5"/>
  <c r="G27" i="5"/>
  <c r="F27" i="5"/>
  <c r="E27" i="5"/>
  <c r="H26" i="5"/>
  <c r="G26" i="5"/>
  <c r="F26" i="5"/>
  <c r="E26" i="5"/>
  <c r="H25" i="5"/>
  <c r="G25" i="5"/>
  <c r="F25" i="5"/>
  <c r="E25" i="5"/>
  <c r="F24" i="5"/>
  <c r="E24" i="5"/>
  <c r="F23" i="5"/>
  <c r="E23" i="5"/>
  <c r="F22" i="5"/>
  <c r="E22" i="5"/>
  <c r="F21" i="5"/>
  <c r="E21" i="5"/>
  <c r="F20" i="5"/>
  <c r="E20" i="5"/>
  <c r="F19" i="5"/>
  <c r="E19" i="5"/>
  <c r="F18" i="5"/>
  <c r="E18" i="5"/>
  <c r="F17" i="5"/>
  <c r="E17" i="5"/>
  <c r="F16" i="5"/>
  <c r="E16" i="5"/>
  <c r="F15" i="5"/>
  <c r="E15" i="5"/>
  <c r="F14" i="5"/>
  <c r="E14" i="5"/>
  <c r="F13" i="5"/>
  <c r="E13" i="5"/>
  <c r="F12" i="5"/>
  <c r="E12" i="5"/>
  <c r="F11" i="5"/>
  <c r="E11" i="5"/>
  <c r="F10" i="5"/>
  <c r="E10" i="5"/>
  <c r="F9" i="5"/>
  <c r="E9" i="5"/>
  <c r="F8" i="5"/>
  <c r="E8" i="5"/>
  <c r="K7" i="5"/>
  <c r="F7" i="5"/>
  <c r="E7" i="5"/>
  <c r="K6" i="5"/>
  <c r="F6" i="5"/>
  <c r="E6" i="5"/>
  <c r="F5" i="5"/>
  <c r="E5" i="5"/>
  <c r="H37" i="3"/>
  <c r="D37" i="3"/>
  <c r="F37" i="3" s="1"/>
  <c r="C37" i="3"/>
  <c r="E37" i="3" s="1"/>
  <c r="B37" i="3"/>
  <c r="H36" i="3"/>
  <c r="D36" i="3"/>
  <c r="F36" i="3" s="1"/>
  <c r="C36" i="3"/>
  <c r="E36" i="3" s="1"/>
  <c r="B36" i="3"/>
  <c r="H35" i="3"/>
  <c r="D35" i="3"/>
  <c r="C35" i="3"/>
  <c r="B35" i="3"/>
  <c r="H34" i="3"/>
  <c r="D34" i="3"/>
  <c r="F34" i="3" s="1"/>
  <c r="C34" i="3"/>
  <c r="E34" i="3" s="1"/>
  <c r="B34" i="3"/>
  <c r="H33" i="3"/>
  <c r="D33" i="3"/>
  <c r="F33" i="3" s="1"/>
  <c r="C33" i="3"/>
  <c r="E33" i="3" s="1"/>
  <c r="B33" i="3"/>
  <c r="H32" i="3"/>
  <c r="D32" i="3"/>
  <c r="F32" i="3" s="1"/>
  <c r="C32" i="3"/>
  <c r="E32" i="3" s="1"/>
  <c r="B32" i="3"/>
  <c r="H31" i="3"/>
  <c r="F31" i="3"/>
  <c r="E31" i="3"/>
  <c r="D31" i="3"/>
  <c r="C31" i="3"/>
  <c r="B31" i="3"/>
  <c r="H30" i="3"/>
  <c r="D30" i="3"/>
  <c r="F30" i="3" s="1"/>
  <c r="C30" i="3"/>
  <c r="E30" i="3" s="1"/>
  <c r="B30" i="3"/>
  <c r="H29" i="3"/>
  <c r="D29" i="3"/>
  <c r="F29" i="3" s="1"/>
  <c r="C29" i="3"/>
  <c r="E29" i="3" s="1"/>
  <c r="B29" i="3"/>
  <c r="H28" i="3"/>
  <c r="D28" i="3"/>
  <c r="F28" i="3" s="1"/>
  <c r="C28" i="3"/>
  <c r="E28" i="3" s="1"/>
  <c r="B28" i="3"/>
  <c r="H27" i="3"/>
  <c r="F27" i="3"/>
  <c r="H24" i="5" s="1"/>
  <c r="D27" i="3"/>
  <c r="C27" i="3"/>
  <c r="E27" i="3" s="1"/>
  <c r="G24" i="5" s="1"/>
  <c r="B27" i="3"/>
  <c r="H26" i="3"/>
  <c r="D26" i="3"/>
  <c r="F26" i="3" s="1"/>
  <c r="H23" i="5" s="1"/>
  <c r="C26" i="3"/>
  <c r="E26" i="3" s="1"/>
  <c r="G23" i="5" s="1"/>
  <c r="B26" i="3"/>
  <c r="H25" i="3"/>
  <c r="D25" i="3"/>
  <c r="F25" i="3" s="1"/>
  <c r="H22" i="5" s="1"/>
  <c r="C25" i="3"/>
  <c r="E25" i="3" s="1"/>
  <c r="G22" i="5" s="1"/>
  <c r="B25" i="3"/>
  <c r="H24" i="3"/>
  <c r="D24" i="3"/>
  <c r="F24" i="3" s="1"/>
  <c r="H21" i="5" s="1"/>
  <c r="C24" i="3"/>
  <c r="E24" i="3" s="1"/>
  <c r="G21" i="5" s="1"/>
  <c r="B24" i="3"/>
  <c r="H23" i="3"/>
  <c r="F23" i="3"/>
  <c r="H20" i="5" s="1"/>
  <c r="D23" i="3"/>
  <c r="C23" i="3"/>
  <c r="E23" i="3" s="1"/>
  <c r="G20" i="5" s="1"/>
  <c r="B23" i="3"/>
  <c r="H22" i="3"/>
  <c r="D22" i="3"/>
  <c r="F22" i="3" s="1"/>
  <c r="H19" i="5" s="1"/>
  <c r="C22" i="3"/>
  <c r="E22" i="3" s="1"/>
  <c r="G19" i="5" s="1"/>
  <c r="B22" i="3"/>
  <c r="H21" i="3"/>
  <c r="D21" i="3"/>
  <c r="F21" i="3" s="1"/>
  <c r="H18" i="5" s="1"/>
  <c r="C21" i="3"/>
  <c r="E21" i="3" s="1"/>
  <c r="G18" i="5" s="1"/>
  <c r="B21" i="3"/>
  <c r="H20" i="3"/>
  <c r="D20" i="3"/>
  <c r="F20" i="3" s="1"/>
  <c r="H17" i="5" s="1"/>
  <c r="C20" i="3"/>
  <c r="E20" i="3" s="1"/>
  <c r="G17" i="5" s="1"/>
  <c r="B20" i="3"/>
  <c r="H19" i="3"/>
  <c r="D19" i="3"/>
  <c r="F19" i="3" s="1"/>
  <c r="H16" i="5" s="1"/>
  <c r="C19" i="3"/>
  <c r="E19" i="3" s="1"/>
  <c r="G16" i="5" s="1"/>
  <c r="B19" i="3"/>
  <c r="H18" i="3"/>
  <c r="D18" i="3"/>
  <c r="F18" i="3" s="1"/>
  <c r="H15" i="5" s="1"/>
  <c r="C18" i="3"/>
  <c r="E18" i="3" s="1"/>
  <c r="G15" i="5" s="1"/>
  <c r="B18" i="3"/>
  <c r="H17" i="3"/>
  <c r="D17" i="3"/>
  <c r="F17" i="3" s="1"/>
  <c r="H14" i="5" s="1"/>
  <c r="C17" i="3"/>
  <c r="E17" i="3" s="1"/>
  <c r="G14" i="5" s="1"/>
  <c r="B17" i="3"/>
  <c r="H16" i="3"/>
  <c r="D16" i="3"/>
  <c r="F16" i="3" s="1"/>
  <c r="H13" i="5" s="1"/>
  <c r="C16" i="3"/>
  <c r="E16" i="3" s="1"/>
  <c r="G13" i="5" s="1"/>
  <c r="B16" i="3"/>
  <c r="H15" i="3"/>
  <c r="D15" i="3"/>
  <c r="F15" i="3" s="1"/>
  <c r="H12" i="5" s="1"/>
  <c r="C15" i="3"/>
  <c r="E15" i="3" s="1"/>
  <c r="G12" i="5" s="1"/>
  <c r="B15" i="3"/>
  <c r="H14" i="3"/>
  <c r="D14" i="3"/>
  <c r="F14" i="3" s="1"/>
  <c r="H11" i="5" s="1"/>
  <c r="C14" i="3"/>
  <c r="E14" i="3" s="1"/>
  <c r="G11" i="5" s="1"/>
  <c r="B14" i="3"/>
  <c r="H13" i="3"/>
  <c r="D13" i="3"/>
  <c r="F13" i="3" s="1"/>
  <c r="H10" i="5" s="1"/>
  <c r="C13" i="3"/>
  <c r="E13" i="3" s="1"/>
  <c r="G10" i="5" s="1"/>
  <c r="B13" i="3"/>
  <c r="H12" i="3"/>
  <c r="D12" i="3"/>
  <c r="F12" i="3" s="1"/>
  <c r="H9" i="5" s="1"/>
  <c r="C12" i="3"/>
  <c r="E12" i="3" s="1"/>
  <c r="G9" i="5" s="1"/>
  <c r="B12" i="3"/>
  <c r="H11" i="3"/>
  <c r="D11" i="3"/>
  <c r="F11" i="3" s="1"/>
  <c r="H8" i="5" s="1"/>
  <c r="C11" i="3"/>
  <c r="E11" i="3" s="1"/>
  <c r="G8" i="5" s="1"/>
  <c r="B11" i="3"/>
  <c r="H10" i="3"/>
  <c r="D10" i="3"/>
  <c r="F10" i="3" s="1"/>
  <c r="H7" i="5" s="1"/>
  <c r="C10" i="3"/>
  <c r="E10" i="3" s="1"/>
  <c r="G7" i="5" s="1"/>
  <c r="B10" i="3"/>
  <c r="H9" i="3"/>
  <c r="D9" i="3"/>
  <c r="F9" i="3" s="1"/>
  <c r="H6" i="5" s="1"/>
  <c r="C9" i="3"/>
  <c r="E9" i="3" s="1"/>
  <c r="G6" i="5" s="1"/>
  <c r="B9" i="3"/>
  <c r="H8" i="3"/>
  <c r="D8" i="3"/>
  <c r="F8" i="3" s="1"/>
  <c r="H5" i="5" s="1"/>
  <c r="L7" i="5" s="1"/>
  <c r="M7" i="5" s="1"/>
  <c r="C8" i="3"/>
  <c r="B8" i="3"/>
  <c r="B13" i="2"/>
  <c r="E35" i="3" l="1"/>
  <c r="F35" i="3"/>
  <c r="L23" i="3"/>
  <c r="M22" i="3"/>
  <c r="L22" i="3"/>
  <c r="M21" i="3"/>
  <c r="L21" i="3"/>
  <c r="M20" i="3"/>
  <c r="L20" i="3"/>
  <c r="L19" i="3"/>
  <c r="M19" i="3"/>
  <c r="L18" i="3"/>
  <c r="M18" i="3"/>
  <c r="M17" i="3"/>
  <c r="L17" i="3"/>
  <c r="L16" i="3"/>
  <c r="M16" i="3"/>
  <c r="M15" i="3"/>
  <c r="L15" i="3"/>
  <c r="M14" i="3"/>
  <c r="L14" i="3"/>
  <c r="K9" i="3"/>
  <c r="E8" i="3"/>
  <c r="M8" i="3"/>
  <c r="N8" i="3"/>
  <c r="O8" i="3"/>
  <c r="I8" i="3"/>
  <c r="P8" i="3"/>
  <c r="J8" i="3"/>
  <c r="L8" i="3"/>
  <c r="G9" i="3" l="1"/>
  <c r="G5" i="5"/>
  <c r="L6" i="5" s="1"/>
  <c r="M6" i="5" s="1"/>
  <c r="K10" i="3"/>
  <c r="L9" i="3"/>
  <c r="M9" i="3"/>
  <c r="J9" i="3" l="1"/>
  <c r="O9" i="3"/>
  <c r="I9" i="3"/>
  <c r="N9" i="3"/>
  <c r="P9" i="3"/>
  <c r="G10" i="3"/>
  <c r="L10" i="3"/>
  <c r="M10" i="3"/>
  <c r="K11" i="3"/>
  <c r="J10" i="3" l="1"/>
  <c r="P10" i="3"/>
  <c r="O10" i="3"/>
  <c r="I10" i="3"/>
  <c r="N10" i="3"/>
  <c r="G11" i="3"/>
  <c r="M11" i="3"/>
  <c r="L11" i="3"/>
  <c r="K12" i="3"/>
  <c r="P11" i="3" l="1"/>
  <c r="O11" i="3"/>
  <c r="I11" i="3"/>
  <c r="J11" i="3"/>
  <c r="N11" i="3"/>
  <c r="G12" i="3"/>
  <c r="L12" i="3"/>
  <c r="M12" i="3"/>
  <c r="K13" i="3"/>
  <c r="P12" i="3" l="1"/>
  <c r="I12" i="3"/>
  <c r="N12" i="3"/>
  <c r="J12" i="3"/>
  <c r="O12" i="3"/>
  <c r="G13" i="3"/>
  <c r="L13" i="3"/>
  <c r="M13" i="3"/>
  <c r="K14" i="3"/>
  <c r="K15" i="3" s="1"/>
  <c r="K16" i="3" s="1"/>
  <c r="K17" i="3" s="1"/>
  <c r="K18" i="3" s="1"/>
  <c r="K19" i="3" s="1"/>
  <c r="K20" i="3" s="1"/>
  <c r="K21" i="3" s="1"/>
  <c r="K22" i="3" s="1"/>
  <c r="K23" i="3" s="1"/>
  <c r="J13" i="3" l="1"/>
  <c r="I13" i="3"/>
  <c r="N13" i="3"/>
  <c r="O13" i="3"/>
  <c r="P13" i="3"/>
  <c r="G14" i="3"/>
  <c r="K24" i="3"/>
  <c r="M23" i="3"/>
  <c r="O14" i="3" l="1"/>
  <c r="I14" i="3"/>
  <c r="J14" i="3"/>
  <c r="N14" i="3"/>
  <c r="P14" i="3"/>
  <c r="G15" i="3"/>
  <c r="M24" i="3"/>
  <c r="L24" i="3"/>
  <c r="K25" i="3"/>
  <c r="N15" i="3" l="1"/>
  <c r="P15" i="3"/>
  <c r="O15" i="3"/>
  <c r="I15" i="3"/>
  <c r="J15" i="3"/>
  <c r="G16" i="3"/>
  <c r="L25" i="3"/>
  <c r="M25" i="3"/>
  <c r="K26" i="3"/>
  <c r="N16" i="3" l="1"/>
  <c r="P16" i="3"/>
  <c r="J16" i="3"/>
  <c r="O16" i="3"/>
  <c r="I16" i="3"/>
  <c r="G17" i="3"/>
  <c r="M26" i="3"/>
  <c r="L26" i="3"/>
  <c r="K27" i="3"/>
  <c r="O17" i="3" l="1"/>
  <c r="J17" i="3"/>
  <c r="N17" i="3"/>
  <c r="P17" i="3"/>
  <c r="I17" i="3"/>
  <c r="G18" i="3"/>
  <c r="L27" i="3"/>
  <c r="M27" i="3"/>
  <c r="K28" i="3"/>
  <c r="P18" i="3" l="1"/>
  <c r="O18" i="3"/>
  <c r="N18" i="3"/>
  <c r="J18" i="3"/>
  <c r="I18" i="3"/>
  <c r="G19" i="3"/>
  <c r="L28" i="3"/>
  <c r="M28" i="3"/>
  <c r="K29" i="3"/>
  <c r="O19" i="3" l="1"/>
  <c r="I19" i="3"/>
  <c r="J19" i="3"/>
  <c r="N19" i="3"/>
  <c r="P19" i="3"/>
  <c r="G20" i="3"/>
  <c r="M29" i="3"/>
  <c r="L29" i="3"/>
  <c r="K30" i="3"/>
  <c r="J20" i="3" l="1"/>
  <c r="I20" i="3"/>
  <c r="N20" i="3"/>
  <c r="O20" i="3"/>
  <c r="P20" i="3"/>
  <c r="G21" i="3"/>
  <c r="L30" i="3"/>
  <c r="M30" i="3"/>
  <c r="K31" i="3"/>
  <c r="N21" i="3" l="1"/>
  <c r="P21" i="3"/>
  <c r="O21" i="3"/>
  <c r="J21" i="3"/>
  <c r="I21" i="3"/>
  <c r="G22" i="3"/>
  <c r="L31" i="3"/>
  <c r="M31" i="3"/>
  <c r="K32" i="3"/>
  <c r="P22" i="3" l="1"/>
  <c r="O22" i="3"/>
  <c r="I22" i="3"/>
  <c r="J22" i="3"/>
  <c r="N22" i="3"/>
  <c r="G23" i="3"/>
  <c r="L32" i="3"/>
  <c r="M32" i="3"/>
  <c r="K33" i="3"/>
  <c r="I23" i="3" l="1"/>
  <c r="J23" i="3"/>
  <c r="N23" i="3"/>
  <c r="O23" i="3"/>
  <c r="P23" i="3"/>
  <c r="G24" i="3"/>
  <c r="M33" i="3"/>
  <c r="L33" i="3"/>
  <c r="K34" i="3"/>
  <c r="P24" i="3" l="1"/>
  <c r="O24" i="3"/>
  <c r="N24" i="3"/>
  <c r="I24" i="3"/>
  <c r="J24" i="3"/>
  <c r="G25" i="3"/>
  <c r="L34" i="3"/>
  <c r="M34" i="3"/>
  <c r="K35" i="3"/>
  <c r="O25" i="3" l="1"/>
  <c r="I25" i="3"/>
  <c r="J25" i="3"/>
  <c r="N25" i="3"/>
  <c r="P25" i="3"/>
  <c r="G26" i="3"/>
  <c r="L35" i="3"/>
  <c r="M35" i="3"/>
  <c r="K36" i="3"/>
  <c r="P26" i="3" l="1"/>
  <c r="O26" i="3"/>
  <c r="I26" i="3"/>
  <c r="N26" i="3"/>
  <c r="J26" i="3"/>
  <c r="G27" i="3"/>
  <c r="L36" i="3"/>
  <c r="M36" i="3"/>
  <c r="K37" i="3"/>
  <c r="I27" i="3" l="1"/>
  <c r="J27" i="3"/>
  <c r="N27" i="3"/>
  <c r="O27" i="3"/>
  <c r="P27" i="3"/>
  <c r="G28" i="3"/>
  <c r="L37" i="3"/>
  <c r="S11" i="3" s="1"/>
  <c r="M37" i="3"/>
  <c r="S12" i="3" s="1"/>
  <c r="P28" i="3" l="1"/>
  <c r="I28" i="3"/>
  <c r="J28" i="3"/>
  <c r="N28" i="3"/>
  <c r="O28" i="3"/>
  <c r="G29" i="3"/>
  <c r="S15" i="3"/>
  <c r="S13" i="3"/>
  <c r="C6" i="4" s="1"/>
  <c r="D6" i="4" s="1"/>
  <c r="J29" i="3" l="1"/>
  <c r="P29" i="3"/>
  <c r="O29" i="3"/>
  <c r="N29" i="3"/>
  <c r="I29" i="3"/>
  <c r="G30" i="3"/>
  <c r="I30" i="3" l="1"/>
  <c r="J30" i="3"/>
  <c r="N30" i="3"/>
  <c r="O30" i="3"/>
  <c r="P30" i="3"/>
  <c r="G31" i="3"/>
  <c r="I31" i="3" l="1"/>
  <c r="N31" i="3"/>
  <c r="P31" i="3"/>
  <c r="J31" i="3"/>
  <c r="G32" i="3"/>
  <c r="O31" i="3"/>
  <c r="O32" i="3" l="1"/>
  <c r="J32" i="3"/>
  <c r="N32" i="3"/>
  <c r="P32" i="3"/>
  <c r="I32" i="3"/>
  <c r="G33" i="3"/>
  <c r="I33" i="3" l="1"/>
  <c r="J33" i="3"/>
  <c r="P33" i="3"/>
  <c r="N33" i="3"/>
  <c r="O33" i="3"/>
  <c r="G34" i="3"/>
  <c r="I34" i="3" l="1"/>
  <c r="J34" i="3"/>
  <c r="N34" i="3"/>
  <c r="O34" i="3"/>
  <c r="P34" i="3"/>
  <c r="G35" i="3"/>
  <c r="J35" i="3" l="1"/>
  <c r="N35" i="3"/>
  <c r="O35" i="3"/>
  <c r="P35" i="3"/>
  <c r="I35" i="3"/>
  <c r="G36" i="3"/>
  <c r="I36" i="3" l="1"/>
  <c r="J36" i="3"/>
  <c r="N36" i="3"/>
  <c r="O36" i="3"/>
  <c r="P36" i="3"/>
  <c r="G37" i="3"/>
  <c r="I37" i="3" l="1"/>
  <c r="S8" i="3" s="1"/>
  <c r="C8" i="4" s="1"/>
  <c r="D8" i="4" s="1"/>
  <c r="J37" i="3"/>
  <c r="S9" i="3" s="1"/>
  <c r="N37" i="3"/>
  <c r="O37" i="3"/>
  <c r="S16" i="3" s="1"/>
  <c r="P37" i="3"/>
  <c r="S17" i="3" s="1"/>
  <c r="G38" i="3"/>
  <c r="S10" i="3" l="1"/>
  <c r="C7" i="4"/>
  <c r="D7" i="4" s="1"/>
  <c r="C5" i="4" l="1"/>
  <c r="D5" i="4" s="1"/>
  <c r="B10" i="4" s="1"/>
  <c r="S1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G8" authorId="0" shapeId="0" xr:uid="{00000000-0006-0000-0200-000001000000}">
      <text>
        <r>
          <rPr>
            <sz val="10"/>
            <rFont val="Arial"/>
            <family val="2"/>
          </rPr>
          <t>Starting value: every policy is in force at issue.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5" authorId="0" shapeId="0" xr:uid="{00000000-0006-0000-0300-000001000000}">
      <text>
        <r>
          <rPr>
            <sz val="10"/>
            <rFont val="Arial"/>
            <family val="2"/>
          </rPr>
          <t>Source: Shiny calculator, Chapter 2 tab, default assumptions.</t>
        </r>
      </text>
    </comment>
  </commentList>
</comments>
</file>

<file path=xl/sharedStrings.xml><?xml version="1.0" encoding="utf-8"?>
<sst xmlns="http://schemas.openxmlformats.org/spreadsheetml/2006/main" count="90" uniqueCount="83">
  <si>
    <t>Chapter 2: Exits, Excel cross-check</t>
  </si>
  <si>
    <t>Part of The Odds of a Lifetime. This workbook rebuilds the Chapter 2 calculations independently in spreadsheet formulas.</t>
  </si>
  <si>
    <t>Sheets</t>
  </si>
  <si>
    <t>Assumptions: all inputs, matching the calculator's Chapter 2 tab.</t>
  </si>
  <si>
    <t>Decrement table: independent rates converted to dependent rates (uniform deaths and lapses in each single decrement table), lives in force, annuity and death benefit, with and without lapses.</t>
  </si>
  <si>
    <t>Cross-check: R calculator results side by side with Excel.</t>
  </si>
  <si>
    <t>Experience: paste the SQL exit study from R; Excel estimates the rates and computes actual vs expected.</t>
  </si>
  <si>
    <t>Legend</t>
  </si>
  <si>
    <t>Blue text on yellow = input you can change</t>
  </si>
  <si>
    <t>Black text = formula</t>
  </si>
  <si>
    <t>Green text = value pulled from another sheet</t>
  </si>
  <si>
    <t>Illustrative assumptions only, not calibrated to real data and not a pricing basis.</t>
  </si>
  <si>
    <t>Assumptions</t>
  </si>
  <si>
    <t>Independent (single decrement) rates. Premiums at the start of each year while in force; death benefit at the end of the year of death; no cash value on lapse.</t>
  </si>
  <si>
    <t>Item</t>
  </si>
  <si>
    <t>Value</t>
  </si>
  <si>
    <t>Note</t>
  </si>
  <si>
    <t>Policy term n (years)</t>
  </si>
  <si>
    <t>At most 30.</t>
  </si>
  <si>
    <t>Death benefit</t>
  </si>
  <si>
    <t>Paid at the end of the year of death.</t>
  </si>
  <si>
    <t>Annual interest rate i</t>
  </si>
  <si>
    <t>Effective rate.</t>
  </si>
  <si>
    <t>Year 1 death rate</t>
  </si>
  <si>
    <t>Independent rate.</t>
  </si>
  <si>
    <t>Annual increase in death rate</t>
  </si>
  <si>
    <t>Death rate in year k = year 1 rate x (1 + increase)^(k-1).</t>
  </si>
  <si>
    <t>Year 1 lapse rate</t>
  </si>
  <si>
    <t>Lapse rate after year 1</t>
  </si>
  <si>
    <t>Term within the 30-year limit?</t>
  </si>
  <si>
    <t>Multiple decrement table and premium</t>
  </si>
  <si>
    <t>Dependent rates under uniform deaths and lapses in each single decrement table: q(death) = q'(death)(1 - q'(lapse)/2), q(lapse) = q'(lapse)(1 - q'(death)/2).</t>
  </si>
  <si>
    <t>Policy year k</t>
  </si>
  <si>
    <t>In term (1/0)</t>
  </si>
  <si>
    <t>Independent death rate q'</t>
  </si>
  <si>
    <t>Independent lapse rate q'</t>
  </si>
  <si>
    <t>Dependent death rate</t>
  </si>
  <si>
    <t>Dependent lapse rate</t>
  </si>
  <si>
    <t>In force at start, (k-1)p</t>
  </si>
  <si>
    <t>Discount v^(k-1)</t>
  </si>
  <si>
    <t>Annuity term</t>
  </si>
  <si>
    <t>Death benefit PV term</t>
  </si>
  <si>
    <t>No lapses: in force at start</t>
  </si>
  <si>
    <t>No lapses: annuity term</t>
  </si>
  <si>
    <t>No lapses: death PV term</t>
  </si>
  <si>
    <t>Per 1,000: in force at start</t>
  </si>
  <si>
    <t>Per 1,000: deaths</t>
  </si>
  <si>
    <t>Per 1,000: lapses</t>
  </si>
  <si>
    <t>Results</t>
  </si>
  <si>
    <t>Annuity factor (with lapses)</t>
  </si>
  <si>
    <t>EPV of death benefit (with lapses)</t>
  </si>
  <si>
    <t>Annual premium allowing for lapses</t>
  </si>
  <si>
    <t>Annuity factor (no lapses)</t>
  </si>
  <si>
    <t>EPV of death benefit (no lapses)</t>
  </si>
  <si>
    <t>Annual premium if nobody lapses</t>
  </si>
  <si>
    <t>Effect of lapses on the premium</t>
  </si>
  <si>
    <t>Per 1,000: still in force at the end of the term</t>
  </si>
  <si>
    <t>Per 1,000: total deaths</t>
  </si>
  <si>
    <t>Per 1,000: total lapses</t>
  </si>
  <si>
    <t>(end of year 30, used for the in-force total only)</t>
  </si>
  <si>
    <t>R calculator vs Excel</t>
  </si>
  <si>
    <t>R values were read off the calculator's Chapter 2 tab at the default assumptions. If you change the assumptions, re-enter the R values from the app.</t>
  </si>
  <si>
    <t>R calculator</t>
  </si>
  <si>
    <t>Excel</t>
  </si>
  <si>
    <t>R minus Excel</t>
  </si>
  <si>
    <t>R and Excel agree (to the rounding shown in the app)?</t>
  </si>
  <si>
    <t>Exit study from the SQL experience data</t>
  </si>
  <si>
    <t>Policy year</t>
  </si>
  <si>
    <t>In force at start</t>
  </si>
  <si>
    <t>Deaths</t>
  </si>
  <si>
    <t>Lapses</t>
  </si>
  <si>
    <t>Death rate (deaths / in force)</t>
  </si>
  <si>
    <t>Lapse rate (lapses / in force)</t>
  </si>
  <si>
    <t>Expected deaths</t>
  </si>
  <si>
    <t>Expected lapses</t>
  </si>
  <si>
    <t>Actual vs expected (years within the term)</t>
  </si>
  <si>
    <t>Decrement</t>
  </si>
  <si>
    <t>Actual</t>
  </si>
  <si>
    <t>Expected</t>
  </si>
  <si>
    <t>A/E</t>
  </si>
  <si>
    <t>Death</t>
  </si>
  <si>
    <t>Lapse</t>
  </si>
  <si>
    <t>Values below are the SQL exit study from 50,000 simulated policies (seed 2026). Expected exits use the dependent rates on the Decrement table sheet.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</si>
</sst>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\$#,##0"/>
    <numFmt numFmtId="165" formatCode="0.0%"/>
    <numFmt numFmtId="166" formatCode="0.0000"/>
    <numFmt numFmtId="167" formatCode="0.000000"/>
    <numFmt numFmtId="168" formatCode="\$#,##0.00"/>
    <numFmt numFmtId="169" formatCode="#,##0.0"/>
    <numFmt numFmtId="170" formatCode="\+0.0%;\-0.0%"/>
    <numFmt numFmtId="171" formatCode="\$#,##0.00;&quot;($&quot;#,##0.00\);\-"/>
    <numFmt numFmtId="172" formatCode="0.0000;\(0.0000\);\-"/>
    <numFmt numFmtId="173" formatCode="0.00000"/>
  </numFmts>
  <fonts count="13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0000FF"/>
      <name val="Arial"/>
      <family val="2"/>
    </font>
    <font>
      <sz val="11"/>
      <color rgb="FF008000"/>
      <name val="Arial"/>
      <family val="2"/>
    </font>
    <font>
      <i/>
      <sz val="11"/>
      <name val="Arial"/>
      <family val="2"/>
    </font>
    <font>
      <b/>
      <sz val="11"/>
      <color rgb="FFFFFFFF"/>
      <name val="Arial"/>
      <family val="2"/>
    </font>
    <font>
      <i/>
      <sz val="11"/>
      <color rgb="FF595959"/>
      <name val="Arial"/>
      <family val="2"/>
    </font>
    <font>
      <sz val="11"/>
      <color rgb="FF808080"/>
      <name val="Arial"/>
      <family val="2"/>
    </font>
    <font>
      <i/>
      <sz val="11"/>
      <color rgb="FF808080"/>
      <name val="Arial"/>
      <family val="2"/>
    </font>
    <font>
      <sz val="10"/>
      <name val="Courier New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6" fillId="0" borderId="0" xfId="0" applyFont="1"/>
    <xf numFmtId="0" fontId="7" fillId="0" borderId="0" xfId="0" applyFont="1"/>
    <xf numFmtId="0" fontId="8" fillId="3" borderId="0" xfId="0" applyFont="1" applyFill="1" applyAlignment="1">
      <alignment vertical="center" wrapText="1"/>
    </xf>
    <xf numFmtId="0" fontId="9" fillId="0" borderId="0" xfId="0" applyFont="1"/>
    <xf numFmtId="164" fontId="5" fillId="2" borderId="0" xfId="0" applyNumberFormat="1" applyFont="1" applyFill="1"/>
    <xf numFmtId="165" fontId="5" fillId="2" borderId="0" xfId="0" applyNumberFormat="1" applyFont="1" applyFill="1"/>
    <xf numFmtId="166" fontId="5" fillId="2" borderId="0" xfId="0" applyNumberFormat="1" applyFont="1" applyFill="1"/>
    <xf numFmtId="167" fontId="3" fillId="0" borderId="0" xfId="0" applyNumberFormat="1" applyFont="1"/>
    <xf numFmtId="167" fontId="5" fillId="0" borderId="0" xfId="0" applyNumberFormat="1" applyFont="1"/>
    <xf numFmtId="168" fontId="3" fillId="0" borderId="0" xfId="0" applyNumberFormat="1" applyFont="1"/>
    <xf numFmtId="169" fontId="3" fillId="0" borderId="0" xfId="0" applyNumberFormat="1" applyFont="1"/>
    <xf numFmtId="166" fontId="3" fillId="0" borderId="0" xfId="0" applyNumberFormat="1" applyFont="1"/>
    <xf numFmtId="168" fontId="4" fillId="0" borderId="0" xfId="0" applyNumberFormat="1" applyFont="1"/>
    <xf numFmtId="170" fontId="3" fillId="0" borderId="0" xfId="0" applyNumberFormat="1" applyFont="1"/>
    <xf numFmtId="0" fontId="10" fillId="0" borderId="0" xfId="0" applyFont="1"/>
    <xf numFmtId="167" fontId="10" fillId="0" borderId="0" xfId="0" applyNumberFormat="1" applyFont="1"/>
    <xf numFmtId="0" fontId="11" fillId="0" borderId="0" xfId="0" applyFont="1"/>
    <xf numFmtId="171" fontId="5" fillId="2" borderId="0" xfId="0" applyNumberFormat="1" applyFont="1" applyFill="1"/>
    <xf numFmtId="171" fontId="6" fillId="0" borderId="0" xfId="0" applyNumberFormat="1" applyFont="1"/>
    <xf numFmtId="171" fontId="3" fillId="0" borderId="0" xfId="0" applyNumberFormat="1" applyFont="1"/>
    <xf numFmtId="172" fontId="5" fillId="2" borderId="0" xfId="0" applyNumberFormat="1" applyFont="1" applyFill="1"/>
    <xf numFmtId="172" fontId="6" fillId="0" borderId="0" xfId="0" applyNumberFormat="1" applyFont="1"/>
    <xf numFmtId="172" fontId="3" fillId="0" borderId="0" xfId="0" applyNumberFormat="1" applyFont="1"/>
    <xf numFmtId="3" fontId="5" fillId="2" borderId="0" xfId="0" applyNumberFormat="1" applyFont="1" applyFill="1"/>
    <xf numFmtId="173" fontId="3" fillId="0" borderId="0" xfId="0" applyNumberFormat="1" applyFont="1"/>
    <xf numFmtId="0" fontId="8" fillId="3" borderId="0" xfId="0" applyFont="1" applyFill="1"/>
    <xf numFmtId="3" fontId="3" fillId="0" borderId="0" xfId="0" applyNumberFormat="1" applyFont="1"/>
    <xf numFmtId="165" fontId="3" fillId="0" borderId="0" xfId="0" applyNumberFormat="1" applyFont="1"/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"/>
  <sheetViews>
    <sheetView zoomScaleNormal="100" workbookViewId="0"/>
  </sheetViews>
  <sheetFormatPr baseColWidth="10" defaultColWidth="8.6640625" defaultRowHeight="15" x14ac:dyDescent="0.2"/>
  <cols>
    <col min="1" max="1" width="125" customWidth="1"/>
  </cols>
  <sheetData>
    <row r="1" spans="1:1" ht="18" x14ac:dyDescent="0.2">
      <c r="A1" s="1" t="s">
        <v>0</v>
      </c>
    </row>
    <row r="2" spans="1:1" x14ac:dyDescent="0.2">
      <c r="A2" s="2" t="s">
        <v>1</v>
      </c>
    </row>
    <row r="3" spans="1:1" x14ac:dyDescent="0.2">
      <c r="A3" s="2"/>
    </row>
    <row r="4" spans="1:1" x14ac:dyDescent="0.2">
      <c r="A4" s="3" t="s">
        <v>2</v>
      </c>
    </row>
    <row r="5" spans="1:1" x14ac:dyDescent="0.2">
      <c r="A5" s="2" t="s">
        <v>3</v>
      </c>
    </row>
    <row r="6" spans="1:1" x14ac:dyDescent="0.2">
      <c r="A6" s="2" t="s">
        <v>4</v>
      </c>
    </row>
    <row r="7" spans="1:1" x14ac:dyDescent="0.2">
      <c r="A7" s="2" t="s">
        <v>5</v>
      </c>
    </row>
    <row r="8" spans="1:1" x14ac:dyDescent="0.2">
      <c r="A8" s="2" t="s">
        <v>6</v>
      </c>
    </row>
    <row r="9" spans="1:1" x14ac:dyDescent="0.2">
      <c r="A9" s="2"/>
    </row>
    <row r="10" spans="1:1" x14ac:dyDescent="0.2">
      <c r="A10" s="3" t="s">
        <v>7</v>
      </c>
    </row>
    <row r="11" spans="1:1" x14ac:dyDescent="0.2">
      <c r="A11" s="4" t="s">
        <v>8</v>
      </c>
    </row>
    <row r="12" spans="1:1" x14ac:dyDescent="0.2">
      <c r="A12" s="2" t="s">
        <v>9</v>
      </c>
    </row>
    <row r="13" spans="1:1" x14ac:dyDescent="0.2">
      <c r="A13" s="5" t="s">
        <v>10</v>
      </c>
    </row>
    <row r="14" spans="1:1" x14ac:dyDescent="0.2">
      <c r="A14" s="2"/>
    </row>
    <row r="15" spans="1:1" x14ac:dyDescent="0.2">
      <c r="A15" s="6" t="s">
        <v>11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zoomScaleNormal="100" workbookViewId="0"/>
  </sheetViews>
  <sheetFormatPr baseColWidth="10" defaultColWidth="8.6640625" defaultRowHeight="15" x14ac:dyDescent="0.2"/>
  <cols>
    <col min="1" max="1" width="34" customWidth="1"/>
    <col min="2" max="2" width="14" customWidth="1"/>
    <col min="3" max="3" width="62" customWidth="1"/>
  </cols>
  <sheetData>
    <row r="1" spans="1:3" ht="18" x14ac:dyDescent="0.2">
      <c r="A1" s="1" t="s">
        <v>12</v>
      </c>
    </row>
    <row r="2" spans="1:3" x14ac:dyDescent="0.2">
      <c r="A2" s="6" t="s">
        <v>13</v>
      </c>
    </row>
    <row r="4" spans="1:3" ht="19.5" customHeight="1" x14ac:dyDescent="0.2">
      <c r="A4" s="7" t="s">
        <v>14</v>
      </c>
      <c r="B4" s="7" t="s">
        <v>15</v>
      </c>
      <c r="C4" s="7" t="s">
        <v>16</v>
      </c>
    </row>
    <row r="5" spans="1:3" x14ac:dyDescent="0.2">
      <c r="A5" s="2" t="s">
        <v>17</v>
      </c>
      <c r="B5" s="4">
        <v>20</v>
      </c>
      <c r="C5" s="8" t="s">
        <v>18</v>
      </c>
    </row>
    <row r="6" spans="1:3" x14ac:dyDescent="0.2">
      <c r="A6" s="2" t="s">
        <v>19</v>
      </c>
      <c r="B6" s="9">
        <v>250000</v>
      </c>
      <c r="C6" s="8" t="s">
        <v>20</v>
      </c>
    </row>
    <row r="7" spans="1:3" x14ac:dyDescent="0.2">
      <c r="A7" s="2" t="s">
        <v>21</v>
      </c>
      <c r="B7" s="10">
        <v>0.05</v>
      </c>
      <c r="C7" s="8" t="s">
        <v>22</v>
      </c>
    </row>
    <row r="8" spans="1:3" x14ac:dyDescent="0.2">
      <c r="A8" s="2" t="s">
        <v>23</v>
      </c>
      <c r="B8" s="11">
        <v>2E-3</v>
      </c>
      <c r="C8" s="8" t="s">
        <v>24</v>
      </c>
    </row>
    <row r="9" spans="1:3" x14ac:dyDescent="0.2">
      <c r="A9" s="2" t="s">
        <v>25</v>
      </c>
      <c r="B9" s="10">
        <v>0.08</v>
      </c>
      <c r="C9" s="8" t="s">
        <v>26</v>
      </c>
    </row>
    <row r="10" spans="1:3" x14ac:dyDescent="0.2">
      <c r="A10" s="2" t="s">
        <v>27</v>
      </c>
      <c r="B10" s="10">
        <v>0.1</v>
      </c>
      <c r="C10" s="8" t="s">
        <v>24</v>
      </c>
    </row>
    <row r="11" spans="1:3" x14ac:dyDescent="0.2">
      <c r="A11" s="2" t="s">
        <v>28</v>
      </c>
      <c r="B11" s="10">
        <v>0.05</v>
      </c>
      <c r="C11" s="8" t="s">
        <v>24</v>
      </c>
    </row>
    <row r="13" spans="1:3" x14ac:dyDescent="0.2">
      <c r="A13" t="s">
        <v>29</v>
      </c>
      <c r="B13" s="3" t="str">
        <f>IF(AND(B5&gt;=1,B5&lt;=30),"OK","Term must be 1 to 30")</f>
        <v>OK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38"/>
  <sheetViews>
    <sheetView zoomScaleNormal="100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baseColWidth="10" defaultColWidth="8.6640625" defaultRowHeight="15" x14ac:dyDescent="0.2"/>
  <cols>
    <col min="1" max="2" width="8" customWidth="1"/>
    <col min="3" max="7" width="12" customWidth="1"/>
    <col min="8" max="9" width="11" customWidth="1"/>
    <col min="10" max="10" width="13" customWidth="1"/>
    <col min="11" max="12" width="12" customWidth="1"/>
    <col min="13" max="13" width="13" customWidth="1"/>
    <col min="14" max="16" width="11" customWidth="1"/>
    <col min="17" max="17" width="2" customWidth="1"/>
    <col min="18" max="18" width="42" customWidth="1"/>
    <col min="19" max="19" width="14" customWidth="1"/>
  </cols>
  <sheetData>
    <row r="1" spans="1:19" ht="18" x14ac:dyDescent="0.2">
      <c r="A1" s="1" t="s">
        <v>30</v>
      </c>
    </row>
    <row r="2" spans="1:19" x14ac:dyDescent="0.2">
      <c r="A2" s="6" t="s">
        <v>31</v>
      </c>
    </row>
    <row r="7" spans="1:19" ht="45" customHeight="1" x14ac:dyDescent="0.2">
      <c r="A7" s="7" t="s">
        <v>32</v>
      </c>
      <c r="B7" s="7" t="s">
        <v>33</v>
      </c>
      <c r="C7" s="7" t="s">
        <v>34</v>
      </c>
      <c r="D7" s="7" t="s">
        <v>35</v>
      </c>
      <c r="E7" s="7" t="s">
        <v>36</v>
      </c>
      <c r="F7" s="7" t="s">
        <v>37</v>
      </c>
      <c r="G7" s="7" t="s">
        <v>38</v>
      </c>
      <c r="H7" s="7" t="s">
        <v>39</v>
      </c>
      <c r="I7" s="7" t="s">
        <v>40</v>
      </c>
      <c r="J7" s="7" t="s">
        <v>41</v>
      </c>
      <c r="K7" s="7" t="s">
        <v>42</v>
      </c>
      <c r="L7" s="7" t="s">
        <v>43</v>
      </c>
      <c r="M7" s="7" t="s">
        <v>44</v>
      </c>
      <c r="N7" s="7" t="s">
        <v>45</v>
      </c>
      <c r="O7" s="7" t="s">
        <v>46</v>
      </c>
      <c r="P7" s="7" t="s">
        <v>47</v>
      </c>
      <c r="R7" s="3" t="s">
        <v>48</v>
      </c>
    </row>
    <row r="8" spans="1:19" x14ac:dyDescent="0.2">
      <c r="A8" s="2">
        <v>1</v>
      </c>
      <c r="B8" s="2">
        <f>IF(A8&lt;=Assumptions!$B$5,1,0)</f>
        <v>1</v>
      </c>
      <c r="C8" s="12">
        <f>MIN(Assumptions!$B$8*(1+Assumptions!$B$9)^(A8-1),1)</f>
        <v>2E-3</v>
      </c>
      <c r="D8" s="12">
        <f>IF(A8=1,Assumptions!$B$10,Assumptions!$B$11)</f>
        <v>0.1</v>
      </c>
      <c r="E8" s="12">
        <f t="shared" ref="E8:E37" si="0">C8*(1-D8/2)</f>
        <v>1.9E-3</v>
      </c>
      <c r="F8" s="12">
        <f t="shared" ref="F8:F37" si="1">D8*(1-C8/2)</f>
        <v>9.9900000000000003E-2</v>
      </c>
      <c r="G8" s="13">
        <v>1</v>
      </c>
      <c r="H8" s="12">
        <f>(1+Assumptions!$B$7)^-(A8-1)</f>
        <v>1</v>
      </c>
      <c r="I8" s="12">
        <f t="shared" ref="I8:I37" si="2">B8*H8*G8</f>
        <v>1</v>
      </c>
      <c r="J8" s="14">
        <f>B8*G8*E8*(1+Assumptions!$B$7)^-A8*Assumptions!$B$6</f>
        <v>452.38095238095235</v>
      </c>
      <c r="K8" s="13">
        <v>1</v>
      </c>
      <c r="L8" s="12">
        <f t="shared" ref="L8:L37" si="3">B8*H8*K8</f>
        <v>1</v>
      </c>
      <c r="M8" s="14">
        <f>B8*K8*C8*(1+Assumptions!$B$7)^-A8*Assumptions!$B$6</f>
        <v>476.1904761904762</v>
      </c>
      <c r="N8" s="15">
        <f t="shared" ref="N8:N37" si="4">B8*1000*G8</f>
        <v>1000</v>
      </c>
      <c r="O8" s="15">
        <f t="shared" ref="O8:O37" si="5">B8*1000*G8*E8</f>
        <v>1.9</v>
      </c>
      <c r="P8" s="15">
        <f t="shared" ref="P8:P37" si="6">B8*1000*G8*F8</f>
        <v>99.9</v>
      </c>
      <c r="R8" s="2" t="s">
        <v>49</v>
      </c>
      <c r="S8" s="16">
        <f>SUM(I8:I37)</f>
        <v>8.4905531547694419</v>
      </c>
    </row>
    <row r="9" spans="1:19" x14ac:dyDescent="0.2">
      <c r="A9" s="2">
        <v>2</v>
      </c>
      <c r="B9" s="2">
        <f>IF(A9&lt;=Assumptions!$B$5,1,0)</f>
        <v>1</v>
      </c>
      <c r="C9" s="12">
        <f>MIN(Assumptions!$B$8*(1+Assumptions!$B$9)^(A9-1),1)</f>
        <v>2.16E-3</v>
      </c>
      <c r="D9" s="12">
        <f>IF(A9=1,Assumptions!$B$10,Assumptions!$B$11)</f>
        <v>0.05</v>
      </c>
      <c r="E9" s="12">
        <f t="shared" si="0"/>
        <v>2.1059999999999998E-3</v>
      </c>
      <c r="F9" s="12">
        <f t="shared" si="1"/>
        <v>4.9946000000000004E-2</v>
      </c>
      <c r="G9" s="12">
        <f t="shared" ref="G9:G38" si="7">G8*(1-E8-F8)</f>
        <v>0.8982</v>
      </c>
      <c r="H9" s="12">
        <f>(1+Assumptions!$B$7)^-(A9-1)</f>
        <v>0.95238095238095233</v>
      </c>
      <c r="I9" s="12">
        <f t="shared" si="2"/>
        <v>0.85542857142857143</v>
      </c>
      <c r="J9" s="14">
        <f>B9*G9*E9*(1+Assumptions!$B$7)^-A9*Assumptions!$B$6</f>
        <v>428.93632653061223</v>
      </c>
      <c r="K9" s="12">
        <f t="shared" ref="K9:K37" si="8">K8*(1-C8)</f>
        <v>0.998</v>
      </c>
      <c r="L9" s="12">
        <f t="shared" si="3"/>
        <v>0.95047619047619047</v>
      </c>
      <c r="M9" s="14">
        <f>B9*K9*C9*(1+Assumptions!$B$7)^-A9*Assumptions!$B$6</f>
        <v>488.81632653061223</v>
      </c>
      <c r="N9" s="15">
        <f t="shared" si="4"/>
        <v>898.2</v>
      </c>
      <c r="O9" s="15">
        <f t="shared" si="5"/>
        <v>1.8916092</v>
      </c>
      <c r="P9" s="15">
        <f t="shared" si="6"/>
        <v>44.861497200000009</v>
      </c>
      <c r="R9" s="2" t="s">
        <v>50</v>
      </c>
      <c r="S9" s="14">
        <f>SUM(J8:J37)</f>
        <v>6935.6291679745909</v>
      </c>
    </row>
    <row r="10" spans="1:19" x14ac:dyDescent="0.2">
      <c r="A10" s="2">
        <v>3</v>
      </c>
      <c r="B10" s="2">
        <f>IF(A10&lt;=Assumptions!$B$5,1,0)</f>
        <v>1</v>
      </c>
      <c r="C10" s="12">
        <f>MIN(Assumptions!$B$8*(1+Assumptions!$B$9)^(A10-1),1)</f>
        <v>2.3328000000000003E-3</v>
      </c>
      <c r="D10" s="12">
        <f>IF(A10=1,Assumptions!$B$10,Assumptions!$B$11)</f>
        <v>0.05</v>
      </c>
      <c r="E10" s="12">
        <f t="shared" si="0"/>
        <v>2.2744800000000002E-3</v>
      </c>
      <c r="F10" s="12">
        <f t="shared" si="1"/>
        <v>4.9941680000000002E-2</v>
      </c>
      <c r="G10" s="12">
        <f t="shared" si="7"/>
        <v>0.85144689359999992</v>
      </c>
      <c r="H10" s="12">
        <f>(1+Assumptions!$B$7)^-(A10-1)</f>
        <v>0.90702947845804982</v>
      </c>
      <c r="I10" s="12">
        <f t="shared" si="2"/>
        <v>0.77228743183673454</v>
      </c>
      <c r="J10" s="14">
        <f>B10*G10*E10*(1+Assumptions!$B$7)^-A10*Assumptions!$B$6</f>
        <v>418.22674237238482</v>
      </c>
      <c r="K10" s="12">
        <f t="shared" si="8"/>
        <v>0.99584431999999989</v>
      </c>
      <c r="L10" s="12">
        <f t="shared" si="3"/>
        <v>0.90326015419501116</v>
      </c>
      <c r="M10" s="14">
        <f>B10*K10*C10*(1+Assumptions!$B$7)^-A10*Assumptions!$B$6</f>
        <v>501.69649707288625</v>
      </c>
      <c r="N10" s="15">
        <f t="shared" si="4"/>
        <v>851.44689359999995</v>
      </c>
      <c r="O10" s="15">
        <f t="shared" si="5"/>
        <v>1.9365989305553279</v>
      </c>
      <c r="P10" s="15">
        <f t="shared" si="6"/>
        <v>42.522688297165246</v>
      </c>
      <c r="R10" s="2" t="s">
        <v>51</v>
      </c>
      <c r="S10" s="17">
        <f>S9/S8</f>
        <v>816.86423034506345</v>
      </c>
    </row>
    <row r="11" spans="1:19" x14ac:dyDescent="0.2">
      <c r="A11" s="2">
        <v>4</v>
      </c>
      <c r="B11" s="2">
        <f>IF(A11&lt;=Assumptions!$B$5,1,0)</f>
        <v>1</v>
      </c>
      <c r="C11" s="12">
        <f>MIN(Assumptions!$B$8*(1+Assumptions!$B$9)^(A11-1),1)</f>
        <v>2.5194240000000006E-3</v>
      </c>
      <c r="D11" s="12">
        <f>IF(A11=1,Assumptions!$B$10,Assumptions!$B$11)</f>
        <v>0.05</v>
      </c>
      <c r="E11" s="12">
        <f t="shared" si="0"/>
        <v>2.4564384000000006E-3</v>
      </c>
      <c r="F11" s="12">
        <f t="shared" si="1"/>
        <v>4.9937014400000007E-2</v>
      </c>
      <c r="G11" s="12">
        <f t="shared" si="7"/>
        <v>0.8069876063722794</v>
      </c>
      <c r="H11" s="12">
        <f>(1+Assumptions!$B$7)^-(A11-1)</f>
        <v>0.86383759853147601</v>
      </c>
      <c r="I11" s="12">
        <f t="shared" si="2"/>
        <v>0.69710623593329391</v>
      </c>
      <c r="J11" s="14">
        <f>B11*G11*E11*(1+Assumptions!$B$7)^-A11*Assumptions!$B$6</f>
        <v>407.71393495857222</v>
      </c>
      <c r="K11" s="12">
        <f t="shared" si="8"/>
        <v>0.99352121437030383</v>
      </c>
      <c r="L11" s="12">
        <f t="shared" si="3"/>
        <v>0.85824097991171899</v>
      </c>
      <c r="M11" s="14">
        <f>B11*K11*C11*(1+Assumptions!$B$7)^-A11*Assumptions!$B$6</f>
        <v>514.82688632692941</v>
      </c>
      <c r="N11" s="15">
        <f t="shared" si="4"/>
        <v>806.9876063722794</v>
      </c>
      <c r="O11" s="15">
        <f t="shared" si="5"/>
        <v>1.9823153446169524</v>
      </c>
      <c r="P11" s="15">
        <f t="shared" si="6"/>
        <v>40.298551720034055</v>
      </c>
      <c r="R11" s="2" t="s">
        <v>52</v>
      </c>
      <c r="S11" s="16">
        <f>SUM(L8:L37)</f>
        <v>12.757429636230386</v>
      </c>
    </row>
    <row r="12" spans="1:19" x14ac:dyDescent="0.2">
      <c r="A12" s="2">
        <v>5</v>
      </c>
      <c r="B12" s="2">
        <f>IF(A12&lt;=Assumptions!$B$5,1,0)</f>
        <v>1</v>
      </c>
      <c r="C12" s="12">
        <f>MIN(Assumptions!$B$8*(1+Assumptions!$B$9)^(A12-1),1)</f>
        <v>2.7209779200000005E-3</v>
      </c>
      <c r="D12" s="12">
        <f>IF(A12=1,Assumptions!$B$10,Assumptions!$B$11)</f>
        <v>0.05</v>
      </c>
      <c r="E12" s="12">
        <f t="shared" si="0"/>
        <v>2.6529534720000003E-3</v>
      </c>
      <c r="F12" s="12">
        <f t="shared" si="1"/>
        <v>4.9931975552000005E-2</v>
      </c>
      <c r="G12" s="12">
        <f t="shared" si="7"/>
        <v>0.76470673930762845</v>
      </c>
      <c r="H12" s="12">
        <f>(1+Assumptions!$B$7)^-(A12-1)</f>
        <v>0.82270247479188197</v>
      </c>
      <c r="I12" s="12">
        <f t="shared" si="2"/>
        <v>0.62912612691841641</v>
      </c>
      <c r="J12" s="14">
        <f>B12*G12*E12*(1+Assumptions!$B$7)^-A12*Assumptions!$B$6</f>
        <v>397.39103398431564</v>
      </c>
      <c r="K12" s="12">
        <f t="shared" si="8"/>
        <v>0.99101811317831012</v>
      </c>
      <c r="L12" s="12">
        <f t="shared" si="3"/>
        <v>0.81531305427537715</v>
      </c>
      <c r="M12" s="14">
        <f>B12*K12*C12*(1+Assumptions!$B$7)^-A12*Assumptions!$B$6</f>
        <v>528.20209965977688</v>
      </c>
      <c r="N12" s="15">
        <f t="shared" si="4"/>
        <v>764.70673930762848</v>
      </c>
      <c r="O12" s="15">
        <f t="shared" si="5"/>
        <v>2.0287313991079721</v>
      </c>
      <c r="P12" s="15">
        <f t="shared" si="6"/>
        <v>38.183318211558145</v>
      </c>
      <c r="R12" s="2" t="s">
        <v>53</v>
      </c>
      <c r="S12" s="14">
        <f>SUM(M8:M37)</f>
        <v>12165.708154525932</v>
      </c>
    </row>
    <row r="13" spans="1:19" x14ac:dyDescent="0.2">
      <c r="A13" s="2">
        <v>6</v>
      </c>
      <c r="B13" s="2">
        <f>IF(A13&lt;=Assumptions!$B$5,1,0)</f>
        <v>1</v>
      </c>
      <c r="C13" s="12">
        <f>MIN(Assumptions!$B$8*(1+Assumptions!$B$9)^(A13-1),1)</f>
        <v>2.9386561536000008E-3</v>
      </c>
      <c r="D13" s="12">
        <f>IF(A13=1,Assumptions!$B$10,Assumptions!$B$11)</f>
        <v>0.05</v>
      </c>
      <c r="E13" s="12">
        <f t="shared" si="0"/>
        <v>2.8651897497600008E-3</v>
      </c>
      <c r="F13" s="12">
        <f t="shared" si="1"/>
        <v>4.9926533596160005E-2</v>
      </c>
      <c r="G13" s="12">
        <f t="shared" si="7"/>
        <v>0.72449468969696229</v>
      </c>
      <c r="H13" s="12">
        <f>(1+Assumptions!$B$7)^-(A13-1)</f>
        <v>0.78352616646845896</v>
      </c>
      <c r="I13" s="12">
        <f t="shared" si="2"/>
        <v>0.56766054684501654</v>
      </c>
      <c r="J13" s="14">
        <f>B13*G13*E13*(1+Assumptions!$B$7)^-A13*Assumptions!$B$6</f>
        <v>387.25123337226154</v>
      </c>
      <c r="K13" s="12">
        <f t="shared" si="8"/>
        <v>0.98832157477403182</v>
      </c>
      <c r="L13" s="12">
        <f t="shared" si="3"/>
        <v>0.77437581472076755</v>
      </c>
      <c r="M13" s="14">
        <f>B13*K13*C13*(1+Assumptions!$B$7)^-A13*Assumptions!$B$6</f>
        <v>541.81529836385664</v>
      </c>
      <c r="N13" s="15">
        <f t="shared" si="4"/>
        <v>724.49468969696227</v>
      </c>
      <c r="O13" s="15">
        <f t="shared" si="5"/>
        <v>2.0758147586752886</v>
      </c>
      <c r="P13" s="15">
        <f t="shared" si="6"/>
        <v>36.171508465394908</v>
      </c>
      <c r="R13" s="2" t="s">
        <v>54</v>
      </c>
      <c r="S13" s="17">
        <f>S12/S11</f>
        <v>953.61749987442624</v>
      </c>
    </row>
    <row r="14" spans="1:19" x14ac:dyDescent="0.2">
      <c r="A14" s="2">
        <v>7</v>
      </c>
      <c r="B14" s="2">
        <f>IF(A14&lt;=Assumptions!$B$5,1,0)</f>
        <v>1</v>
      </c>
      <c r="C14" s="12">
        <f>MIN(Assumptions!$B$8*(1+Assumptions!$B$9)^(A14-1),1)</f>
        <v>3.1737486458880012E-3</v>
      </c>
      <c r="D14" s="12">
        <f>IF(A14=1,Assumptions!$B$10,Assumptions!$B$11)</f>
        <v>0.05</v>
      </c>
      <c r="E14" s="12">
        <f t="shared" si="0"/>
        <v>3.0944049297408011E-3</v>
      </c>
      <c r="F14" s="12">
        <f t="shared" si="1"/>
        <v>4.9920656283852803E-2</v>
      </c>
      <c r="G14" s="12">
        <f t="shared" si="7"/>
        <v>0.68624736647289208</v>
      </c>
      <c r="H14" s="12">
        <f>(1+Assumptions!$B$7)^-(A14-1)</f>
        <v>0.74621539663662761</v>
      </c>
      <c r="I14" s="12">
        <f t="shared" si="2"/>
        <v>0.5120883507634103</v>
      </c>
      <c r="J14" s="14">
        <f>B14*G14*E14*(1+Assumptions!$B$7)^-A14*Assumptions!$B$6</f>
        <v>377.28778977741268</v>
      </c>
      <c r="K14" s="12">
        <f t="shared" si="8"/>
        <v>0.9854172374965865</v>
      </c>
      <c r="L14" s="12">
        <f t="shared" si="3"/>
        <v>0.73533351473108521</v>
      </c>
      <c r="M14" s="14">
        <f>B14*K14*C14*(1+Assumptions!$B$7)^-A14*Assumptions!$B$6</f>
        <v>555.65803491758243</v>
      </c>
      <c r="N14" s="15">
        <f t="shared" si="4"/>
        <v>686.24736647289205</v>
      </c>
      <c r="O14" s="15">
        <f t="shared" si="5"/>
        <v>2.1235272338353592</v>
      </c>
      <c r="P14" s="15">
        <f t="shared" si="6"/>
        <v>34.257918907392416</v>
      </c>
      <c r="R14" s="2" t="s">
        <v>55</v>
      </c>
      <c r="S14" s="18">
        <f>S10/S13-1</f>
        <v>-0.14340473989557723</v>
      </c>
    </row>
    <row r="15" spans="1:19" x14ac:dyDescent="0.2">
      <c r="A15" s="2">
        <v>8</v>
      </c>
      <c r="B15" s="2">
        <f>IF(A15&lt;=Assumptions!$B$5,1,0)</f>
        <v>1</v>
      </c>
      <c r="C15" s="12">
        <f>MIN(Assumptions!$B$8*(1+Assumptions!$B$9)^(A15-1),1)</f>
        <v>3.4276485375590413E-3</v>
      </c>
      <c r="D15" s="12">
        <f>IF(A15=1,Assumptions!$B$10,Assumptions!$B$11)</f>
        <v>0.05</v>
      </c>
      <c r="E15" s="12">
        <f t="shared" si="0"/>
        <v>3.341957324120065E-3</v>
      </c>
      <c r="F15" s="12">
        <f t="shared" si="1"/>
        <v>4.9914308786561029E-2</v>
      </c>
      <c r="G15" s="12">
        <f t="shared" si="7"/>
        <v>0.64986592033166435</v>
      </c>
      <c r="H15" s="12">
        <f>(1+Assumptions!$B$7)^-(A15-1)</f>
        <v>0.71068133013012147</v>
      </c>
      <c r="I15" s="12">
        <f t="shared" si="2"/>
        <v>0.46184757666754278</v>
      </c>
      <c r="J15" s="14">
        <f>B15*G15*E15*(1+Assumptions!$B$7)^-A15*Assumptions!$B$6</f>
        <v>367.49402177885668</v>
      </c>
      <c r="K15" s="12">
        <f t="shared" si="8"/>
        <v>0.98228977087344693</v>
      </c>
      <c r="L15" s="12">
        <f t="shared" si="3"/>
        <v>0.6980950009375535</v>
      </c>
      <c r="M15" s="14">
        <f>B15*K15*C15*(1+Assumptions!$B$7)^-A15*Assumptions!$B$6</f>
        <v>569.72007358116264</v>
      </c>
      <c r="N15" s="15">
        <f t="shared" si="4"/>
        <v>649.86592033166437</v>
      </c>
      <c r="O15" s="15">
        <f t="shared" si="5"/>
        <v>2.1718241721484324</v>
      </c>
      <c r="P15" s="15">
        <f t="shared" si="6"/>
        <v>32.437608217297367</v>
      </c>
      <c r="R15" s="2" t="s">
        <v>56</v>
      </c>
      <c r="S15" s="15">
        <f>1000*INDEX(G8:G38,Assumptions!$B$5+1)</f>
        <v>309.83754566728442</v>
      </c>
    </row>
    <row r="16" spans="1:19" x14ac:dyDescent="0.2">
      <c r="A16" s="2">
        <v>9</v>
      </c>
      <c r="B16" s="2">
        <f>IF(A16&lt;=Assumptions!$B$5,1,0)</f>
        <v>1</v>
      </c>
      <c r="C16" s="12">
        <f>MIN(Assumptions!$B$8*(1+Assumptions!$B$9)^(A16-1),1)</f>
        <v>3.7018604205637648E-3</v>
      </c>
      <c r="D16" s="12">
        <f>IF(A16=1,Assumptions!$B$10,Assumptions!$B$11)</f>
        <v>0.05</v>
      </c>
      <c r="E16" s="12">
        <f t="shared" si="0"/>
        <v>3.6093139100496704E-3</v>
      </c>
      <c r="F16" s="12">
        <f t="shared" si="1"/>
        <v>4.9907453489485908E-2</v>
      </c>
      <c r="G16" s="12">
        <f t="shared" si="7"/>
        <v>0.61525648794221866</v>
      </c>
      <c r="H16" s="12">
        <f>(1+Assumptions!$B$7)^-(A16-1)</f>
        <v>0.67683936202868722</v>
      </c>
      <c r="I16" s="12">
        <f t="shared" si="2"/>
        <v>0.41642980878282199</v>
      </c>
      <c r="J16" s="14">
        <f>B16*G16*E16*(1+Assumptions!$B$7)^-A16*Assumptions!$B$6</f>
        <v>357.86330985694372</v>
      </c>
      <c r="K16" s="12">
        <f t="shared" si="8"/>
        <v>0.97892282677685338</v>
      </c>
      <c r="L16" s="12">
        <f t="shared" si="3"/>
        <v>0.66257350155096451</v>
      </c>
      <c r="M16" s="14">
        <f>B16*K16*C16*(1+Assumptions!$B$7)^-A16*Assumptions!$B$6</f>
        <v>583.98919550139522</v>
      </c>
      <c r="N16" s="15">
        <f t="shared" si="4"/>
        <v>615.25648794221866</v>
      </c>
      <c r="O16" s="15">
        <f t="shared" si="5"/>
        <v>2.2206538001781571</v>
      </c>
      <c r="P16" s="15">
        <f t="shared" si="6"/>
        <v>30.705884556080726</v>
      </c>
      <c r="R16" s="2" t="s">
        <v>57</v>
      </c>
      <c r="S16" s="15">
        <f>SUM(O8:O37)</f>
        <v>46.053874305145925</v>
      </c>
    </row>
    <row r="17" spans="1:19" x14ac:dyDescent="0.2">
      <c r="A17" s="2">
        <v>10</v>
      </c>
      <c r="B17" s="2">
        <f>IF(A17&lt;=Assumptions!$B$5,1,0)</f>
        <v>1</v>
      </c>
      <c r="C17" s="12">
        <f>MIN(Assumptions!$B$8*(1+Assumptions!$B$9)^(A17-1),1)</f>
        <v>3.998009254208866E-3</v>
      </c>
      <c r="D17" s="12">
        <f>IF(A17=1,Assumptions!$B$10,Assumptions!$B$11)</f>
        <v>0.05</v>
      </c>
      <c r="E17" s="12">
        <f t="shared" si="0"/>
        <v>3.8980590228536445E-3</v>
      </c>
      <c r="F17" s="12">
        <f t="shared" si="1"/>
        <v>4.9900049768644782E-2</v>
      </c>
      <c r="G17" s="12">
        <f t="shared" si="7"/>
        <v>0.58232994958595974</v>
      </c>
      <c r="H17" s="12">
        <f>(1+Assumptions!$B$7)^-(A17-1)</f>
        <v>0.64460891621779726</v>
      </c>
      <c r="I17" s="12">
        <f t="shared" si="2"/>
        <v>0.37537507768377004</v>
      </c>
      <c r="J17" s="14">
        <f>B17*G17*E17*(1+Assumptions!$B$7)^-A17*Assumptions!$B$6</f>
        <v>348.38909726657323</v>
      </c>
      <c r="K17" s="12">
        <f t="shared" si="8"/>
        <v>0.97529899110962182</v>
      </c>
      <c r="L17" s="12">
        <f t="shared" si="3"/>
        <v>0.62868642564748445</v>
      </c>
      <c r="M17" s="14">
        <f>B17*K17*C17*(1+Assumptions!$B$7)^-A17*Assumptions!$B$6</f>
        <v>598.45098755574691</v>
      </c>
      <c r="N17" s="15">
        <f t="shared" si="4"/>
        <v>582.32994958595975</v>
      </c>
      <c r="O17" s="15">
        <f t="shared" si="5"/>
        <v>2.2699565142614584</v>
      </c>
      <c r="P17" s="15">
        <f t="shared" si="6"/>
        <v>29.058293466111799</v>
      </c>
      <c r="R17" s="2" t="s">
        <v>58</v>
      </c>
      <c r="S17" s="15">
        <f>SUM(P8:P37)</f>
        <v>644.1085800275697</v>
      </c>
    </row>
    <row r="18" spans="1:19" x14ac:dyDescent="0.2">
      <c r="A18" s="2">
        <v>11</v>
      </c>
      <c r="B18" s="2">
        <f>IF(A18&lt;=Assumptions!$B$5,1,0)</f>
        <v>1</v>
      </c>
      <c r="C18" s="12">
        <f>MIN(Assumptions!$B$8*(1+Assumptions!$B$9)^(A18-1),1)</f>
        <v>4.3178499945455756E-3</v>
      </c>
      <c r="D18" s="12">
        <f>IF(A18=1,Assumptions!$B$10,Assumptions!$B$11)</f>
        <v>0.05</v>
      </c>
      <c r="E18" s="12">
        <f t="shared" si="0"/>
        <v>4.209903744681936E-3</v>
      </c>
      <c r="F18" s="12">
        <f t="shared" si="1"/>
        <v>4.9892053750136361E-2</v>
      </c>
      <c r="G18" s="12">
        <f t="shared" si="7"/>
        <v>0.55100169960558643</v>
      </c>
      <c r="H18" s="12">
        <f>(1+Assumptions!$B$7)^-(A18-1)</f>
        <v>0.61391325354075932</v>
      </c>
      <c r="I18" s="12">
        <f t="shared" si="2"/>
        <v>0.33826724611135367</v>
      </c>
      <c r="J18" s="14">
        <f>B18*G18*E18*(1+Assumptions!$B$7)^-A18*Assumptions!$B$6</f>
        <v>339.06489193034133</v>
      </c>
      <c r="K18" s="12">
        <f t="shared" si="8"/>
        <v>0.97139973671754498</v>
      </c>
      <c r="L18" s="12">
        <f t="shared" si="3"/>
        <v>0.59635517285690509</v>
      </c>
      <c r="M18" s="14">
        <f>B18*K18*C18*(1+Assumptions!$B$7)^-A18*Assumptions!$B$6</f>
        <v>613.08861425414591</v>
      </c>
      <c r="N18" s="15">
        <f t="shared" si="4"/>
        <v>551.0016996055864</v>
      </c>
      <c r="O18" s="15">
        <f t="shared" si="5"/>
        <v>2.3196641184956692</v>
      </c>
      <c r="P18" s="15">
        <f t="shared" si="6"/>
        <v>27.490606413138405</v>
      </c>
    </row>
    <row r="19" spans="1:19" x14ac:dyDescent="0.2">
      <c r="A19" s="2">
        <v>12</v>
      </c>
      <c r="B19" s="2">
        <f>IF(A19&lt;=Assumptions!$B$5,1,0)</f>
        <v>1</v>
      </c>
      <c r="C19" s="12">
        <f>MIN(Assumptions!$B$8*(1+Assumptions!$B$9)^(A19-1),1)</f>
        <v>4.6632779941092216E-3</v>
      </c>
      <c r="D19" s="12">
        <f>IF(A19=1,Assumptions!$B$10,Assumptions!$B$11)</f>
        <v>0.05</v>
      </c>
      <c r="E19" s="12">
        <f t="shared" si="0"/>
        <v>4.5466960442564911E-3</v>
      </c>
      <c r="F19" s="12">
        <f t="shared" si="1"/>
        <v>4.9883418050147274E-2</v>
      </c>
      <c r="G19" s="12">
        <f t="shared" si="7"/>
        <v>0.52119142907395233</v>
      </c>
      <c r="H19" s="12">
        <f>(1+Assumptions!$B$7)^-(A19-1)</f>
        <v>0.5846792890864374</v>
      </c>
      <c r="I19" s="12">
        <f t="shared" si="2"/>
        <v>0.30472983422890282</v>
      </c>
      <c r="J19" s="14">
        <f>B19*G19*E19*(1+Assumptions!$B$7)^-A19*Assumptions!$B$6</f>
        <v>329.88426948940207</v>
      </c>
      <c r="K19" s="12">
        <f t="shared" si="8"/>
        <v>0.96720537836965759</v>
      </c>
      <c r="L19" s="12">
        <f t="shared" si="3"/>
        <v>0.5655049530257501</v>
      </c>
      <c r="M19" s="14">
        <f>B19*K19*C19*(1+Assumptions!$B$7)^-A19*Assumptions!$B$6</f>
        <v>627.88257214398811</v>
      </c>
      <c r="N19" s="15">
        <f t="shared" si="4"/>
        <v>521.19142907395235</v>
      </c>
      <c r="O19" s="15">
        <f t="shared" si="5"/>
        <v>2.3696990088709269</v>
      </c>
      <c r="P19" s="15">
        <f t="shared" si="6"/>
        <v>25.998809940649647</v>
      </c>
    </row>
    <row r="20" spans="1:19" x14ac:dyDescent="0.2">
      <c r="A20" s="2">
        <v>13</v>
      </c>
      <c r="B20" s="2">
        <f>IF(A20&lt;=Assumptions!$B$5,1,0)</f>
        <v>1</v>
      </c>
      <c r="C20" s="12">
        <f>MIN(Assumptions!$B$8*(1+Assumptions!$B$9)^(A20-1),1)</f>
        <v>5.0363402336379599E-3</v>
      </c>
      <c r="D20" s="12">
        <f>IF(A20=1,Assumptions!$B$10,Assumptions!$B$11)</f>
        <v>0.05</v>
      </c>
      <c r="E20" s="12">
        <f t="shared" si="0"/>
        <v>4.9104317277970108E-3</v>
      </c>
      <c r="F20" s="12">
        <f t="shared" si="1"/>
        <v>4.9874091494159056E-2</v>
      </c>
      <c r="G20" s="12">
        <f t="shared" si="7"/>
        <v>0.49282292012443174</v>
      </c>
      <c r="H20" s="12">
        <f>(1+Assumptions!$B$7)^-(A20-1)</f>
        <v>0.5568374181775595</v>
      </c>
      <c r="I20" s="12">
        <f t="shared" si="2"/>
        <v>0.2744222424608142</v>
      </c>
      <c r="J20" s="14">
        <f>B20*G20*E20*(1+Assumptions!$B$7)^-A20*Assumptions!$B$6</f>
        <v>320.84087766494901</v>
      </c>
      <c r="K20" s="12">
        <f t="shared" si="8"/>
        <v>0.96269503081292229</v>
      </c>
      <c r="L20" s="12">
        <f t="shared" si="3"/>
        <v>0.53606461545023376</v>
      </c>
      <c r="M20" s="14">
        <f>B20*K20*C20*(1+Assumptions!$B$7)^-A20*Assumptions!$B$6</f>
        <v>642.81042633849347</v>
      </c>
      <c r="N20" s="15">
        <f t="shared" si="4"/>
        <v>492.82292012443173</v>
      </c>
      <c r="O20" s="15">
        <f t="shared" si="5"/>
        <v>2.4199733031645816</v>
      </c>
      <c r="P20" s="15">
        <f t="shared" si="6"/>
        <v>24.57909540870455</v>
      </c>
    </row>
    <row r="21" spans="1:19" x14ac:dyDescent="0.2">
      <c r="A21" s="2">
        <v>14</v>
      </c>
      <c r="B21" s="2">
        <f>IF(A21&lt;=Assumptions!$B$5,1,0)</f>
        <v>1</v>
      </c>
      <c r="C21" s="12">
        <f>MIN(Assumptions!$B$8*(1+Assumptions!$B$9)^(A21-1),1)</f>
        <v>5.4392474523289967E-3</v>
      </c>
      <c r="D21" s="12">
        <f>IF(A21=1,Assumptions!$B$10,Assumptions!$B$11)</f>
        <v>0.05</v>
      </c>
      <c r="E21" s="12">
        <f t="shared" si="0"/>
        <v>5.3032662660207714E-3</v>
      </c>
      <c r="F21" s="12">
        <f t="shared" si="1"/>
        <v>4.9864018813691777E-2</v>
      </c>
      <c r="G21" s="12">
        <f t="shared" si="7"/>
        <v>0.46582385141256255</v>
      </c>
      <c r="H21" s="12">
        <f>(1+Assumptions!$B$7)^-(A21-1)</f>
        <v>0.53032135064529462</v>
      </c>
      <c r="I21" s="12">
        <f t="shared" si="2"/>
        <v>0.24703633404390321</v>
      </c>
      <c r="J21" s="14">
        <f>B21*G21*E21*(1+Assumptions!$B$7)^-A21*Assumptions!$B$6</f>
        <v>311.92844209915978</v>
      </c>
      <c r="K21" s="12">
        <f t="shared" si="8"/>
        <v>0.95784657109651583</v>
      </c>
      <c r="L21" s="12">
        <f t="shared" si="3"/>
        <v>0.50796648729486849</v>
      </c>
      <c r="M21" s="14">
        <f>B21*K21*C21*(1+Assumptions!$B$7)^-A21*Assumptions!$B$6</f>
        <v>657.8465290207439</v>
      </c>
      <c r="N21" s="15">
        <f t="shared" si="4"/>
        <v>465.82385141256253</v>
      </c>
      <c r="O21" s="15">
        <f t="shared" si="5"/>
        <v>2.470387917104115</v>
      </c>
      <c r="P21" s="15">
        <f t="shared" si="6"/>
        <v>23.22784929070238</v>
      </c>
    </row>
    <row r="22" spans="1:19" x14ac:dyDescent="0.2">
      <c r="A22" s="2">
        <v>15</v>
      </c>
      <c r="B22" s="2">
        <f>IF(A22&lt;=Assumptions!$B$5,1,0)</f>
        <v>1</v>
      </c>
      <c r="C22" s="12">
        <f>MIN(Assumptions!$B$8*(1+Assumptions!$B$9)^(A22-1),1)</f>
        <v>5.8743872485153177E-3</v>
      </c>
      <c r="D22" s="12">
        <f>IF(A22=1,Assumptions!$B$10,Assumptions!$B$11)</f>
        <v>0.05</v>
      </c>
      <c r="E22" s="12">
        <f t="shared" si="0"/>
        <v>5.7275275673024347E-3</v>
      </c>
      <c r="F22" s="12">
        <f t="shared" si="1"/>
        <v>4.9853140318787119E-2</v>
      </c>
      <c r="G22" s="12">
        <f t="shared" si="7"/>
        <v>0.4401256142047561</v>
      </c>
      <c r="H22" s="12">
        <f>(1+Assumptions!$B$7)^-(A22-1)</f>
        <v>0.50506795299551888</v>
      </c>
      <c r="I22" s="12">
        <f t="shared" si="2"/>
        <v>0.22229334302729162</v>
      </c>
      <c r="J22" s="14">
        <f>B22*G22*E22*(1+Assumptions!$B$7)^-A22*Assumptions!$B$6</f>
        <v>303.1407738611021</v>
      </c>
      <c r="K22" s="12">
        <f t="shared" si="8"/>
        <v>0.95263660657495697</v>
      </c>
      <c r="L22" s="12">
        <f t="shared" si="3"/>
        <v>0.48114622083141095</v>
      </c>
      <c r="M22" s="14">
        <f>B22*K22*C22*(1+Assumptions!$B$7)^-A22*Assumptions!$B$6</f>
        <v>672.96172007699408</v>
      </c>
      <c r="N22" s="15">
        <f t="shared" si="4"/>
        <v>440.12561420475612</v>
      </c>
      <c r="O22" s="15">
        <f t="shared" si="5"/>
        <v>2.5208315884336567</v>
      </c>
      <c r="P22" s="15">
        <f t="shared" si="6"/>
        <v>21.941644002842072</v>
      </c>
    </row>
    <row r="23" spans="1:19" x14ac:dyDescent="0.2">
      <c r="A23" s="2">
        <v>16</v>
      </c>
      <c r="B23" s="2">
        <f>IF(A23&lt;=Assumptions!$B$5,1,0)</f>
        <v>1</v>
      </c>
      <c r="C23" s="12">
        <f>MIN(Assumptions!$B$8*(1+Assumptions!$B$9)^(A23-1),1)</f>
        <v>6.3443382283965436E-3</v>
      </c>
      <c r="D23" s="12">
        <f>IF(A23=1,Assumptions!$B$10,Assumptions!$B$11)</f>
        <v>0.05</v>
      </c>
      <c r="E23" s="12">
        <f t="shared" si="0"/>
        <v>6.18572977268663E-3</v>
      </c>
      <c r="F23" s="12">
        <f t="shared" si="1"/>
        <v>4.9841391544290091E-2</v>
      </c>
      <c r="G23" s="12">
        <f t="shared" si="7"/>
        <v>0.41566313861348037</v>
      </c>
      <c r="H23" s="12">
        <f>(1+Assumptions!$B$7)^-(A23-1)</f>
        <v>0.48101709809097021</v>
      </c>
      <c r="I23" s="12">
        <f t="shared" si="2"/>
        <v>0.19994107671924102</v>
      </c>
      <c r="J23" s="14">
        <f>B23*G23*E23*(1+Assumptions!$B$7)^-A23*Assumptions!$B$6</f>
        <v>294.47177882029308</v>
      </c>
      <c r="K23" s="12">
        <f t="shared" si="8"/>
        <v>0.94704045024082417</v>
      </c>
      <c r="L23" s="12">
        <f t="shared" si="3"/>
        <v>0.45554264914960713</v>
      </c>
      <c r="M23" s="14">
        <f>B23*K23*C23*(1+Assumptions!$B$7)^-A23*Assumptions!$B$6</f>
        <v>688.12301039640158</v>
      </c>
      <c r="N23" s="15">
        <f t="shared" si="4"/>
        <v>415.66313861348038</v>
      </c>
      <c r="O23" s="15">
        <f t="shared" si="5"/>
        <v>2.5711798519297751</v>
      </c>
      <c r="P23" s="15">
        <f t="shared" si="6"/>
        <v>20.717229242163</v>
      </c>
    </row>
    <row r="24" spans="1:19" x14ac:dyDescent="0.2">
      <c r="A24" s="2">
        <v>17</v>
      </c>
      <c r="B24" s="2">
        <f>IF(A24&lt;=Assumptions!$B$5,1,0)</f>
        <v>1</v>
      </c>
      <c r="C24" s="12">
        <f>MIN(Assumptions!$B$8*(1+Assumptions!$B$9)^(A24-1),1)</f>
        <v>6.8518852866682666E-3</v>
      </c>
      <c r="D24" s="12">
        <f>IF(A24=1,Assumptions!$B$10,Assumptions!$B$11)</f>
        <v>0.05</v>
      </c>
      <c r="E24" s="12">
        <f t="shared" si="0"/>
        <v>6.6805881545015594E-3</v>
      </c>
      <c r="F24" s="12">
        <f t="shared" si="1"/>
        <v>4.9828702867833294E-2</v>
      </c>
      <c r="G24" s="12">
        <f t="shared" si="7"/>
        <v>0.39237472951938757</v>
      </c>
      <c r="H24" s="12">
        <f>(1+Assumptions!$B$7)^-(A24-1)</f>
        <v>0.45811152199140021</v>
      </c>
      <c r="I24" s="12">
        <f t="shared" si="2"/>
        <v>0.17975138453109063</v>
      </c>
      <c r="J24" s="14">
        <f>B24*G24*E24*(1+Assumptions!$B$7)^-A24*Assumptions!$B$6</f>
        <v>285.91546910801395</v>
      </c>
      <c r="K24" s="12">
        <f t="shared" si="8"/>
        <v>0.94103210530852344</v>
      </c>
      <c r="L24" s="12">
        <f t="shared" si="3"/>
        <v>0.43109765000565925</v>
      </c>
      <c r="M24" s="14">
        <f>B24*K24*C24*(1+Assumptions!$B$7)^-A24*Assumptions!$B$6</f>
        <v>703.29324885501012</v>
      </c>
      <c r="N24" s="15">
        <f t="shared" si="4"/>
        <v>392.37472951938759</v>
      </c>
      <c r="O24" s="15">
        <f t="shared" si="5"/>
        <v>2.6212939701529741</v>
      </c>
      <c r="P24" s="15">
        <f t="shared" si="6"/>
        <v>19.551523810068023</v>
      </c>
    </row>
    <row r="25" spans="1:19" x14ac:dyDescent="0.2">
      <c r="A25" s="2">
        <v>18</v>
      </c>
      <c r="B25" s="2">
        <f>IF(A25&lt;=Assumptions!$B$5,1,0)</f>
        <v>1</v>
      </c>
      <c r="C25" s="12">
        <f>MIN(Assumptions!$B$8*(1+Assumptions!$B$9)^(A25-1),1)</f>
        <v>7.4000361096017283E-3</v>
      </c>
      <c r="D25" s="12">
        <f>IF(A25=1,Assumptions!$B$10,Assumptions!$B$11)</f>
        <v>0.05</v>
      </c>
      <c r="E25" s="12">
        <f t="shared" si="0"/>
        <v>7.2150352068616848E-3</v>
      </c>
      <c r="F25" s="12">
        <f t="shared" si="1"/>
        <v>4.9814999097259956E-2</v>
      </c>
      <c r="G25" s="12">
        <f t="shared" si="7"/>
        <v>0.37020191173916661</v>
      </c>
      <c r="H25" s="12">
        <f>(1+Assumptions!$B$7)^-(A25-1)</f>
        <v>0.43629668761085727</v>
      </c>
      <c r="I25" s="12">
        <f t="shared" si="2"/>
        <v>0.16151786783900532</v>
      </c>
      <c r="J25" s="14">
        <f>B25*G25*E25*(1+Assumptions!$B$7)^-A25*Assumptions!$B$6</f>
        <v>277.46597690372761</v>
      </c>
      <c r="K25" s="12">
        <f t="shared" si="8"/>
        <v>0.93458426127187755</v>
      </c>
      <c r="L25" s="12">
        <f t="shared" si="3"/>
        <v>0.40775601748616019</v>
      </c>
      <c r="M25" s="14">
        <f>B25*K25*C25*(1+Assumptions!$B$7)^-A25*Assumptions!$B$6</f>
        <v>718.43077459642348</v>
      </c>
      <c r="N25" s="15">
        <f t="shared" si="4"/>
        <v>370.20191173916663</v>
      </c>
      <c r="O25" s="15">
        <f t="shared" si="5"/>
        <v>2.6710198268455891</v>
      </c>
      <c r="P25" s="15">
        <f t="shared" si="6"/>
        <v>18.441607899090496</v>
      </c>
    </row>
    <row r="26" spans="1:19" x14ac:dyDescent="0.2">
      <c r="A26" s="2">
        <v>19</v>
      </c>
      <c r="B26" s="2">
        <f>IF(A26&lt;=Assumptions!$B$5,1,0)</f>
        <v>1</v>
      </c>
      <c r="C26" s="12">
        <f>MIN(Assumptions!$B$8*(1+Assumptions!$B$9)^(A26-1),1)</f>
        <v>7.9920389983698676E-3</v>
      </c>
      <c r="D26" s="12">
        <f>IF(A26=1,Assumptions!$B$10,Assumptions!$B$11)</f>
        <v>0.05</v>
      </c>
      <c r="E26" s="12">
        <f t="shared" si="0"/>
        <v>7.7922380234106206E-3</v>
      </c>
      <c r="F26" s="12">
        <f t="shared" si="1"/>
        <v>4.9800199025040758E-2</v>
      </c>
      <c r="G26" s="12">
        <f t="shared" si="7"/>
        <v>0.34908928401323053</v>
      </c>
      <c r="H26" s="12">
        <f>(1+Assumptions!$B$7)^-(A26-1)</f>
        <v>0.41552065486748313</v>
      </c>
      <c r="I26" s="12">
        <f t="shared" si="2"/>
        <v>0.14505380790039835</v>
      </c>
      <c r="J26" s="14">
        <f>B26*G26*E26*(1+Assumptions!$B$7)^-A26*Assumptions!$B$6</f>
        <v>269.11757080047238</v>
      </c>
      <c r="K26" s="12">
        <f t="shared" si="8"/>
        <v>0.9276683039910002</v>
      </c>
      <c r="L26" s="12">
        <f t="shared" si="3"/>
        <v>0.38546534117414782</v>
      </c>
      <c r="M26" s="14">
        <f>B26*K26*C26*(1+Assumptions!$B$7)^-A26*Assumptions!$B$6</f>
        <v>733.48905694850839</v>
      </c>
      <c r="N26" s="15">
        <f t="shared" si="4"/>
        <v>349.08928401323055</v>
      </c>
      <c r="O26" s="15">
        <f t="shared" si="5"/>
        <v>2.7201867924530845</v>
      </c>
      <c r="P26" s="15">
        <f t="shared" si="6"/>
        <v>17.384715821367859</v>
      </c>
    </row>
    <row r="27" spans="1:19" x14ac:dyDescent="0.2">
      <c r="A27" s="2">
        <v>20</v>
      </c>
      <c r="B27" s="2">
        <f>IF(A27&lt;=Assumptions!$B$5,1,0)</f>
        <v>1</v>
      </c>
      <c r="C27" s="12">
        <f>MIN(Assumptions!$B$8*(1+Assumptions!$B$9)^(A27-1),1)</f>
        <v>8.6314021182394562E-3</v>
      </c>
      <c r="D27" s="12">
        <f>IF(A27=1,Assumptions!$B$10,Assumptions!$B$11)</f>
        <v>0.05</v>
      </c>
      <c r="E27" s="12">
        <f t="shared" si="0"/>
        <v>8.4156170652834698E-3</v>
      </c>
      <c r="F27" s="12">
        <f t="shared" si="1"/>
        <v>4.978421494704402E-2</v>
      </c>
      <c r="G27" s="12">
        <f t="shared" si="7"/>
        <v>0.32898438139940955</v>
      </c>
      <c r="H27" s="12">
        <f>(1+Assumptions!$B$7)^-(A27-1)</f>
        <v>0.39573395701665059</v>
      </c>
      <c r="I27" s="12">
        <f t="shared" si="2"/>
        <v>0.13019029104786334</v>
      </c>
      <c r="J27" s="14">
        <f>B27*G27*E27*(1+Assumptions!$B$7)^-A27*Assumptions!$B$6</f>
        <v>260.86467501824296</v>
      </c>
      <c r="K27" s="12">
        <f t="shared" si="8"/>
        <v>0.92025434272795248</v>
      </c>
      <c r="L27" s="12">
        <f t="shared" si="3"/>
        <v>0.36417589250948962</v>
      </c>
      <c r="M27" s="14">
        <f>B27*K27*C27*(1+Assumptions!$B$7)^-A27*Assumptions!$B$6</f>
        <v>748.41632619479844</v>
      </c>
      <c r="N27" s="15">
        <f t="shared" si="4"/>
        <v>328.98438139940953</v>
      </c>
      <c r="O27" s="15">
        <f t="shared" si="5"/>
        <v>2.7686065743165966</v>
      </c>
      <c r="P27" s="15">
        <f t="shared" si="6"/>
        <v>16.378229157808516</v>
      </c>
    </row>
    <row r="28" spans="1:19" x14ac:dyDescent="0.2">
      <c r="A28" s="2">
        <v>21</v>
      </c>
      <c r="B28" s="2">
        <f>IF(A28&lt;=Assumptions!$B$5,1,0)</f>
        <v>0</v>
      </c>
      <c r="C28" s="12">
        <f>MIN(Assumptions!$B$8*(1+Assumptions!$B$9)^(A28-1),1)</f>
        <v>9.3219142876986138E-3</v>
      </c>
      <c r="D28" s="12">
        <f>IF(A28=1,Assumptions!$B$10,Assumptions!$B$11)</f>
        <v>0.05</v>
      </c>
      <c r="E28" s="12">
        <f t="shared" si="0"/>
        <v>9.0888664305061491E-3</v>
      </c>
      <c r="F28" s="12">
        <f t="shared" si="1"/>
        <v>4.976695214280754E-2</v>
      </c>
      <c r="G28" s="12">
        <f t="shared" si="7"/>
        <v>0.30983754566728444</v>
      </c>
      <c r="H28" s="12">
        <f>(1+Assumptions!$B$7)^-(A28-1)</f>
        <v>0.37688948287300061</v>
      </c>
      <c r="I28" s="12">
        <f t="shared" si="2"/>
        <v>0</v>
      </c>
      <c r="J28" s="14">
        <f>B28*G28*E28*(1+Assumptions!$B$7)^-A28*Assumptions!$B$6</f>
        <v>0</v>
      </c>
      <c r="K28" s="12">
        <f t="shared" si="8"/>
        <v>0.91231125744481145</v>
      </c>
      <c r="L28" s="12">
        <f t="shared" si="3"/>
        <v>0</v>
      </c>
      <c r="M28" s="14">
        <f>B28*K28*C28*(1+Assumptions!$B$7)^-A28*Assumptions!$B$6</f>
        <v>0</v>
      </c>
      <c r="N28" s="15">
        <f t="shared" si="4"/>
        <v>0</v>
      </c>
      <c r="O28" s="15">
        <f t="shared" si="5"/>
        <v>0</v>
      </c>
      <c r="P28" s="15">
        <f t="shared" si="6"/>
        <v>0</v>
      </c>
    </row>
    <row r="29" spans="1:19" x14ac:dyDescent="0.2">
      <c r="A29" s="2">
        <v>22</v>
      </c>
      <c r="B29" s="2">
        <f>IF(A29&lt;=Assumptions!$B$5,1,0)</f>
        <v>0</v>
      </c>
      <c r="C29" s="12">
        <f>MIN(Assumptions!$B$8*(1+Assumptions!$B$9)^(A29-1),1)</f>
        <v>1.0067667430714503E-2</v>
      </c>
      <c r="D29" s="12">
        <f>IF(A29=1,Assumptions!$B$10,Assumptions!$B$11)</f>
        <v>0.05</v>
      </c>
      <c r="E29" s="12">
        <f t="shared" si="0"/>
        <v>9.8159757449466402E-3</v>
      </c>
      <c r="F29" s="12">
        <f t="shared" si="1"/>
        <v>4.9748308314232138E-2</v>
      </c>
      <c r="G29" s="12">
        <f t="shared" si="7"/>
        <v>0.29160180329228996</v>
      </c>
      <c r="H29" s="12">
        <f>(1+Assumptions!$B$7)^-(A29-1)</f>
        <v>0.35894236464095297</v>
      </c>
      <c r="I29" s="12">
        <f t="shared" si="2"/>
        <v>0</v>
      </c>
      <c r="J29" s="14">
        <f>B29*G29*E29*(1+Assumptions!$B$7)^-A29*Assumptions!$B$6</f>
        <v>0</v>
      </c>
      <c r="K29" s="12">
        <f t="shared" si="8"/>
        <v>0.9038067700992084</v>
      </c>
      <c r="L29" s="12">
        <f t="shared" si="3"/>
        <v>0</v>
      </c>
      <c r="M29" s="14">
        <f>B29*K29*C29*(1+Assumptions!$B$7)^-A29*Assumptions!$B$6</f>
        <v>0</v>
      </c>
      <c r="N29" s="15">
        <f t="shared" si="4"/>
        <v>0</v>
      </c>
      <c r="O29" s="15">
        <f t="shared" si="5"/>
        <v>0</v>
      </c>
      <c r="P29" s="15">
        <f t="shared" si="6"/>
        <v>0</v>
      </c>
    </row>
    <row r="30" spans="1:19" x14ac:dyDescent="0.2">
      <c r="A30" s="2">
        <v>23</v>
      </c>
      <c r="B30" s="2">
        <f>IF(A30&lt;=Assumptions!$B$5,1,0)</f>
        <v>0</v>
      </c>
      <c r="C30" s="12">
        <f>MIN(Assumptions!$B$8*(1+Assumptions!$B$9)^(A30-1),1)</f>
        <v>1.0873080825171664E-2</v>
      </c>
      <c r="D30" s="12">
        <f>IF(A30=1,Assumptions!$B$10,Assumptions!$B$11)</f>
        <v>0.05</v>
      </c>
      <c r="E30" s="12">
        <f t="shared" si="0"/>
        <v>1.0601253804542372E-2</v>
      </c>
      <c r="F30" s="12">
        <f t="shared" si="1"/>
        <v>4.9728172979370711E-2</v>
      </c>
      <c r="G30" s="12">
        <f t="shared" si="7"/>
        <v>0.27423275064881925</v>
      </c>
      <c r="H30" s="12">
        <f>(1+Assumptions!$B$7)^-(A30-1)</f>
        <v>0.3418498710866219</v>
      </c>
      <c r="I30" s="12">
        <f t="shared" si="2"/>
        <v>0</v>
      </c>
      <c r="J30" s="14">
        <f>B30*G30*E30*(1+Assumptions!$B$7)^-A30*Assumptions!$B$6</f>
        <v>0</v>
      </c>
      <c r="K30" s="12">
        <f t="shared" si="8"/>
        <v>0.89470754411622133</v>
      </c>
      <c r="L30" s="12">
        <f t="shared" si="3"/>
        <v>0</v>
      </c>
      <c r="M30" s="14">
        <f>B30*K30*C30*(1+Assumptions!$B$7)^-A30*Assumptions!$B$6</f>
        <v>0</v>
      </c>
      <c r="N30" s="15">
        <f t="shared" si="4"/>
        <v>0</v>
      </c>
      <c r="O30" s="15">
        <f t="shared" si="5"/>
        <v>0</v>
      </c>
      <c r="P30" s="15">
        <f t="shared" si="6"/>
        <v>0</v>
      </c>
    </row>
    <row r="31" spans="1:19" x14ac:dyDescent="0.2">
      <c r="A31" s="2">
        <v>24</v>
      </c>
      <c r="B31" s="2">
        <f>IF(A31&lt;=Assumptions!$B$5,1,0)</f>
        <v>0</v>
      </c>
      <c r="C31" s="12">
        <f>MIN(Assumptions!$B$8*(1+Assumptions!$B$9)^(A31-1),1)</f>
        <v>1.1742927291185397E-2</v>
      </c>
      <c r="D31" s="12">
        <f>IF(A31=1,Assumptions!$B$10,Assumptions!$B$11)</f>
        <v>0.05</v>
      </c>
      <c r="E31" s="12">
        <f t="shared" si="0"/>
        <v>1.1449354108905761E-2</v>
      </c>
      <c r="F31" s="12">
        <f t="shared" si="1"/>
        <v>4.9706426817720369E-2</v>
      </c>
      <c r="G31" s="12">
        <f t="shared" si="7"/>
        <v>0.25768844599680024</v>
      </c>
      <c r="H31" s="12">
        <f>(1+Assumptions!$B$7)^-(A31-1)</f>
        <v>0.32557130579678267</v>
      </c>
      <c r="I31" s="12">
        <f t="shared" si="2"/>
        <v>0</v>
      </c>
      <c r="J31" s="14">
        <f>B31*G31*E31*(1+Assumptions!$B$7)^-A31*Assumptions!$B$6</f>
        <v>0</v>
      </c>
      <c r="K31" s="12">
        <f t="shared" si="8"/>
        <v>0.88497931667415475</v>
      </c>
      <c r="L31" s="12">
        <f t="shared" si="3"/>
        <v>0</v>
      </c>
      <c r="M31" s="14">
        <f>B31*K31*C31*(1+Assumptions!$B$7)^-A31*Assumptions!$B$6</f>
        <v>0</v>
      </c>
      <c r="N31" s="15">
        <f t="shared" si="4"/>
        <v>0</v>
      </c>
      <c r="O31" s="15">
        <f t="shared" si="5"/>
        <v>0</v>
      </c>
      <c r="P31" s="15">
        <f t="shared" si="6"/>
        <v>0</v>
      </c>
    </row>
    <row r="32" spans="1:19" x14ac:dyDescent="0.2">
      <c r="A32" s="2">
        <v>25</v>
      </c>
      <c r="B32" s="2">
        <f>IF(A32&lt;=Assumptions!$B$5,1,0)</f>
        <v>0</v>
      </c>
      <c r="C32" s="12">
        <f>MIN(Assumptions!$B$8*(1+Assumptions!$B$9)^(A32-1),1)</f>
        <v>1.2682361474480229E-2</v>
      </c>
      <c r="D32" s="12">
        <f>IF(A32=1,Assumptions!$B$10,Assumptions!$B$11)</f>
        <v>0.05</v>
      </c>
      <c r="E32" s="12">
        <f t="shared" si="0"/>
        <v>1.2365302437618223E-2</v>
      </c>
      <c r="F32" s="12">
        <f t="shared" si="1"/>
        <v>4.9682940963137995E-2</v>
      </c>
      <c r="G32" s="12">
        <f t="shared" si="7"/>
        <v>0.24192930784609717</v>
      </c>
      <c r="H32" s="12">
        <f>(1+Assumptions!$B$7)^-(A32-1)</f>
        <v>0.31006791028265024</v>
      </c>
      <c r="I32" s="12">
        <f t="shared" si="2"/>
        <v>0</v>
      </c>
      <c r="J32" s="14">
        <f>B32*G32*E32*(1+Assumptions!$B$7)^-A32*Assumptions!$B$6</f>
        <v>0</v>
      </c>
      <c r="K32" s="12">
        <f t="shared" si="8"/>
        <v>0.8745870689042472</v>
      </c>
      <c r="L32" s="12">
        <f t="shared" si="3"/>
        <v>0</v>
      </c>
      <c r="M32" s="14">
        <f>B32*K32*C32*(1+Assumptions!$B$7)^-A32*Assumptions!$B$6</f>
        <v>0</v>
      </c>
      <c r="N32" s="15">
        <f t="shared" si="4"/>
        <v>0</v>
      </c>
      <c r="O32" s="15">
        <f t="shared" si="5"/>
        <v>0</v>
      </c>
      <c r="P32" s="15">
        <f t="shared" si="6"/>
        <v>0</v>
      </c>
    </row>
    <row r="33" spans="1:16" x14ac:dyDescent="0.2">
      <c r="A33" s="2">
        <v>26</v>
      </c>
      <c r="B33" s="2">
        <f>IF(A33&lt;=Assumptions!$B$5,1,0)</f>
        <v>0</v>
      </c>
      <c r="C33" s="12">
        <f>MIN(Assumptions!$B$8*(1+Assumptions!$B$9)^(A33-1),1)</f>
        <v>1.369695039243865E-2</v>
      </c>
      <c r="D33" s="12">
        <f>IF(A33=1,Assumptions!$B$10,Assumptions!$B$11)</f>
        <v>0.05</v>
      </c>
      <c r="E33" s="12">
        <f t="shared" si="0"/>
        <v>1.3354526632627683E-2</v>
      </c>
      <c r="F33" s="12">
        <f t="shared" si="1"/>
        <v>4.9657576240189037E-2</v>
      </c>
      <c r="G33" s="12">
        <f t="shared" si="7"/>
        <v>0.22691801926708605</v>
      </c>
      <c r="H33" s="12">
        <f>(1+Assumptions!$B$7)^-(A33-1)</f>
        <v>0.29530277169776209</v>
      </c>
      <c r="I33" s="12">
        <f t="shared" si="2"/>
        <v>0</v>
      </c>
      <c r="J33" s="14">
        <f>B33*G33*E33*(1+Assumptions!$B$7)^-A33*Assumptions!$B$6</f>
        <v>0</v>
      </c>
      <c r="K33" s="12">
        <f t="shared" si="8"/>
        <v>0.86349523955549745</v>
      </c>
      <c r="L33" s="12">
        <f t="shared" si="3"/>
        <v>0</v>
      </c>
      <c r="M33" s="14">
        <f>B33*K33*C33*(1+Assumptions!$B$7)^-A33*Assumptions!$B$6</f>
        <v>0</v>
      </c>
      <c r="N33" s="15">
        <f t="shared" si="4"/>
        <v>0</v>
      </c>
      <c r="O33" s="15">
        <f t="shared" si="5"/>
        <v>0</v>
      </c>
      <c r="P33" s="15">
        <f t="shared" si="6"/>
        <v>0</v>
      </c>
    </row>
    <row r="34" spans="1:16" x14ac:dyDescent="0.2">
      <c r="A34" s="2">
        <v>27</v>
      </c>
      <c r="B34" s="2">
        <f>IF(A34&lt;=Assumptions!$B$5,1,0)</f>
        <v>0</v>
      </c>
      <c r="C34" s="12">
        <f>MIN(Assumptions!$B$8*(1+Assumptions!$B$9)^(A34-1),1)</f>
        <v>1.4792706423833742E-2</v>
      </c>
      <c r="D34" s="12">
        <f>IF(A34=1,Assumptions!$B$10,Assumptions!$B$11)</f>
        <v>0.05</v>
      </c>
      <c r="E34" s="12">
        <f t="shared" si="0"/>
        <v>1.4422888763237898E-2</v>
      </c>
      <c r="F34" s="12">
        <f t="shared" si="1"/>
        <v>4.9630182339404159E-2</v>
      </c>
      <c r="G34" s="12">
        <f t="shared" si="7"/>
        <v>0.21261943769333261</v>
      </c>
      <c r="H34" s="12">
        <f>(1+Assumptions!$B$7)^-(A34-1)</f>
        <v>0.28124073495024959</v>
      </c>
      <c r="I34" s="12">
        <f t="shared" si="2"/>
        <v>0</v>
      </c>
      <c r="J34" s="14">
        <f>B34*G34*E34*(1+Assumptions!$B$7)^-A34*Assumptions!$B$6</f>
        <v>0</v>
      </c>
      <c r="K34" s="12">
        <f t="shared" si="8"/>
        <v>0.85166798809519884</v>
      </c>
      <c r="L34" s="12">
        <f t="shared" si="3"/>
        <v>0</v>
      </c>
      <c r="M34" s="14">
        <f>B34*K34*C34*(1+Assumptions!$B$7)^-A34*Assumptions!$B$6</f>
        <v>0</v>
      </c>
      <c r="N34" s="15">
        <f t="shared" si="4"/>
        <v>0</v>
      </c>
      <c r="O34" s="15">
        <f t="shared" si="5"/>
        <v>0</v>
      </c>
      <c r="P34" s="15">
        <f t="shared" si="6"/>
        <v>0</v>
      </c>
    </row>
    <row r="35" spans="1:16" x14ac:dyDescent="0.2">
      <c r="A35" s="2">
        <v>28</v>
      </c>
      <c r="B35" s="2">
        <f>IF(A35&lt;=Assumptions!$B$5,1,0)</f>
        <v>0</v>
      </c>
      <c r="C35" s="12">
        <f>MIN(Assumptions!$B$8*(1+Assumptions!$B$9)^(A35-1),1)</f>
        <v>1.597612293774044E-2</v>
      </c>
      <c r="D35" s="12">
        <f>IF(A35=1,Assumptions!$B$10,Assumptions!$B$11)</f>
        <v>0.05</v>
      </c>
      <c r="E35" s="12">
        <f t="shared" si="0"/>
        <v>1.5576719864296928E-2</v>
      </c>
      <c r="F35" s="12">
        <f t="shared" si="1"/>
        <v>4.9600596926556495E-2</v>
      </c>
      <c r="G35" s="12">
        <f t="shared" si="7"/>
        <v>0.1990005097329578</v>
      </c>
      <c r="H35" s="12">
        <f>(1+Assumptions!$B$7)^-(A35-1)</f>
        <v>0.2678483190002377</v>
      </c>
      <c r="I35" s="12">
        <f t="shared" si="2"/>
        <v>0</v>
      </c>
      <c r="J35" s="14">
        <f>B35*G35*E35*(1+Assumptions!$B$7)^-A35*Assumptions!$B$6</f>
        <v>0</v>
      </c>
      <c r="K35" s="12">
        <f t="shared" si="8"/>
        <v>0.83906951357672943</v>
      </c>
      <c r="L35" s="12">
        <f t="shared" si="3"/>
        <v>0</v>
      </c>
      <c r="M35" s="14">
        <f>B35*K35*C35*(1+Assumptions!$B$7)^-A35*Assumptions!$B$6</f>
        <v>0</v>
      </c>
      <c r="N35" s="15">
        <f t="shared" si="4"/>
        <v>0</v>
      </c>
      <c r="O35" s="15">
        <f t="shared" si="5"/>
        <v>0</v>
      </c>
      <c r="P35" s="15">
        <f t="shared" si="6"/>
        <v>0</v>
      </c>
    </row>
    <row r="36" spans="1:16" x14ac:dyDescent="0.2">
      <c r="A36" s="2">
        <v>29</v>
      </c>
      <c r="B36" s="2">
        <f>IF(A36&lt;=Assumptions!$B$5,1,0)</f>
        <v>0</v>
      </c>
      <c r="C36" s="12">
        <f>MIN(Assumptions!$B$8*(1+Assumptions!$B$9)^(A36-1),1)</f>
        <v>1.7254212772759677E-2</v>
      </c>
      <c r="D36" s="12">
        <f>IF(A36=1,Assumptions!$B$10,Assumptions!$B$11)</f>
        <v>0.05</v>
      </c>
      <c r="E36" s="12">
        <f t="shared" si="0"/>
        <v>1.6822857453440684E-2</v>
      </c>
      <c r="F36" s="12">
        <f t="shared" si="1"/>
        <v>4.9568644680681007E-2</v>
      </c>
      <c r="G36" s="12">
        <f t="shared" si="7"/>
        <v>0.18603019046855152</v>
      </c>
      <c r="H36" s="12">
        <f>(1+Assumptions!$B$7)^-(A36-1)</f>
        <v>0.25509363714308358</v>
      </c>
      <c r="I36" s="12">
        <f t="shared" si="2"/>
        <v>0</v>
      </c>
      <c r="J36" s="14">
        <f>B36*G36*E36*(1+Assumptions!$B$7)^-A36*Assumptions!$B$6</f>
        <v>0</v>
      </c>
      <c r="K36" s="12">
        <f t="shared" si="8"/>
        <v>0.82566443587451754</v>
      </c>
      <c r="L36" s="12">
        <f t="shared" si="3"/>
        <v>0</v>
      </c>
      <c r="M36" s="14">
        <f>B36*K36*C36*(1+Assumptions!$B$7)^-A36*Assumptions!$B$6</f>
        <v>0</v>
      </c>
      <c r="N36" s="15">
        <f t="shared" si="4"/>
        <v>0</v>
      </c>
      <c r="O36" s="15">
        <f t="shared" si="5"/>
        <v>0</v>
      </c>
      <c r="P36" s="15">
        <f t="shared" si="6"/>
        <v>0</v>
      </c>
    </row>
    <row r="37" spans="1:16" x14ac:dyDescent="0.2">
      <c r="A37" s="2">
        <v>30</v>
      </c>
      <c r="B37" s="2">
        <f>IF(A37&lt;=Assumptions!$B$5,1,0)</f>
        <v>0</v>
      </c>
      <c r="C37" s="12">
        <f>MIN(Assumptions!$B$8*(1+Assumptions!$B$9)^(A37-1),1)</f>
        <v>1.863454979458045E-2</v>
      </c>
      <c r="D37" s="12">
        <f>IF(A37=1,Assumptions!$B$10,Assumptions!$B$11)</f>
        <v>0.05</v>
      </c>
      <c r="E37" s="12">
        <f t="shared" si="0"/>
        <v>1.816868604971594E-2</v>
      </c>
      <c r="F37" s="12">
        <f t="shared" si="1"/>
        <v>4.9534136255135496E-2</v>
      </c>
      <c r="G37" s="12">
        <f t="shared" si="7"/>
        <v>0.17367936668104761</v>
      </c>
      <c r="H37" s="12">
        <f>(1+Assumptions!$B$7)^-(A37-1)</f>
        <v>0.24294632108865097</v>
      </c>
      <c r="I37" s="12">
        <f t="shared" si="2"/>
        <v>0</v>
      </c>
      <c r="J37" s="14">
        <f>B37*G37*E37*(1+Assumptions!$B$7)^-A37*Assumptions!$B$6</f>
        <v>0</v>
      </c>
      <c r="K37" s="12">
        <f t="shared" si="8"/>
        <v>0.81141824601903811</v>
      </c>
      <c r="L37" s="12">
        <f t="shared" si="3"/>
        <v>0</v>
      </c>
      <c r="M37" s="14">
        <f>B37*K37*C37*(1+Assumptions!$B$7)^-A37*Assumptions!$B$6</f>
        <v>0</v>
      </c>
      <c r="N37" s="15">
        <f t="shared" si="4"/>
        <v>0</v>
      </c>
      <c r="O37" s="15">
        <f t="shared" si="5"/>
        <v>0</v>
      </c>
      <c r="P37" s="15">
        <f t="shared" si="6"/>
        <v>0</v>
      </c>
    </row>
    <row r="38" spans="1:16" x14ac:dyDescent="0.2">
      <c r="A38" s="19">
        <v>31</v>
      </c>
      <c r="G38" s="20">
        <f t="shared" si="7"/>
        <v>0.16192078338062152</v>
      </c>
      <c r="H38" s="21" t="s">
        <v>59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"/>
  <sheetViews>
    <sheetView zoomScaleNormal="100" workbookViewId="0"/>
  </sheetViews>
  <sheetFormatPr baseColWidth="10" defaultColWidth="8.6640625" defaultRowHeight="15" x14ac:dyDescent="0.2"/>
  <cols>
    <col min="1" max="1" width="48" customWidth="1"/>
    <col min="2" max="4" width="18" customWidth="1"/>
  </cols>
  <sheetData>
    <row r="1" spans="1:4" ht="18" x14ac:dyDescent="0.2">
      <c r="A1" s="1" t="s">
        <v>60</v>
      </c>
    </row>
    <row r="2" spans="1:4" x14ac:dyDescent="0.2">
      <c r="A2" s="6" t="s">
        <v>61</v>
      </c>
    </row>
    <row r="4" spans="1:4" ht="45" customHeight="1" x14ac:dyDescent="0.2">
      <c r="A4" s="7" t="s">
        <v>14</v>
      </c>
      <c r="B4" s="7" t="s">
        <v>62</v>
      </c>
      <c r="C4" s="7" t="s">
        <v>63</v>
      </c>
      <c r="D4" s="7" t="s">
        <v>64</v>
      </c>
    </row>
    <row r="5" spans="1:4" x14ac:dyDescent="0.2">
      <c r="A5" s="2" t="s">
        <v>51</v>
      </c>
      <c r="B5" s="22">
        <v>816.86</v>
      </c>
      <c r="C5" s="23">
        <f>'Decrement table'!S10</f>
        <v>816.86423034506345</v>
      </c>
      <c r="D5" s="24">
        <f>B5-C5</f>
        <v>-4.2303450634335604E-3</v>
      </c>
    </row>
    <row r="6" spans="1:4" x14ac:dyDescent="0.2">
      <c r="A6" s="2" t="s">
        <v>54</v>
      </c>
      <c r="B6" s="22">
        <v>953.62</v>
      </c>
      <c r="C6" s="23">
        <f>'Decrement table'!S13</f>
        <v>953.61749987442624</v>
      </c>
      <c r="D6" s="24">
        <f>B6-C6</f>
        <v>2.5001255737606698E-3</v>
      </c>
    </row>
    <row r="7" spans="1:4" x14ac:dyDescent="0.2">
      <c r="A7" s="2" t="s">
        <v>50</v>
      </c>
      <c r="B7" s="22">
        <v>6935.63</v>
      </c>
      <c r="C7" s="23">
        <f>'Decrement table'!S9</f>
        <v>6935.6291679745909</v>
      </c>
      <c r="D7" s="24">
        <f>B7-C7</f>
        <v>8.3202540918136947E-4</v>
      </c>
    </row>
    <row r="8" spans="1:4" x14ac:dyDescent="0.2">
      <c r="A8" s="2" t="s">
        <v>49</v>
      </c>
      <c r="B8" s="25">
        <v>8.4906000000000006</v>
      </c>
      <c r="C8" s="26">
        <f>'Decrement table'!S8</f>
        <v>8.4905531547694419</v>
      </c>
      <c r="D8" s="27">
        <f>B8-C8</f>
        <v>4.6845230558645312E-5</v>
      </c>
    </row>
    <row r="10" spans="1:4" x14ac:dyDescent="0.2">
      <c r="A10" s="3" t="s">
        <v>65</v>
      </c>
      <c r="B10" s="3" t="str">
        <f>IF(AND(ABS(D5)&lt;0.01,ABS(D6)&lt;0.01,ABS(D7)&lt;0.01,ABS(D8)&lt;0.0001),"Yes","No: check assumptions match the app")</f>
        <v>Yes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4"/>
  <sheetViews>
    <sheetView tabSelected="1" zoomScaleNormal="100" workbookViewId="0">
      <pane ySplit="4" topLeftCell="A5" activePane="bottomLeft" state="frozen"/>
      <selection pane="bottomLeft" activeCell="M26" sqref="M26"/>
    </sheetView>
  </sheetViews>
  <sheetFormatPr baseColWidth="10" defaultColWidth="8.6640625" defaultRowHeight="15" x14ac:dyDescent="0.2"/>
  <cols>
    <col min="1" max="1" width="9" customWidth="1"/>
    <col min="2" max="2" width="13" customWidth="1"/>
    <col min="3" max="4" width="10" customWidth="1"/>
    <col min="5" max="6" width="14" customWidth="1"/>
    <col min="7" max="8" width="13" customWidth="1"/>
    <col min="9" max="9" width="2" customWidth="1"/>
    <col min="10" max="12" width="12" customWidth="1"/>
    <col min="13" max="13" width="10" customWidth="1"/>
  </cols>
  <sheetData>
    <row r="1" spans="1:13" ht="18" x14ac:dyDescent="0.2">
      <c r="A1" s="1" t="s">
        <v>66</v>
      </c>
    </row>
    <row r="2" spans="1:13" x14ac:dyDescent="0.2">
      <c r="A2" s="6" t="s">
        <v>82</v>
      </c>
    </row>
    <row r="4" spans="1:13" ht="45" customHeight="1" x14ac:dyDescent="0.2">
      <c r="A4" s="7" t="s">
        <v>67</v>
      </c>
      <c r="B4" s="7" t="s">
        <v>68</v>
      </c>
      <c r="C4" s="7" t="s">
        <v>69</v>
      </c>
      <c r="D4" s="7" t="s">
        <v>70</v>
      </c>
      <c r="E4" s="7" t="s">
        <v>71</v>
      </c>
      <c r="F4" s="7" t="s">
        <v>72</v>
      </c>
      <c r="G4" s="7" t="s">
        <v>73</v>
      </c>
      <c r="H4" s="7" t="s">
        <v>74</v>
      </c>
      <c r="J4" s="3" t="s">
        <v>75</v>
      </c>
    </row>
    <row r="5" spans="1:13" x14ac:dyDescent="0.2">
      <c r="A5" s="2">
        <v>1</v>
      </c>
      <c r="B5" s="28">
        <v>50000</v>
      </c>
      <c r="C5" s="28">
        <v>80</v>
      </c>
      <c r="D5" s="28">
        <v>4982</v>
      </c>
      <c r="E5" s="29">
        <f t="shared" ref="E5:E34" si="0">IF(B5&gt;0,C5/B5,"")</f>
        <v>1.6000000000000001E-3</v>
      </c>
      <c r="F5" s="29">
        <f t="shared" ref="F5:F34" si="1">IF(B5&gt;0,D5/B5,"")</f>
        <v>9.9640000000000006E-2</v>
      </c>
      <c r="G5" s="15">
        <f>IF(A5&lt;=Assumptions!$B$5,B5*'Decrement table'!E8,0)</f>
        <v>95</v>
      </c>
      <c r="H5" s="15">
        <f>IF(A5&lt;=Assumptions!$B$5,B5*'Decrement table'!F8,0)</f>
        <v>4995</v>
      </c>
      <c r="J5" s="30" t="s">
        <v>76</v>
      </c>
      <c r="K5" s="30" t="s">
        <v>77</v>
      </c>
      <c r="L5" s="30" t="s">
        <v>78</v>
      </c>
      <c r="M5" s="30" t="s">
        <v>79</v>
      </c>
    </row>
    <row r="6" spans="1:13" x14ac:dyDescent="0.2">
      <c r="A6" s="2">
        <v>2</v>
      </c>
      <c r="B6" s="28">
        <v>44938</v>
      </c>
      <c r="C6" s="28">
        <v>91</v>
      </c>
      <c r="D6" s="28">
        <v>2317</v>
      </c>
      <c r="E6" s="29">
        <f t="shared" si="0"/>
        <v>2.0250122390849615E-3</v>
      </c>
      <c r="F6" s="29">
        <f t="shared" si="1"/>
        <v>5.1559927010547867E-2</v>
      </c>
      <c r="G6" s="15">
        <f>IF(A6&lt;=Assumptions!$B$5,B6*'Decrement table'!E9,0)</f>
        <v>94.639427999999995</v>
      </c>
      <c r="H6" s="15">
        <f>IF(A6&lt;=Assumptions!$B$5,B6*'Decrement table'!F9,0)</f>
        <v>2244.473348</v>
      </c>
      <c r="J6" s="2" t="s">
        <v>80</v>
      </c>
      <c r="K6" s="31">
        <f>SUMIFS(C5:C34,A5:A34,"&lt;="&amp;Assumptions!$B$5)</f>
        <v>2277</v>
      </c>
      <c r="L6" s="31">
        <f>SUM(G5:G34)</f>
        <v>2309.9397773475471</v>
      </c>
      <c r="M6" s="32">
        <f>IF(L6&gt;0,K6/L6,"")</f>
        <v>0.98573998436211563</v>
      </c>
    </row>
    <row r="7" spans="1:13" x14ac:dyDescent="0.2">
      <c r="A7" s="2">
        <v>3</v>
      </c>
      <c r="B7" s="28">
        <v>42530</v>
      </c>
      <c r="C7" s="28">
        <v>92</v>
      </c>
      <c r="D7" s="28">
        <v>2084</v>
      </c>
      <c r="E7" s="29">
        <f t="shared" si="0"/>
        <v>2.1631789325182223E-3</v>
      </c>
      <c r="F7" s="29">
        <f t="shared" si="1"/>
        <v>4.9000705384434518E-2</v>
      </c>
      <c r="G7" s="15">
        <f>IF(A7&lt;=Assumptions!$B$5,B7*'Decrement table'!E10,0)</f>
        <v>96.733634400000014</v>
      </c>
      <c r="H7" s="15">
        <f>IF(A7&lt;=Assumptions!$B$5,B7*'Decrement table'!F10,0)</f>
        <v>2124.0196504</v>
      </c>
      <c r="J7" s="2" t="s">
        <v>81</v>
      </c>
      <c r="K7" s="31">
        <f>SUMIFS(D5:D34,A5:A34,"&lt;="&amp;Assumptions!$B$5)</f>
        <v>31970</v>
      </c>
      <c r="L7" s="31">
        <f>SUM(H5:H34)</f>
        <v>32259.306672375704</v>
      </c>
      <c r="M7" s="32">
        <f>IF(L7&gt;0,K7/L7,"")</f>
        <v>0.9910318384919462</v>
      </c>
    </row>
    <row r="8" spans="1:13" x14ac:dyDescent="0.2">
      <c r="A8" s="2">
        <v>4</v>
      </c>
      <c r="B8" s="28">
        <v>40354</v>
      </c>
      <c r="C8" s="28">
        <v>94</v>
      </c>
      <c r="D8" s="28">
        <v>1934</v>
      </c>
      <c r="E8" s="29">
        <f t="shared" si="0"/>
        <v>2.329384943252218E-3</v>
      </c>
      <c r="F8" s="29">
        <f t="shared" si="1"/>
        <v>4.7925856172870103E-2</v>
      </c>
      <c r="G8" s="15">
        <f>IF(A8&lt;=Assumptions!$B$5,B8*'Decrement table'!E11,0)</f>
        <v>99.127115193600019</v>
      </c>
      <c r="H8" s="15">
        <f>IF(A8&lt;=Assumptions!$B$5,B8*'Decrement table'!F11,0)</f>
        <v>2015.1582790976004</v>
      </c>
    </row>
    <row r="9" spans="1:13" x14ac:dyDescent="0.2">
      <c r="A9" s="2">
        <v>5</v>
      </c>
      <c r="B9" s="28">
        <v>38326</v>
      </c>
      <c r="C9" s="28">
        <v>111</v>
      </c>
      <c r="D9" s="28">
        <v>1940</v>
      </c>
      <c r="E9" s="29">
        <f t="shared" si="0"/>
        <v>2.8962062307571882E-3</v>
      </c>
      <c r="F9" s="29">
        <f t="shared" si="1"/>
        <v>5.0618379168188697E-2</v>
      </c>
      <c r="G9" s="15">
        <f>IF(A9&lt;=Assumptions!$B$5,B9*'Decrement table'!E12,0)</f>
        <v>101.67709476787201</v>
      </c>
      <c r="H9" s="15">
        <f>IF(A9&lt;=Assumptions!$B$5,B9*'Decrement table'!F12,0)</f>
        <v>1913.6928950059521</v>
      </c>
      <c r="J9" s="3"/>
    </row>
    <row r="10" spans="1:13" x14ac:dyDescent="0.2">
      <c r="A10" s="2">
        <v>6</v>
      </c>
      <c r="B10" s="28">
        <v>36275</v>
      </c>
      <c r="C10" s="28">
        <v>103</v>
      </c>
      <c r="D10" s="28">
        <v>1840</v>
      </c>
      <c r="E10" s="29">
        <f t="shared" si="0"/>
        <v>2.8394210889042038E-3</v>
      </c>
      <c r="F10" s="29">
        <f t="shared" si="1"/>
        <v>5.0723638869745007E-2</v>
      </c>
      <c r="G10" s="15">
        <f>IF(A10&lt;=Assumptions!$B$5,B10*'Decrement table'!E13,0)</f>
        <v>103.93475817254402</v>
      </c>
      <c r="H10" s="15">
        <f>IF(A10&lt;=Assumptions!$B$5,B10*'Decrement table'!F13,0)</f>
        <v>1811.0850062007041</v>
      </c>
      <c r="J10" s="33"/>
    </row>
    <row r="11" spans="1:13" x14ac:dyDescent="0.2">
      <c r="A11" s="2">
        <v>7</v>
      </c>
      <c r="B11" s="28">
        <v>34332</v>
      </c>
      <c r="C11" s="28">
        <v>106</v>
      </c>
      <c r="D11" s="28">
        <v>1744</v>
      </c>
      <c r="E11" s="29">
        <f t="shared" si="0"/>
        <v>3.0874985436327622E-3</v>
      </c>
      <c r="F11" s="29">
        <f t="shared" si="1"/>
        <v>5.0798089246184321E-2</v>
      </c>
      <c r="G11" s="15">
        <f>IF(A11&lt;=Assumptions!$B$5,B11*'Decrement table'!E14,0)</f>
        <v>106.23711004786118</v>
      </c>
      <c r="H11" s="15">
        <f>IF(A11&lt;=Assumptions!$B$5,B11*'Decrement table'!F14,0)</f>
        <v>1713.8759715372344</v>
      </c>
      <c r="J11" s="6"/>
    </row>
    <row r="12" spans="1:13" x14ac:dyDescent="0.2">
      <c r="A12" s="2">
        <v>8</v>
      </c>
      <c r="B12" s="28">
        <v>32482</v>
      </c>
      <c r="C12" s="28">
        <v>120</v>
      </c>
      <c r="D12" s="28">
        <v>1634</v>
      </c>
      <c r="E12" s="29">
        <f t="shared" si="0"/>
        <v>3.6943537959485255E-3</v>
      </c>
      <c r="F12" s="29">
        <f t="shared" si="1"/>
        <v>5.0304784188165752E-2</v>
      </c>
      <c r="G12" s="15">
        <f>IF(A12&lt;=Assumptions!$B$5,B12*'Decrement table'!E15,0)</f>
        <v>108.55345780206795</v>
      </c>
      <c r="H12" s="15">
        <f>IF(A12&lt;=Assumptions!$B$5,B12*'Decrement table'!F15,0)</f>
        <v>1621.3165780050754</v>
      </c>
    </row>
    <row r="13" spans="1:13" x14ac:dyDescent="0.2">
      <c r="A13" s="2">
        <v>9</v>
      </c>
      <c r="B13" s="28">
        <v>30728</v>
      </c>
      <c r="C13" s="28">
        <v>104</v>
      </c>
      <c r="D13" s="28">
        <v>1513</v>
      </c>
      <c r="E13" s="29">
        <f t="shared" si="0"/>
        <v>3.384535277271544E-3</v>
      </c>
      <c r="F13" s="29">
        <f t="shared" si="1"/>
        <v>4.9238479562613902E-2</v>
      </c>
      <c r="G13" s="15">
        <f>IF(A13&lt;=Assumptions!$B$5,B13*'Decrement table'!E16,0)</f>
        <v>110.90699782800627</v>
      </c>
      <c r="H13" s="15">
        <f>IF(A13&lt;=Assumptions!$B$5,B13*'Decrement table'!F16,0)</f>
        <v>1533.556230824923</v>
      </c>
    </row>
    <row r="14" spans="1:13" x14ac:dyDescent="0.2">
      <c r="A14" s="2">
        <v>10</v>
      </c>
      <c r="B14" s="28">
        <v>29111</v>
      </c>
      <c r="C14" s="28">
        <v>117</v>
      </c>
      <c r="D14" s="28">
        <v>1405</v>
      </c>
      <c r="E14" s="29">
        <f t="shared" si="0"/>
        <v>4.0190993095393498E-3</v>
      </c>
      <c r="F14" s="29">
        <f t="shared" si="1"/>
        <v>4.8263542990622105E-2</v>
      </c>
      <c r="G14" s="15">
        <f>IF(A14&lt;=Assumptions!$B$5,B14*'Decrement table'!E17,0)</f>
        <v>113.47639621429245</v>
      </c>
      <c r="H14" s="15">
        <f>IF(A14&lt;=Assumptions!$B$5,B14*'Decrement table'!F17,0)</f>
        <v>1452.6403488150183</v>
      </c>
    </row>
    <row r="15" spans="1:13" x14ac:dyDescent="0.2">
      <c r="A15" s="2">
        <v>11</v>
      </c>
      <c r="B15" s="28">
        <v>27589</v>
      </c>
      <c r="C15" s="28">
        <v>135</v>
      </c>
      <c r="D15" s="28">
        <v>1375</v>
      </c>
      <c r="E15" s="29">
        <f t="shared" si="0"/>
        <v>4.8932545579760053E-3</v>
      </c>
      <c r="F15" s="29">
        <f t="shared" si="1"/>
        <v>4.9838703831237084E-2</v>
      </c>
      <c r="G15" s="15">
        <f>IF(A15&lt;=Assumptions!$B$5,B15*'Decrement table'!E18,0)</f>
        <v>116.14703441202994</v>
      </c>
      <c r="H15" s="15">
        <f>IF(A15&lt;=Assumptions!$B$5,B15*'Decrement table'!F18,0)</f>
        <v>1376.471870912512</v>
      </c>
    </row>
    <row r="16" spans="1:13" x14ac:dyDescent="0.2">
      <c r="A16" s="2">
        <v>12</v>
      </c>
      <c r="B16" s="28">
        <v>26079</v>
      </c>
      <c r="C16" s="28">
        <v>127</v>
      </c>
      <c r="D16" s="28">
        <v>1334</v>
      </c>
      <c r="E16" s="29">
        <f t="shared" si="0"/>
        <v>4.8698186280148777E-3</v>
      </c>
      <c r="F16" s="29">
        <f t="shared" si="1"/>
        <v>5.1152268108439744E-2</v>
      </c>
      <c r="G16" s="15">
        <f>IF(A16&lt;=Assumptions!$B$5,B16*'Decrement table'!E19,0)</f>
        <v>118.57328613816503</v>
      </c>
      <c r="H16" s="15">
        <f>IF(A16&lt;=Assumptions!$B$5,B16*'Decrement table'!F19,0)</f>
        <v>1300.9096593297907</v>
      </c>
    </row>
    <row r="17" spans="1:8" x14ac:dyDescent="0.2">
      <c r="A17" s="2">
        <v>13</v>
      </c>
      <c r="B17" s="28">
        <v>24618</v>
      </c>
      <c r="C17" s="28">
        <v>99</v>
      </c>
      <c r="D17" s="28">
        <v>1188</v>
      </c>
      <c r="E17" s="29">
        <f t="shared" si="0"/>
        <v>4.0214477211796247E-3</v>
      </c>
      <c r="F17" s="29">
        <f t="shared" si="1"/>
        <v>4.8257372654155493E-2</v>
      </c>
      <c r="G17" s="15">
        <f>IF(A17&lt;=Assumptions!$B$5,B17*'Decrement table'!E20,0)</f>
        <v>120.88500827490681</v>
      </c>
      <c r="H17" s="15">
        <f>IF(A17&lt;=Assumptions!$B$5,B17*'Decrement table'!F20,0)</f>
        <v>1227.8003844032075</v>
      </c>
    </row>
    <row r="18" spans="1:8" x14ac:dyDescent="0.2">
      <c r="A18" s="2">
        <v>14</v>
      </c>
      <c r="B18" s="28">
        <v>23331</v>
      </c>
      <c r="C18" s="28">
        <v>99</v>
      </c>
      <c r="D18" s="28">
        <v>1160</v>
      </c>
      <c r="E18" s="29">
        <f t="shared" si="0"/>
        <v>4.2432814710042432E-3</v>
      </c>
      <c r="F18" s="29">
        <f t="shared" si="1"/>
        <v>4.9719257640049717E-2</v>
      </c>
      <c r="G18" s="15">
        <f>IF(A18&lt;=Assumptions!$B$5,B18*'Decrement table'!E21,0)</f>
        <v>123.73050525253062</v>
      </c>
      <c r="H18" s="15">
        <f>IF(A18&lt;=Assumptions!$B$5,B18*'Decrement table'!F21,0)</f>
        <v>1163.3774229422429</v>
      </c>
    </row>
    <row r="19" spans="1:8" x14ac:dyDescent="0.2">
      <c r="A19" s="2">
        <v>15</v>
      </c>
      <c r="B19" s="28">
        <v>22072</v>
      </c>
      <c r="C19" s="28">
        <v>124</v>
      </c>
      <c r="D19" s="28">
        <v>1066</v>
      </c>
      <c r="E19" s="29">
        <f t="shared" si="0"/>
        <v>5.6179775280898875E-3</v>
      </c>
      <c r="F19" s="29">
        <f t="shared" si="1"/>
        <v>4.8296484233417904E-2</v>
      </c>
      <c r="G19" s="15">
        <f>IF(A19&lt;=Assumptions!$B$5,B19*'Decrement table'!E22,0)</f>
        <v>126.41798846549933</v>
      </c>
      <c r="H19" s="15">
        <f>IF(A19&lt;=Assumptions!$B$5,B19*'Decrement table'!F22,0)</f>
        <v>1100.3585131162693</v>
      </c>
    </row>
    <row r="20" spans="1:8" x14ac:dyDescent="0.2">
      <c r="A20" s="2">
        <v>16</v>
      </c>
      <c r="B20" s="28">
        <v>20882</v>
      </c>
      <c r="C20" s="28">
        <v>135</v>
      </c>
      <c r="D20" s="28">
        <v>988</v>
      </c>
      <c r="E20" s="29">
        <f t="shared" si="0"/>
        <v>6.4648979982760268E-3</v>
      </c>
      <c r="F20" s="29">
        <f t="shared" si="1"/>
        <v>4.7313475720716404E-2</v>
      </c>
      <c r="G20" s="15">
        <f>IF(A20&lt;=Assumptions!$B$5,B20*'Decrement table'!E23,0)</f>
        <v>129.17040911324221</v>
      </c>
      <c r="H20" s="15">
        <f>IF(A20&lt;=Assumptions!$B$5,B20*'Decrement table'!F23,0)</f>
        <v>1040.7879382278657</v>
      </c>
    </row>
    <row r="21" spans="1:8" x14ac:dyDescent="0.2">
      <c r="A21" s="2">
        <v>17</v>
      </c>
      <c r="B21" s="28">
        <v>19759</v>
      </c>
      <c r="C21" s="28">
        <v>136</v>
      </c>
      <c r="D21" s="28">
        <v>944</v>
      </c>
      <c r="E21" s="29">
        <f t="shared" si="0"/>
        <v>6.8829394200111338E-3</v>
      </c>
      <c r="F21" s="29">
        <f t="shared" si="1"/>
        <v>4.7775697150665521E-2</v>
      </c>
      <c r="G21" s="15">
        <f>IF(A21&lt;=Assumptions!$B$5,B21*'Decrement table'!E24,0)</f>
        <v>132.0017413447963</v>
      </c>
      <c r="H21" s="15">
        <f>IF(A21&lt;=Assumptions!$B$5,B21*'Decrement table'!F24,0)</f>
        <v>984.56533996551809</v>
      </c>
    </row>
    <row r="22" spans="1:8" x14ac:dyDescent="0.2">
      <c r="A22" s="2">
        <v>18</v>
      </c>
      <c r="B22" s="28">
        <v>18679</v>
      </c>
      <c r="C22" s="28">
        <v>122</v>
      </c>
      <c r="D22" s="28">
        <v>897</v>
      </c>
      <c r="E22" s="29">
        <f t="shared" si="0"/>
        <v>6.5313988971572355E-3</v>
      </c>
      <c r="F22" s="29">
        <f t="shared" si="1"/>
        <v>4.8021842711065903E-2</v>
      </c>
      <c r="G22" s="15">
        <f>IF(A22&lt;=Assumptions!$B$5,B22*'Decrement table'!E25,0)</f>
        <v>134.76964262896942</v>
      </c>
      <c r="H22" s="15">
        <f>IF(A22&lt;=Assumptions!$B$5,B22*'Decrement table'!F25,0)</f>
        <v>930.49436813771877</v>
      </c>
    </row>
    <row r="23" spans="1:8" x14ac:dyDescent="0.2">
      <c r="A23" s="2">
        <v>19</v>
      </c>
      <c r="B23" s="28">
        <v>17660</v>
      </c>
      <c r="C23" s="28">
        <v>137</v>
      </c>
      <c r="D23" s="28">
        <v>846</v>
      </c>
      <c r="E23" s="29">
        <f t="shared" si="0"/>
        <v>7.7576443941109853E-3</v>
      </c>
      <c r="F23" s="29">
        <f t="shared" si="1"/>
        <v>4.7904869762174403E-2</v>
      </c>
      <c r="G23" s="15">
        <f>IF(A23&lt;=Assumptions!$B$5,B23*'Decrement table'!E26,0)</f>
        <v>137.61092349343156</v>
      </c>
      <c r="H23" s="15">
        <f>IF(A23&lt;=Assumptions!$B$5,B23*'Decrement table'!F26,0)</f>
        <v>879.47151478221974</v>
      </c>
    </row>
    <row r="24" spans="1:8" x14ac:dyDescent="0.2">
      <c r="A24" s="2">
        <v>20</v>
      </c>
      <c r="B24" s="28">
        <v>16677</v>
      </c>
      <c r="C24" s="28">
        <v>145</v>
      </c>
      <c r="D24" s="28">
        <v>779</v>
      </c>
      <c r="E24" s="29">
        <f t="shared" si="0"/>
        <v>8.6946093422078305E-3</v>
      </c>
      <c r="F24" s="29">
        <f t="shared" si="1"/>
        <v>4.6711039155723451E-2</v>
      </c>
      <c r="G24" s="15">
        <f>IF(A24&lt;=Assumptions!$B$5,B24*'Decrement table'!E27,0)</f>
        <v>140.34724579773243</v>
      </c>
      <c r="H24" s="15">
        <f>IF(A24&lt;=Assumptions!$B$5,B24*'Decrement table'!F27,0)</f>
        <v>830.25135267185317</v>
      </c>
    </row>
    <row r="25" spans="1:8" x14ac:dyDescent="0.2">
      <c r="A25" s="2">
        <v>21</v>
      </c>
      <c r="B25" s="28"/>
      <c r="C25" s="28"/>
      <c r="D25" s="28"/>
      <c r="E25" s="29" t="str">
        <f t="shared" si="0"/>
        <v/>
      </c>
      <c r="F25" s="29" t="str">
        <f t="shared" si="1"/>
        <v/>
      </c>
      <c r="G25" s="15">
        <f>IF(A25&lt;=Assumptions!$B$5,B25*'Decrement table'!E28,0)</f>
        <v>0</v>
      </c>
      <c r="H25" s="15">
        <f>IF(A25&lt;=Assumptions!$B$5,B25*'Decrement table'!F28,0)</f>
        <v>0</v>
      </c>
    </row>
    <row r="26" spans="1:8" x14ac:dyDescent="0.2">
      <c r="A26" s="2">
        <v>22</v>
      </c>
      <c r="B26" s="28"/>
      <c r="C26" s="28"/>
      <c r="D26" s="28"/>
      <c r="E26" s="29" t="str">
        <f t="shared" si="0"/>
        <v/>
      </c>
      <c r="F26" s="29" t="str">
        <f t="shared" si="1"/>
        <v/>
      </c>
      <c r="G26" s="15">
        <f>IF(A26&lt;=Assumptions!$B$5,B26*'Decrement table'!E29,0)</f>
        <v>0</v>
      </c>
      <c r="H26" s="15">
        <f>IF(A26&lt;=Assumptions!$B$5,B26*'Decrement table'!F29,0)</f>
        <v>0</v>
      </c>
    </row>
    <row r="27" spans="1:8" x14ac:dyDescent="0.2">
      <c r="A27" s="2">
        <v>23</v>
      </c>
      <c r="B27" s="28"/>
      <c r="C27" s="28"/>
      <c r="D27" s="28"/>
      <c r="E27" s="29" t="str">
        <f t="shared" si="0"/>
        <v/>
      </c>
      <c r="F27" s="29" t="str">
        <f t="shared" si="1"/>
        <v/>
      </c>
      <c r="G27" s="15">
        <f>IF(A27&lt;=Assumptions!$B$5,B27*'Decrement table'!E30,0)</f>
        <v>0</v>
      </c>
      <c r="H27" s="15">
        <f>IF(A27&lt;=Assumptions!$B$5,B27*'Decrement table'!F30,0)</f>
        <v>0</v>
      </c>
    </row>
    <row r="28" spans="1:8" x14ac:dyDescent="0.2">
      <c r="A28" s="2">
        <v>24</v>
      </c>
      <c r="B28" s="28"/>
      <c r="C28" s="28"/>
      <c r="D28" s="28"/>
      <c r="E28" s="29" t="str">
        <f t="shared" si="0"/>
        <v/>
      </c>
      <c r="F28" s="29" t="str">
        <f t="shared" si="1"/>
        <v/>
      </c>
      <c r="G28" s="15">
        <f>IF(A28&lt;=Assumptions!$B$5,B28*'Decrement table'!E31,0)</f>
        <v>0</v>
      </c>
      <c r="H28" s="15">
        <f>IF(A28&lt;=Assumptions!$B$5,B28*'Decrement table'!F31,0)</f>
        <v>0</v>
      </c>
    </row>
    <row r="29" spans="1:8" x14ac:dyDescent="0.2">
      <c r="A29" s="2">
        <v>25</v>
      </c>
      <c r="B29" s="28"/>
      <c r="C29" s="28"/>
      <c r="D29" s="28"/>
      <c r="E29" s="29" t="str">
        <f t="shared" si="0"/>
        <v/>
      </c>
      <c r="F29" s="29" t="str">
        <f t="shared" si="1"/>
        <v/>
      </c>
      <c r="G29" s="15">
        <f>IF(A29&lt;=Assumptions!$B$5,B29*'Decrement table'!E32,0)</f>
        <v>0</v>
      </c>
      <c r="H29" s="15">
        <f>IF(A29&lt;=Assumptions!$B$5,B29*'Decrement table'!F32,0)</f>
        <v>0</v>
      </c>
    </row>
    <row r="30" spans="1:8" x14ac:dyDescent="0.2">
      <c r="A30" s="2">
        <v>26</v>
      </c>
      <c r="B30" s="28"/>
      <c r="C30" s="28"/>
      <c r="D30" s="28"/>
      <c r="E30" s="29" t="str">
        <f t="shared" si="0"/>
        <v/>
      </c>
      <c r="F30" s="29" t="str">
        <f t="shared" si="1"/>
        <v/>
      </c>
      <c r="G30" s="15">
        <f>IF(A30&lt;=Assumptions!$B$5,B30*'Decrement table'!E33,0)</f>
        <v>0</v>
      </c>
      <c r="H30" s="15">
        <f>IF(A30&lt;=Assumptions!$B$5,B30*'Decrement table'!F33,0)</f>
        <v>0</v>
      </c>
    </row>
    <row r="31" spans="1:8" x14ac:dyDescent="0.2">
      <c r="A31" s="2">
        <v>27</v>
      </c>
      <c r="B31" s="28"/>
      <c r="C31" s="28"/>
      <c r="D31" s="28"/>
      <c r="E31" s="29" t="str">
        <f t="shared" si="0"/>
        <v/>
      </c>
      <c r="F31" s="29" t="str">
        <f t="shared" si="1"/>
        <v/>
      </c>
      <c r="G31" s="15">
        <f>IF(A31&lt;=Assumptions!$B$5,B31*'Decrement table'!E34,0)</f>
        <v>0</v>
      </c>
      <c r="H31" s="15">
        <f>IF(A31&lt;=Assumptions!$B$5,B31*'Decrement table'!F34,0)</f>
        <v>0</v>
      </c>
    </row>
    <row r="32" spans="1:8" x14ac:dyDescent="0.2">
      <c r="A32" s="2">
        <v>28</v>
      </c>
      <c r="B32" s="28"/>
      <c r="C32" s="28"/>
      <c r="D32" s="28"/>
      <c r="E32" s="29" t="str">
        <f t="shared" si="0"/>
        <v/>
      </c>
      <c r="F32" s="29" t="str">
        <f t="shared" si="1"/>
        <v/>
      </c>
      <c r="G32" s="15">
        <f>IF(A32&lt;=Assumptions!$B$5,B32*'Decrement table'!E35,0)</f>
        <v>0</v>
      </c>
      <c r="H32" s="15">
        <f>IF(A32&lt;=Assumptions!$B$5,B32*'Decrement table'!F35,0)</f>
        <v>0</v>
      </c>
    </row>
    <row r="33" spans="1:8" x14ac:dyDescent="0.2">
      <c r="A33" s="2">
        <v>29</v>
      </c>
      <c r="B33" s="28"/>
      <c r="C33" s="28"/>
      <c r="D33" s="28"/>
      <c r="E33" s="29" t="str">
        <f t="shared" si="0"/>
        <v/>
      </c>
      <c r="F33" s="29" t="str">
        <f t="shared" si="1"/>
        <v/>
      </c>
      <c r="G33" s="15">
        <f>IF(A33&lt;=Assumptions!$B$5,B33*'Decrement table'!E36,0)</f>
        <v>0</v>
      </c>
      <c r="H33" s="15">
        <f>IF(A33&lt;=Assumptions!$B$5,B33*'Decrement table'!F36,0)</f>
        <v>0</v>
      </c>
    </row>
    <row r="34" spans="1:8" x14ac:dyDescent="0.2">
      <c r="A34" s="2">
        <v>30</v>
      </c>
      <c r="B34" s="28"/>
      <c r="C34" s="28"/>
      <c r="D34" s="28"/>
      <c r="E34" s="29" t="str">
        <f t="shared" si="0"/>
        <v/>
      </c>
      <c r="F34" s="29" t="str">
        <f t="shared" si="1"/>
        <v/>
      </c>
      <c r="G34" s="15">
        <f>IF(A34&lt;=Assumptions!$B$5,B34*'Decrement table'!E37,0)</f>
        <v>0</v>
      </c>
      <c r="H34" s="15">
        <f>IF(A34&lt;=Assumptions!$B$5,B34*'Decrement table'!F37,0)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Guide</vt:lpstr>
      <vt:lpstr>Assumptions</vt:lpstr>
      <vt:lpstr>Decrement table</vt:lpstr>
      <vt:lpstr>Cross-check</vt:lpstr>
      <vt:lpstr>Experience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Pratham Sood</cp:lastModifiedBy>
  <cp:revision>0</cp:revision>
  <dcterms:created xsi:type="dcterms:W3CDTF">2026-10-25T07:57:31Z</dcterms:created>
  <dcterms:modified xsi:type="dcterms:W3CDTF">2026-10-25T08:03:34Z</dcterms:modified>
  <dc:language>en-US</dc:language>
</cp:coreProperties>
</file>